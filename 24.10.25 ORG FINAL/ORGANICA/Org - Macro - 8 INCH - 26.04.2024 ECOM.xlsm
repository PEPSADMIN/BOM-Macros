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5 ORG FINAL\ORGANIC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E17" i="13" l="1"/>
  <c r="G17" i="13" s="1"/>
  <c r="H17" i="13" s="1"/>
  <c r="G4" i="13" l="1"/>
  <c r="E2" i="13" l="1"/>
  <c r="G3" i="13"/>
  <c r="E3" i="13"/>
  <c r="G5" i="13" l="1"/>
  <c r="E16" i="13" l="1"/>
  <c r="E15" i="13"/>
  <c r="H16" i="13" l="1"/>
  <c r="H15" i="13"/>
  <c r="H14" i="13"/>
  <c r="H13" i="13"/>
  <c r="H12" i="13"/>
  <c r="H11" i="13"/>
  <c r="H10" i="13"/>
  <c r="G9" i="13"/>
  <c r="H9" i="13" s="1"/>
  <c r="G8" i="13"/>
  <c r="H8" i="13" s="1"/>
  <c r="H7" i="13"/>
  <c r="E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<sst xmlns="http://schemas.openxmlformats.org/spreadsheetml/2006/main" count="14463" uniqueCount="531">
  <si>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</si>
  <si>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</si>
  <si>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</si>
  <si>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</si>
  <si>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</si>
  <si>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</si>
  <si>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</si>
  <si>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</si>
  <si>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</si>
  <si>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</si>
  <si>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</si>
  <si>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</si>
  <si>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</si>
  <si>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</si>
  <si>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</si>
  <si>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</si>
  <si>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</si>
  <si>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</si>
  <si>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</si>
  <si>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</si>
  <si>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</si>
  <si>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</si>
  <si>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</si>
  <si>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</si>
  <si>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</si>
  <si>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</si>
  <si>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</si>
  <si>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</si>
  <si>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</si>
  <si>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</si>
  <si>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</si>
  <si>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</si>
  <si>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</si>
  <si>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</si>
  <si>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</si>
  <si>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</si>
  <si>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</si>
  <si>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</si>
  <si>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</si>
  <si>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</si>
  <si>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</si>
  <si>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</si>
  <si>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</si>
  <si>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</si>
  <si>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</si>
  <si>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</si>
  <si>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</si>
  <si>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</si>
  <si>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</si>
  <si>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</si>
  <si>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</si>
  <si>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</si>
  <si>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</si>
  <si>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</si>
  <si>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</si>
  <si>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</si>
  <si>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</si>
  <si>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</si>
  <si>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</si>
  <si>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</si>
  <si>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</si>
  <si>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</si>
  <si>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</si>
  <si>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</si>
  <si>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</si>
  <si>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</si>
  <si>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</si>
  <si>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</si>
  <si>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</si>
  <si>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</si>
  <si>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</si>
  <si>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</si>
  <si>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</si>
  <si>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</si>
  <si>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</si>
  <si>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</si>
  <si>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</si>
  <si>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</si>
  <si>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</si>
  <si>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</si>
  <si>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</si>
  <si>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</si>
  <si>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</si>
  <si>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</si>
  <si>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</si>
  <si>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</si>
  <si>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</si>
  <si>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</si>
  <si>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</si>
  <si>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</si>
  <si>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</si>
  <si>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</si>
  <si>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</si>
  <si>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</si>
  <si>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</si>
  <si>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</si>
  <si>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</si>
  <si>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</si>
  <si>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</si>
  <si>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</si>
  <si>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</si>
  <si>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</si>
  <si>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</si>
  <si>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</si>
  <si>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</si>
  <si>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</si>
  <si>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</si>
  <si>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</si>
  <si>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</si>
  <si>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</si>
  <si>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</si>
  <si>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</si>
  <si>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</si>
  <si>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</si>
  <si>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</si>
  <si>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</si>
  <si>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</si>
  <si>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</si>
  <si>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</si>
  <si>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</si>
  <si>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</si>
  <si>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BW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</si>
  <si>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</si>
  <si>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</si>
  <si>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</si>
  <si>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</si>
  <si>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</si>
  <si>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</si>
  <si>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</si>
  <si>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</si>
  <si>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</si>
  <si>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</si>
  <si>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</si>
  <si>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</si>
  <si>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</si>
  <si>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</si>
  <si>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</si>
  <si>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</si>
  <si>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</si>
  <si>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</si>
  <si>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</si>
  <si>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</si>
  <si>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</si>
  <si>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</si>
  <si>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</si>
  <si>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</si>
  <si>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</si>
  <si>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</si>
  <si>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</si>
  <si>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</si>
  <si>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</si>
  <si>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</si>
  <si>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</si>
  <si>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</si>
  <si>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</si>
  <si>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</si>
  <si>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</si>
  <si>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</si>
  <si>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</si>
  <si>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</si>
  <si>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</si>
  <si>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</si>
  <si>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</si>
  <si>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</si>
  <si>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</si>
  <si>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</si>
  <si>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</si>
  <si>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</si>
  <si>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</si>
  <si>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</si>
  <si>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</si>
  <si>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</si>
  <si>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</si>
  <si>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</si>
  <si>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</si>
  <si>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</si>
  <si>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</si>
  <si>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</si>
  <si>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</si>
  <si>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</si>
  <si>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</si>
  <si>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</si>
  <si>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</si>
  <si>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</si>
  <si>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</si>
  <si>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</si>
  <si>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</si>
  <si>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</si>
  <si>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</si>
  <si>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</si>
  <si>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</si>
  <si>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</si>
  <si>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</si>
  <si>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</si>
  <si>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</si>
  <si>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</si>
  <si>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</si>
  <si>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</si>
  <si>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</si>
  <si>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</si>
  <si>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</si>
  <si>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</si>
  <si>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</si>
  <si>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</si>
  <si>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</si>
  <si>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</si>
  <si>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</si>
  <si>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</si>
  <si>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</si>
  <si>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</si>
  <si>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</si>
  <si>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</si>
  <si>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</si>
  <si>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</si>
  <si>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</si>
  <si>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</si>
  <si>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</si>
  <si>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</si>
  <si>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</si>
  <si>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</si>
  <si>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</si>
  <si>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</si>
  <si>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</si>
  <si>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</si>
  <si>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</si>
  <si>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</si>
  <si>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</si>
  <si>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</si>
  <si>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</si>
  <si>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</si>
  <si>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</si>
  <si>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</si>
  <si>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</si>
  <si>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</si>
  <si>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</si>
  <si>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</si>
  <si>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</si>
  <si>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</si>
  <si>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</si>
  <si>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</si>
  <si>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</si>
  <si>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</si>
  <si>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</si>
  <si>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</si>
  <si>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</si>
  <si>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</si>
  <si>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</si>
  <si>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</si>
  <si>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</si>
  <si>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</si>
  <si>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</si>
  <si>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</si>
  <si>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</si>
  <si>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</si>
  <si>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</si>
  <si>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</si>
  <si>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</si>
  <si>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</si>
  <si>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</si>
  <si>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</si>
  <si>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</si>
  <si>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</si>
  <si>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</si>
  <si>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</si>
  <si>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</si>
  <si>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</si>
  <si>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</si>
  <si>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</si>
  <si>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</si>
  <si>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</si>
  <si>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</si>
  <si>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</si>
  <si>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</si>
  <si>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</si>
  <si>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</si>
  <si>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</si>
  <si>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</si>
  <si>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</si>
  <si>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</si>
  <si>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</si>
  <si>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</si>
  <si>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</si>
  <si>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</si>
  <si>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</si>
  <si>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</si>
  <si>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</si>
  <si>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</si>
  <si>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</si>
  <si>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</si>
  <si>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</si>
  <si>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</si>
  <si>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</si>
  <si>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</si>
  <si>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</si>
  <si>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</si>
  <si>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</si>
  <si>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</si>
  <si>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</si>
  <si>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</si>
  <si>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</si>
  <si>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</si>
  <si>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</si>
  <si>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</si>
  <si>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</si>
  <si>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</si>
  <si>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</si>
  <si>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</si>
  <si>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</si>
  <si>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</si>
  <si>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</si>
  <si>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</si>
  <si>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</si>
  <si>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</si>
  <si>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</si>
  <si>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</si>
  <si>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</si>
  <si>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</si>
  <si>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</si>
  <si>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</si>
  <si>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</si>
  <si>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</si>
  <si>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</si>
  <si>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</si>
  <si>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</si>
  <si>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</si>
  <si>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</si>
  <si>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</si>
  <si>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</si>
  <si>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</si>
  <si>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</si>
  <si>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</si>
  <si>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</si>
  <si>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</si>
  <si>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</si>
  <si>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</si>
  <si>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</si>
  <si>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</si>
  <si>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</si>
  <si>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</si>
  <si>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</si>
  <si>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</si>
  <si>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</si>
  <si>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</si>
  <si>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</si>
  <si>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</si>
  <si>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</si>
  <si>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</si>
  <si>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</si>
  <si>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</si>
  <si>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</si>
  <si>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</si>
  <si>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</si>
  <si>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</si>
  <si>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</si>
  <si>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</si>
  <si>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</si>
  <si>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</si>
  <si>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</si>
  <si>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</si>
  <si>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</si>
  <si>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</si>
  <si>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</si>
  <si>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</si>
  <si>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</si>
  <si>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</si>
  <si>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</si>
  <si>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</si>
  <si>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</si>
  <si>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</si>
  <si>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</si>
  <si>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</si>
  <si>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</si>
  <si>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</si>
  <si>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</si>
  <si>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</si>
  <si>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</si>
  <si>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</si>
  <si>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</si>
  <si>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</si>
  <si>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</si>
  <si>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</si>
  <si>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</si>
  <si>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</si>
  <si>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</si>
  <si>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</si>
  <si>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</si>
  <si>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</si>
  <si>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</si>
  <si>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</si>
  <si>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</si>
  <si>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</si>
  <si>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</si>
  <si>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</si>
  <si>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</si>
  <si>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</si>
  <si>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</si>
  <si>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</si>
  <si>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</si>
  <si>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</si>
  <si>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</si>
  <si>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</si>
  <si>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</si>
  <si>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</si>
  <si>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</si>
  <si>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</si>
  <si>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</si>
  <si>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</si>
  <si>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</si>
  <si>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</si>
  <si>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</si>
  <si>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</si>
  <si>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</si>
  <si>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</si>
  <si>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</si>
  <si>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</si>
  <si>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</si>
  <si>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</si>
  <si>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</si>
  <si>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</si>
  <si>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</si>
  <si>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</si>
  <si>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</si>
  <si>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</si>
  <si>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</si>
  <si>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</si>
  <si>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</si>
  <si>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</si>
  <si>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</si>
  <si>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</si>
  <si>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</si>
  <si>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</si>
  <si>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</si>
  <si>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</si>
  <si>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</si>
  <si>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</si>
  <si>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</si>
  <si>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</si>
  <si>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</si>
  <si>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</si>
  <si>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</si>
  <si>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</si>
  <si>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</si>
  <si>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</si>
  <si>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</si>
  <si>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</si>
  <si>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</si>
  <si>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</si>
  <si>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</si>
  <si>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</si>
  <si>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</si>
  <si>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</si>
  <si>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</si>
  <si>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</si>
  <si>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</si>
  <si>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</si>
  <si>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</si>
  <si>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</si>
  <si>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</si>
  <si>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</si>
  <si>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</si>
  <si>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</si>
  <si>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</si>
  <si>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</si>
  <si>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</si>
  <si>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</si>
  <si>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</si>
  <si>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</si>
  <si>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</si>
  <si>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</si>
  <si>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</si>
  <si>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</si>
  <si>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</si>
  <si>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</si>
  <si>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</si>
  <si>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</si>
  <si>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</si>
  <si>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</si>
  <si>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</si>
  <si>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</si>
  <si>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</si>
  <si>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</si>
  <si>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</si>
  <si>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</si>
  <si>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</si>
  <si>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</si>
  <si>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</si>
  <si>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</si>
  <si>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</si>
  <si>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</si>
  <si>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</si>
  <si>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</si>
  <si>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</si>
  <si>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</si>
  <si>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</si>
  <si>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</si>
  <si>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</si>
  <si>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</si>
  <si>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</si>
  <si>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</si>
  <si>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</si>
  <si>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</si>
  <si>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</si>
  <si>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</si>
  <si>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</si>
  <si>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</si>
  <si>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</si>
  <si>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</si>
  <si>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</si>
  <si>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</si>
  <si>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</si>
  <si>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</si>
  <si>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</si>
  <si>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</si>
  <si>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</si>
  <si>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</si>
  <si>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</si>
  <si>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</si>
  <si>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</si>
  <si>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</si>
  <si>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</si>
  <si>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</si>
  <si>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</si>
  <si>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</si>
  <si>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</si>
  <si>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</si>
  <si>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</si>
  <si>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RML-VIR-HDPE-92X46</t>
  </si>
  <si>
    <t>RML-VIR-HDPE-92X70</t>
  </si>
  <si>
    <t>RML-VIR-HDPE-92X82</t>
  </si>
  <si>
    <t>RML-CS-PL-8.5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</si>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</sst>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0" fontId="1" fillId="0" borderId="1" xfId="0" applyNumberFormat="1" applyFont="1" applyBorder="1" applyAlignment="1">
      <alignment vertical="center"/>
    </xf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2" sqref="D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9.28515625" style="11" bestFit="1" customWidth="1"/>
    <col min="5" max="5" width="38.4257812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4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"PEPSPKORGBW"&amp;$K$2&amp;"X"&amp;$L$2&amp;"X08"&amp;"-ECOM"</f>
        <v>PEPSPKORGBW84X72X08-ECOM</v>
      </c>
      <c r="E2" s="1" t="str">
        <f>"OERTCPK75MMBOXSR"&amp;(K2-0.5)&amp;"0"&amp;"X"&amp;(L2-0.5)&amp;"0"&amp;IF(M2=8,"X130")</f>
        <v>OERTCPK75MMBOXSR83.50X71.50X130</v>
      </c>
      <c r="F2" s="32" t="s">
        <v>11</v>
      </c>
      <c r="G2" s="45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8</v>
      </c>
      <c r="N2" s="6" t="s">
        <v>121</v>
      </c>
      <c r="P2" s="4">
        <v>8</v>
      </c>
      <c r="R2" s="24" t="s">
        <v>94</v>
      </c>
      <c r="S2" s="24" t="s">
        <v>95</v>
      </c>
      <c r="T2" s="24">
        <v>8</v>
      </c>
      <c r="U2" s="25" t="s">
        <v>121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7" si="1">"PEPSPKORGBW"&amp;$K$2&amp;"X"&amp;$L$2&amp;"X08"&amp;"-ECOM"</f>
        <v>PEPSPKORGBW84X72X08-ECOM</v>
      </c>
      <c r="E3" s="42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8</v>
      </c>
      <c r="U3" s="25" t="s">
        <v>121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PEPSPKORGBW84X72X08-ECOM</v>
      </c>
      <c r="E4" s="37" t="s">
        <v>110</v>
      </c>
      <c r="F4" s="28" t="s">
        <v>111</v>
      </c>
      <c r="G4" s="46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121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PEPSPKORGBW84X72X08-ECOM</v>
      </c>
      <c r="E5" s="41" t="s">
        <v>202</v>
      </c>
      <c r="F5" s="28" t="s">
        <v>11</v>
      </c>
      <c r="G5" s="47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8</v>
      </c>
      <c r="U5" s="25" t="s">
        <v>121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PEPSPKORGBW84X72X08-ECOM</v>
      </c>
      <c r="E6" s="38" t="s">
        <v>114</v>
      </c>
      <c r="F6" s="32" t="s">
        <v>17</v>
      </c>
      <c r="G6" s="47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121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PEPSPKORGBW84X72X08-ECOM</v>
      </c>
      <c r="E7" s="38" t="str">
        <f>"SFG-ORGBW-BOR-"&amp;K2&amp;"X"&amp;L2&amp;"X08"</f>
        <v>SFG-ORGBW-BOR-84X72X08</v>
      </c>
      <c r="F7" s="32" t="s">
        <v>11</v>
      </c>
      <c r="G7" s="48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121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PEPSPKORGBW84X72X08-ECOM</v>
      </c>
      <c r="E8" s="34" t="s">
        <v>116</v>
      </c>
      <c r="F8" s="32" t="s">
        <v>17</v>
      </c>
      <c r="G8" s="48">
        <f>(K2+L2+4)*2*0.0254*2</f>
        <v>16.256</v>
      </c>
      <c r="H8" s="10">
        <f t="shared" ref="H8:H10" si="3">ROUND(G8,3)</f>
        <v>16.256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121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PEPSPKORGBW84X72X08-ECOM</v>
      </c>
      <c r="E9" s="34" t="s">
        <v>20</v>
      </c>
      <c r="F9" s="32" t="s">
        <v>17</v>
      </c>
      <c r="G9" s="48">
        <f>(K2+L2+4)*2*0.0254*(4.73+1.42)*2</f>
        <v>99.974400000000003</v>
      </c>
      <c r="H9" s="10">
        <f t="shared" si="3"/>
        <v>99.974000000000004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121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PEPSPKORGBW84X72X08-ECOM</v>
      </c>
      <c r="E10" s="39" t="s">
        <v>24</v>
      </c>
      <c r="F10" s="32" t="s">
        <v>11</v>
      </c>
      <c r="G10" s="48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121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PEPSPKORGBW84X72X08-ECOM</v>
      </c>
      <c r="E11" s="34" t="s">
        <v>529</v>
      </c>
      <c r="F11" s="32" t="s">
        <v>11</v>
      </c>
      <c r="G11" s="48">
        <v>4</v>
      </c>
      <c r="H11" s="10">
        <f t="shared" ref="H11:H17" si="4">ROUND(G11,3)</f>
        <v>4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121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PEPSPKORGBW84X72X08-ECOM</v>
      </c>
      <c r="E12" s="34" t="s">
        <v>25</v>
      </c>
      <c r="F12" s="32" t="s">
        <v>11</v>
      </c>
      <c r="G12" s="48">
        <v>1</v>
      </c>
      <c r="H12" s="10">
        <f t="shared" si="4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121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PEPSPKORGBW84X72X08-ECOM</v>
      </c>
      <c r="E13" s="34" t="s">
        <v>26</v>
      </c>
      <c r="F13" s="32" t="s">
        <v>11</v>
      </c>
      <c r="G13" s="48">
        <v>1</v>
      </c>
      <c r="H13" s="10">
        <f t="shared" si="4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121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PEPSPKORGBW84X72X08-ECOM</v>
      </c>
      <c r="E14" s="29" t="s">
        <v>530</v>
      </c>
      <c r="F14" s="28" t="s">
        <v>14</v>
      </c>
      <c r="G14" s="46">
        <f>(IF(K2&gt;76,(K2*2)+(M2*2),(L2*2)+(M2*2))+4)*89.5*0.0254*0.0254*0.00005*1300</f>
        <v>0.70560504039999994</v>
      </c>
      <c r="H14" s="10">
        <f t="shared" si="4"/>
        <v>0.70599999999999996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121</v>
      </c>
    </row>
    <row r="15" spans="1:21" x14ac:dyDescent="0.25">
      <c r="A15" s="30">
        <v>14</v>
      </c>
      <c r="B15" s="31" t="s">
        <v>107</v>
      </c>
      <c r="C15" s="29" t="s">
        <v>119</v>
      </c>
      <c r="D15" s="7" t="str">
        <f t="shared" si="1"/>
        <v>PEPSPKORGBW84X72X08-ECOM</v>
      </c>
      <c r="E15" s="35" t="str">
        <f>"25D-HELIXA-FOAM-"&amp;(K2-0.5)&amp;"0"&amp;"X"&amp;(L2-0.5)&amp;"0"&amp;"X"&amp;"25MM"</f>
        <v>25D-HELIXA-FOAM-83.50X71.50X25MM</v>
      </c>
      <c r="F15" s="32" t="s">
        <v>11</v>
      </c>
      <c r="G15" s="48">
        <v>1</v>
      </c>
      <c r="H15" s="10">
        <f t="shared" si="4"/>
        <v>1</v>
      </c>
      <c r="I15" s="33" t="s">
        <v>18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121</v>
      </c>
    </row>
    <row r="16" spans="1:21" x14ac:dyDescent="0.25">
      <c r="A16" s="30">
        <v>15</v>
      </c>
      <c r="B16" s="31" t="s">
        <v>107</v>
      </c>
      <c r="C16" s="34" t="s">
        <v>120</v>
      </c>
      <c r="D16" s="7" t="str">
        <f t="shared" si="1"/>
        <v>PEPSPKORGBW84X72X08-ECOM</v>
      </c>
      <c r="E16" s="35" t="str">
        <f>"70D-RB-FOAM-"&amp;(K2-0.5)&amp;"0"&amp;"X"&amp;(L2-0.5)&amp;"0"&amp;"X"&amp;"15MM"</f>
        <v>70D-RB-FOAM-83.50X71.50X15MM</v>
      </c>
      <c r="F16" s="32" t="s">
        <v>11</v>
      </c>
      <c r="G16" s="48">
        <v>1</v>
      </c>
      <c r="H16" s="10">
        <f t="shared" si="4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121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PEPSPKORGBW84X72X08-ECOM</v>
      </c>
      <c r="E17" s="3" t="str">
        <f>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RML-VIR-HDPE-92X82</v>
      </c>
      <c r="F17" s="32" t="s">
        <v>14</v>
      </c>
      <c r="G17" s="52" t="str">
        <f>+IF(E17="RML-VIR-HDPE-92X46","0.5",IF(E17="RML-VIR-HDPE-92X56","0.6",IF(E17="RML-VIR-HDPE-92X70","0.6",IF(E17="RML-VIR-HDPE-92X82","0.8",IF(E17="RML-VIR-HDPE-100X100","1.1",0)))))</f>
        <v>0.8</v>
      </c>
      <c r="H17" s="53">
        <f t="shared" si="4"/>
        <v>0.8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121</v>
      </c>
    </row>
    <row r="18" spans="1:21" x14ac:dyDescent="0.25"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121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121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121</v>
      </c>
    </row>
    <row r="21" spans="1:21" x14ac:dyDescent="0.25">
      <c r="E21" s="40"/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121</v>
      </c>
    </row>
    <row r="22" spans="1:21" x14ac:dyDescent="0.25">
      <c r="E22" s="40"/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121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121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121</v>
      </c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 t="s">
        <v>121</v>
      </c>
    </row>
    <row r="26" spans="1:21" x14ac:dyDescent="0.25">
      <c r="N26"/>
      <c r="O26"/>
      <c r="R26" s="24" t="s">
        <v>105</v>
      </c>
      <c r="S26" s="24" t="s">
        <v>95</v>
      </c>
      <c r="T26" s="24">
        <v>8</v>
      </c>
      <c r="U26" s="25" t="s">
        <v>121</v>
      </c>
    </row>
    <row r="27" spans="1:21" x14ac:dyDescent="0.25">
      <c r="G27" s="50"/>
      <c r="I27" s="14"/>
      <c r="N27"/>
      <c r="O27"/>
      <c r="R27" s="24" t="s">
        <v>105</v>
      </c>
      <c r="S27" s="24" t="s">
        <v>96</v>
      </c>
      <c r="T27" s="24">
        <v>8</v>
      </c>
      <c r="U27" s="25" t="s">
        <v>121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121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8</v>
      </c>
      <c r="U29" s="25" t="s">
        <v>121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8</v>
      </c>
      <c r="U30" s="25" t="s">
        <v>121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121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121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121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121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121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121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121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121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121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121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121</v>
      </c>
    </row>
    <row r="42" spans="14:21" x14ac:dyDescent="0.25">
      <c r="N42"/>
      <c r="O42"/>
      <c r="R42" s="25" t="s">
        <v>94</v>
      </c>
      <c r="S42" s="25" t="s">
        <v>203</v>
      </c>
      <c r="T42" s="24">
        <v>8</v>
      </c>
      <c r="U42" s="25" t="s">
        <v>121</v>
      </c>
    </row>
    <row r="43" spans="14:21" x14ac:dyDescent="0.25">
      <c r="N43"/>
      <c r="O43"/>
      <c r="R43" s="51" t="s">
        <v>94</v>
      </c>
      <c r="S43" s="51" t="s">
        <v>204</v>
      </c>
      <c r="T43" s="24">
        <v>8</v>
      </c>
      <c r="U43" s="25" t="s">
        <v>121</v>
      </c>
    </row>
    <row r="44" spans="14:21" x14ac:dyDescent="0.25">
      <c r="N44"/>
      <c r="O44"/>
      <c r="R44" s="25" t="s">
        <v>94</v>
      </c>
      <c r="S44" s="25" t="s">
        <v>205</v>
      </c>
      <c r="T44" s="24">
        <v>8</v>
      </c>
      <c r="U44" s="25" t="s">
        <v>121</v>
      </c>
    </row>
    <row r="45" spans="14:21" x14ac:dyDescent="0.25">
      <c r="N45"/>
      <c r="O45"/>
      <c r="R45" s="25" t="s">
        <v>94</v>
      </c>
      <c r="S45" s="25" t="s">
        <v>206</v>
      </c>
      <c r="T45" s="24">
        <v>8</v>
      </c>
      <c r="U45" s="25" t="s">
        <v>121</v>
      </c>
    </row>
    <row r="46" spans="14:21" x14ac:dyDescent="0.25">
      <c r="N46"/>
      <c r="O46"/>
      <c r="R46" s="25" t="s">
        <v>94</v>
      </c>
      <c r="S46" s="25" t="s">
        <v>207</v>
      </c>
      <c r="T46" s="24">
        <v>8</v>
      </c>
      <c r="U46" s="25" t="s">
        <v>121</v>
      </c>
    </row>
    <row r="47" spans="14:21" x14ac:dyDescent="0.25">
      <c r="N47"/>
      <c r="O47"/>
      <c r="R47" s="25" t="s">
        <v>94</v>
      </c>
      <c r="S47" s="25" t="s">
        <v>208</v>
      </c>
      <c r="T47" s="24">
        <v>8</v>
      </c>
      <c r="U47" s="25" t="s">
        <v>121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121</v>
      </c>
    </row>
    <row r="49" spans="14:21" x14ac:dyDescent="0.25">
      <c r="N49"/>
      <c r="O49"/>
      <c r="R49" s="25" t="s">
        <v>103</v>
      </c>
      <c r="S49" s="25" t="s">
        <v>203</v>
      </c>
      <c r="T49" s="24">
        <v>8</v>
      </c>
      <c r="U49" s="25" t="s">
        <v>121</v>
      </c>
    </row>
    <row r="50" spans="14:21" x14ac:dyDescent="0.25">
      <c r="R50" s="25" t="s">
        <v>103</v>
      </c>
      <c r="S50" s="25" t="s">
        <v>204</v>
      </c>
      <c r="T50" s="24">
        <v>8</v>
      </c>
      <c r="U50" s="25" t="s">
        <v>121</v>
      </c>
    </row>
    <row r="51" spans="14:21" x14ac:dyDescent="0.25">
      <c r="R51" s="25" t="s">
        <v>103</v>
      </c>
      <c r="S51" s="25" t="s">
        <v>205</v>
      </c>
      <c r="T51" s="24">
        <v>8</v>
      </c>
      <c r="U51" s="25" t="s">
        <v>121</v>
      </c>
    </row>
    <row r="52" spans="14:21" x14ac:dyDescent="0.25">
      <c r="R52" s="25" t="s">
        <v>103</v>
      </c>
      <c r="S52" s="25" t="s">
        <v>206</v>
      </c>
      <c r="T52" s="24">
        <v>8</v>
      </c>
      <c r="U52" s="25" t="s">
        <v>121</v>
      </c>
    </row>
    <row r="53" spans="14:21" x14ac:dyDescent="0.25">
      <c r="R53" s="25" t="s">
        <v>103</v>
      </c>
      <c r="S53" s="25" t="s">
        <v>207</v>
      </c>
      <c r="T53" s="24">
        <v>8</v>
      </c>
      <c r="U53" s="25" t="s">
        <v>121</v>
      </c>
    </row>
    <row r="54" spans="14:21" x14ac:dyDescent="0.25">
      <c r="R54" s="25" t="s">
        <v>103</v>
      </c>
      <c r="S54" s="25" t="s">
        <v>208</v>
      </c>
      <c r="T54" s="24">
        <v>8</v>
      </c>
      <c r="U54" s="25" t="s">
        <v>121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121</v>
      </c>
    </row>
    <row r="56" spans="14:21" x14ac:dyDescent="0.25">
      <c r="R56" s="25" t="s">
        <v>104</v>
      </c>
      <c r="S56" s="25" t="s">
        <v>203</v>
      </c>
      <c r="T56" s="24">
        <v>8</v>
      </c>
      <c r="U56" s="25" t="s">
        <v>121</v>
      </c>
    </row>
    <row r="57" spans="14:21" x14ac:dyDescent="0.25">
      <c r="R57" s="25" t="s">
        <v>104</v>
      </c>
      <c r="S57" s="25" t="s">
        <v>204</v>
      </c>
      <c r="T57" s="24">
        <v>8</v>
      </c>
      <c r="U57" s="25" t="s">
        <v>121</v>
      </c>
    </row>
    <row r="58" spans="14:21" x14ac:dyDescent="0.25">
      <c r="R58" s="25" t="s">
        <v>104</v>
      </c>
      <c r="S58" s="25" t="s">
        <v>205</v>
      </c>
      <c r="T58" s="24">
        <v>8</v>
      </c>
      <c r="U58" s="25" t="s">
        <v>121</v>
      </c>
    </row>
    <row r="59" spans="14:21" x14ac:dyDescent="0.25">
      <c r="R59" s="25" t="s">
        <v>104</v>
      </c>
      <c r="S59" s="25" t="s">
        <v>206</v>
      </c>
      <c r="T59" s="24">
        <v>8</v>
      </c>
      <c r="U59" s="25" t="s">
        <v>121</v>
      </c>
    </row>
    <row r="60" spans="14:21" x14ac:dyDescent="0.25">
      <c r="R60" s="25" t="s">
        <v>104</v>
      </c>
      <c r="S60" s="25" t="s">
        <v>207</v>
      </c>
      <c r="T60" s="24">
        <v>8</v>
      </c>
      <c r="U60" s="25" t="s">
        <v>121</v>
      </c>
    </row>
    <row r="61" spans="14:21" x14ac:dyDescent="0.25">
      <c r="R61" s="25" t="s">
        <v>104</v>
      </c>
      <c r="S61" s="25" t="s">
        <v>208</v>
      </c>
      <c r="T61" s="24">
        <v>8</v>
      </c>
      <c r="U61" s="25" t="s">
        <v>121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121</v>
      </c>
    </row>
    <row r="63" spans="14:21" x14ac:dyDescent="0.25">
      <c r="R63" s="25" t="s">
        <v>105</v>
      </c>
      <c r="S63" s="25" t="s">
        <v>203</v>
      </c>
      <c r="T63" s="24">
        <v>8</v>
      </c>
      <c r="U63" s="25" t="s">
        <v>121</v>
      </c>
    </row>
    <row r="64" spans="14:21" x14ac:dyDescent="0.25">
      <c r="R64" s="25" t="s">
        <v>105</v>
      </c>
      <c r="S64" s="25" t="s">
        <v>204</v>
      </c>
      <c r="T64" s="24">
        <v>8</v>
      </c>
      <c r="U64" s="25" t="s">
        <v>121</v>
      </c>
    </row>
    <row r="65" spans="18:21" x14ac:dyDescent="0.25">
      <c r="R65" s="25" t="s">
        <v>105</v>
      </c>
      <c r="S65" s="25" t="s">
        <v>205</v>
      </c>
      <c r="T65" s="24">
        <v>8</v>
      </c>
      <c r="U65" s="25" t="s">
        <v>121</v>
      </c>
    </row>
    <row r="66" spans="18:21" x14ac:dyDescent="0.25">
      <c r="R66" s="25" t="s">
        <v>105</v>
      </c>
      <c r="S66" s="25" t="s">
        <v>206</v>
      </c>
      <c r="T66" s="24">
        <v>8</v>
      </c>
      <c r="U66" s="25" t="s">
        <v>121</v>
      </c>
    </row>
    <row r="67" spans="18:21" x14ac:dyDescent="0.25">
      <c r="R67" s="25" t="s">
        <v>105</v>
      </c>
      <c r="S67" s="25" t="s">
        <v>207</v>
      </c>
      <c r="T67" s="24">
        <v>8</v>
      </c>
      <c r="U67" s="25" t="s">
        <v>121</v>
      </c>
    </row>
    <row r="68" spans="18:21" x14ac:dyDescent="0.25">
      <c r="R68" s="25" t="s">
        <v>105</v>
      </c>
      <c r="S68" s="25" t="s">
        <v>208</v>
      </c>
      <c r="T68" s="24">
        <v>8</v>
      </c>
      <c r="U68" s="25" t="s">
        <v>121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121</v>
      </c>
    </row>
    <row r="70" spans="18:21" x14ac:dyDescent="0.25">
      <c r="R70" s="25" t="s">
        <v>106</v>
      </c>
      <c r="S70" s="25" t="s">
        <v>203</v>
      </c>
      <c r="T70" s="24">
        <v>8</v>
      </c>
      <c r="U70" s="25" t="s">
        <v>121</v>
      </c>
    </row>
    <row r="71" spans="18:21" x14ac:dyDescent="0.25">
      <c r="R71" s="25" t="s">
        <v>106</v>
      </c>
      <c r="S71" s="25" t="s">
        <v>204</v>
      </c>
      <c r="T71" s="24">
        <v>8</v>
      </c>
      <c r="U71" s="25" t="s">
        <v>121</v>
      </c>
    </row>
    <row r="72" spans="18:21" x14ac:dyDescent="0.25">
      <c r="R72" s="25" t="s">
        <v>106</v>
      </c>
      <c r="S72" s="25" t="s">
        <v>205</v>
      </c>
      <c r="T72" s="24">
        <v>8</v>
      </c>
      <c r="U72" s="25" t="s">
        <v>121</v>
      </c>
    </row>
    <row r="73" spans="18:21" x14ac:dyDescent="0.25">
      <c r="R73" s="25" t="s">
        <v>106</v>
      </c>
      <c r="S73" s="25" t="s">
        <v>206</v>
      </c>
      <c r="T73" s="24">
        <v>8</v>
      </c>
      <c r="U73" s="25" t="s">
        <v>121</v>
      </c>
    </row>
    <row r="74" spans="18:21" x14ac:dyDescent="0.25">
      <c r="R74" s="25" t="s">
        <v>106</v>
      </c>
      <c r="S74" s="25" t="s">
        <v>207</v>
      </c>
      <c r="T74" s="24">
        <v>8</v>
      </c>
      <c r="U74" s="25" t="s">
        <v>121</v>
      </c>
    </row>
    <row r="75" spans="18:21" x14ac:dyDescent="0.25">
      <c r="R75" s="25" t="s">
        <v>106</v>
      </c>
      <c r="S75" s="25" t="s">
        <v>208</v>
      </c>
      <c r="T75" s="24">
        <v>8</v>
      </c>
      <c r="U75" s="25" t="s">
        <v>121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121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122</v>
      </c>
      <c r="C2">
        <v>10</v>
      </c>
      <c r="D2" t="s">
        <v>209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210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122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122</v>
      </c>
      <c r="C5">
        <v>40</v>
      </c>
      <c r="D5" t="s">
        <v>202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122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123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122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117</v>
      </c>
      <c r="E11" t="s">
        <v>14</v>
      </c>
      <c r="F11">
        <v>7.5999999999999998E-2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122</v>
      </c>
      <c r="C16">
        <v>150</v>
      </c>
      <c r="D16" t="s">
        <v>211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122</v>
      </c>
      <c r="C17">
        <v>160</v>
      </c>
      <c r="D17" t="s">
        <v>212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122</v>
      </c>
      <c r="C18">
        <v>170</v>
      </c>
      <c r="D18" t="s">
        <v>526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124</v>
      </c>
      <c r="C19">
        <v>10</v>
      </c>
      <c r="D19" t="s">
        <v>213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20</v>
      </c>
      <c r="D20" t="s">
        <v>214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124</v>
      </c>
      <c r="C21">
        <v>30</v>
      </c>
      <c r="D21" t="s">
        <v>110</v>
      </c>
      <c r="E21" t="s">
        <v>111</v>
      </c>
      <c r="F21">
        <v>0.54600000000000004</v>
      </c>
      <c r="G21" t="s">
        <v>15</v>
      </c>
    </row>
    <row r="22" spans="1:7" x14ac:dyDescent="0.25">
      <c r="A22">
        <v>2</v>
      </c>
      <c r="B22" t="s">
        <v>124</v>
      </c>
      <c r="C22">
        <v>40</v>
      </c>
      <c r="D22" t="s">
        <v>202</v>
      </c>
      <c r="E22" t="s">
        <v>11</v>
      </c>
      <c r="F22">
        <v>1.016</v>
      </c>
      <c r="G22" t="s">
        <v>15</v>
      </c>
    </row>
    <row r="23" spans="1:7" x14ac:dyDescent="0.25">
      <c r="A23">
        <v>2</v>
      </c>
      <c r="B23" t="s">
        <v>124</v>
      </c>
      <c r="C23">
        <v>50</v>
      </c>
      <c r="D23" t="s">
        <v>114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124</v>
      </c>
      <c r="C24">
        <v>60</v>
      </c>
      <c r="D24" t="s">
        <v>125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124</v>
      </c>
      <c r="C25">
        <v>70</v>
      </c>
      <c r="D25" t="s">
        <v>116</v>
      </c>
      <c r="E25" t="s">
        <v>17</v>
      </c>
      <c r="F25">
        <v>11.683999999999999</v>
      </c>
      <c r="G25" t="s">
        <v>15</v>
      </c>
    </row>
    <row r="26" spans="1:7" x14ac:dyDescent="0.25">
      <c r="A26">
        <v>2</v>
      </c>
      <c r="B26" t="s">
        <v>124</v>
      </c>
      <c r="C26">
        <v>80</v>
      </c>
      <c r="D26" t="s">
        <v>20</v>
      </c>
      <c r="E26" t="s">
        <v>17</v>
      </c>
      <c r="F26">
        <v>71.856999999999999</v>
      </c>
      <c r="G26" t="s">
        <v>15</v>
      </c>
    </row>
    <row r="27" spans="1:7" x14ac:dyDescent="0.25">
      <c r="A27">
        <v>2</v>
      </c>
      <c r="B27" t="s">
        <v>124</v>
      </c>
      <c r="C27">
        <v>90</v>
      </c>
      <c r="D27" t="s">
        <v>24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100</v>
      </c>
      <c r="D28" t="s">
        <v>117</v>
      </c>
      <c r="E28" t="s">
        <v>14</v>
      </c>
      <c r="F28">
        <v>8.5999999999999993E-2</v>
      </c>
      <c r="G28" t="s">
        <v>15</v>
      </c>
    </row>
    <row r="29" spans="1:7" x14ac:dyDescent="0.25">
      <c r="A29">
        <v>2</v>
      </c>
      <c r="B29" t="s">
        <v>124</v>
      </c>
      <c r="C29">
        <v>110</v>
      </c>
      <c r="D29" t="s">
        <v>118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124</v>
      </c>
      <c r="C30">
        <v>120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124</v>
      </c>
      <c r="C31">
        <v>130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124</v>
      </c>
      <c r="C32">
        <v>140</v>
      </c>
      <c r="D32" t="s">
        <v>108</v>
      </c>
      <c r="E32" t="s">
        <v>14</v>
      </c>
      <c r="F32">
        <v>0.66200000000000003</v>
      </c>
      <c r="G32" t="s">
        <v>15</v>
      </c>
    </row>
    <row r="33" spans="1:7" x14ac:dyDescent="0.25">
      <c r="A33">
        <v>2</v>
      </c>
      <c r="B33" t="s">
        <v>124</v>
      </c>
      <c r="C33">
        <v>150</v>
      </c>
      <c r="D33" t="s">
        <v>215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124</v>
      </c>
      <c r="C34">
        <v>160</v>
      </c>
      <c r="D34" t="s">
        <v>216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124</v>
      </c>
      <c r="C35">
        <v>170</v>
      </c>
      <c r="D35" t="s">
        <v>527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126</v>
      </c>
      <c r="C36">
        <v>10</v>
      </c>
      <c r="D36" t="s">
        <v>217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126</v>
      </c>
      <c r="C37">
        <v>20</v>
      </c>
      <c r="D37" t="s">
        <v>218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126</v>
      </c>
      <c r="C38">
        <v>30</v>
      </c>
      <c r="D38" t="s">
        <v>110</v>
      </c>
      <c r="E38" t="s">
        <v>111</v>
      </c>
      <c r="F38">
        <v>0.63300000000000001</v>
      </c>
      <c r="G38" t="s">
        <v>15</v>
      </c>
    </row>
    <row r="39" spans="1:7" x14ac:dyDescent="0.25">
      <c r="A39">
        <v>3</v>
      </c>
      <c r="B39" t="s">
        <v>126</v>
      </c>
      <c r="C39">
        <v>40</v>
      </c>
      <c r="D39" t="s">
        <v>202</v>
      </c>
      <c r="E39" t="s">
        <v>11</v>
      </c>
      <c r="F39">
        <v>1.1679999999999999</v>
      </c>
      <c r="G39" t="s">
        <v>15</v>
      </c>
    </row>
    <row r="40" spans="1:7" x14ac:dyDescent="0.25">
      <c r="A40">
        <v>3</v>
      </c>
      <c r="B40" t="s">
        <v>126</v>
      </c>
      <c r="C40">
        <v>50</v>
      </c>
      <c r="D40" t="s">
        <v>114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126</v>
      </c>
      <c r="C41">
        <v>60</v>
      </c>
      <c r="D41" t="s">
        <v>127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126</v>
      </c>
      <c r="C42">
        <v>70</v>
      </c>
      <c r="D42" t="s">
        <v>116</v>
      </c>
      <c r="E42" t="s">
        <v>17</v>
      </c>
      <c r="F42">
        <v>12.294</v>
      </c>
      <c r="G42" t="s">
        <v>15</v>
      </c>
    </row>
    <row r="43" spans="1:7" x14ac:dyDescent="0.25">
      <c r="A43">
        <v>3</v>
      </c>
      <c r="B43" t="s">
        <v>126</v>
      </c>
      <c r="C43">
        <v>80</v>
      </c>
      <c r="D43" t="s">
        <v>20</v>
      </c>
      <c r="E43" t="s">
        <v>17</v>
      </c>
      <c r="F43">
        <v>75.605999999999995</v>
      </c>
      <c r="G43" t="s">
        <v>15</v>
      </c>
    </row>
    <row r="44" spans="1:7" x14ac:dyDescent="0.25">
      <c r="A44">
        <v>3</v>
      </c>
      <c r="B44" t="s">
        <v>126</v>
      </c>
      <c r="C44">
        <v>90</v>
      </c>
      <c r="D44" t="s">
        <v>24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126</v>
      </c>
      <c r="C45">
        <v>100</v>
      </c>
      <c r="D45" t="s">
        <v>117</v>
      </c>
      <c r="E45" t="s">
        <v>14</v>
      </c>
      <c r="F45">
        <v>9.6000000000000002E-2</v>
      </c>
      <c r="G45" t="s">
        <v>15</v>
      </c>
    </row>
    <row r="46" spans="1:7" x14ac:dyDescent="0.25">
      <c r="A46">
        <v>3</v>
      </c>
      <c r="B46" t="s">
        <v>126</v>
      </c>
      <c r="C46">
        <v>110</v>
      </c>
      <c r="D46" t="s">
        <v>118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126</v>
      </c>
      <c r="C47">
        <v>120</v>
      </c>
      <c r="D47" t="s">
        <v>25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126</v>
      </c>
      <c r="C48">
        <v>130</v>
      </c>
      <c r="D48" t="s">
        <v>26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126</v>
      </c>
      <c r="C49">
        <v>140</v>
      </c>
      <c r="D49" t="s">
        <v>108</v>
      </c>
      <c r="E49" t="s">
        <v>14</v>
      </c>
      <c r="F49">
        <v>0.74299999999999999</v>
      </c>
      <c r="G49" t="s">
        <v>15</v>
      </c>
    </row>
    <row r="50" spans="1:7" x14ac:dyDescent="0.25">
      <c r="A50">
        <v>3</v>
      </c>
      <c r="B50" t="s">
        <v>126</v>
      </c>
      <c r="C50">
        <v>150</v>
      </c>
      <c r="D50" t="s">
        <v>219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126</v>
      </c>
      <c r="C51">
        <v>160</v>
      </c>
      <c r="D51" t="s">
        <v>220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126</v>
      </c>
      <c r="C52">
        <v>170</v>
      </c>
      <c r="D52" t="s">
        <v>527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128</v>
      </c>
      <c r="C53">
        <v>10</v>
      </c>
      <c r="D53" t="s">
        <v>221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128</v>
      </c>
      <c r="C54">
        <v>20</v>
      </c>
      <c r="D54" t="s">
        <v>222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128</v>
      </c>
      <c r="C55">
        <v>30</v>
      </c>
      <c r="D55" t="s">
        <v>110</v>
      </c>
      <c r="E55" t="s">
        <v>111</v>
      </c>
      <c r="F55">
        <v>0.71899999999999997</v>
      </c>
      <c r="G55" t="s">
        <v>15</v>
      </c>
    </row>
    <row r="56" spans="1:7" x14ac:dyDescent="0.25">
      <c r="A56">
        <v>4</v>
      </c>
      <c r="B56" t="s">
        <v>128</v>
      </c>
      <c r="C56">
        <v>40</v>
      </c>
      <c r="D56" t="s">
        <v>202</v>
      </c>
      <c r="E56" t="s">
        <v>11</v>
      </c>
      <c r="F56">
        <v>1.321</v>
      </c>
      <c r="G56" t="s">
        <v>15</v>
      </c>
    </row>
    <row r="57" spans="1:7" x14ac:dyDescent="0.25">
      <c r="A57">
        <v>4</v>
      </c>
      <c r="B57" t="s">
        <v>128</v>
      </c>
      <c r="C57">
        <v>50</v>
      </c>
      <c r="D57" t="s">
        <v>114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128</v>
      </c>
      <c r="C58">
        <v>60</v>
      </c>
      <c r="D58" t="s">
        <v>129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128</v>
      </c>
      <c r="C59">
        <v>70</v>
      </c>
      <c r="D59" t="s">
        <v>116</v>
      </c>
      <c r="E59" t="s">
        <v>17</v>
      </c>
      <c r="F59">
        <v>12.903</v>
      </c>
      <c r="G59" t="s">
        <v>15</v>
      </c>
    </row>
    <row r="60" spans="1:7" x14ac:dyDescent="0.25">
      <c r="A60">
        <v>4</v>
      </c>
      <c r="B60" t="s">
        <v>128</v>
      </c>
      <c r="C60">
        <v>80</v>
      </c>
      <c r="D60" t="s">
        <v>20</v>
      </c>
      <c r="E60" t="s">
        <v>17</v>
      </c>
      <c r="F60">
        <v>79.355000000000004</v>
      </c>
      <c r="G60" t="s">
        <v>15</v>
      </c>
    </row>
    <row r="61" spans="1:7" x14ac:dyDescent="0.25">
      <c r="A61">
        <v>4</v>
      </c>
      <c r="B61" t="s">
        <v>128</v>
      </c>
      <c r="C61">
        <v>90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128</v>
      </c>
      <c r="C62">
        <v>100</v>
      </c>
      <c r="D62" t="s">
        <v>117</v>
      </c>
      <c r="E62" t="s">
        <v>14</v>
      </c>
      <c r="F62">
        <v>0.106</v>
      </c>
      <c r="G62" t="s">
        <v>15</v>
      </c>
    </row>
    <row r="63" spans="1:7" x14ac:dyDescent="0.25">
      <c r="A63">
        <v>4</v>
      </c>
      <c r="B63" t="s">
        <v>128</v>
      </c>
      <c r="C63">
        <v>110</v>
      </c>
      <c r="D63" t="s">
        <v>118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128</v>
      </c>
      <c r="C64">
        <v>120</v>
      </c>
      <c r="D64" t="s">
        <v>25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128</v>
      </c>
      <c r="C65">
        <v>130</v>
      </c>
      <c r="D65" t="s">
        <v>26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128</v>
      </c>
      <c r="C66">
        <v>140</v>
      </c>
      <c r="D66" t="s">
        <v>108</v>
      </c>
      <c r="E66" t="s">
        <v>14</v>
      </c>
      <c r="F66">
        <v>0.82399999999999995</v>
      </c>
      <c r="G66" t="s">
        <v>15</v>
      </c>
    </row>
    <row r="67" spans="1:7" x14ac:dyDescent="0.25">
      <c r="A67">
        <v>4</v>
      </c>
      <c r="B67" t="s">
        <v>128</v>
      </c>
      <c r="C67">
        <v>150</v>
      </c>
      <c r="D67" t="s">
        <v>223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128</v>
      </c>
      <c r="C68">
        <v>160</v>
      </c>
      <c r="D68" t="s">
        <v>224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128</v>
      </c>
      <c r="C69">
        <v>170</v>
      </c>
      <c r="D69" t="s">
        <v>527</v>
      </c>
      <c r="E69" t="s">
        <v>14</v>
      </c>
      <c r="F69">
        <v>0.6</v>
      </c>
      <c r="G69" t="s">
        <v>15</v>
      </c>
    </row>
    <row r="70" spans="1:7" x14ac:dyDescent="0.25">
      <c r="A70">
        <v>5</v>
      </c>
      <c r="B70" t="s">
        <v>130</v>
      </c>
      <c r="C70">
        <v>10</v>
      </c>
      <c r="D70" t="s">
        <v>225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130</v>
      </c>
      <c r="C71">
        <v>20</v>
      </c>
      <c r="D71" t="s">
        <v>222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130</v>
      </c>
      <c r="C72">
        <v>30</v>
      </c>
      <c r="D72" t="s">
        <v>110</v>
      </c>
      <c r="E72" t="s">
        <v>111</v>
      </c>
      <c r="F72">
        <v>0.76200000000000001</v>
      </c>
      <c r="G72" t="s">
        <v>15</v>
      </c>
    </row>
    <row r="73" spans="1:7" x14ac:dyDescent="0.25">
      <c r="A73">
        <v>5</v>
      </c>
      <c r="B73" t="s">
        <v>130</v>
      </c>
      <c r="C73">
        <v>40</v>
      </c>
      <c r="D73" t="s">
        <v>202</v>
      </c>
      <c r="E73" t="s">
        <v>11</v>
      </c>
      <c r="F73">
        <v>1.397</v>
      </c>
      <c r="G73" t="s">
        <v>15</v>
      </c>
    </row>
    <row r="74" spans="1:7" x14ac:dyDescent="0.25">
      <c r="A74">
        <v>5</v>
      </c>
      <c r="B74" t="s">
        <v>130</v>
      </c>
      <c r="C74">
        <v>50</v>
      </c>
      <c r="D74" t="s">
        <v>114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130</v>
      </c>
      <c r="C75">
        <v>60</v>
      </c>
      <c r="D75" t="s">
        <v>131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130</v>
      </c>
      <c r="C76">
        <v>70</v>
      </c>
      <c r="D76" t="s">
        <v>116</v>
      </c>
      <c r="E76" t="s">
        <v>17</v>
      </c>
      <c r="F76">
        <v>13.208</v>
      </c>
      <c r="G76" t="s">
        <v>15</v>
      </c>
    </row>
    <row r="77" spans="1:7" x14ac:dyDescent="0.25">
      <c r="A77">
        <v>5</v>
      </c>
      <c r="B77" t="s">
        <v>130</v>
      </c>
      <c r="C77">
        <v>80</v>
      </c>
      <c r="D77" t="s">
        <v>20</v>
      </c>
      <c r="E77" t="s">
        <v>17</v>
      </c>
      <c r="F77">
        <v>81.228999999999999</v>
      </c>
      <c r="G77" t="s">
        <v>15</v>
      </c>
    </row>
    <row r="78" spans="1:7" x14ac:dyDescent="0.25">
      <c r="A78">
        <v>5</v>
      </c>
      <c r="B78" t="s">
        <v>130</v>
      </c>
      <c r="C78">
        <v>90</v>
      </c>
      <c r="D78" t="s">
        <v>24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130</v>
      </c>
      <c r="C79">
        <v>100</v>
      </c>
      <c r="D79" t="s">
        <v>117</v>
      </c>
      <c r="E79" t="s">
        <v>14</v>
      </c>
      <c r="F79">
        <v>0.111</v>
      </c>
      <c r="G79" t="s">
        <v>15</v>
      </c>
    </row>
    <row r="80" spans="1:7" x14ac:dyDescent="0.25">
      <c r="A80">
        <v>5</v>
      </c>
      <c r="B80" t="s">
        <v>130</v>
      </c>
      <c r="C80">
        <v>110</v>
      </c>
      <c r="D80" t="s">
        <v>118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130</v>
      </c>
      <c r="C81">
        <v>120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130</v>
      </c>
      <c r="C82">
        <v>130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130</v>
      </c>
      <c r="C83">
        <v>140</v>
      </c>
      <c r="D83" t="s">
        <v>108</v>
      </c>
      <c r="E83" t="s">
        <v>14</v>
      </c>
      <c r="F83">
        <v>0.86499999999999999</v>
      </c>
      <c r="G83" t="s">
        <v>15</v>
      </c>
    </row>
    <row r="84" spans="1:7" x14ac:dyDescent="0.25">
      <c r="A84">
        <v>5</v>
      </c>
      <c r="B84" t="s">
        <v>130</v>
      </c>
      <c r="C84">
        <v>150</v>
      </c>
      <c r="D84" t="s">
        <v>226</v>
      </c>
      <c r="E84" t="s">
        <v>11</v>
      </c>
      <c r="F84">
        <v>1</v>
      </c>
      <c r="G84" t="s">
        <v>18</v>
      </c>
    </row>
    <row r="85" spans="1:7" x14ac:dyDescent="0.25">
      <c r="A85">
        <v>5</v>
      </c>
      <c r="B85" t="s">
        <v>130</v>
      </c>
      <c r="C85">
        <v>160</v>
      </c>
      <c r="D85" t="s">
        <v>227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130</v>
      </c>
      <c r="C86">
        <v>170</v>
      </c>
      <c r="D86" t="s">
        <v>527</v>
      </c>
      <c r="E86" t="s">
        <v>14</v>
      </c>
      <c r="F86">
        <v>0.6</v>
      </c>
      <c r="G86" t="s">
        <v>15</v>
      </c>
    </row>
    <row r="87" spans="1:7" x14ac:dyDescent="0.25">
      <c r="A87">
        <v>6</v>
      </c>
      <c r="B87" t="s">
        <v>132</v>
      </c>
      <c r="C87">
        <v>10</v>
      </c>
      <c r="D87" t="s">
        <v>228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132</v>
      </c>
      <c r="C88">
        <v>20</v>
      </c>
      <c r="D88" t="s">
        <v>222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132</v>
      </c>
      <c r="C89">
        <v>30</v>
      </c>
      <c r="D89" t="s">
        <v>110</v>
      </c>
      <c r="E89" t="s">
        <v>111</v>
      </c>
      <c r="F89">
        <v>0.80500000000000005</v>
      </c>
      <c r="G89" t="s">
        <v>15</v>
      </c>
    </row>
    <row r="90" spans="1:7" x14ac:dyDescent="0.25">
      <c r="A90">
        <v>6</v>
      </c>
      <c r="B90" t="s">
        <v>132</v>
      </c>
      <c r="C90">
        <v>40</v>
      </c>
      <c r="D90" t="s">
        <v>202</v>
      </c>
      <c r="E90" t="s">
        <v>11</v>
      </c>
      <c r="F90">
        <v>1.4730000000000001</v>
      </c>
      <c r="G90" t="s">
        <v>15</v>
      </c>
    </row>
    <row r="91" spans="1:7" x14ac:dyDescent="0.25">
      <c r="A91">
        <v>6</v>
      </c>
      <c r="B91" t="s">
        <v>132</v>
      </c>
      <c r="C91">
        <v>50</v>
      </c>
      <c r="D91" t="s">
        <v>114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132</v>
      </c>
      <c r="C92">
        <v>60</v>
      </c>
      <c r="D92" t="s">
        <v>133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132</v>
      </c>
      <c r="C93">
        <v>70</v>
      </c>
      <c r="D93" t="s">
        <v>116</v>
      </c>
      <c r="E93" t="s">
        <v>17</v>
      </c>
      <c r="F93">
        <v>13.513</v>
      </c>
      <c r="G93" t="s">
        <v>15</v>
      </c>
    </row>
    <row r="94" spans="1:7" x14ac:dyDescent="0.25">
      <c r="A94">
        <v>6</v>
      </c>
      <c r="B94" t="s">
        <v>132</v>
      </c>
      <c r="C94">
        <v>80</v>
      </c>
      <c r="D94" t="s">
        <v>20</v>
      </c>
      <c r="E94" t="s">
        <v>17</v>
      </c>
      <c r="F94">
        <v>83.103999999999999</v>
      </c>
      <c r="G94" t="s">
        <v>15</v>
      </c>
    </row>
    <row r="95" spans="1:7" x14ac:dyDescent="0.25">
      <c r="A95">
        <v>6</v>
      </c>
      <c r="B95" t="s">
        <v>132</v>
      </c>
      <c r="C95">
        <v>90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132</v>
      </c>
      <c r="C96">
        <v>100</v>
      </c>
      <c r="D96" t="s">
        <v>117</v>
      </c>
      <c r="E96" t="s">
        <v>14</v>
      </c>
      <c r="F96">
        <v>0.115</v>
      </c>
      <c r="G96" t="s">
        <v>15</v>
      </c>
    </row>
    <row r="97" spans="1:7" x14ac:dyDescent="0.25">
      <c r="A97">
        <v>6</v>
      </c>
      <c r="B97" t="s">
        <v>132</v>
      </c>
      <c r="C97">
        <v>110</v>
      </c>
      <c r="D97" t="s">
        <v>118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132</v>
      </c>
      <c r="C98">
        <v>120</v>
      </c>
      <c r="D98" t="s">
        <v>25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132</v>
      </c>
      <c r="C99">
        <v>130</v>
      </c>
      <c r="D99" t="s">
        <v>26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132</v>
      </c>
      <c r="C100">
        <v>140</v>
      </c>
      <c r="D100" t="s">
        <v>108</v>
      </c>
      <c r="E100" t="s">
        <v>14</v>
      </c>
      <c r="F100">
        <v>0.90500000000000003</v>
      </c>
      <c r="G100" t="s">
        <v>15</v>
      </c>
    </row>
    <row r="101" spans="1:7" x14ac:dyDescent="0.25">
      <c r="A101">
        <v>6</v>
      </c>
      <c r="B101" t="s">
        <v>132</v>
      </c>
      <c r="C101">
        <v>150</v>
      </c>
      <c r="D101" t="s">
        <v>229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132</v>
      </c>
      <c r="C102">
        <v>160</v>
      </c>
      <c r="D102" t="s">
        <v>230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132</v>
      </c>
      <c r="C103">
        <v>170</v>
      </c>
      <c r="D103" t="s">
        <v>527</v>
      </c>
      <c r="E103" t="s">
        <v>14</v>
      </c>
      <c r="F103">
        <v>0.6</v>
      </c>
      <c r="G103" t="s">
        <v>15</v>
      </c>
    </row>
    <row r="104" spans="1:7" x14ac:dyDescent="0.25">
      <c r="A104">
        <v>7</v>
      </c>
      <c r="B104" t="s">
        <v>134</v>
      </c>
      <c r="C104">
        <v>10</v>
      </c>
      <c r="D104" t="s">
        <v>231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134</v>
      </c>
      <c r="C105">
        <v>20</v>
      </c>
      <c r="D105" t="s">
        <v>232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134</v>
      </c>
      <c r="C106">
        <v>30</v>
      </c>
      <c r="D106" t="s">
        <v>110</v>
      </c>
      <c r="E106" t="s">
        <v>111</v>
      </c>
      <c r="F106">
        <v>0.89100000000000001</v>
      </c>
      <c r="G106" t="s">
        <v>15</v>
      </c>
    </row>
    <row r="107" spans="1:7" x14ac:dyDescent="0.25">
      <c r="A107">
        <v>7</v>
      </c>
      <c r="B107" t="s">
        <v>134</v>
      </c>
      <c r="C107">
        <v>40</v>
      </c>
      <c r="D107" t="s">
        <v>202</v>
      </c>
      <c r="E107" t="s">
        <v>11</v>
      </c>
      <c r="F107">
        <v>1.6259999999999999</v>
      </c>
      <c r="G107" t="s">
        <v>15</v>
      </c>
    </row>
    <row r="108" spans="1:7" x14ac:dyDescent="0.25">
      <c r="A108">
        <v>7</v>
      </c>
      <c r="B108" t="s">
        <v>134</v>
      </c>
      <c r="C108">
        <v>50</v>
      </c>
      <c r="D108" t="s">
        <v>114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134</v>
      </c>
      <c r="C109">
        <v>60</v>
      </c>
      <c r="D109" t="s">
        <v>135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134</v>
      </c>
      <c r="C110">
        <v>70</v>
      </c>
      <c r="D110" t="s">
        <v>116</v>
      </c>
      <c r="E110" t="s">
        <v>17</v>
      </c>
      <c r="F110">
        <v>14.122</v>
      </c>
      <c r="G110" t="s">
        <v>15</v>
      </c>
    </row>
    <row r="111" spans="1:7" x14ac:dyDescent="0.25">
      <c r="A111">
        <v>7</v>
      </c>
      <c r="B111" t="s">
        <v>134</v>
      </c>
      <c r="C111">
        <v>80</v>
      </c>
      <c r="D111" t="s">
        <v>20</v>
      </c>
      <c r="E111" t="s">
        <v>17</v>
      </c>
      <c r="F111">
        <v>86.852999999999994</v>
      </c>
      <c r="G111" t="s">
        <v>15</v>
      </c>
    </row>
    <row r="112" spans="1:7" x14ac:dyDescent="0.25">
      <c r="A112">
        <v>7</v>
      </c>
      <c r="B112" t="s">
        <v>134</v>
      </c>
      <c r="C112">
        <v>90</v>
      </c>
      <c r="D112" t="s">
        <v>24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134</v>
      </c>
      <c r="C113">
        <v>100</v>
      </c>
      <c r="D113" t="s">
        <v>117</v>
      </c>
      <c r="E113" t="s">
        <v>14</v>
      </c>
      <c r="F113">
        <v>0.125</v>
      </c>
      <c r="G113" t="s">
        <v>15</v>
      </c>
    </row>
    <row r="114" spans="1:7" x14ac:dyDescent="0.25">
      <c r="A114">
        <v>7</v>
      </c>
      <c r="B114" t="s">
        <v>134</v>
      </c>
      <c r="C114">
        <v>110</v>
      </c>
      <c r="D114" t="s">
        <v>118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134</v>
      </c>
      <c r="C115">
        <v>120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134</v>
      </c>
      <c r="C116">
        <v>130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134</v>
      </c>
      <c r="C117">
        <v>140</v>
      </c>
      <c r="D117" t="s">
        <v>108</v>
      </c>
      <c r="E117" t="s">
        <v>14</v>
      </c>
      <c r="F117">
        <v>0.98599999999999999</v>
      </c>
      <c r="G117" t="s">
        <v>15</v>
      </c>
    </row>
    <row r="118" spans="1:7" x14ac:dyDescent="0.25">
      <c r="A118">
        <v>7</v>
      </c>
      <c r="B118" t="s">
        <v>134</v>
      </c>
      <c r="C118">
        <v>150</v>
      </c>
      <c r="D118" t="s">
        <v>233</v>
      </c>
      <c r="E118" t="s">
        <v>11</v>
      </c>
      <c r="F118">
        <v>1</v>
      </c>
      <c r="G118" t="s">
        <v>18</v>
      </c>
    </row>
    <row r="119" spans="1:7" x14ac:dyDescent="0.25">
      <c r="A119">
        <v>7</v>
      </c>
      <c r="B119" t="s">
        <v>134</v>
      </c>
      <c r="C119">
        <v>160</v>
      </c>
      <c r="D119" t="s">
        <v>234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134</v>
      </c>
      <c r="C120">
        <v>170</v>
      </c>
      <c r="D120" t="s">
        <v>528</v>
      </c>
      <c r="E120" t="s">
        <v>14</v>
      </c>
      <c r="F120">
        <v>0.8</v>
      </c>
      <c r="G120" t="s">
        <v>15</v>
      </c>
    </row>
    <row r="121" spans="1:7" x14ac:dyDescent="0.25">
      <c r="A121">
        <v>8</v>
      </c>
      <c r="B121" t="s">
        <v>136</v>
      </c>
      <c r="C121">
        <v>10</v>
      </c>
      <c r="D121" t="s">
        <v>235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136</v>
      </c>
      <c r="C122">
        <v>20</v>
      </c>
      <c r="D122" t="s">
        <v>236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136</v>
      </c>
      <c r="C123">
        <v>30</v>
      </c>
      <c r="D123" t="s">
        <v>110</v>
      </c>
      <c r="E123" t="s">
        <v>111</v>
      </c>
      <c r="F123">
        <v>0.97799999999999998</v>
      </c>
      <c r="G123" t="s">
        <v>15</v>
      </c>
    </row>
    <row r="124" spans="1:7" x14ac:dyDescent="0.25">
      <c r="A124">
        <v>8</v>
      </c>
      <c r="B124" t="s">
        <v>136</v>
      </c>
      <c r="C124">
        <v>40</v>
      </c>
      <c r="D124" t="s">
        <v>202</v>
      </c>
      <c r="E124" t="s">
        <v>11</v>
      </c>
      <c r="F124">
        <v>1.778</v>
      </c>
      <c r="G124" t="s">
        <v>15</v>
      </c>
    </row>
    <row r="125" spans="1:7" x14ac:dyDescent="0.25">
      <c r="A125">
        <v>8</v>
      </c>
      <c r="B125" t="s">
        <v>136</v>
      </c>
      <c r="C125">
        <v>50</v>
      </c>
      <c r="D125" t="s">
        <v>114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136</v>
      </c>
      <c r="C126">
        <v>60</v>
      </c>
      <c r="D126" t="s">
        <v>137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136</v>
      </c>
      <c r="C127">
        <v>70</v>
      </c>
      <c r="D127" t="s">
        <v>116</v>
      </c>
      <c r="E127" t="s">
        <v>17</v>
      </c>
      <c r="F127">
        <v>14.731999999999999</v>
      </c>
      <c r="G127" t="s">
        <v>15</v>
      </c>
    </row>
    <row r="128" spans="1:7" x14ac:dyDescent="0.25">
      <c r="A128">
        <v>8</v>
      </c>
      <c r="B128" t="s">
        <v>136</v>
      </c>
      <c r="C128">
        <v>80</v>
      </c>
      <c r="D128" t="s">
        <v>20</v>
      </c>
      <c r="E128" t="s">
        <v>17</v>
      </c>
      <c r="F128">
        <v>90.602000000000004</v>
      </c>
      <c r="G128" t="s">
        <v>15</v>
      </c>
    </row>
    <row r="129" spans="1:7" x14ac:dyDescent="0.25">
      <c r="A129">
        <v>8</v>
      </c>
      <c r="B129" t="s">
        <v>136</v>
      </c>
      <c r="C129">
        <v>90</v>
      </c>
      <c r="D129" t="s">
        <v>24</v>
      </c>
      <c r="E129" t="s">
        <v>11</v>
      </c>
      <c r="F129">
        <v>1</v>
      </c>
      <c r="G129" t="s">
        <v>15</v>
      </c>
    </row>
    <row r="130" spans="1:7" x14ac:dyDescent="0.25">
      <c r="A130">
        <v>8</v>
      </c>
      <c r="B130" t="s">
        <v>136</v>
      </c>
      <c r="C130">
        <v>100</v>
      </c>
      <c r="D130" t="s">
        <v>117</v>
      </c>
      <c r="E130" t="s">
        <v>14</v>
      </c>
      <c r="F130">
        <v>0.13500000000000001</v>
      </c>
      <c r="G130" t="s">
        <v>15</v>
      </c>
    </row>
    <row r="131" spans="1:7" x14ac:dyDescent="0.25">
      <c r="A131">
        <v>8</v>
      </c>
      <c r="B131" t="s">
        <v>136</v>
      </c>
      <c r="C131">
        <v>110</v>
      </c>
      <c r="D131" t="s">
        <v>118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136</v>
      </c>
      <c r="C132">
        <v>120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136</v>
      </c>
      <c r="C133">
        <v>130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136</v>
      </c>
      <c r="C134">
        <v>140</v>
      </c>
      <c r="D134" t="s">
        <v>108</v>
      </c>
      <c r="E134" t="s">
        <v>14</v>
      </c>
      <c r="F134">
        <v>1.0669999999999999</v>
      </c>
      <c r="G134" t="s">
        <v>15</v>
      </c>
    </row>
    <row r="135" spans="1:7" x14ac:dyDescent="0.25">
      <c r="A135">
        <v>8</v>
      </c>
      <c r="B135" t="s">
        <v>136</v>
      </c>
      <c r="C135">
        <v>150</v>
      </c>
      <c r="D135" t="s">
        <v>237</v>
      </c>
      <c r="E135" t="s">
        <v>11</v>
      </c>
      <c r="F135">
        <v>1</v>
      </c>
      <c r="G135" t="s">
        <v>18</v>
      </c>
    </row>
    <row r="136" spans="1:7" x14ac:dyDescent="0.25">
      <c r="A136">
        <v>8</v>
      </c>
      <c r="B136" t="s">
        <v>136</v>
      </c>
      <c r="C136">
        <v>160</v>
      </c>
      <c r="D136" t="s">
        <v>238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136</v>
      </c>
      <c r="C137">
        <v>170</v>
      </c>
      <c r="D137" t="s">
        <v>528</v>
      </c>
      <c r="E137" t="s">
        <v>14</v>
      </c>
      <c r="F137">
        <v>0.8</v>
      </c>
      <c r="G137" t="s">
        <v>15</v>
      </c>
    </row>
    <row r="138" spans="1:7" x14ac:dyDescent="0.25">
      <c r="A138">
        <v>9</v>
      </c>
      <c r="B138" t="s">
        <v>138</v>
      </c>
      <c r="C138">
        <v>10</v>
      </c>
      <c r="D138" t="s">
        <v>239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138</v>
      </c>
      <c r="C139">
        <v>20</v>
      </c>
      <c r="D139" t="s">
        <v>240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138</v>
      </c>
      <c r="C140">
        <v>30</v>
      </c>
      <c r="D140" t="s">
        <v>110</v>
      </c>
      <c r="E140" t="s">
        <v>111</v>
      </c>
      <c r="F140">
        <v>0.48</v>
      </c>
      <c r="G140" t="s">
        <v>15</v>
      </c>
    </row>
    <row r="141" spans="1:7" x14ac:dyDescent="0.25">
      <c r="A141">
        <v>9</v>
      </c>
      <c r="B141" t="s">
        <v>138</v>
      </c>
      <c r="C141">
        <v>40</v>
      </c>
      <c r="D141" t="s">
        <v>202</v>
      </c>
      <c r="E141" t="s">
        <v>11</v>
      </c>
      <c r="F141">
        <v>0.86399999999999999</v>
      </c>
      <c r="G141" t="s">
        <v>15</v>
      </c>
    </row>
    <row r="142" spans="1:7" x14ac:dyDescent="0.25">
      <c r="A142">
        <v>9</v>
      </c>
      <c r="B142" t="s">
        <v>138</v>
      </c>
      <c r="C142">
        <v>50</v>
      </c>
      <c r="D142" t="s">
        <v>114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138</v>
      </c>
      <c r="C143">
        <v>60</v>
      </c>
      <c r="D143" t="s">
        <v>139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138</v>
      </c>
      <c r="C144">
        <v>70</v>
      </c>
      <c r="D144" t="s">
        <v>116</v>
      </c>
      <c r="E144" t="s">
        <v>17</v>
      </c>
      <c r="F144">
        <v>11.379</v>
      </c>
      <c r="G144" t="s">
        <v>15</v>
      </c>
    </row>
    <row r="145" spans="1:7" x14ac:dyDescent="0.25">
      <c r="A145">
        <v>9</v>
      </c>
      <c r="B145" t="s">
        <v>138</v>
      </c>
      <c r="C145">
        <v>80</v>
      </c>
      <c r="D145" t="s">
        <v>20</v>
      </c>
      <c r="E145" t="s">
        <v>17</v>
      </c>
      <c r="F145">
        <v>69.981999999999999</v>
      </c>
      <c r="G145" t="s">
        <v>15</v>
      </c>
    </row>
    <row r="146" spans="1:7" x14ac:dyDescent="0.25">
      <c r="A146">
        <v>9</v>
      </c>
      <c r="B146" t="s">
        <v>138</v>
      </c>
      <c r="C146">
        <v>90</v>
      </c>
      <c r="D146" t="s">
        <v>24</v>
      </c>
      <c r="E146" t="s">
        <v>11</v>
      </c>
      <c r="F146">
        <v>1</v>
      </c>
      <c r="G146" t="s">
        <v>15</v>
      </c>
    </row>
    <row r="147" spans="1:7" x14ac:dyDescent="0.25">
      <c r="A147">
        <v>9</v>
      </c>
      <c r="B147" t="s">
        <v>138</v>
      </c>
      <c r="C147">
        <v>100</v>
      </c>
      <c r="D147" t="s">
        <v>117</v>
      </c>
      <c r="E147" t="s">
        <v>14</v>
      </c>
      <c r="F147">
        <v>7.5999999999999998E-2</v>
      </c>
      <c r="G147" t="s">
        <v>15</v>
      </c>
    </row>
    <row r="148" spans="1:7" x14ac:dyDescent="0.25">
      <c r="A148">
        <v>9</v>
      </c>
      <c r="B148" t="s">
        <v>138</v>
      </c>
      <c r="C148">
        <v>110</v>
      </c>
      <c r="D148" t="s">
        <v>118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138</v>
      </c>
      <c r="C149">
        <v>120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138</v>
      </c>
      <c r="C150">
        <v>130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138</v>
      </c>
      <c r="C151">
        <v>140</v>
      </c>
      <c r="D151" t="s">
        <v>108</v>
      </c>
      <c r="E151" t="s">
        <v>14</v>
      </c>
      <c r="F151">
        <v>0.58099999999999996</v>
      </c>
      <c r="G151" t="s">
        <v>15</v>
      </c>
    </row>
    <row r="152" spans="1:7" x14ac:dyDescent="0.25">
      <c r="A152">
        <v>9</v>
      </c>
      <c r="B152" t="s">
        <v>138</v>
      </c>
      <c r="C152">
        <v>150</v>
      </c>
      <c r="D152" t="s">
        <v>241</v>
      </c>
      <c r="E152" t="s">
        <v>11</v>
      </c>
      <c r="F152">
        <v>1</v>
      </c>
      <c r="G152" t="s">
        <v>18</v>
      </c>
    </row>
    <row r="153" spans="1:7" x14ac:dyDescent="0.25">
      <c r="A153">
        <v>9</v>
      </c>
      <c r="B153" t="s">
        <v>138</v>
      </c>
      <c r="C153">
        <v>160</v>
      </c>
      <c r="D153" t="s">
        <v>242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138</v>
      </c>
      <c r="C154">
        <v>170</v>
      </c>
      <c r="D154" t="s">
        <v>526</v>
      </c>
      <c r="E154" t="s">
        <v>14</v>
      </c>
      <c r="F154">
        <v>0.5</v>
      </c>
      <c r="G154" t="s">
        <v>15</v>
      </c>
    </row>
    <row r="155" spans="1:7" x14ac:dyDescent="0.25">
      <c r="A155">
        <v>10</v>
      </c>
      <c r="B155" t="s">
        <v>140</v>
      </c>
      <c r="C155">
        <v>10</v>
      </c>
      <c r="D155" t="s">
        <v>243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140</v>
      </c>
      <c r="C156">
        <v>20</v>
      </c>
      <c r="D156" t="s">
        <v>244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140</v>
      </c>
      <c r="C157">
        <v>30</v>
      </c>
      <c r="D157" t="s">
        <v>110</v>
      </c>
      <c r="E157" t="s">
        <v>111</v>
      </c>
      <c r="F157">
        <v>0.56899999999999995</v>
      </c>
      <c r="G157" t="s">
        <v>15</v>
      </c>
    </row>
    <row r="158" spans="1:7" x14ac:dyDescent="0.25">
      <c r="A158">
        <v>10</v>
      </c>
      <c r="B158" t="s">
        <v>140</v>
      </c>
      <c r="C158">
        <v>40</v>
      </c>
      <c r="D158" t="s">
        <v>202</v>
      </c>
      <c r="E158" t="s">
        <v>11</v>
      </c>
      <c r="F158">
        <v>1.016</v>
      </c>
      <c r="G158" t="s">
        <v>15</v>
      </c>
    </row>
    <row r="159" spans="1:7" x14ac:dyDescent="0.25">
      <c r="A159">
        <v>10</v>
      </c>
      <c r="B159" t="s">
        <v>140</v>
      </c>
      <c r="C159">
        <v>50</v>
      </c>
      <c r="D159" t="s">
        <v>114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140</v>
      </c>
      <c r="C160">
        <v>60</v>
      </c>
      <c r="D160" t="s">
        <v>141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140</v>
      </c>
      <c r="C161">
        <v>70</v>
      </c>
      <c r="D161" t="s">
        <v>116</v>
      </c>
      <c r="E161" t="s">
        <v>17</v>
      </c>
      <c r="F161">
        <v>11.989000000000001</v>
      </c>
      <c r="G161" t="s">
        <v>15</v>
      </c>
    </row>
    <row r="162" spans="1:7" x14ac:dyDescent="0.25">
      <c r="A162">
        <v>10</v>
      </c>
      <c r="B162" t="s">
        <v>140</v>
      </c>
      <c r="C162">
        <v>80</v>
      </c>
      <c r="D162" t="s">
        <v>20</v>
      </c>
      <c r="E162" t="s">
        <v>17</v>
      </c>
      <c r="F162">
        <v>73.730999999999995</v>
      </c>
      <c r="G162" t="s">
        <v>15</v>
      </c>
    </row>
    <row r="163" spans="1:7" x14ac:dyDescent="0.25">
      <c r="A163">
        <v>10</v>
      </c>
      <c r="B163" t="s">
        <v>140</v>
      </c>
      <c r="C163">
        <v>90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10</v>
      </c>
      <c r="B164" t="s">
        <v>140</v>
      </c>
      <c r="C164">
        <v>100</v>
      </c>
      <c r="D164" t="s">
        <v>117</v>
      </c>
      <c r="E164" t="s">
        <v>14</v>
      </c>
      <c r="F164">
        <v>8.5999999999999993E-2</v>
      </c>
      <c r="G164" t="s">
        <v>15</v>
      </c>
    </row>
    <row r="165" spans="1:7" x14ac:dyDescent="0.25">
      <c r="A165">
        <v>10</v>
      </c>
      <c r="B165" t="s">
        <v>140</v>
      </c>
      <c r="C165">
        <v>110</v>
      </c>
      <c r="D165" t="s">
        <v>118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140</v>
      </c>
      <c r="C166">
        <v>120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140</v>
      </c>
      <c r="C167">
        <v>130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140</v>
      </c>
      <c r="C168">
        <v>140</v>
      </c>
      <c r="D168" t="s">
        <v>108</v>
      </c>
      <c r="E168" t="s">
        <v>14</v>
      </c>
      <c r="F168">
        <v>0.66200000000000003</v>
      </c>
      <c r="G168" t="s">
        <v>15</v>
      </c>
    </row>
    <row r="169" spans="1:7" x14ac:dyDescent="0.25">
      <c r="A169">
        <v>10</v>
      </c>
      <c r="B169" t="s">
        <v>140</v>
      </c>
      <c r="C169">
        <v>150</v>
      </c>
      <c r="D169" t="s">
        <v>245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140</v>
      </c>
      <c r="C170">
        <v>160</v>
      </c>
      <c r="D170" t="s">
        <v>246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140</v>
      </c>
      <c r="C171">
        <v>170</v>
      </c>
      <c r="D171" t="s">
        <v>527</v>
      </c>
      <c r="E171" t="s">
        <v>14</v>
      </c>
      <c r="F171">
        <v>0.6</v>
      </c>
      <c r="G171" t="s">
        <v>15</v>
      </c>
    </row>
    <row r="172" spans="1:7" x14ac:dyDescent="0.25">
      <c r="A172">
        <v>11</v>
      </c>
      <c r="B172" t="s">
        <v>142</v>
      </c>
      <c r="C172">
        <v>10</v>
      </c>
      <c r="D172" t="s">
        <v>247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142</v>
      </c>
      <c r="C173">
        <v>20</v>
      </c>
      <c r="D173" t="s">
        <v>248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142</v>
      </c>
      <c r="C174">
        <v>30</v>
      </c>
      <c r="D174" t="s">
        <v>110</v>
      </c>
      <c r="E174" t="s">
        <v>111</v>
      </c>
      <c r="F174">
        <v>0.65900000000000003</v>
      </c>
      <c r="G174" t="s">
        <v>15</v>
      </c>
    </row>
    <row r="175" spans="1:7" x14ac:dyDescent="0.25">
      <c r="A175">
        <v>11</v>
      </c>
      <c r="B175" t="s">
        <v>142</v>
      </c>
      <c r="C175">
        <v>40</v>
      </c>
      <c r="D175" t="s">
        <v>202</v>
      </c>
      <c r="E175" t="s">
        <v>11</v>
      </c>
      <c r="F175">
        <v>1.1679999999999999</v>
      </c>
      <c r="G175" t="s">
        <v>15</v>
      </c>
    </row>
    <row r="176" spans="1:7" x14ac:dyDescent="0.25">
      <c r="A176">
        <v>11</v>
      </c>
      <c r="B176" t="s">
        <v>142</v>
      </c>
      <c r="C176">
        <v>50</v>
      </c>
      <c r="D176" t="s">
        <v>114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142</v>
      </c>
      <c r="C177">
        <v>60</v>
      </c>
      <c r="D177" t="s">
        <v>143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142</v>
      </c>
      <c r="C178">
        <v>70</v>
      </c>
      <c r="D178" t="s">
        <v>116</v>
      </c>
      <c r="E178" t="s">
        <v>17</v>
      </c>
      <c r="F178">
        <v>12.598000000000001</v>
      </c>
      <c r="G178" t="s">
        <v>15</v>
      </c>
    </row>
    <row r="179" spans="1:7" x14ac:dyDescent="0.25">
      <c r="A179">
        <v>11</v>
      </c>
      <c r="B179" t="s">
        <v>142</v>
      </c>
      <c r="C179">
        <v>80</v>
      </c>
      <c r="D179" t="s">
        <v>20</v>
      </c>
      <c r="E179" t="s">
        <v>17</v>
      </c>
      <c r="F179">
        <v>77.48</v>
      </c>
      <c r="G179" t="s">
        <v>15</v>
      </c>
    </row>
    <row r="180" spans="1:7" x14ac:dyDescent="0.25">
      <c r="A180">
        <v>11</v>
      </c>
      <c r="B180" t="s">
        <v>142</v>
      </c>
      <c r="C180">
        <v>90</v>
      </c>
      <c r="D180" t="s">
        <v>24</v>
      </c>
      <c r="E180" t="s">
        <v>11</v>
      </c>
      <c r="F180">
        <v>1</v>
      </c>
      <c r="G180" t="s">
        <v>15</v>
      </c>
    </row>
    <row r="181" spans="1:7" x14ac:dyDescent="0.25">
      <c r="A181">
        <v>11</v>
      </c>
      <c r="B181" t="s">
        <v>142</v>
      </c>
      <c r="C181">
        <v>100</v>
      </c>
      <c r="D181" t="s">
        <v>117</v>
      </c>
      <c r="E181" t="s">
        <v>14</v>
      </c>
      <c r="F181">
        <v>9.6000000000000002E-2</v>
      </c>
      <c r="G181" t="s">
        <v>15</v>
      </c>
    </row>
    <row r="182" spans="1:7" x14ac:dyDescent="0.25">
      <c r="A182">
        <v>11</v>
      </c>
      <c r="B182" t="s">
        <v>142</v>
      </c>
      <c r="C182">
        <v>110</v>
      </c>
      <c r="D182" t="s">
        <v>118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142</v>
      </c>
      <c r="C183">
        <v>120</v>
      </c>
      <c r="D183" t="s">
        <v>25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142</v>
      </c>
      <c r="C184">
        <v>130</v>
      </c>
      <c r="D184" t="s">
        <v>26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142</v>
      </c>
      <c r="C185">
        <v>140</v>
      </c>
      <c r="D185" t="s">
        <v>108</v>
      </c>
      <c r="E185" t="s">
        <v>14</v>
      </c>
      <c r="F185">
        <v>0.74299999999999999</v>
      </c>
      <c r="G185" t="s">
        <v>15</v>
      </c>
    </row>
    <row r="186" spans="1:7" x14ac:dyDescent="0.25">
      <c r="A186">
        <v>11</v>
      </c>
      <c r="B186" t="s">
        <v>142</v>
      </c>
      <c r="C186">
        <v>150</v>
      </c>
      <c r="D186" t="s">
        <v>249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142</v>
      </c>
      <c r="C187">
        <v>160</v>
      </c>
      <c r="D187" t="s">
        <v>250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142</v>
      </c>
      <c r="C188">
        <v>170</v>
      </c>
      <c r="D188" t="s">
        <v>527</v>
      </c>
      <c r="E188" t="s">
        <v>14</v>
      </c>
      <c r="F188">
        <v>0.6</v>
      </c>
      <c r="G188" t="s">
        <v>15</v>
      </c>
    </row>
    <row r="189" spans="1:7" x14ac:dyDescent="0.25">
      <c r="A189">
        <v>12</v>
      </c>
      <c r="B189" t="s">
        <v>144</v>
      </c>
      <c r="C189">
        <v>10</v>
      </c>
      <c r="D189" t="s">
        <v>251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144</v>
      </c>
      <c r="C190">
        <v>20</v>
      </c>
      <c r="D190" t="s">
        <v>252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144</v>
      </c>
      <c r="C191">
        <v>30</v>
      </c>
      <c r="D191" t="s">
        <v>110</v>
      </c>
      <c r="E191" t="s">
        <v>111</v>
      </c>
      <c r="F191">
        <v>0.749</v>
      </c>
      <c r="G191" t="s">
        <v>15</v>
      </c>
    </row>
    <row r="192" spans="1:7" x14ac:dyDescent="0.25">
      <c r="A192">
        <v>12</v>
      </c>
      <c r="B192" t="s">
        <v>144</v>
      </c>
      <c r="C192">
        <v>40</v>
      </c>
      <c r="D192" t="s">
        <v>202</v>
      </c>
      <c r="E192" t="s">
        <v>11</v>
      </c>
      <c r="F192">
        <v>1.321</v>
      </c>
      <c r="G192" t="s">
        <v>15</v>
      </c>
    </row>
    <row r="193" spans="1:7" x14ac:dyDescent="0.25">
      <c r="A193">
        <v>12</v>
      </c>
      <c r="B193" t="s">
        <v>144</v>
      </c>
      <c r="C193">
        <v>50</v>
      </c>
      <c r="D193" t="s">
        <v>114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144</v>
      </c>
      <c r="C194">
        <v>60</v>
      </c>
      <c r="D194" t="s">
        <v>145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144</v>
      </c>
      <c r="C195">
        <v>70</v>
      </c>
      <c r="D195" t="s">
        <v>116</v>
      </c>
      <c r="E195" t="s">
        <v>17</v>
      </c>
      <c r="F195">
        <v>13.208</v>
      </c>
      <c r="G195" t="s">
        <v>15</v>
      </c>
    </row>
    <row r="196" spans="1:7" x14ac:dyDescent="0.25">
      <c r="A196">
        <v>12</v>
      </c>
      <c r="B196" t="s">
        <v>144</v>
      </c>
      <c r="C196">
        <v>80</v>
      </c>
      <c r="D196" t="s">
        <v>20</v>
      </c>
      <c r="E196" t="s">
        <v>17</v>
      </c>
      <c r="F196">
        <v>81.228999999999999</v>
      </c>
      <c r="G196" t="s">
        <v>15</v>
      </c>
    </row>
    <row r="197" spans="1:7" x14ac:dyDescent="0.25">
      <c r="A197">
        <v>12</v>
      </c>
      <c r="B197" t="s">
        <v>144</v>
      </c>
      <c r="C197">
        <v>90</v>
      </c>
      <c r="D197" t="s">
        <v>24</v>
      </c>
      <c r="E197" t="s">
        <v>11</v>
      </c>
      <c r="F197">
        <v>1</v>
      </c>
      <c r="G197" t="s">
        <v>15</v>
      </c>
    </row>
    <row r="198" spans="1:7" x14ac:dyDescent="0.25">
      <c r="A198">
        <v>12</v>
      </c>
      <c r="B198" t="s">
        <v>144</v>
      </c>
      <c r="C198">
        <v>100</v>
      </c>
      <c r="D198" t="s">
        <v>117</v>
      </c>
      <c r="E198" t="s">
        <v>14</v>
      </c>
      <c r="F198">
        <v>0.106</v>
      </c>
      <c r="G198" t="s">
        <v>15</v>
      </c>
    </row>
    <row r="199" spans="1:7" x14ac:dyDescent="0.25">
      <c r="A199">
        <v>12</v>
      </c>
      <c r="B199" t="s">
        <v>144</v>
      </c>
      <c r="C199">
        <v>110</v>
      </c>
      <c r="D199" t="s">
        <v>118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144</v>
      </c>
      <c r="C200">
        <v>120</v>
      </c>
      <c r="D200" t="s">
        <v>25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144</v>
      </c>
      <c r="C201">
        <v>130</v>
      </c>
      <c r="D201" t="s">
        <v>26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144</v>
      </c>
      <c r="C202">
        <v>140</v>
      </c>
      <c r="D202" t="s">
        <v>108</v>
      </c>
      <c r="E202" t="s">
        <v>14</v>
      </c>
      <c r="F202">
        <v>0.82399999999999995</v>
      </c>
      <c r="G202" t="s">
        <v>15</v>
      </c>
    </row>
    <row r="203" spans="1:7" x14ac:dyDescent="0.25">
      <c r="A203">
        <v>12</v>
      </c>
      <c r="B203" t="s">
        <v>144</v>
      </c>
      <c r="C203">
        <v>150</v>
      </c>
      <c r="D203" t="s">
        <v>253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144</v>
      </c>
      <c r="C204">
        <v>160</v>
      </c>
      <c r="D204" t="s">
        <v>254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144</v>
      </c>
      <c r="C205">
        <v>170</v>
      </c>
      <c r="D205" t="s">
        <v>527</v>
      </c>
      <c r="E205" t="s">
        <v>14</v>
      </c>
      <c r="F205">
        <v>0.6</v>
      </c>
      <c r="G205" t="s">
        <v>15</v>
      </c>
    </row>
    <row r="206" spans="1:7" x14ac:dyDescent="0.25">
      <c r="A206">
        <v>13</v>
      </c>
      <c r="B206" t="s">
        <v>146</v>
      </c>
      <c r="C206">
        <v>10</v>
      </c>
      <c r="D206" t="s">
        <v>255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146</v>
      </c>
      <c r="C207">
        <v>20</v>
      </c>
      <c r="D207" t="s">
        <v>252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146</v>
      </c>
      <c r="C208">
        <v>30</v>
      </c>
      <c r="D208" t="s">
        <v>110</v>
      </c>
      <c r="E208" t="s">
        <v>111</v>
      </c>
      <c r="F208">
        <v>0.79400000000000004</v>
      </c>
      <c r="G208" t="s">
        <v>15</v>
      </c>
    </row>
    <row r="209" spans="1:7" x14ac:dyDescent="0.25">
      <c r="A209">
        <v>13</v>
      </c>
      <c r="B209" t="s">
        <v>146</v>
      </c>
      <c r="C209">
        <v>40</v>
      </c>
      <c r="D209" t="s">
        <v>202</v>
      </c>
      <c r="E209" t="s">
        <v>11</v>
      </c>
      <c r="F209">
        <v>1.397</v>
      </c>
      <c r="G209" t="s">
        <v>15</v>
      </c>
    </row>
    <row r="210" spans="1:7" x14ac:dyDescent="0.25">
      <c r="A210">
        <v>13</v>
      </c>
      <c r="B210" t="s">
        <v>146</v>
      </c>
      <c r="C210">
        <v>50</v>
      </c>
      <c r="D210" t="s">
        <v>114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146</v>
      </c>
      <c r="C211">
        <v>60</v>
      </c>
      <c r="D211" t="s">
        <v>147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146</v>
      </c>
      <c r="C212">
        <v>70</v>
      </c>
      <c r="D212" t="s">
        <v>116</v>
      </c>
      <c r="E212" t="s">
        <v>17</v>
      </c>
      <c r="F212">
        <v>13.513</v>
      </c>
      <c r="G212" t="s">
        <v>15</v>
      </c>
    </row>
    <row r="213" spans="1:7" x14ac:dyDescent="0.25">
      <c r="A213">
        <v>13</v>
      </c>
      <c r="B213" t="s">
        <v>146</v>
      </c>
      <c r="C213">
        <v>80</v>
      </c>
      <c r="D213" t="s">
        <v>20</v>
      </c>
      <c r="E213" t="s">
        <v>17</v>
      </c>
      <c r="F213">
        <v>83.103999999999999</v>
      </c>
      <c r="G213" t="s">
        <v>15</v>
      </c>
    </row>
    <row r="214" spans="1:7" x14ac:dyDescent="0.25">
      <c r="A214">
        <v>13</v>
      </c>
      <c r="B214" t="s">
        <v>146</v>
      </c>
      <c r="C214">
        <v>90</v>
      </c>
      <c r="D214" t="s">
        <v>24</v>
      </c>
      <c r="E214" t="s">
        <v>11</v>
      </c>
      <c r="F214">
        <v>1</v>
      </c>
      <c r="G214" t="s">
        <v>15</v>
      </c>
    </row>
    <row r="215" spans="1:7" x14ac:dyDescent="0.25">
      <c r="A215">
        <v>13</v>
      </c>
      <c r="B215" t="s">
        <v>146</v>
      </c>
      <c r="C215">
        <v>100</v>
      </c>
      <c r="D215" t="s">
        <v>117</v>
      </c>
      <c r="E215" t="s">
        <v>14</v>
      </c>
      <c r="F215">
        <v>0.111</v>
      </c>
      <c r="G215" t="s">
        <v>15</v>
      </c>
    </row>
    <row r="216" spans="1:7" x14ac:dyDescent="0.25">
      <c r="A216">
        <v>13</v>
      </c>
      <c r="B216" t="s">
        <v>146</v>
      </c>
      <c r="C216">
        <v>110</v>
      </c>
      <c r="D216" t="s">
        <v>118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146</v>
      </c>
      <c r="C217">
        <v>120</v>
      </c>
      <c r="D217" t="s">
        <v>25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146</v>
      </c>
      <c r="C218">
        <v>130</v>
      </c>
      <c r="D218" t="s">
        <v>26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146</v>
      </c>
      <c r="C219">
        <v>140</v>
      </c>
      <c r="D219" t="s">
        <v>108</v>
      </c>
      <c r="E219" t="s">
        <v>14</v>
      </c>
      <c r="F219">
        <v>0.86499999999999999</v>
      </c>
      <c r="G219" t="s">
        <v>15</v>
      </c>
    </row>
    <row r="220" spans="1:7" x14ac:dyDescent="0.25">
      <c r="A220">
        <v>13</v>
      </c>
      <c r="B220" t="s">
        <v>146</v>
      </c>
      <c r="C220">
        <v>150</v>
      </c>
      <c r="D220" t="s">
        <v>256</v>
      </c>
      <c r="E220" t="s">
        <v>11</v>
      </c>
      <c r="F220">
        <v>1</v>
      </c>
      <c r="G220" t="s">
        <v>18</v>
      </c>
    </row>
    <row r="221" spans="1:7" x14ac:dyDescent="0.25">
      <c r="A221">
        <v>13</v>
      </c>
      <c r="B221" t="s">
        <v>146</v>
      </c>
      <c r="C221">
        <v>160</v>
      </c>
      <c r="D221" t="s">
        <v>257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146</v>
      </c>
      <c r="C222">
        <v>170</v>
      </c>
      <c r="D222" t="s">
        <v>527</v>
      </c>
      <c r="E222" t="s">
        <v>14</v>
      </c>
      <c r="F222">
        <v>0.6</v>
      </c>
      <c r="G222" t="s">
        <v>15</v>
      </c>
    </row>
    <row r="223" spans="1:7" x14ac:dyDescent="0.25">
      <c r="A223">
        <v>14</v>
      </c>
      <c r="B223" t="s">
        <v>148</v>
      </c>
      <c r="C223">
        <v>10</v>
      </c>
      <c r="D223" t="s">
        <v>258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148</v>
      </c>
      <c r="C224">
        <v>20</v>
      </c>
      <c r="D224" t="s">
        <v>252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148</v>
      </c>
      <c r="C225">
        <v>30</v>
      </c>
      <c r="D225" t="s">
        <v>110</v>
      </c>
      <c r="E225" t="s">
        <v>111</v>
      </c>
      <c r="F225">
        <v>0.83899999999999997</v>
      </c>
      <c r="G225" t="s">
        <v>15</v>
      </c>
    </row>
    <row r="226" spans="1:7" x14ac:dyDescent="0.25">
      <c r="A226">
        <v>14</v>
      </c>
      <c r="B226" t="s">
        <v>148</v>
      </c>
      <c r="C226">
        <v>40</v>
      </c>
      <c r="D226" t="s">
        <v>202</v>
      </c>
      <c r="E226" t="s">
        <v>11</v>
      </c>
      <c r="F226">
        <v>1.4730000000000001</v>
      </c>
      <c r="G226" t="s">
        <v>15</v>
      </c>
    </row>
    <row r="227" spans="1:7" x14ac:dyDescent="0.25">
      <c r="A227">
        <v>14</v>
      </c>
      <c r="B227" t="s">
        <v>148</v>
      </c>
      <c r="C227">
        <v>50</v>
      </c>
      <c r="D227" t="s">
        <v>114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148</v>
      </c>
      <c r="C228">
        <v>60</v>
      </c>
      <c r="D228" t="s">
        <v>149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148</v>
      </c>
      <c r="C229">
        <v>70</v>
      </c>
      <c r="D229" t="s">
        <v>116</v>
      </c>
      <c r="E229" t="s">
        <v>17</v>
      </c>
      <c r="F229">
        <v>13.818</v>
      </c>
      <c r="G229" t="s">
        <v>15</v>
      </c>
    </row>
    <row r="230" spans="1:7" x14ac:dyDescent="0.25">
      <c r="A230">
        <v>14</v>
      </c>
      <c r="B230" t="s">
        <v>148</v>
      </c>
      <c r="C230">
        <v>80</v>
      </c>
      <c r="D230" t="s">
        <v>20</v>
      </c>
      <c r="E230" t="s">
        <v>17</v>
      </c>
      <c r="F230">
        <v>84.977999999999994</v>
      </c>
      <c r="G230" t="s">
        <v>15</v>
      </c>
    </row>
    <row r="231" spans="1:7" x14ac:dyDescent="0.25">
      <c r="A231">
        <v>14</v>
      </c>
      <c r="B231" t="s">
        <v>148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14</v>
      </c>
      <c r="B232" t="s">
        <v>148</v>
      </c>
      <c r="C232">
        <v>100</v>
      </c>
      <c r="D232" t="s">
        <v>117</v>
      </c>
      <c r="E232" t="s">
        <v>14</v>
      </c>
      <c r="F232">
        <v>0.115</v>
      </c>
      <c r="G232" t="s">
        <v>15</v>
      </c>
    </row>
    <row r="233" spans="1:7" x14ac:dyDescent="0.25">
      <c r="A233">
        <v>14</v>
      </c>
      <c r="B233" t="s">
        <v>148</v>
      </c>
      <c r="C233">
        <v>110</v>
      </c>
      <c r="D233" t="s">
        <v>118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148</v>
      </c>
      <c r="C234">
        <v>120</v>
      </c>
      <c r="D234" t="s">
        <v>25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148</v>
      </c>
      <c r="C235">
        <v>130</v>
      </c>
      <c r="D235" t="s">
        <v>26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148</v>
      </c>
      <c r="C236">
        <v>140</v>
      </c>
      <c r="D236" t="s">
        <v>108</v>
      </c>
      <c r="E236" t="s">
        <v>14</v>
      </c>
      <c r="F236">
        <v>0.90500000000000003</v>
      </c>
      <c r="G236" t="s">
        <v>15</v>
      </c>
    </row>
    <row r="237" spans="1:7" x14ac:dyDescent="0.25">
      <c r="A237">
        <v>14</v>
      </c>
      <c r="B237" t="s">
        <v>148</v>
      </c>
      <c r="C237">
        <v>150</v>
      </c>
      <c r="D237" t="s">
        <v>259</v>
      </c>
      <c r="E237" t="s">
        <v>11</v>
      </c>
      <c r="F237">
        <v>1</v>
      </c>
      <c r="G237" t="s">
        <v>18</v>
      </c>
    </row>
    <row r="238" spans="1:7" x14ac:dyDescent="0.25">
      <c r="A238">
        <v>14</v>
      </c>
      <c r="B238" t="s">
        <v>148</v>
      </c>
      <c r="C238">
        <v>160</v>
      </c>
      <c r="D238" t="s">
        <v>260</v>
      </c>
      <c r="E238" t="s">
        <v>11</v>
      </c>
      <c r="F238">
        <v>1</v>
      </c>
      <c r="G238" t="s">
        <v>18</v>
      </c>
    </row>
    <row r="239" spans="1:7" x14ac:dyDescent="0.25">
      <c r="A239">
        <v>14</v>
      </c>
      <c r="B239" t="s">
        <v>148</v>
      </c>
      <c r="C239">
        <v>170</v>
      </c>
      <c r="D239" t="s">
        <v>527</v>
      </c>
      <c r="E239" t="s">
        <v>14</v>
      </c>
      <c r="F239">
        <v>0.6</v>
      </c>
      <c r="G239" t="s">
        <v>15</v>
      </c>
    </row>
    <row r="240" spans="1:7" x14ac:dyDescent="0.25">
      <c r="A240">
        <v>15</v>
      </c>
      <c r="B240" t="s">
        <v>150</v>
      </c>
      <c r="C240">
        <v>10</v>
      </c>
      <c r="D240" t="s">
        <v>261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150</v>
      </c>
      <c r="C241">
        <v>20</v>
      </c>
      <c r="D241" t="s">
        <v>262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150</v>
      </c>
      <c r="C242">
        <v>30</v>
      </c>
      <c r="D242" t="s">
        <v>110</v>
      </c>
      <c r="E242" t="s">
        <v>111</v>
      </c>
      <c r="F242">
        <v>0.92900000000000005</v>
      </c>
      <c r="G242" t="s">
        <v>15</v>
      </c>
    </row>
    <row r="243" spans="1:7" x14ac:dyDescent="0.25">
      <c r="A243">
        <v>15</v>
      </c>
      <c r="B243" t="s">
        <v>150</v>
      </c>
      <c r="C243">
        <v>40</v>
      </c>
      <c r="D243" t="s">
        <v>202</v>
      </c>
      <c r="E243" t="s">
        <v>11</v>
      </c>
      <c r="F243">
        <v>1.6259999999999999</v>
      </c>
      <c r="G243" t="s">
        <v>15</v>
      </c>
    </row>
    <row r="244" spans="1:7" x14ac:dyDescent="0.25">
      <c r="A244">
        <v>15</v>
      </c>
      <c r="B244" t="s">
        <v>150</v>
      </c>
      <c r="C244">
        <v>50</v>
      </c>
      <c r="D244" t="s">
        <v>114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150</v>
      </c>
      <c r="C245">
        <v>60</v>
      </c>
      <c r="D245" t="s">
        <v>151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150</v>
      </c>
      <c r="C246">
        <v>70</v>
      </c>
      <c r="D246" t="s">
        <v>116</v>
      </c>
      <c r="E246" t="s">
        <v>17</v>
      </c>
      <c r="F246">
        <v>14.427</v>
      </c>
      <c r="G246" t="s">
        <v>15</v>
      </c>
    </row>
    <row r="247" spans="1:7" x14ac:dyDescent="0.25">
      <c r="A247">
        <v>15</v>
      </c>
      <c r="B247" t="s">
        <v>150</v>
      </c>
      <c r="C247">
        <v>80</v>
      </c>
      <c r="D247" t="s">
        <v>20</v>
      </c>
      <c r="E247" t="s">
        <v>17</v>
      </c>
      <c r="F247">
        <v>88.727000000000004</v>
      </c>
      <c r="G247" t="s">
        <v>15</v>
      </c>
    </row>
    <row r="248" spans="1:7" x14ac:dyDescent="0.25">
      <c r="A248">
        <v>15</v>
      </c>
      <c r="B248" t="s">
        <v>150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15</v>
      </c>
      <c r="B249" t="s">
        <v>150</v>
      </c>
      <c r="C249">
        <v>100</v>
      </c>
      <c r="D249" t="s">
        <v>117</v>
      </c>
      <c r="E249" t="s">
        <v>14</v>
      </c>
      <c r="F249">
        <v>0.125</v>
      </c>
      <c r="G249" t="s">
        <v>15</v>
      </c>
    </row>
    <row r="250" spans="1:7" x14ac:dyDescent="0.25">
      <c r="A250">
        <v>15</v>
      </c>
      <c r="B250" t="s">
        <v>150</v>
      </c>
      <c r="C250">
        <v>110</v>
      </c>
      <c r="D250" t="s">
        <v>118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150</v>
      </c>
      <c r="C251">
        <v>120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150</v>
      </c>
      <c r="C252">
        <v>130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150</v>
      </c>
      <c r="C253">
        <v>140</v>
      </c>
      <c r="D253" t="s">
        <v>108</v>
      </c>
      <c r="E253" t="s">
        <v>14</v>
      </c>
      <c r="F253">
        <v>0.98599999999999999</v>
      </c>
      <c r="G253" t="s">
        <v>15</v>
      </c>
    </row>
    <row r="254" spans="1:7" x14ac:dyDescent="0.25">
      <c r="A254">
        <v>15</v>
      </c>
      <c r="B254" t="s">
        <v>150</v>
      </c>
      <c r="C254">
        <v>150</v>
      </c>
      <c r="D254" t="s">
        <v>263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150</v>
      </c>
      <c r="C255">
        <v>160</v>
      </c>
      <c r="D255" t="s">
        <v>264</v>
      </c>
      <c r="E255" t="s">
        <v>11</v>
      </c>
      <c r="F255">
        <v>1</v>
      </c>
      <c r="G255" t="s">
        <v>18</v>
      </c>
    </row>
    <row r="256" spans="1:7" x14ac:dyDescent="0.25">
      <c r="A256">
        <v>15</v>
      </c>
      <c r="B256" t="s">
        <v>150</v>
      </c>
      <c r="C256">
        <v>170</v>
      </c>
      <c r="D256" t="s">
        <v>528</v>
      </c>
      <c r="E256" t="s">
        <v>14</v>
      </c>
      <c r="F256">
        <v>0.8</v>
      </c>
      <c r="G256" t="s">
        <v>15</v>
      </c>
    </row>
    <row r="257" spans="1:7" x14ac:dyDescent="0.25">
      <c r="A257">
        <v>16</v>
      </c>
      <c r="B257" t="s">
        <v>152</v>
      </c>
      <c r="C257">
        <v>10</v>
      </c>
      <c r="D257" t="s">
        <v>265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152</v>
      </c>
      <c r="C258">
        <v>20</v>
      </c>
      <c r="D258" t="s">
        <v>266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152</v>
      </c>
      <c r="C259">
        <v>30</v>
      </c>
      <c r="D259" t="s">
        <v>110</v>
      </c>
      <c r="E259" t="s">
        <v>111</v>
      </c>
      <c r="F259">
        <v>1.0189999999999999</v>
      </c>
      <c r="G259" t="s">
        <v>15</v>
      </c>
    </row>
    <row r="260" spans="1:7" x14ac:dyDescent="0.25">
      <c r="A260">
        <v>16</v>
      </c>
      <c r="B260" t="s">
        <v>152</v>
      </c>
      <c r="C260">
        <v>40</v>
      </c>
      <c r="D260" t="s">
        <v>202</v>
      </c>
      <c r="E260" t="s">
        <v>11</v>
      </c>
      <c r="F260">
        <v>1.778</v>
      </c>
      <c r="G260" t="s">
        <v>15</v>
      </c>
    </row>
    <row r="261" spans="1:7" x14ac:dyDescent="0.25">
      <c r="A261">
        <v>16</v>
      </c>
      <c r="B261" t="s">
        <v>152</v>
      </c>
      <c r="C261">
        <v>50</v>
      </c>
      <c r="D261" t="s">
        <v>114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152</v>
      </c>
      <c r="C262">
        <v>60</v>
      </c>
      <c r="D262" t="s">
        <v>153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152</v>
      </c>
      <c r="C263">
        <v>70</v>
      </c>
      <c r="D263" t="s">
        <v>116</v>
      </c>
      <c r="E263" t="s">
        <v>17</v>
      </c>
      <c r="F263">
        <v>15.037000000000001</v>
      </c>
      <c r="G263" t="s">
        <v>15</v>
      </c>
    </row>
    <row r="264" spans="1:7" x14ac:dyDescent="0.25">
      <c r="A264">
        <v>16</v>
      </c>
      <c r="B264" t="s">
        <v>152</v>
      </c>
      <c r="C264">
        <v>80</v>
      </c>
      <c r="D264" t="s">
        <v>20</v>
      </c>
      <c r="E264" t="s">
        <v>17</v>
      </c>
      <c r="F264">
        <v>92.475999999999999</v>
      </c>
      <c r="G264" t="s">
        <v>15</v>
      </c>
    </row>
    <row r="265" spans="1:7" x14ac:dyDescent="0.25">
      <c r="A265">
        <v>16</v>
      </c>
      <c r="B265" t="s">
        <v>152</v>
      </c>
      <c r="C265">
        <v>90</v>
      </c>
      <c r="D265" t="s">
        <v>24</v>
      </c>
      <c r="E265" t="s">
        <v>11</v>
      </c>
      <c r="F265">
        <v>1</v>
      </c>
      <c r="G265" t="s">
        <v>15</v>
      </c>
    </row>
    <row r="266" spans="1:7" x14ac:dyDescent="0.25">
      <c r="A266">
        <v>16</v>
      </c>
      <c r="B266" t="s">
        <v>152</v>
      </c>
      <c r="C266">
        <v>100</v>
      </c>
      <c r="D266" t="s">
        <v>117</v>
      </c>
      <c r="E266" t="s">
        <v>14</v>
      </c>
      <c r="F266">
        <v>0.13500000000000001</v>
      </c>
      <c r="G266" t="s">
        <v>15</v>
      </c>
    </row>
    <row r="267" spans="1:7" x14ac:dyDescent="0.25">
      <c r="A267">
        <v>16</v>
      </c>
      <c r="B267" t="s">
        <v>152</v>
      </c>
      <c r="C267">
        <v>110</v>
      </c>
      <c r="D267" t="s">
        <v>118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152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152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152</v>
      </c>
      <c r="C270">
        <v>140</v>
      </c>
      <c r="D270" t="s">
        <v>108</v>
      </c>
      <c r="E270" t="s">
        <v>14</v>
      </c>
      <c r="F270">
        <v>1.0669999999999999</v>
      </c>
      <c r="G270" t="s">
        <v>15</v>
      </c>
    </row>
    <row r="271" spans="1:7" x14ac:dyDescent="0.25">
      <c r="A271">
        <v>16</v>
      </c>
      <c r="B271" t="s">
        <v>152</v>
      </c>
      <c r="C271">
        <v>150</v>
      </c>
      <c r="D271" t="s">
        <v>267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152</v>
      </c>
      <c r="C272">
        <v>160</v>
      </c>
      <c r="D272" t="s">
        <v>268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152</v>
      </c>
      <c r="C273">
        <v>170</v>
      </c>
      <c r="D273" t="s">
        <v>528</v>
      </c>
      <c r="E273" t="s">
        <v>14</v>
      </c>
      <c r="F273">
        <v>0.8</v>
      </c>
      <c r="G273" t="s">
        <v>15</v>
      </c>
    </row>
    <row r="274" spans="1:7" x14ac:dyDescent="0.25">
      <c r="A274">
        <v>17</v>
      </c>
      <c r="B274" t="s">
        <v>154</v>
      </c>
      <c r="C274">
        <v>10</v>
      </c>
      <c r="D274" t="s">
        <v>269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154</v>
      </c>
      <c r="C275">
        <v>20</v>
      </c>
      <c r="D275" t="s">
        <v>270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154</v>
      </c>
      <c r="C276">
        <v>30</v>
      </c>
      <c r="D276" t="s">
        <v>110</v>
      </c>
      <c r="E276" t="s">
        <v>111</v>
      </c>
      <c r="F276">
        <v>0.499</v>
      </c>
      <c r="G276" t="s">
        <v>15</v>
      </c>
    </row>
    <row r="277" spans="1:7" x14ac:dyDescent="0.25">
      <c r="A277">
        <v>17</v>
      </c>
      <c r="B277" t="s">
        <v>154</v>
      </c>
      <c r="C277">
        <v>40</v>
      </c>
      <c r="D277" t="s">
        <v>202</v>
      </c>
      <c r="E277" t="s">
        <v>11</v>
      </c>
      <c r="F277">
        <v>0.86399999999999999</v>
      </c>
      <c r="G277" t="s">
        <v>15</v>
      </c>
    </row>
    <row r="278" spans="1:7" x14ac:dyDescent="0.25">
      <c r="A278">
        <v>17</v>
      </c>
      <c r="B278" t="s">
        <v>154</v>
      </c>
      <c r="C278">
        <v>50</v>
      </c>
      <c r="D278" t="s">
        <v>114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154</v>
      </c>
      <c r="C280">
        <v>70</v>
      </c>
      <c r="D280" t="s">
        <v>116</v>
      </c>
      <c r="E280" t="s">
        <v>17</v>
      </c>
      <c r="F280">
        <v>11.683999999999999</v>
      </c>
      <c r="G280" t="s">
        <v>15</v>
      </c>
    </row>
    <row r="281" spans="1:7" x14ac:dyDescent="0.25">
      <c r="A281">
        <v>17</v>
      </c>
      <c r="B281" t="s">
        <v>154</v>
      </c>
      <c r="C281">
        <v>80</v>
      </c>
      <c r="D281" t="s">
        <v>20</v>
      </c>
      <c r="E281" t="s">
        <v>17</v>
      </c>
      <c r="F281">
        <v>71.856999999999999</v>
      </c>
      <c r="G281" t="s">
        <v>15</v>
      </c>
    </row>
    <row r="282" spans="1:7" x14ac:dyDescent="0.25">
      <c r="A282">
        <v>17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17</v>
      </c>
      <c r="B283" t="s">
        <v>154</v>
      </c>
      <c r="C283">
        <v>100</v>
      </c>
      <c r="D283" t="s">
        <v>117</v>
      </c>
      <c r="E283" t="s">
        <v>14</v>
      </c>
      <c r="F283">
        <v>7.5999999999999998E-2</v>
      </c>
      <c r="G283" t="s">
        <v>15</v>
      </c>
    </row>
    <row r="284" spans="1:7" x14ac:dyDescent="0.25">
      <c r="A284">
        <v>17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17</v>
      </c>
      <c r="B288" t="s">
        <v>154</v>
      </c>
      <c r="C288">
        <v>150</v>
      </c>
      <c r="D288" t="s">
        <v>271</v>
      </c>
      <c r="E288" t="s">
        <v>11</v>
      </c>
      <c r="F288">
        <v>1</v>
      </c>
      <c r="G288" t="s">
        <v>18</v>
      </c>
    </row>
    <row r="289" spans="1:7" x14ac:dyDescent="0.25">
      <c r="A289">
        <v>17</v>
      </c>
      <c r="B289" t="s">
        <v>154</v>
      </c>
      <c r="C289">
        <v>160</v>
      </c>
      <c r="D289" t="s">
        <v>272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154</v>
      </c>
      <c r="C290">
        <v>170</v>
      </c>
      <c r="D290" t="s">
        <v>526</v>
      </c>
      <c r="E290" t="s">
        <v>14</v>
      </c>
      <c r="F290">
        <v>0.5</v>
      </c>
      <c r="G290" t="s">
        <v>15</v>
      </c>
    </row>
    <row r="291" spans="1:7" x14ac:dyDescent="0.25">
      <c r="A291">
        <v>18</v>
      </c>
      <c r="B291" t="s">
        <v>156</v>
      </c>
      <c r="C291">
        <v>10</v>
      </c>
      <c r="D291" t="s">
        <v>273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156</v>
      </c>
      <c r="C292">
        <v>20</v>
      </c>
      <c r="D292" t="s">
        <v>274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156</v>
      </c>
      <c r="C293">
        <v>30</v>
      </c>
      <c r="D293" t="s">
        <v>110</v>
      </c>
      <c r="E293" t="s">
        <v>111</v>
      </c>
      <c r="F293">
        <v>0.59299999999999997</v>
      </c>
      <c r="G293" t="s">
        <v>15</v>
      </c>
    </row>
    <row r="294" spans="1:7" x14ac:dyDescent="0.25">
      <c r="A294">
        <v>18</v>
      </c>
      <c r="B294" t="s">
        <v>156</v>
      </c>
      <c r="C294">
        <v>40</v>
      </c>
      <c r="D294" t="s">
        <v>202</v>
      </c>
      <c r="E294" t="s">
        <v>11</v>
      </c>
      <c r="F294">
        <v>1.016</v>
      </c>
      <c r="G294" t="s">
        <v>15</v>
      </c>
    </row>
    <row r="295" spans="1:7" x14ac:dyDescent="0.25">
      <c r="A295">
        <v>18</v>
      </c>
      <c r="B295" t="s">
        <v>156</v>
      </c>
      <c r="C295">
        <v>50</v>
      </c>
      <c r="D295" t="s">
        <v>114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156</v>
      </c>
      <c r="C296">
        <v>60</v>
      </c>
      <c r="D296" t="s">
        <v>157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156</v>
      </c>
      <c r="C297">
        <v>70</v>
      </c>
      <c r="D297" t="s">
        <v>116</v>
      </c>
      <c r="E297" t="s">
        <v>17</v>
      </c>
      <c r="F297">
        <v>12.294</v>
      </c>
      <c r="G297" t="s">
        <v>15</v>
      </c>
    </row>
    <row r="298" spans="1:7" x14ac:dyDescent="0.25">
      <c r="A298">
        <v>18</v>
      </c>
      <c r="B298" t="s">
        <v>156</v>
      </c>
      <c r="C298">
        <v>80</v>
      </c>
      <c r="D298" t="s">
        <v>20</v>
      </c>
      <c r="E298" t="s">
        <v>17</v>
      </c>
      <c r="F298">
        <v>75.605999999999995</v>
      </c>
      <c r="G298" t="s">
        <v>15</v>
      </c>
    </row>
    <row r="299" spans="1:7" x14ac:dyDescent="0.25">
      <c r="A299">
        <v>18</v>
      </c>
      <c r="B299" t="s">
        <v>156</v>
      </c>
      <c r="C299">
        <v>90</v>
      </c>
      <c r="D299" t="s">
        <v>24</v>
      </c>
      <c r="E299" t="s">
        <v>11</v>
      </c>
      <c r="F299">
        <v>1</v>
      </c>
      <c r="G299" t="s">
        <v>15</v>
      </c>
    </row>
    <row r="300" spans="1:7" x14ac:dyDescent="0.25">
      <c r="A300">
        <v>18</v>
      </c>
      <c r="B300" t="s">
        <v>156</v>
      </c>
      <c r="C300">
        <v>100</v>
      </c>
      <c r="D300" t="s">
        <v>117</v>
      </c>
      <c r="E300" t="s">
        <v>14</v>
      </c>
      <c r="F300">
        <v>8.5999999999999993E-2</v>
      </c>
      <c r="G300" t="s">
        <v>15</v>
      </c>
    </row>
    <row r="301" spans="1:7" x14ac:dyDescent="0.25">
      <c r="A301">
        <v>18</v>
      </c>
      <c r="B301" t="s">
        <v>156</v>
      </c>
      <c r="C301">
        <v>110</v>
      </c>
      <c r="D301" t="s">
        <v>118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156</v>
      </c>
      <c r="C302">
        <v>120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156</v>
      </c>
      <c r="C303">
        <v>130</v>
      </c>
      <c r="D303" t="s">
        <v>26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156</v>
      </c>
      <c r="C304">
        <v>140</v>
      </c>
      <c r="D304" t="s">
        <v>108</v>
      </c>
      <c r="E304" t="s">
        <v>14</v>
      </c>
      <c r="F304">
        <v>1.1890000000000001</v>
      </c>
      <c r="G304" t="s">
        <v>15</v>
      </c>
    </row>
    <row r="305" spans="1:7" x14ac:dyDescent="0.25">
      <c r="A305">
        <v>18</v>
      </c>
      <c r="B305" t="s">
        <v>156</v>
      </c>
      <c r="C305">
        <v>150</v>
      </c>
      <c r="D305" t="s">
        <v>275</v>
      </c>
      <c r="E305" t="s">
        <v>11</v>
      </c>
      <c r="F305">
        <v>1</v>
      </c>
      <c r="G305" t="s">
        <v>18</v>
      </c>
    </row>
    <row r="306" spans="1:7" x14ac:dyDescent="0.25">
      <c r="A306">
        <v>18</v>
      </c>
      <c r="B306" t="s">
        <v>156</v>
      </c>
      <c r="C306">
        <v>160</v>
      </c>
      <c r="D306" t="s">
        <v>276</v>
      </c>
      <c r="E306" t="s">
        <v>11</v>
      </c>
      <c r="F306">
        <v>1</v>
      </c>
      <c r="G306" t="s">
        <v>18</v>
      </c>
    </row>
    <row r="307" spans="1:7" x14ac:dyDescent="0.25">
      <c r="A307">
        <v>18</v>
      </c>
      <c r="B307" t="s">
        <v>156</v>
      </c>
      <c r="C307">
        <v>170</v>
      </c>
      <c r="D307" t="s">
        <v>527</v>
      </c>
      <c r="E307" t="s">
        <v>14</v>
      </c>
      <c r="F307">
        <v>0.6</v>
      </c>
      <c r="G307" t="s">
        <v>15</v>
      </c>
    </row>
    <row r="308" spans="1:7" x14ac:dyDescent="0.25">
      <c r="A308">
        <v>19</v>
      </c>
      <c r="B308" t="s">
        <v>158</v>
      </c>
      <c r="C308">
        <v>10</v>
      </c>
      <c r="D308" t="s">
        <v>277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158</v>
      </c>
      <c r="C309">
        <v>20</v>
      </c>
      <c r="D309" t="s">
        <v>278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158</v>
      </c>
      <c r="C310">
        <v>30</v>
      </c>
      <c r="D310" t="s">
        <v>110</v>
      </c>
      <c r="E310" t="s">
        <v>111</v>
      </c>
      <c r="F310">
        <v>0.68600000000000005</v>
      </c>
      <c r="G310" t="s">
        <v>15</v>
      </c>
    </row>
    <row r="311" spans="1:7" x14ac:dyDescent="0.25">
      <c r="A311">
        <v>19</v>
      </c>
      <c r="B311" t="s">
        <v>158</v>
      </c>
      <c r="C311">
        <v>40</v>
      </c>
      <c r="D311" t="s">
        <v>202</v>
      </c>
      <c r="E311" t="s">
        <v>11</v>
      </c>
      <c r="F311">
        <v>1.1679999999999999</v>
      </c>
      <c r="G311" t="s">
        <v>15</v>
      </c>
    </row>
    <row r="312" spans="1:7" x14ac:dyDescent="0.25">
      <c r="A312">
        <v>19</v>
      </c>
      <c r="B312" t="s">
        <v>158</v>
      </c>
      <c r="C312">
        <v>50</v>
      </c>
      <c r="D312" t="s">
        <v>114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158</v>
      </c>
      <c r="C313">
        <v>60</v>
      </c>
      <c r="D313" t="s">
        <v>159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158</v>
      </c>
      <c r="C314">
        <v>70</v>
      </c>
      <c r="D314" t="s">
        <v>116</v>
      </c>
      <c r="E314" t="s">
        <v>17</v>
      </c>
      <c r="F314">
        <v>12.903</v>
      </c>
      <c r="G314" t="s">
        <v>15</v>
      </c>
    </row>
    <row r="315" spans="1:7" x14ac:dyDescent="0.25">
      <c r="A315">
        <v>19</v>
      </c>
      <c r="B315" t="s">
        <v>158</v>
      </c>
      <c r="C315">
        <v>80</v>
      </c>
      <c r="D315" t="s">
        <v>20</v>
      </c>
      <c r="E315" t="s">
        <v>17</v>
      </c>
      <c r="F315">
        <v>79.355000000000004</v>
      </c>
      <c r="G315" t="s">
        <v>15</v>
      </c>
    </row>
    <row r="316" spans="1:7" x14ac:dyDescent="0.25">
      <c r="A316">
        <v>19</v>
      </c>
      <c r="B316" t="s">
        <v>158</v>
      </c>
      <c r="C316">
        <v>90</v>
      </c>
      <c r="D316" t="s">
        <v>24</v>
      </c>
      <c r="E316" t="s">
        <v>11</v>
      </c>
      <c r="F316">
        <v>1</v>
      </c>
      <c r="G316" t="s">
        <v>15</v>
      </c>
    </row>
    <row r="317" spans="1:7" x14ac:dyDescent="0.25">
      <c r="A317">
        <v>19</v>
      </c>
      <c r="B317" t="s">
        <v>158</v>
      </c>
      <c r="C317">
        <v>100</v>
      </c>
      <c r="D317" t="s">
        <v>117</v>
      </c>
      <c r="E317" t="s">
        <v>14</v>
      </c>
      <c r="F317">
        <v>9.6000000000000002E-2</v>
      </c>
      <c r="G317" t="s">
        <v>15</v>
      </c>
    </row>
    <row r="318" spans="1:7" x14ac:dyDescent="0.25">
      <c r="A318">
        <v>19</v>
      </c>
      <c r="B318" t="s">
        <v>158</v>
      </c>
      <c r="C318">
        <v>110</v>
      </c>
      <c r="D318" t="s">
        <v>118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158</v>
      </c>
      <c r="C319">
        <v>120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158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158</v>
      </c>
      <c r="C321">
        <v>140</v>
      </c>
      <c r="D321" t="s">
        <v>108</v>
      </c>
      <c r="E321" t="s">
        <v>14</v>
      </c>
      <c r="F321">
        <v>1.1890000000000001</v>
      </c>
      <c r="G321" t="s">
        <v>15</v>
      </c>
    </row>
    <row r="322" spans="1:7" x14ac:dyDescent="0.25">
      <c r="A322">
        <v>19</v>
      </c>
      <c r="B322" t="s">
        <v>158</v>
      </c>
      <c r="C322">
        <v>150</v>
      </c>
      <c r="D322" t="s">
        <v>279</v>
      </c>
      <c r="E322" t="s">
        <v>11</v>
      </c>
      <c r="F322">
        <v>1</v>
      </c>
      <c r="G322" t="s">
        <v>18</v>
      </c>
    </row>
    <row r="323" spans="1:7" x14ac:dyDescent="0.25">
      <c r="A323">
        <v>19</v>
      </c>
      <c r="B323" t="s">
        <v>158</v>
      </c>
      <c r="C323">
        <v>160</v>
      </c>
      <c r="D323" t="s">
        <v>280</v>
      </c>
      <c r="E323" t="s">
        <v>11</v>
      </c>
      <c r="F323">
        <v>1</v>
      </c>
      <c r="G323" t="s">
        <v>18</v>
      </c>
    </row>
    <row r="324" spans="1:7" x14ac:dyDescent="0.25">
      <c r="A324">
        <v>19</v>
      </c>
      <c r="B324" t="s">
        <v>158</v>
      </c>
      <c r="C324">
        <v>170</v>
      </c>
      <c r="D324" t="s">
        <v>527</v>
      </c>
      <c r="E324" t="s">
        <v>14</v>
      </c>
      <c r="F324">
        <v>0.6</v>
      </c>
      <c r="G324" t="s">
        <v>15</v>
      </c>
    </row>
    <row r="325" spans="1:7" x14ac:dyDescent="0.25">
      <c r="A325">
        <v>20</v>
      </c>
      <c r="B325" t="s">
        <v>160</v>
      </c>
      <c r="C325">
        <v>10</v>
      </c>
      <c r="D325" t="s">
        <v>281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160</v>
      </c>
      <c r="C326">
        <v>20</v>
      </c>
      <c r="D326" t="s">
        <v>282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160</v>
      </c>
      <c r="C327">
        <v>30</v>
      </c>
      <c r="D327" t="s">
        <v>110</v>
      </c>
      <c r="E327" t="s">
        <v>111</v>
      </c>
      <c r="F327">
        <v>0.78</v>
      </c>
      <c r="G327" t="s">
        <v>15</v>
      </c>
    </row>
    <row r="328" spans="1:7" x14ac:dyDescent="0.25">
      <c r="A328">
        <v>20</v>
      </c>
      <c r="B328" t="s">
        <v>160</v>
      </c>
      <c r="C328">
        <v>40</v>
      </c>
      <c r="D328" t="s">
        <v>202</v>
      </c>
      <c r="E328" t="s">
        <v>11</v>
      </c>
      <c r="F328">
        <v>1.321</v>
      </c>
      <c r="G328" t="s">
        <v>15</v>
      </c>
    </row>
    <row r="329" spans="1:7" x14ac:dyDescent="0.25">
      <c r="A329">
        <v>20</v>
      </c>
      <c r="B329" t="s">
        <v>160</v>
      </c>
      <c r="C329">
        <v>50</v>
      </c>
      <c r="D329" t="s">
        <v>114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160</v>
      </c>
      <c r="C330">
        <v>60</v>
      </c>
      <c r="D330" t="s">
        <v>161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160</v>
      </c>
      <c r="C331">
        <v>70</v>
      </c>
      <c r="D331" t="s">
        <v>116</v>
      </c>
      <c r="E331" t="s">
        <v>17</v>
      </c>
      <c r="F331">
        <v>13.513</v>
      </c>
      <c r="G331" t="s">
        <v>15</v>
      </c>
    </row>
    <row r="332" spans="1:7" x14ac:dyDescent="0.25">
      <c r="A332">
        <v>20</v>
      </c>
      <c r="B332" t="s">
        <v>160</v>
      </c>
      <c r="C332">
        <v>80</v>
      </c>
      <c r="D332" t="s">
        <v>20</v>
      </c>
      <c r="E332" t="s">
        <v>17</v>
      </c>
      <c r="F332">
        <v>83.103999999999999</v>
      </c>
      <c r="G332" t="s">
        <v>15</v>
      </c>
    </row>
    <row r="333" spans="1:7" x14ac:dyDescent="0.25">
      <c r="A333">
        <v>20</v>
      </c>
      <c r="B333" t="s">
        <v>160</v>
      </c>
      <c r="C333">
        <v>90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20</v>
      </c>
      <c r="B334" t="s">
        <v>160</v>
      </c>
      <c r="C334">
        <v>100</v>
      </c>
      <c r="D334" t="s">
        <v>117</v>
      </c>
      <c r="E334" t="s">
        <v>14</v>
      </c>
      <c r="F334">
        <v>0.106</v>
      </c>
      <c r="G334" t="s">
        <v>15</v>
      </c>
    </row>
    <row r="335" spans="1:7" x14ac:dyDescent="0.25">
      <c r="A335">
        <v>20</v>
      </c>
      <c r="B335" t="s">
        <v>160</v>
      </c>
      <c r="C335">
        <v>110</v>
      </c>
      <c r="D335" t="s">
        <v>118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160</v>
      </c>
      <c r="C336">
        <v>120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160</v>
      </c>
      <c r="C337">
        <v>130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160</v>
      </c>
      <c r="C338">
        <v>140</v>
      </c>
      <c r="D338" t="s">
        <v>108</v>
      </c>
      <c r="E338" t="s">
        <v>14</v>
      </c>
      <c r="F338">
        <v>1.1890000000000001</v>
      </c>
      <c r="G338" t="s">
        <v>15</v>
      </c>
    </row>
    <row r="339" spans="1:7" x14ac:dyDescent="0.25">
      <c r="A339">
        <v>20</v>
      </c>
      <c r="B339" t="s">
        <v>160</v>
      </c>
      <c r="C339">
        <v>150</v>
      </c>
      <c r="D339" t="s">
        <v>283</v>
      </c>
      <c r="E339" t="s">
        <v>11</v>
      </c>
      <c r="F339">
        <v>1</v>
      </c>
      <c r="G339" t="s">
        <v>18</v>
      </c>
    </row>
    <row r="340" spans="1:7" x14ac:dyDescent="0.25">
      <c r="A340">
        <v>20</v>
      </c>
      <c r="B340" t="s">
        <v>160</v>
      </c>
      <c r="C340">
        <v>160</v>
      </c>
      <c r="D340" t="s">
        <v>284</v>
      </c>
      <c r="E340" t="s">
        <v>11</v>
      </c>
      <c r="F340">
        <v>1</v>
      </c>
      <c r="G340" t="s">
        <v>18</v>
      </c>
    </row>
    <row r="341" spans="1:7" x14ac:dyDescent="0.25">
      <c r="A341">
        <v>20</v>
      </c>
      <c r="B341" t="s">
        <v>160</v>
      </c>
      <c r="C341">
        <v>170</v>
      </c>
      <c r="D341" t="s">
        <v>527</v>
      </c>
      <c r="E341" t="s">
        <v>14</v>
      </c>
      <c r="F341">
        <v>0.6</v>
      </c>
      <c r="G341" t="s">
        <v>15</v>
      </c>
    </row>
    <row r="342" spans="1:7" x14ac:dyDescent="0.25">
      <c r="A342">
        <v>21</v>
      </c>
      <c r="B342" t="s">
        <v>162</v>
      </c>
      <c r="C342">
        <v>10</v>
      </c>
      <c r="D342" t="s">
        <v>285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162</v>
      </c>
      <c r="C343">
        <v>20</v>
      </c>
      <c r="D343" t="s">
        <v>282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162</v>
      </c>
      <c r="C344">
        <v>30</v>
      </c>
      <c r="D344" t="s">
        <v>110</v>
      </c>
      <c r="E344" t="s">
        <v>111</v>
      </c>
      <c r="F344">
        <v>0.82599999999999996</v>
      </c>
      <c r="G344" t="s">
        <v>15</v>
      </c>
    </row>
    <row r="345" spans="1:7" x14ac:dyDescent="0.25">
      <c r="A345">
        <v>21</v>
      </c>
      <c r="B345" t="s">
        <v>162</v>
      </c>
      <c r="C345">
        <v>40</v>
      </c>
      <c r="D345" t="s">
        <v>202</v>
      </c>
      <c r="E345" t="s">
        <v>11</v>
      </c>
      <c r="F345">
        <v>1.397</v>
      </c>
      <c r="G345" t="s">
        <v>15</v>
      </c>
    </row>
    <row r="346" spans="1:7" x14ac:dyDescent="0.25">
      <c r="A346">
        <v>21</v>
      </c>
      <c r="B346" t="s">
        <v>162</v>
      </c>
      <c r="C346">
        <v>50</v>
      </c>
      <c r="D346" t="s">
        <v>114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162</v>
      </c>
      <c r="C347">
        <v>60</v>
      </c>
      <c r="D347" t="s">
        <v>163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162</v>
      </c>
      <c r="C348">
        <v>70</v>
      </c>
      <c r="D348" t="s">
        <v>116</v>
      </c>
      <c r="E348" t="s">
        <v>17</v>
      </c>
      <c r="F348">
        <v>13.818</v>
      </c>
      <c r="G348" t="s">
        <v>15</v>
      </c>
    </row>
    <row r="349" spans="1:7" x14ac:dyDescent="0.25">
      <c r="A349">
        <v>21</v>
      </c>
      <c r="B349" t="s">
        <v>162</v>
      </c>
      <c r="C349">
        <v>80</v>
      </c>
      <c r="D349" t="s">
        <v>20</v>
      </c>
      <c r="E349" t="s">
        <v>17</v>
      </c>
      <c r="F349">
        <v>84.977999999999994</v>
      </c>
      <c r="G349" t="s">
        <v>15</v>
      </c>
    </row>
    <row r="350" spans="1:7" x14ac:dyDescent="0.25">
      <c r="A350">
        <v>21</v>
      </c>
      <c r="B350" t="s">
        <v>162</v>
      </c>
      <c r="C350">
        <v>90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21</v>
      </c>
      <c r="B351" t="s">
        <v>162</v>
      </c>
      <c r="C351">
        <v>100</v>
      </c>
      <c r="D351" t="s">
        <v>117</v>
      </c>
      <c r="E351" t="s">
        <v>14</v>
      </c>
      <c r="F351">
        <v>0.111</v>
      </c>
      <c r="G351" t="s">
        <v>15</v>
      </c>
    </row>
    <row r="352" spans="1:7" x14ac:dyDescent="0.25">
      <c r="A352">
        <v>21</v>
      </c>
      <c r="B352" t="s">
        <v>162</v>
      </c>
      <c r="C352">
        <v>110</v>
      </c>
      <c r="D352" t="s">
        <v>118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162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162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162</v>
      </c>
      <c r="C355">
        <v>140</v>
      </c>
      <c r="D355" t="s">
        <v>108</v>
      </c>
      <c r="E355" t="s">
        <v>14</v>
      </c>
      <c r="F355">
        <v>1.1890000000000001</v>
      </c>
      <c r="G355" t="s">
        <v>15</v>
      </c>
    </row>
    <row r="356" spans="1:7" x14ac:dyDescent="0.25">
      <c r="A356">
        <v>21</v>
      </c>
      <c r="B356" t="s">
        <v>162</v>
      </c>
      <c r="C356">
        <v>150</v>
      </c>
      <c r="D356" t="s">
        <v>286</v>
      </c>
      <c r="E356" t="s">
        <v>11</v>
      </c>
      <c r="F356">
        <v>1</v>
      </c>
      <c r="G356" t="s">
        <v>18</v>
      </c>
    </row>
    <row r="357" spans="1:7" x14ac:dyDescent="0.25">
      <c r="A357">
        <v>21</v>
      </c>
      <c r="B357" t="s">
        <v>162</v>
      </c>
      <c r="C357">
        <v>160</v>
      </c>
      <c r="D357" t="s">
        <v>287</v>
      </c>
      <c r="E357" t="s">
        <v>11</v>
      </c>
      <c r="F357">
        <v>1</v>
      </c>
      <c r="G357" t="s">
        <v>18</v>
      </c>
    </row>
    <row r="358" spans="1:7" x14ac:dyDescent="0.25">
      <c r="A358">
        <v>21</v>
      </c>
      <c r="B358" t="s">
        <v>162</v>
      </c>
      <c r="C358">
        <v>170</v>
      </c>
      <c r="D358" t="s">
        <v>527</v>
      </c>
      <c r="E358" t="s">
        <v>14</v>
      </c>
      <c r="F358">
        <v>0.6</v>
      </c>
      <c r="G358" t="s">
        <v>15</v>
      </c>
    </row>
    <row r="359" spans="1:7" x14ac:dyDescent="0.25">
      <c r="A359">
        <v>22</v>
      </c>
      <c r="B359" t="s">
        <v>164</v>
      </c>
      <c r="C359">
        <v>10</v>
      </c>
      <c r="D359" t="s">
        <v>288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164</v>
      </c>
      <c r="C360">
        <v>20</v>
      </c>
      <c r="D360" t="s">
        <v>282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164</v>
      </c>
      <c r="C361">
        <v>30</v>
      </c>
      <c r="D361" t="s">
        <v>110</v>
      </c>
      <c r="E361" t="s">
        <v>111</v>
      </c>
      <c r="F361">
        <v>0.873</v>
      </c>
      <c r="G361" t="s">
        <v>15</v>
      </c>
    </row>
    <row r="362" spans="1:7" x14ac:dyDescent="0.25">
      <c r="A362">
        <v>22</v>
      </c>
      <c r="B362" t="s">
        <v>164</v>
      </c>
      <c r="C362">
        <v>40</v>
      </c>
      <c r="D362" t="s">
        <v>202</v>
      </c>
      <c r="E362" t="s">
        <v>11</v>
      </c>
      <c r="F362">
        <v>1.4730000000000001</v>
      </c>
      <c r="G362" t="s">
        <v>15</v>
      </c>
    </row>
    <row r="363" spans="1:7" x14ac:dyDescent="0.25">
      <c r="A363">
        <v>22</v>
      </c>
      <c r="B363" t="s">
        <v>164</v>
      </c>
      <c r="C363">
        <v>50</v>
      </c>
      <c r="D363" t="s">
        <v>114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164</v>
      </c>
      <c r="C364">
        <v>60</v>
      </c>
      <c r="D364" t="s">
        <v>165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164</v>
      </c>
      <c r="C365">
        <v>70</v>
      </c>
      <c r="D365" t="s">
        <v>116</v>
      </c>
      <c r="E365" t="s">
        <v>17</v>
      </c>
      <c r="F365">
        <v>14.122</v>
      </c>
      <c r="G365" t="s">
        <v>15</v>
      </c>
    </row>
    <row r="366" spans="1:7" x14ac:dyDescent="0.25">
      <c r="A366">
        <v>22</v>
      </c>
      <c r="B366" t="s">
        <v>164</v>
      </c>
      <c r="C366">
        <v>80</v>
      </c>
      <c r="D366" t="s">
        <v>20</v>
      </c>
      <c r="E366" t="s">
        <v>17</v>
      </c>
      <c r="F366">
        <v>86.852999999999994</v>
      </c>
      <c r="G366" t="s">
        <v>15</v>
      </c>
    </row>
    <row r="367" spans="1:7" x14ac:dyDescent="0.25">
      <c r="A367">
        <v>22</v>
      </c>
      <c r="B367" t="s">
        <v>164</v>
      </c>
      <c r="C367">
        <v>90</v>
      </c>
      <c r="D367" t="s">
        <v>24</v>
      </c>
      <c r="E367" t="s">
        <v>11</v>
      </c>
      <c r="F367">
        <v>1</v>
      </c>
      <c r="G367" t="s">
        <v>15</v>
      </c>
    </row>
    <row r="368" spans="1:7" x14ac:dyDescent="0.25">
      <c r="A368">
        <v>22</v>
      </c>
      <c r="B368" t="s">
        <v>164</v>
      </c>
      <c r="C368">
        <v>100</v>
      </c>
      <c r="D368" t="s">
        <v>117</v>
      </c>
      <c r="E368" t="s">
        <v>14</v>
      </c>
      <c r="F368">
        <v>0.115</v>
      </c>
      <c r="G368" t="s">
        <v>15</v>
      </c>
    </row>
    <row r="369" spans="1:7" x14ac:dyDescent="0.25">
      <c r="A369">
        <v>22</v>
      </c>
      <c r="B369" t="s">
        <v>164</v>
      </c>
      <c r="C369">
        <v>110</v>
      </c>
      <c r="D369" t="s">
        <v>118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164</v>
      </c>
      <c r="C370">
        <v>120</v>
      </c>
      <c r="D370" t="s">
        <v>25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164</v>
      </c>
      <c r="C371">
        <v>130</v>
      </c>
      <c r="D371" t="s">
        <v>26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164</v>
      </c>
      <c r="C372">
        <v>140</v>
      </c>
      <c r="D372" t="s">
        <v>108</v>
      </c>
      <c r="E372" t="s">
        <v>14</v>
      </c>
      <c r="F372">
        <v>1.1890000000000001</v>
      </c>
      <c r="G372" t="s">
        <v>15</v>
      </c>
    </row>
    <row r="373" spans="1:7" x14ac:dyDescent="0.25">
      <c r="A373">
        <v>22</v>
      </c>
      <c r="B373" t="s">
        <v>164</v>
      </c>
      <c r="C373">
        <v>150</v>
      </c>
      <c r="D373" t="s">
        <v>289</v>
      </c>
      <c r="E373" t="s">
        <v>11</v>
      </c>
      <c r="F373">
        <v>1</v>
      </c>
      <c r="G373" t="s">
        <v>18</v>
      </c>
    </row>
    <row r="374" spans="1:7" x14ac:dyDescent="0.25">
      <c r="A374">
        <v>22</v>
      </c>
      <c r="B374" t="s">
        <v>164</v>
      </c>
      <c r="C374">
        <v>160</v>
      </c>
      <c r="D374" t="s">
        <v>290</v>
      </c>
      <c r="E374" t="s">
        <v>11</v>
      </c>
      <c r="F374">
        <v>1</v>
      </c>
      <c r="G374" t="s">
        <v>18</v>
      </c>
    </row>
    <row r="375" spans="1:7" x14ac:dyDescent="0.25">
      <c r="A375">
        <v>22</v>
      </c>
      <c r="B375" t="s">
        <v>164</v>
      </c>
      <c r="C375">
        <v>170</v>
      </c>
      <c r="D375" t="s">
        <v>527</v>
      </c>
      <c r="E375" t="s">
        <v>14</v>
      </c>
      <c r="F375">
        <v>0.6</v>
      </c>
      <c r="G375" t="s">
        <v>15</v>
      </c>
    </row>
    <row r="376" spans="1:7" x14ac:dyDescent="0.25">
      <c r="A376">
        <v>23</v>
      </c>
      <c r="B376" t="s">
        <v>166</v>
      </c>
      <c r="C376">
        <v>10</v>
      </c>
      <c r="D376" t="s">
        <v>291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166</v>
      </c>
      <c r="C377">
        <v>20</v>
      </c>
      <c r="D377" t="s">
        <v>292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166</v>
      </c>
      <c r="C378">
        <v>30</v>
      </c>
      <c r="D378" t="s">
        <v>110</v>
      </c>
      <c r="E378" t="s">
        <v>111</v>
      </c>
      <c r="F378">
        <v>0.96699999999999997</v>
      </c>
      <c r="G378" t="s">
        <v>15</v>
      </c>
    </row>
    <row r="379" spans="1:7" x14ac:dyDescent="0.25">
      <c r="A379">
        <v>23</v>
      </c>
      <c r="B379" t="s">
        <v>166</v>
      </c>
      <c r="C379">
        <v>40</v>
      </c>
      <c r="D379" t="s">
        <v>202</v>
      </c>
      <c r="E379" t="s">
        <v>11</v>
      </c>
      <c r="F379">
        <v>1.6259999999999999</v>
      </c>
      <c r="G379" t="s">
        <v>15</v>
      </c>
    </row>
    <row r="380" spans="1:7" x14ac:dyDescent="0.25">
      <c r="A380">
        <v>23</v>
      </c>
      <c r="B380" t="s">
        <v>166</v>
      </c>
      <c r="C380">
        <v>50</v>
      </c>
      <c r="D380" t="s">
        <v>114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166</v>
      </c>
      <c r="C381">
        <v>60</v>
      </c>
      <c r="D381" t="s">
        <v>167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166</v>
      </c>
      <c r="C382">
        <v>70</v>
      </c>
      <c r="D382" t="s">
        <v>116</v>
      </c>
      <c r="E382" t="s">
        <v>17</v>
      </c>
      <c r="F382">
        <v>14.731999999999999</v>
      </c>
      <c r="G382" t="s">
        <v>15</v>
      </c>
    </row>
    <row r="383" spans="1:7" x14ac:dyDescent="0.25">
      <c r="A383">
        <v>23</v>
      </c>
      <c r="B383" t="s">
        <v>166</v>
      </c>
      <c r="C383">
        <v>80</v>
      </c>
      <c r="D383" t="s">
        <v>20</v>
      </c>
      <c r="E383" t="s">
        <v>17</v>
      </c>
      <c r="F383">
        <v>90.602000000000004</v>
      </c>
      <c r="G383" t="s">
        <v>15</v>
      </c>
    </row>
    <row r="384" spans="1:7" x14ac:dyDescent="0.25">
      <c r="A384">
        <v>23</v>
      </c>
      <c r="B384" t="s">
        <v>166</v>
      </c>
      <c r="C384">
        <v>90</v>
      </c>
      <c r="D384" t="s">
        <v>24</v>
      </c>
      <c r="E384" t="s">
        <v>11</v>
      </c>
      <c r="F384">
        <v>1</v>
      </c>
      <c r="G384" t="s">
        <v>15</v>
      </c>
    </row>
    <row r="385" spans="1:7" x14ac:dyDescent="0.25">
      <c r="A385">
        <v>23</v>
      </c>
      <c r="B385" t="s">
        <v>166</v>
      </c>
      <c r="C385">
        <v>100</v>
      </c>
      <c r="D385" t="s">
        <v>117</v>
      </c>
      <c r="E385" t="s">
        <v>14</v>
      </c>
      <c r="F385">
        <v>0.125</v>
      </c>
      <c r="G385" t="s">
        <v>15</v>
      </c>
    </row>
    <row r="386" spans="1:7" x14ac:dyDescent="0.25">
      <c r="A386">
        <v>23</v>
      </c>
      <c r="B386" t="s">
        <v>166</v>
      </c>
      <c r="C386">
        <v>110</v>
      </c>
      <c r="D386" t="s">
        <v>118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166</v>
      </c>
      <c r="C387">
        <v>120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166</v>
      </c>
      <c r="C388">
        <v>130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166</v>
      </c>
      <c r="C389">
        <v>140</v>
      </c>
      <c r="D389" t="s">
        <v>108</v>
      </c>
      <c r="E389" t="s">
        <v>14</v>
      </c>
      <c r="F389">
        <v>1.1890000000000001</v>
      </c>
      <c r="G389" t="s">
        <v>15</v>
      </c>
    </row>
    <row r="390" spans="1:7" x14ac:dyDescent="0.25">
      <c r="A390">
        <v>23</v>
      </c>
      <c r="B390" t="s">
        <v>166</v>
      </c>
      <c r="C390">
        <v>150</v>
      </c>
      <c r="D390" t="s">
        <v>293</v>
      </c>
      <c r="E390" t="s">
        <v>11</v>
      </c>
      <c r="F390">
        <v>1</v>
      </c>
      <c r="G390" t="s">
        <v>18</v>
      </c>
    </row>
    <row r="391" spans="1:7" x14ac:dyDescent="0.25">
      <c r="A391">
        <v>23</v>
      </c>
      <c r="B391" t="s">
        <v>166</v>
      </c>
      <c r="C391">
        <v>160</v>
      </c>
      <c r="D391" t="s">
        <v>294</v>
      </c>
      <c r="E391" t="s">
        <v>11</v>
      </c>
      <c r="F391">
        <v>1</v>
      </c>
      <c r="G391" t="s">
        <v>18</v>
      </c>
    </row>
    <row r="392" spans="1:7" x14ac:dyDescent="0.25">
      <c r="A392">
        <v>23</v>
      </c>
      <c r="B392" t="s">
        <v>166</v>
      </c>
      <c r="C392">
        <v>170</v>
      </c>
      <c r="D392" t="s">
        <v>528</v>
      </c>
      <c r="E392" t="s">
        <v>14</v>
      </c>
      <c r="F392">
        <v>0.8</v>
      </c>
      <c r="G392" t="s">
        <v>15</v>
      </c>
    </row>
    <row r="393" spans="1:7" x14ac:dyDescent="0.25">
      <c r="A393">
        <v>24</v>
      </c>
      <c r="B393" t="s">
        <v>168</v>
      </c>
      <c r="C393">
        <v>10</v>
      </c>
      <c r="D393" t="s">
        <v>295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168</v>
      </c>
      <c r="C394">
        <v>20</v>
      </c>
      <c r="D394" t="s">
        <v>296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168</v>
      </c>
      <c r="C395">
        <v>30</v>
      </c>
      <c r="D395" t="s">
        <v>110</v>
      </c>
      <c r="E395" t="s">
        <v>111</v>
      </c>
      <c r="F395">
        <v>1.06</v>
      </c>
      <c r="G395" t="s">
        <v>15</v>
      </c>
    </row>
    <row r="396" spans="1:7" x14ac:dyDescent="0.25">
      <c r="A396">
        <v>24</v>
      </c>
      <c r="B396" t="s">
        <v>168</v>
      </c>
      <c r="C396">
        <v>40</v>
      </c>
      <c r="D396" t="s">
        <v>202</v>
      </c>
      <c r="E396" t="s">
        <v>11</v>
      </c>
      <c r="F396">
        <v>1.778</v>
      </c>
      <c r="G396" t="s">
        <v>15</v>
      </c>
    </row>
    <row r="397" spans="1:7" x14ac:dyDescent="0.25">
      <c r="A397">
        <v>24</v>
      </c>
      <c r="B397" t="s">
        <v>168</v>
      </c>
      <c r="C397">
        <v>50</v>
      </c>
      <c r="D397" t="s">
        <v>114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168</v>
      </c>
      <c r="C398">
        <v>60</v>
      </c>
      <c r="D398" t="s">
        <v>169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168</v>
      </c>
      <c r="C399">
        <v>70</v>
      </c>
      <c r="D399" t="s">
        <v>116</v>
      </c>
      <c r="E399" t="s">
        <v>17</v>
      </c>
      <c r="F399">
        <v>15.342000000000001</v>
      </c>
      <c r="G399" t="s">
        <v>15</v>
      </c>
    </row>
    <row r="400" spans="1:7" x14ac:dyDescent="0.25">
      <c r="A400">
        <v>24</v>
      </c>
      <c r="B400" t="s">
        <v>168</v>
      </c>
      <c r="C400">
        <v>80</v>
      </c>
      <c r="D400" t="s">
        <v>20</v>
      </c>
      <c r="E400" t="s">
        <v>17</v>
      </c>
      <c r="F400">
        <v>94.350999999999999</v>
      </c>
      <c r="G400" t="s">
        <v>15</v>
      </c>
    </row>
    <row r="401" spans="1:7" x14ac:dyDescent="0.25">
      <c r="A401">
        <v>24</v>
      </c>
      <c r="B401" t="s">
        <v>168</v>
      </c>
      <c r="C401">
        <v>90</v>
      </c>
      <c r="D401" t="s">
        <v>24</v>
      </c>
      <c r="E401" t="s">
        <v>11</v>
      </c>
      <c r="F401">
        <v>1</v>
      </c>
      <c r="G401" t="s">
        <v>15</v>
      </c>
    </row>
    <row r="402" spans="1:7" x14ac:dyDescent="0.25">
      <c r="A402">
        <v>24</v>
      </c>
      <c r="B402" t="s">
        <v>168</v>
      </c>
      <c r="C402">
        <v>100</v>
      </c>
      <c r="D402" t="s">
        <v>117</v>
      </c>
      <c r="E402" t="s">
        <v>14</v>
      </c>
      <c r="F402">
        <v>0.13500000000000001</v>
      </c>
      <c r="G402" t="s">
        <v>15</v>
      </c>
    </row>
    <row r="403" spans="1:7" x14ac:dyDescent="0.25">
      <c r="A403">
        <v>24</v>
      </c>
      <c r="B403" t="s">
        <v>168</v>
      </c>
      <c r="C403">
        <v>110</v>
      </c>
      <c r="D403" t="s">
        <v>118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168</v>
      </c>
      <c r="C404">
        <v>120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168</v>
      </c>
      <c r="C405">
        <v>130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168</v>
      </c>
      <c r="C406">
        <v>140</v>
      </c>
      <c r="D406" t="s">
        <v>108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24</v>
      </c>
      <c r="B407" t="s">
        <v>168</v>
      </c>
      <c r="C407">
        <v>150</v>
      </c>
      <c r="D407" t="s">
        <v>297</v>
      </c>
      <c r="E407" t="s">
        <v>11</v>
      </c>
      <c r="F407">
        <v>1</v>
      </c>
      <c r="G407" t="s">
        <v>18</v>
      </c>
    </row>
    <row r="408" spans="1:7" x14ac:dyDescent="0.25">
      <c r="A408">
        <v>24</v>
      </c>
      <c r="B408" t="s">
        <v>168</v>
      </c>
      <c r="C408">
        <v>160</v>
      </c>
      <c r="D408" t="s">
        <v>298</v>
      </c>
      <c r="E408" t="s">
        <v>11</v>
      </c>
      <c r="F408">
        <v>1</v>
      </c>
      <c r="G408" t="s">
        <v>18</v>
      </c>
    </row>
    <row r="409" spans="1:7" x14ac:dyDescent="0.25">
      <c r="A409">
        <v>24</v>
      </c>
      <c r="B409" t="s">
        <v>168</v>
      </c>
      <c r="C409">
        <v>170</v>
      </c>
      <c r="D409" t="s">
        <v>528</v>
      </c>
      <c r="E409" t="s">
        <v>14</v>
      </c>
      <c r="F409">
        <v>0.8</v>
      </c>
      <c r="G409" t="s">
        <v>15</v>
      </c>
    </row>
    <row r="410" spans="1:7" x14ac:dyDescent="0.25">
      <c r="A410">
        <v>25</v>
      </c>
      <c r="B410" t="s">
        <v>170</v>
      </c>
      <c r="C410">
        <v>10</v>
      </c>
      <c r="D410" t="s">
        <v>299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170</v>
      </c>
      <c r="C411">
        <v>20</v>
      </c>
      <c r="D411" t="s">
        <v>300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170</v>
      </c>
      <c r="C412">
        <v>30</v>
      </c>
      <c r="D412" t="s">
        <v>110</v>
      </c>
      <c r="E412" t="s">
        <v>111</v>
      </c>
      <c r="F412">
        <v>0.51200000000000001</v>
      </c>
      <c r="G412" t="s">
        <v>15</v>
      </c>
    </row>
    <row r="413" spans="1:7" x14ac:dyDescent="0.25">
      <c r="A413">
        <v>25</v>
      </c>
      <c r="B413" t="s">
        <v>170</v>
      </c>
      <c r="C413">
        <v>40</v>
      </c>
      <c r="D413" t="s">
        <v>202</v>
      </c>
      <c r="E413" t="s">
        <v>11</v>
      </c>
      <c r="F413">
        <v>2.0569999999999999</v>
      </c>
      <c r="G413" t="s">
        <v>15</v>
      </c>
    </row>
    <row r="414" spans="1:7" x14ac:dyDescent="0.25">
      <c r="A414">
        <v>25</v>
      </c>
      <c r="B414" t="s">
        <v>170</v>
      </c>
      <c r="C414">
        <v>50</v>
      </c>
      <c r="D414" t="s">
        <v>114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170</v>
      </c>
      <c r="C415">
        <v>60</v>
      </c>
      <c r="D415" t="s">
        <v>171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170</v>
      </c>
      <c r="C416">
        <v>70</v>
      </c>
      <c r="D416" t="s">
        <v>116</v>
      </c>
      <c r="E416" t="s">
        <v>17</v>
      </c>
      <c r="F416">
        <v>11.887</v>
      </c>
      <c r="G416" t="s">
        <v>15</v>
      </c>
    </row>
    <row r="417" spans="1:7" x14ac:dyDescent="0.25">
      <c r="A417">
        <v>25</v>
      </c>
      <c r="B417" t="s">
        <v>170</v>
      </c>
      <c r="C417">
        <v>80</v>
      </c>
      <c r="D417" t="s">
        <v>20</v>
      </c>
      <c r="E417" t="s">
        <v>17</v>
      </c>
      <c r="F417">
        <v>73.105999999999995</v>
      </c>
      <c r="G417" t="s">
        <v>15</v>
      </c>
    </row>
    <row r="418" spans="1:7" x14ac:dyDescent="0.25">
      <c r="A418">
        <v>25</v>
      </c>
      <c r="B418" t="s">
        <v>170</v>
      </c>
      <c r="C418">
        <v>90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25</v>
      </c>
      <c r="B419" t="s">
        <v>170</v>
      </c>
      <c r="C419">
        <v>100</v>
      </c>
      <c r="D419" t="s">
        <v>117</v>
      </c>
      <c r="E419" t="s">
        <v>14</v>
      </c>
      <c r="F419">
        <v>7.5999999999999998E-2</v>
      </c>
      <c r="G419" t="s">
        <v>15</v>
      </c>
    </row>
    <row r="420" spans="1:7" x14ac:dyDescent="0.25">
      <c r="A420">
        <v>25</v>
      </c>
      <c r="B420" t="s">
        <v>170</v>
      </c>
      <c r="C420">
        <v>110</v>
      </c>
      <c r="D420" t="s">
        <v>118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170</v>
      </c>
      <c r="C421">
        <v>120</v>
      </c>
      <c r="D421" t="s">
        <v>25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170</v>
      </c>
      <c r="C422">
        <v>130</v>
      </c>
      <c r="D422" t="s">
        <v>26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170</v>
      </c>
      <c r="C423">
        <v>140</v>
      </c>
      <c r="D423" t="s">
        <v>108</v>
      </c>
      <c r="E423" t="s">
        <v>14</v>
      </c>
      <c r="F423">
        <v>1.216</v>
      </c>
      <c r="G423" t="s">
        <v>15</v>
      </c>
    </row>
    <row r="424" spans="1:7" x14ac:dyDescent="0.25">
      <c r="A424">
        <v>25</v>
      </c>
      <c r="B424" t="s">
        <v>170</v>
      </c>
      <c r="C424">
        <v>150</v>
      </c>
      <c r="D424" t="s">
        <v>301</v>
      </c>
      <c r="E424" t="s">
        <v>11</v>
      </c>
      <c r="F424">
        <v>1</v>
      </c>
      <c r="G424" t="s">
        <v>18</v>
      </c>
    </row>
    <row r="425" spans="1:7" x14ac:dyDescent="0.25">
      <c r="A425">
        <v>25</v>
      </c>
      <c r="B425" t="s">
        <v>170</v>
      </c>
      <c r="C425">
        <v>160</v>
      </c>
      <c r="D425" t="s">
        <v>302</v>
      </c>
      <c r="E425" t="s">
        <v>11</v>
      </c>
      <c r="F425">
        <v>1</v>
      </c>
      <c r="G425" t="s">
        <v>18</v>
      </c>
    </row>
    <row r="426" spans="1:7" x14ac:dyDescent="0.25">
      <c r="A426">
        <v>25</v>
      </c>
      <c r="B426" t="s">
        <v>170</v>
      </c>
      <c r="C426">
        <v>170</v>
      </c>
      <c r="D426" t="s">
        <v>526</v>
      </c>
      <c r="E426" t="s">
        <v>14</v>
      </c>
      <c r="F426">
        <v>0.5</v>
      </c>
      <c r="G426" t="s">
        <v>15</v>
      </c>
    </row>
    <row r="427" spans="1:7" x14ac:dyDescent="0.25">
      <c r="A427">
        <v>26</v>
      </c>
      <c r="B427" t="s">
        <v>172</v>
      </c>
      <c r="C427">
        <v>10</v>
      </c>
      <c r="D427" t="s">
        <v>303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172</v>
      </c>
      <c r="C428">
        <v>20</v>
      </c>
      <c r="D428" t="s">
        <v>300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172</v>
      </c>
      <c r="C429">
        <v>30</v>
      </c>
      <c r="D429" t="s">
        <v>110</v>
      </c>
      <c r="E429" t="s">
        <v>111</v>
      </c>
      <c r="F429">
        <v>0.60799999999999998</v>
      </c>
      <c r="G429" t="s">
        <v>15</v>
      </c>
    </row>
    <row r="430" spans="1:7" x14ac:dyDescent="0.25">
      <c r="A430">
        <v>26</v>
      </c>
      <c r="B430" t="s">
        <v>172</v>
      </c>
      <c r="C430">
        <v>40</v>
      </c>
      <c r="D430" t="s">
        <v>202</v>
      </c>
      <c r="E430" t="s">
        <v>11</v>
      </c>
      <c r="F430">
        <v>2.0569999999999999</v>
      </c>
      <c r="G430" t="s">
        <v>15</v>
      </c>
    </row>
    <row r="431" spans="1:7" x14ac:dyDescent="0.25">
      <c r="A431">
        <v>26</v>
      </c>
      <c r="B431" t="s">
        <v>172</v>
      </c>
      <c r="C431">
        <v>50</v>
      </c>
      <c r="D431" t="s">
        <v>114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172</v>
      </c>
      <c r="C432">
        <v>60</v>
      </c>
      <c r="D432" t="s">
        <v>173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172</v>
      </c>
      <c r="C433">
        <v>70</v>
      </c>
      <c r="D433" t="s">
        <v>116</v>
      </c>
      <c r="E433" t="s">
        <v>17</v>
      </c>
      <c r="F433">
        <v>12.497</v>
      </c>
      <c r="G433" t="s">
        <v>15</v>
      </c>
    </row>
    <row r="434" spans="1:7" x14ac:dyDescent="0.25">
      <c r="A434">
        <v>26</v>
      </c>
      <c r="B434" t="s">
        <v>172</v>
      </c>
      <c r="C434">
        <v>80</v>
      </c>
      <c r="D434" t="s">
        <v>20</v>
      </c>
      <c r="E434" t="s">
        <v>17</v>
      </c>
      <c r="F434">
        <v>76.855000000000004</v>
      </c>
      <c r="G434" t="s">
        <v>15</v>
      </c>
    </row>
    <row r="435" spans="1:7" x14ac:dyDescent="0.25">
      <c r="A435">
        <v>26</v>
      </c>
      <c r="B435" t="s">
        <v>172</v>
      </c>
      <c r="C435">
        <v>90</v>
      </c>
      <c r="D435" t="s">
        <v>24</v>
      </c>
      <c r="E435" t="s">
        <v>11</v>
      </c>
      <c r="F435">
        <v>1</v>
      </c>
      <c r="G435" t="s">
        <v>15</v>
      </c>
    </row>
    <row r="436" spans="1:7" x14ac:dyDescent="0.25">
      <c r="A436">
        <v>26</v>
      </c>
      <c r="B436" t="s">
        <v>172</v>
      </c>
      <c r="C436">
        <v>100</v>
      </c>
      <c r="D436" t="s">
        <v>117</v>
      </c>
      <c r="E436" t="s">
        <v>14</v>
      </c>
      <c r="F436">
        <v>8.5999999999999993E-2</v>
      </c>
      <c r="G436" t="s">
        <v>15</v>
      </c>
    </row>
    <row r="437" spans="1:7" x14ac:dyDescent="0.25">
      <c r="A437">
        <v>26</v>
      </c>
      <c r="B437" t="s">
        <v>172</v>
      </c>
      <c r="C437">
        <v>110</v>
      </c>
      <c r="D437" t="s">
        <v>118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172</v>
      </c>
      <c r="C438">
        <v>120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172</v>
      </c>
      <c r="C439">
        <v>130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172</v>
      </c>
      <c r="C440">
        <v>140</v>
      </c>
      <c r="D440" t="s">
        <v>108</v>
      </c>
      <c r="E440" t="s">
        <v>14</v>
      </c>
      <c r="F440">
        <v>1.216</v>
      </c>
      <c r="G440" t="s">
        <v>15</v>
      </c>
    </row>
    <row r="441" spans="1:7" x14ac:dyDescent="0.25">
      <c r="A441">
        <v>26</v>
      </c>
      <c r="B441" t="s">
        <v>172</v>
      </c>
      <c r="C441">
        <v>150</v>
      </c>
      <c r="D441" t="s">
        <v>304</v>
      </c>
      <c r="E441" t="s">
        <v>11</v>
      </c>
      <c r="F441">
        <v>1</v>
      </c>
      <c r="G441" t="s">
        <v>18</v>
      </c>
    </row>
    <row r="442" spans="1:7" x14ac:dyDescent="0.25">
      <c r="A442">
        <v>26</v>
      </c>
      <c r="B442" t="s">
        <v>172</v>
      </c>
      <c r="C442">
        <v>160</v>
      </c>
      <c r="D442" t="s">
        <v>305</v>
      </c>
      <c r="E442" t="s">
        <v>11</v>
      </c>
      <c r="F442">
        <v>1</v>
      </c>
      <c r="G442" t="s">
        <v>18</v>
      </c>
    </row>
    <row r="443" spans="1:7" x14ac:dyDescent="0.25">
      <c r="A443">
        <v>26</v>
      </c>
      <c r="B443" t="s">
        <v>172</v>
      </c>
      <c r="C443">
        <v>170</v>
      </c>
      <c r="D443" t="s">
        <v>527</v>
      </c>
      <c r="E443" t="s">
        <v>14</v>
      </c>
      <c r="F443">
        <v>0.6</v>
      </c>
      <c r="G443" t="s">
        <v>15</v>
      </c>
    </row>
    <row r="444" spans="1:7" x14ac:dyDescent="0.25">
      <c r="A444">
        <v>27</v>
      </c>
      <c r="B444" t="s">
        <v>174</v>
      </c>
      <c r="C444">
        <v>10</v>
      </c>
      <c r="D444" t="s">
        <v>306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174</v>
      </c>
      <c r="C445">
        <v>20</v>
      </c>
      <c r="D445" t="s">
        <v>300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174</v>
      </c>
      <c r="C446">
        <v>30</v>
      </c>
      <c r="D446" t="s">
        <v>110</v>
      </c>
      <c r="E446" t="s">
        <v>111</v>
      </c>
      <c r="F446">
        <v>0.70399999999999996</v>
      </c>
      <c r="G446" t="s">
        <v>15</v>
      </c>
    </row>
    <row r="447" spans="1:7" x14ac:dyDescent="0.25">
      <c r="A447">
        <v>27</v>
      </c>
      <c r="B447" t="s">
        <v>174</v>
      </c>
      <c r="C447">
        <v>40</v>
      </c>
      <c r="D447" t="s">
        <v>202</v>
      </c>
      <c r="E447" t="s">
        <v>11</v>
      </c>
      <c r="F447">
        <v>2.0569999999999999</v>
      </c>
      <c r="G447" t="s">
        <v>15</v>
      </c>
    </row>
    <row r="448" spans="1:7" x14ac:dyDescent="0.25">
      <c r="A448">
        <v>27</v>
      </c>
      <c r="B448" t="s">
        <v>174</v>
      </c>
      <c r="C448">
        <v>50</v>
      </c>
      <c r="D448" t="s">
        <v>114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174</v>
      </c>
      <c r="C449">
        <v>60</v>
      </c>
      <c r="D449" t="s">
        <v>175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174</v>
      </c>
      <c r="C450">
        <v>70</v>
      </c>
      <c r="D450" t="s">
        <v>116</v>
      </c>
      <c r="E450" t="s">
        <v>17</v>
      </c>
      <c r="F450">
        <v>13.106</v>
      </c>
      <c r="G450" t="s">
        <v>15</v>
      </c>
    </row>
    <row r="451" spans="1:7" x14ac:dyDescent="0.25">
      <c r="A451">
        <v>27</v>
      </c>
      <c r="B451" t="s">
        <v>174</v>
      </c>
      <c r="C451">
        <v>80</v>
      </c>
      <c r="D451" t="s">
        <v>20</v>
      </c>
      <c r="E451" t="s">
        <v>17</v>
      </c>
      <c r="F451">
        <v>80.603999999999999</v>
      </c>
      <c r="G451" t="s">
        <v>15</v>
      </c>
    </row>
    <row r="452" spans="1:7" x14ac:dyDescent="0.25">
      <c r="A452">
        <v>27</v>
      </c>
      <c r="B452" t="s">
        <v>174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27</v>
      </c>
      <c r="B453" t="s">
        <v>174</v>
      </c>
      <c r="C453">
        <v>100</v>
      </c>
      <c r="D453" t="s">
        <v>117</v>
      </c>
      <c r="E453" t="s">
        <v>14</v>
      </c>
      <c r="F453">
        <v>9.6000000000000002E-2</v>
      </c>
      <c r="G453" t="s">
        <v>15</v>
      </c>
    </row>
    <row r="454" spans="1:7" x14ac:dyDescent="0.25">
      <c r="A454">
        <v>27</v>
      </c>
      <c r="B454" t="s">
        <v>174</v>
      </c>
      <c r="C454">
        <v>110</v>
      </c>
      <c r="D454" t="s">
        <v>118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174</v>
      </c>
      <c r="C455">
        <v>120</v>
      </c>
      <c r="D455" t="s">
        <v>25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174</v>
      </c>
      <c r="C456">
        <v>130</v>
      </c>
      <c r="D456" t="s">
        <v>26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174</v>
      </c>
      <c r="C457">
        <v>140</v>
      </c>
      <c r="D457" t="s">
        <v>108</v>
      </c>
      <c r="E457" t="s">
        <v>14</v>
      </c>
      <c r="F457">
        <v>1.216</v>
      </c>
      <c r="G457" t="s">
        <v>15</v>
      </c>
    </row>
    <row r="458" spans="1:7" x14ac:dyDescent="0.25">
      <c r="A458">
        <v>27</v>
      </c>
      <c r="B458" t="s">
        <v>174</v>
      </c>
      <c r="C458">
        <v>150</v>
      </c>
      <c r="D458" t="s">
        <v>307</v>
      </c>
      <c r="E458" t="s">
        <v>11</v>
      </c>
      <c r="F458">
        <v>1</v>
      </c>
      <c r="G458" t="s">
        <v>18</v>
      </c>
    </row>
    <row r="459" spans="1:7" x14ac:dyDescent="0.25">
      <c r="A459">
        <v>27</v>
      </c>
      <c r="B459" t="s">
        <v>174</v>
      </c>
      <c r="C459">
        <v>160</v>
      </c>
      <c r="D459" t="s">
        <v>308</v>
      </c>
      <c r="E459" t="s">
        <v>11</v>
      </c>
      <c r="F459">
        <v>1</v>
      </c>
      <c r="G459" t="s">
        <v>18</v>
      </c>
    </row>
    <row r="460" spans="1:7" x14ac:dyDescent="0.25">
      <c r="A460">
        <v>27</v>
      </c>
      <c r="B460" t="s">
        <v>174</v>
      </c>
      <c r="C460">
        <v>170</v>
      </c>
      <c r="D460" t="s">
        <v>527</v>
      </c>
      <c r="E460" t="s">
        <v>14</v>
      </c>
      <c r="F460">
        <v>0.6</v>
      </c>
      <c r="G460" t="s">
        <v>15</v>
      </c>
    </row>
    <row r="461" spans="1:7" x14ac:dyDescent="0.25">
      <c r="A461">
        <v>28</v>
      </c>
      <c r="B461" t="s">
        <v>176</v>
      </c>
      <c r="C461">
        <v>10</v>
      </c>
      <c r="D461" t="s">
        <v>309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176</v>
      </c>
      <c r="C462">
        <v>20</v>
      </c>
      <c r="D462" t="s">
        <v>300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176</v>
      </c>
      <c r="C463">
        <v>30</v>
      </c>
      <c r="D463" t="s">
        <v>110</v>
      </c>
      <c r="E463" t="s">
        <v>111</v>
      </c>
      <c r="F463">
        <v>0.8</v>
      </c>
      <c r="G463" t="s">
        <v>15</v>
      </c>
    </row>
    <row r="464" spans="1:7" x14ac:dyDescent="0.25">
      <c r="A464">
        <v>28</v>
      </c>
      <c r="B464" t="s">
        <v>176</v>
      </c>
      <c r="C464">
        <v>40</v>
      </c>
      <c r="D464" t="s">
        <v>202</v>
      </c>
      <c r="E464" t="s">
        <v>11</v>
      </c>
      <c r="F464">
        <v>2.0569999999999999</v>
      </c>
      <c r="G464" t="s">
        <v>15</v>
      </c>
    </row>
    <row r="465" spans="1:7" x14ac:dyDescent="0.25">
      <c r="A465">
        <v>28</v>
      </c>
      <c r="B465" t="s">
        <v>176</v>
      </c>
      <c r="C465">
        <v>50</v>
      </c>
      <c r="D465" t="s">
        <v>114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176</v>
      </c>
      <c r="C466">
        <v>60</v>
      </c>
      <c r="D466" t="s">
        <v>177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176</v>
      </c>
      <c r="C467">
        <v>70</v>
      </c>
      <c r="D467" t="s">
        <v>116</v>
      </c>
      <c r="E467" t="s">
        <v>17</v>
      </c>
      <c r="F467">
        <v>13.715999999999999</v>
      </c>
      <c r="G467" t="s">
        <v>15</v>
      </c>
    </row>
    <row r="468" spans="1:7" x14ac:dyDescent="0.25">
      <c r="A468">
        <v>28</v>
      </c>
      <c r="B468" t="s">
        <v>176</v>
      </c>
      <c r="C468">
        <v>80</v>
      </c>
      <c r="D468" t="s">
        <v>20</v>
      </c>
      <c r="E468" t="s">
        <v>17</v>
      </c>
      <c r="F468">
        <v>84.352999999999994</v>
      </c>
      <c r="G468" t="s">
        <v>15</v>
      </c>
    </row>
    <row r="469" spans="1:7" x14ac:dyDescent="0.25">
      <c r="A469">
        <v>28</v>
      </c>
      <c r="B469" t="s">
        <v>176</v>
      </c>
      <c r="C469">
        <v>90</v>
      </c>
      <c r="D469" t="s">
        <v>24</v>
      </c>
      <c r="E469" t="s">
        <v>11</v>
      </c>
      <c r="F469">
        <v>1</v>
      </c>
      <c r="G469" t="s">
        <v>15</v>
      </c>
    </row>
    <row r="470" spans="1:7" x14ac:dyDescent="0.25">
      <c r="A470">
        <v>28</v>
      </c>
      <c r="B470" t="s">
        <v>176</v>
      </c>
      <c r="C470">
        <v>100</v>
      </c>
      <c r="D470" t="s">
        <v>117</v>
      </c>
      <c r="E470" t="s">
        <v>14</v>
      </c>
      <c r="F470">
        <v>0.106</v>
      </c>
      <c r="G470" t="s">
        <v>15</v>
      </c>
    </row>
    <row r="471" spans="1:7" x14ac:dyDescent="0.25">
      <c r="A471">
        <v>28</v>
      </c>
      <c r="B471" t="s">
        <v>176</v>
      </c>
      <c r="C471">
        <v>110</v>
      </c>
      <c r="D471" t="s">
        <v>118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176</v>
      </c>
      <c r="C472">
        <v>120</v>
      </c>
      <c r="D472" t="s">
        <v>25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176</v>
      </c>
      <c r="C473">
        <v>130</v>
      </c>
      <c r="D473" t="s">
        <v>26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176</v>
      </c>
      <c r="C474">
        <v>140</v>
      </c>
      <c r="D474" t="s">
        <v>108</v>
      </c>
      <c r="E474" t="s">
        <v>14</v>
      </c>
      <c r="F474">
        <v>1.216</v>
      </c>
      <c r="G474" t="s">
        <v>15</v>
      </c>
    </row>
    <row r="475" spans="1:7" x14ac:dyDescent="0.25">
      <c r="A475">
        <v>28</v>
      </c>
      <c r="B475" t="s">
        <v>176</v>
      </c>
      <c r="C475">
        <v>150</v>
      </c>
      <c r="D475" t="s">
        <v>310</v>
      </c>
      <c r="E475" t="s">
        <v>11</v>
      </c>
      <c r="F475">
        <v>1</v>
      </c>
      <c r="G475" t="s">
        <v>18</v>
      </c>
    </row>
    <row r="476" spans="1:7" x14ac:dyDescent="0.25">
      <c r="A476">
        <v>28</v>
      </c>
      <c r="B476" t="s">
        <v>176</v>
      </c>
      <c r="C476">
        <v>160</v>
      </c>
      <c r="D476" t="s">
        <v>311</v>
      </c>
      <c r="E476" t="s">
        <v>11</v>
      </c>
      <c r="F476">
        <v>1</v>
      </c>
      <c r="G476" t="s">
        <v>18</v>
      </c>
    </row>
    <row r="477" spans="1:7" x14ac:dyDescent="0.25">
      <c r="A477">
        <v>28</v>
      </c>
      <c r="B477" t="s">
        <v>176</v>
      </c>
      <c r="C477">
        <v>170</v>
      </c>
      <c r="D477" t="s">
        <v>527</v>
      </c>
      <c r="E477" t="s">
        <v>14</v>
      </c>
      <c r="F477">
        <v>0.6</v>
      </c>
      <c r="G477" t="s">
        <v>15</v>
      </c>
    </row>
    <row r="478" spans="1:7" x14ac:dyDescent="0.25">
      <c r="A478">
        <v>29</v>
      </c>
      <c r="B478" t="s">
        <v>178</v>
      </c>
      <c r="C478">
        <v>10</v>
      </c>
      <c r="D478" t="s">
        <v>312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178</v>
      </c>
      <c r="C479">
        <v>20</v>
      </c>
      <c r="D479" t="s">
        <v>300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178</v>
      </c>
      <c r="C480">
        <v>30</v>
      </c>
      <c r="D480" t="s">
        <v>110</v>
      </c>
      <c r="E480" t="s">
        <v>111</v>
      </c>
      <c r="F480">
        <v>0.84799999999999998</v>
      </c>
      <c r="G480" t="s">
        <v>15</v>
      </c>
    </row>
    <row r="481" spans="1:7" x14ac:dyDescent="0.25">
      <c r="A481">
        <v>29</v>
      </c>
      <c r="B481" t="s">
        <v>178</v>
      </c>
      <c r="C481">
        <v>40</v>
      </c>
      <c r="D481" t="s">
        <v>202</v>
      </c>
      <c r="E481" t="s">
        <v>11</v>
      </c>
      <c r="F481">
        <v>2.0569999999999999</v>
      </c>
      <c r="G481" t="s">
        <v>15</v>
      </c>
    </row>
    <row r="482" spans="1:7" x14ac:dyDescent="0.25">
      <c r="A482">
        <v>29</v>
      </c>
      <c r="B482" t="s">
        <v>178</v>
      </c>
      <c r="C482">
        <v>50</v>
      </c>
      <c r="D482" t="s">
        <v>114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178</v>
      </c>
      <c r="C483">
        <v>60</v>
      </c>
      <c r="D483" t="s">
        <v>179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178</v>
      </c>
      <c r="C484">
        <v>70</v>
      </c>
      <c r="D484" t="s">
        <v>116</v>
      </c>
      <c r="E484" t="s">
        <v>17</v>
      </c>
      <c r="F484">
        <v>14.021000000000001</v>
      </c>
      <c r="G484" t="s">
        <v>15</v>
      </c>
    </row>
    <row r="485" spans="1:7" x14ac:dyDescent="0.25">
      <c r="A485">
        <v>29</v>
      </c>
      <c r="B485" t="s">
        <v>178</v>
      </c>
      <c r="C485">
        <v>80</v>
      </c>
      <c r="D485" t="s">
        <v>20</v>
      </c>
      <c r="E485" t="s">
        <v>17</v>
      </c>
      <c r="F485">
        <v>86.227999999999994</v>
      </c>
      <c r="G485" t="s">
        <v>15</v>
      </c>
    </row>
    <row r="486" spans="1:7" x14ac:dyDescent="0.25">
      <c r="A486">
        <v>29</v>
      </c>
      <c r="B486" t="s">
        <v>178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29</v>
      </c>
      <c r="B487" t="s">
        <v>178</v>
      </c>
      <c r="C487">
        <v>100</v>
      </c>
      <c r="D487" t="s">
        <v>117</v>
      </c>
      <c r="E487" t="s">
        <v>14</v>
      </c>
      <c r="F487">
        <v>0.111</v>
      </c>
      <c r="G487" t="s">
        <v>15</v>
      </c>
    </row>
    <row r="488" spans="1:7" x14ac:dyDescent="0.25">
      <c r="A488">
        <v>29</v>
      </c>
      <c r="B488" t="s">
        <v>178</v>
      </c>
      <c r="C488">
        <v>110</v>
      </c>
      <c r="D488" t="s">
        <v>118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178</v>
      </c>
      <c r="C489">
        <v>120</v>
      </c>
      <c r="D489" t="s">
        <v>25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178</v>
      </c>
      <c r="C490">
        <v>130</v>
      </c>
      <c r="D490" t="s">
        <v>26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178</v>
      </c>
      <c r="C491">
        <v>140</v>
      </c>
      <c r="D491" t="s">
        <v>108</v>
      </c>
      <c r="E491" t="s">
        <v>14</v>
      </c>
      <c r="F491">
        <v>1.216</v>
      </c>
      <c r="G491" t="s">
        <v>15</v>
      </c>
    </row>
    <row r="492" spans="1:7" x14ac:dyDescent="0.25">
      <c r="A492">
        <v>29</v>
      </c>
      <c r="B492" t="s">
        <v>178</v>
      </c>
      <c r="C492">
        <v>150</v>
      </c>
      <c r="D492" t="s">
        <v>313</v>
      </c>
      <c r="E492" t="s">
        <v>11</v>
      </c>
      <c r="F492">
        <v>1</v>
      </c>
      <c r="G492" t="s">
        <v>18</v>
      </c>
    </row>
    <row r="493" spans="1:7" x14ac:dyDescent="0.25">
      <c r="A493">
        <v>29</v>
      </c>
      <c r="B493" t="s">
        <v>178</v>
      </c>
      <c r="C493">
        <v>160</v>
      </c>
      <c r="D493" t="s">
        <v>314</v>
      </c>
      <c r="E493" t="s">
        <v>11</v>
      </c>
      <c r="F493">
        <v>1</v>
      </c>
      <c r="G493" t="s">
        <v>18</v>
      </c>
    </row>
    <row r="494" spans="1:7" x14ac:dyDescent="0.25">
      <c r="A494">
        <v>29</v>
      </c>
      <c r="B494" t="s">
        <v>178</v>
      </c>
      <c r="C494">
        <v>170</v>
      </c>
      <c r="D494" t="s">
        <v>527</v>
      </c>
      <c r="E494" t="s">
        <v>14</v>
      </c>
      <c r="F494">
        <v>0.6</v>
      </c>
      <c r="G494" t="s">
        <v>15</v>
      </c>
    </row>
    <row r="495" spans="1:7" x14ac:dyDescent="0.25">
      <c r="A495">
        <v>30</v>
      </c>
      <c r="B495" t="s">
        <v>180</v>
      </c>
      <c r="C495">
        <v>10</v>
      </c>
      <c r="D495" t="s">
        <v>315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180</v>
      </c>
      <c r="C496">
        <v>20</v>
      </c>
      <c r="D496" t="s">
        <v>300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180</v>
      </c>
      <c r="C497">
        <v>30</v>
      </c>
      <c r="D497" t="s">
        <v>110</v>
      </c>
      <c r="E497" t="s">
        <v>111</v>
      </c>
      <c r="F497">
        <v>0.89600000000000002</v>
      </c>
      <c r="G497" t="s">
        <v>15</v>
      </c>
    </row>
    <row r="498" spans="1:7" x14ac:dyDescent="0.25">
      <c r="A498">
        <v>30</v>
      </c>
      <c r="B498" t="s">
        <v>180</v>
      </c>
      <c r="C498">
        <v>40</v>
      </c>
      <c r="D498" t="s">
        <v>202</v>
      </c>
      <c r="E498" t="s">
        <v>11</v>
      </c>
      <c r="F498">
        <v>2.0569999999999999</v>
      </c>
      <c r="G498" t="s">
        <v>15</v>
      </c>
    </row>
    <row r="499" spans="1:7" x14ac:dyDescent="0.25">
      <c r="A499">
        <v>30</v>
      </c>
      <c r="B499" t="s">
        <v>180</v>
      </c>
      <c r="C499">
        <v>50</v>
      </c>
      <c r="D499" t="s">
        <v>114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180</v>
      </c>
      <c r="C500">
        <v>60</v>
      </c>
      <c r="D500" t="s">
        <v>181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180</v>
      </c>
      <c r="C501">
        <v>70</v>
      </c>
      <c r="D501" t="s">
        <v>116</v>
      </c>
      <c r="E501" t="s">
        <v>17</v>
      </c>
      <c r="F501">
        <v>14.326000000000001</v>
      </c>
      <c r="G501" t="s">
        <v>15</v>
      </c>
    </row>
    <row r="502" spans="1:7" x14ac:dyDescent="0.25">
      <c r="A502">
        <v>30</v>
      </c>
      <c r="B502" t="s">
        <v>180</v>
      </c>
      <c r="C502">
        <v>80</v>
      </c>
      <c r="D502" t="s">
        <v>20</v>
      </c>
      <c r="E502" t="s">
        <v>17</v>
      </c>
      <c r="F502">
        <v>88.102000000000004</v>
      </c>
      <c r="G502" t="s">
        <v>15</v>
      </c>
    </row>
    <row r="503" spans="1:7" x14ac:dyDescent="0.25">
      <c r="A503">
        <v>30</v>
      </c>
      <c r="B503" t="s">
        <v>180</v>
      </c>
      <c r="C503">
        <v>90</v>
      </c>
      <c r="D503" t="s">
        <v>24</v>
      </c>
      <c r="E503" t="s">
        <v>11</v>
      </c>
      <c r="F503">
        <v>1</v>
      </c>
      <c r="G503" t="s">
        <v>15</v>
      </c>
    </row>
    <row r="504" spans="1:7" x14ac:dyDescent="0.25">
      <c r="A504">
        <v>30</v>
      </c>
      <c r="B504" t="s">
        <v>180</v>
      </c>
      <c r="C504">
        <v>100</v>
      </c>
      <c r="D504" t="s">
        <v>117</v>
      </c>
      <c r="E504" t="s">
        <v>14</v>
      </c>
      <c r="F504">
        <v>0.115</v>
      </c>
      <c r="G504" t="s">
        <v>15</v>
      </c>
    </row>
    <row r="505" spans="1:7" x14ac:dyDescent="0.25">
      <c r="A505">
        <v>30</v>
      </c>
      <c r="B505" t="s">
        <v>180</v>
      </c>
      <c r="C505">
        <v>110</v>
      </c>
      <c r="D505" t="s">
        <v>118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180</v>
      </c>
      <c r="C506">
        <v>120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180</v>
      </c>
      <c r="C507">
        <v>130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180</v>
      </c>
      <c r="C508">
        <v>140</v>
      </c>
      <c r="D508" t="s">
        <v>108</v>
      </c>
      <c r="E508" t="s">
        <v>14</v>
      </c>
      <c r="F508">
        <v>1.216</v>
      </c>
      <c r="G508" t="s">
        <v>15</v>
      </c>
    </row>
    <row r="509" spans="1:7" x14ac:dyDescent="0.25">
      <c r="A509">
        <v>30</v>
      </c>
      <c r="B509" t="s">
        <v>180</v>
      </c>
      <c r="C509">
        <v>150</v>
      </c>
      <c r="D509" t="s">
        <v>316</v>
      </c>
      <c r="E509" t="s">
        <v>11</v>
      </c>
      <c r="F509">
        <v>1</v>
      </c>
      <c r="G509" t="s">
        <v>18</v>
      </c>
    </row>
    <row r="510" spans="1:7" x14ac:dyDescent="0.25">
      <c r="A510">
        <v>30</v>
      </c>
      <c r="B510" t="s">
        <v>180</v>
      </c>
      <c r="C510">
        <v>160</v>
      </c>
      <c r="D510" t="s">
        <v>317</v>
      </c>
      <c r="E510" t="s">
        <v>11</v>
      </c>
      <c r="F510">
        <v>1</v>
      </c>
      <c r="G510" t="s">
        <v>18</v>
      </c>
    </row>
    <row r="511" spans="1:7" x14ac:dyDescent="0.25">
      <c r="A511">
        <v>30</v>
      </c>
      <c r="B511" t="s">
        <v>180</v>
      </c>
      <c r="C511">
        <v>170</v>
      </c>
      <c r="D511" t="s">
        <v>527</v>
      </c>
      <c r="E511" t="s">
        <v>14</v>
      </c>
      <c r="F511">
        <v>0.6</v>
      </c>
      <c r="G511" t="s">
        <v>15</v>
      </c>
    </row>
    <row r="512" spans="1:7" x14ac:dyDescent="0.25">
      <c r="A512">
        <v>31</v>
      </c>
      <c r="B512" t="s">
        <v>182</v>
      </c>
      <c r="C512">
        <v>10</v>
      </c>
      <c r="D512" t="s">
        <v>318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182</v>
      </c>
      <c r="C513">
        <v>20</v>
      </c>
      <c r="D513" t="s">
        <v>300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182</v>
      </c>
      <c r="C514">
        <v>30</v>
      </c>
      <c r="D514" t="s">
        <v>110</v>
      </c>
      <c r="E514" t="s">
        <v>111</v>
      </c>
      <c r="F514">
        <v>0.99199999999999999</v>
      </c>
      <c r="G514" t="s">
        <v>15</v>
      </c>
    </row>
    <row r="515" spans="1:7" x14ac:dyDescent="0.25">
      <c r="A515">
        <v>31</v>
      </c>
      <c r="B515" t="s">
        <v>182</v>
      </c>
      <c r="C515">
        <v>40</v>
      </c>
      <c r="D515" t="s">
        <v>202</v>
      </c>
      <c r="E515" t="s">
        <v>11</v>
      </c>
      <c r="F515">
        <v>2.0569999999999999</v>
      </c>
      <c r="G515" t="s">
        <v>15</v>
      </c>
    </row>
    <row r="516" spans="1:7" x14ac:dyDescent="0.25">
      <c r="A516">
        <v>31</v>
      </c>
      <c r="B516" t="s">
        <v>182</v>
      </c>
      <c r="C516">
        <v>50</v>
      </c>
      <c r="D516" t="s">
        <v>114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182</v>
      </c>
      <c r="C517">
        <v>60</v>
      </c>
      <c r="D517" t="s">
        <v>183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182</v>
      </c>
      <c r="C518">
        <v>70</v>
      </c>
      <c r="D518" t="s">
        <v>116</v>
      </c>
      <c r="E518" t="s">
        <v>17</v>
      </c>
      <c r="F518">
        <v>14.935</v>
      </c>
      <c r="G518" t="s">
        <v>15</v>
      </c>
    </row>
    <row r="519" spans="1:7" x14ac:dyDescent="0.25">
      <c r="A519">
        <v>31</v>
      </c>
      <c r="B519" t="s">
        <v>182</v>
      </c>
      <c r="C519">
        <v>80</v>
      </c>
      <c r="D519" t="s">
        <v>20</v>
      </c>
      <c r="E519" t="s">
        <v>17</v>
      </c>
      <c r="F519">
        <v>91.850999999999999</v>
      </c>
      <c r="G519" t="s">
        <v>15</v>
      </c>
    </row>
    <row r="520" spans="1:7" x14ac:dyDescent="0.25">
      <c r="A520">
        <v>31</v>
      </c>
      <c r="B520" t="s">
        <v>182</v>
      </c>
      <c r="C520">
        <v>90</v>
      </c>
      <c r="D520" t="s">
        <v>24</v>
      </c>
      <c r="E520" t="s">
        <v>11</v>
      </c>
      <c r="F520">
        <v>1</v>
      </c>
      <c r="G520" t="s">
        <v>15</v>
      </c>
    </row>
    <row r="521" spans="1:7" x14ac:dyDescent="0.25">
      <c r="A521">
        <v>31</v>
      </c>
      <c r="B521" t="s">
        <v>182</v>
      </c>
      <c r="C521">
        <v>100</v>
      </c>
      <c r="D521" t="s">
        <v>117</v>
      </c>
      <c r="E521" t="s">
        <v>14</v>
      </c>
      <c r="F521">
        <v>0.125</v>
      </c>
      <c r="G521" t="s">
        <v>15</v>
      </c>
    </row>
    <row r="522" spans="1:7" x14ac:dyDescent="0.25">
      <c r="A522">
        <v>31</v>
      </c>
      <c r="B522" t="s">
        <v>182</v>
      </c>
      <c r="C522">
        <v>110</v>
      </c>
      <c r="D522" t="s">
        <v>118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182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182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182</v>
      </c>
      <c r="C525">
        <v>140</v>
      </c>
      <c r="D525" t="s">
        <v>108</v>
      </c>
      <c r="E525" t="s">
        <v>14</v>
      </c>
      <c r="F525">
        <v>1.216</v>
      </c>
      <c r="G525" t="s">
        <v>15</v>
      </c>
    </row>
    <row r="526" spans="1:7" x14ac:dyDescent="0.25">
      <c r="A526">
        <v>31</v>
      </c>
      <c r="B526" t="s">
        <v>182</v>
      </c>
      <c r="C526">
        <v>150</v>
      </c>
      <c r="D526" t="s">
        <v>319</v>
      </c>
      <c r="E526" t="s">
        <v>11</v>
      </c>
      <c r="F526">
        <v>1</v>
      </c>
      <c r="G526" t="s">
        <v>18</v>
      </c>
    </row>
    <row r="527" spans="1:7" x14ac:dyDescent="0.25">
      <c r="A527">
        <v>31</v>
      </c>
      <c r="B527" t="s">
        <v>182</v>
      </c>
      <c r="C527">
        <v>160</v>
      </c>
      <c r="D527" t="s">
        <v>320</v>
      </c>
      <c r="E527" t="s">
        <v>11</v>
      </c>
      <c r="F527">
        <v>1</v>
      </c>
      <c r="G527" t="s">
        <v>18</v>
      </c>
    </row>
    <row r="528" spans="1:7" x14ac:dyDescent="0.25">
      <c r="A528">
        <v>31</v>
      </c>
      <c r="B528" t="s">
        <v>182</v>
      </c>
      <c r="C528">
        <v>170</v>
      </c>
      <c r="D528" t="s">
        <v>528</v>
      </c>
      <c r="E528" t="s">
        <v>14</v>
      </c>
      <c r="F528">
        <v>0.8</v>
      </c>
      <c r="G528" t="s">
        <v>15</v>
      </c>
    </row>
    <row r="529" spans="1:7" x14ac:dyDescent="0.25">
      <c r="A529">
        <v>32</v>
      </c>
      <c r="B529" t="s">
        <v>184</v>
      </c>
      <c r="C529">
        <v>10</v>
      </c>
      <c r="D529" t="s">
        <v>321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184</v>
      </c>
      <c r="C530">
        <v>20</v>
      </c>
      <c r="D530" t="s">
        <v>300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184</v>
      </c>
      <c r="C531">
        <v>30</v>
      </c>
      <c r="D531" t="s">
        <v>110</v>
      </c>
      <c r="E531" t="s">
        <v>111</v>
      </c>
      <c r="F531">
        <v>1.0880000000000001</v>
      </c>
      <c r="G531" t="s">
        <v>15</v>
      </c>
    </row>
    <row r="532" spans="1:7" x14ac:dyDescent="0.25">
      <c r="A532">
        <v>32</v>
      </c>
      <c r="B532" t="s">
        <v>184</v>
      </c>
      <c r="C532">
        <v>40</v>
      </c>
      <c r="D532" t="s">
        <v>202</v>
      </c>
      <c r="E532" t="s">
        <v>11</v>
      </c>
      <c r="F532">
        <v>2.0569999999999999</v>
      </c>
      <c r="G532" t="s">
        <v>15</v>
      </c>
    </row>
    <row r="533" spans="1:7" x14ac:dyDescent="0.25">
      <c r="A533">
        <v>32</v>
      </c>
      <c r="B533" t="s">
        <v>184</v>
      </c>
      <c r="C533">
        <v>50</v>
      </c>
      <c r="D533" t="s">
        <v>114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184</v>
      </c>
      <c r="C534">
        <v>60</v>
      </c>
      <c r="D534" t="s">
        <v>185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184</v>
      </c>
      <c r="C535">
        <v>70</v>
      </c>
      <c r="D535" t="s">
        <v>116</v>
      </c>
      <c r="E535" t="s">
        <v>17</v>
      </c>
      <c r="F535">
        <v>15.545</v>
      </c>
      <c r="G535" t="s">
        <v>15</v>
      </c>
    </row>
    <row r="536" spans="1:7" x14ac:dyDescent="0.25">
      <c r="A536">
        <v>32</v>
      </c>
      <c r="B536" t="s">
        <v>184</v>
      </c>
      <c r="C536">
        <v>80</v>
      </c>
      <c r="D536" t="s">
        <v>20</v>
      </c>
      <c r="E536" t="s">
        <v>17</v>
      </c>
      <c r="F536">
        <v>95.600999999999999</v>
      </c>
      <c r="G536" t="s">
        <v>15</v>
      </c>
    </row>
    <row r="537" spans="1:7" x14ac:dyDescent="0.25">
      <c r="A537">
        <v>32</v>
      </c>
      <c r="B537" t="s">
        <v>184</v>
      </c>
      <c r="C537">
        <v>90</v>
      </c>
      <c r="D537" t="s">
        <v>24</v>
      </c>
      <c r="E537" t="s">
        <v>11</v>
      </c>
      <c r="F537">
        <v>1</v>
      </c>
      <c r="G537" t="s">
        <v>15</v>
      </c>
    </row>
    <row r="538" spans="1:7" x14ac:dyDescent="0.25">
      <c r="A538">
        <v>32</v>
      </c>
      <c r="B538" t="s">
        <v>184</v>
      </c>
      <c r="C538">
        <v>100</v>
      </c>
      <c r="D538" t="s">
        <v>117</v>
      </c>
      <c r="E538" t="s">
        <v>14</v>
      </c>
      <c r="F538">
        <v>0.13500000000000001</v>
      </c>
      <c r="G538" t="s">
        <v>15</v>
      </c>
    </row>
    <row r="539" spans="1:7" x14ac:dyDescent="0.25">
      <c r="A539">
        <v>32</v>
      </c>
      <c r="B539" t="s">
        <v>184</v>
      </c>
      <c r="C539">
        <v>110</v>
      </c>
      <c r="D539" t="s">
        <v>118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184</v>
      </c>
      <c r="C540">
        <v>120</v>
      </c>
      <c r="D540" t="s">
        <v>25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184</v>
      </c>
      <c r="C541">
        <v>130</v>
      </c>
      <c r="D541" t="s">
        <v>26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184</v>
      </c>
      <c r="C542">
        <v>140</v>
      </c>
      <c r="D542" t="s">
        <v>108</v>
      </c>
      <c r="E542" t="s">
        <v>14</v>
      </c>
      <c r="F542">
        <v>1.216</v>
      </c>
      <c r="G542" t="s">
        <v>15</v>
      </c>
    </row>
    <row r="543" spans="1:7" x14ac:dyDescent="0.25">
      <c r="A543">
        <v>32</v>
      </c>
      <c r="B543" t="s">
        <v>184</v>
      </c>
      <c r="C543">
        <v>150</v>
      </c>
      <c r="D543" t="s">
        <v>322</v>
      </c>
      <c r="E543" t="s">
        <v>11</v>
      </c>
      <c r="F543">
        <v>1</v>
      </c>
      <c r="G543" t="s">
        <v>18</v>
      </c>
    </row>
    <row r="544" spans="1:7" x14ac:dyDescent="0.25">
      <c r="A544">
        <v>32</v>
      </c>
      <c r="B544" t="s">
        <v>184</v>
      </c>
      <c r="C544">
        <v>160</v>
      </c>
      <c r="D544" t="s">
        <v>323</v>
      </c>
      <c r="E544" t="s">
        <v>11</v>
      </c>
      <c r="F544">
        <v>1</v>
      </c>
      <c r="G544" t="s">
        <v>18</v>
      </c>
    </row>
    <row r="545" spans="1:7" x14ac:dyDescent="0.25">
      <c r="A545">
        <v>32</v>
      </c>
      <c r="B545" t="s">
        <v>184</v>
      </c>
      <c r="C545">
        <v>170</v>
      </c>
      <c r="D545" t="s">
        <v>528</v>
      </c>
      <c r="E545" t="s">
        <v>14</v>
      </c>
      <c r="F545">
        <v>0.8</v>
      </c>
      <c r="G545" t="s">
        <v>15</v>
      </c>
    </row>
    <row r="546" spans="1:7" x14ac:dyDescent="0.25">
      <c r="A546">
        <v>33</v>
      </c>
      <c r="B546" t="s">
        <v>186</v>
      </c>
      <c r="C546">
        <v>10</v>
      </c>
      <c r="D546" t="s">
        <v>324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186</v>
      </c>
      <c r="C547">
        <v>20</v>
      </c>
      <c r="D547" t="s">
        <v>300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186</v>
      </c>
      <c r="C548">
        <v>30</v>
      </c>
      <c r="D548" t="s">
        <v>110</v>
      </c>
      <c r="E548" t="s">
        <v>111</v>
      </c>
      <c r="F548">
        <v>0.53800000000000003</v>
      </c>
      <c r="G548" t="s">
        <v>15</v>
      </c>
    </row>
    <row r="549" spans="1:7" x14ac:dyDescent="0.25">
      <c r="A549">
        <v>33</v>
      </c>
      <c r="B549" t="s">
        <v>186</v>
      </c>
      <c r="C549">
        <v>40</v>
      </c>
      <c r="D549" t="s">
        <v>202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33</v>
      </c>
      <c r="B550" t="s">
        <v>186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186</v>
      </c>
      <c r="C551">
        <v>60</v>
      </c>
      <c r="D551" t="s">
        <v>187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186</v>
      </c>
      <c r="C552">
        <v>70</v>
      </c>
      <c r="D552" t="s">
        <v>116</v>
      </c>
      <c r="E552" t="s">
        <v>17</v>
      </c>
      <c r="F552">
        <v>12.294</v>
      </c>
      <c r="G552" t="s">
        <v>15</v>
      </c>
    </row>
    <row r="553" spans="1:7" x14ac:dyDescent="0.25">
      <c r="A553">
        <v>33</v>
      </c>
      <c r="B553" t="s">
        <v>186</v>
      </c>
      <c r="C553">
        <v>80</v>
      </c>
      <c r="D553" t="s">
        <v>20</v>
      </c>
      <c r="E553" t="s">
        <v>17</v>
      </c>
      <c r="F553">
        <v>75.605999999999995</v>
      </c>
      <c r="G553" t="s">
        <v>15</v>
      </c>
    </row>
    <row r="554" spans="1:7" x14ac:dyDescent="0.25">
      <c r="A554">
        <v>33</v>
      </c>
      <c r="B554" t="s">
        <v>186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33</v>
      </c>
      <c r="B555" t="s">
        <v>186</v>
      </c>
      <c r="C555">
        <v>100</v>
      </c>
      <c r="D555" t="s">
        <v>117</v>
      </c>
      <c r="E555" t="s">
        <v>14</v>
      </c>
      <c r="F555">
        <v>7.5999999999999998E-2</v>
      </c>
      <c r="G555" t="s">
        <v>15</v>
      </c>
    </row>
    <row r="556" spans="1:7" x14ac:dyDescent="0.25">
      <c r="A556">
        <v>33</v>
      </c>
      <c r="B556" t="s">
        <v>186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186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186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186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33</v>
      </c>
      <c r="B560" t="s">
        <v>186</v>
      </c>
      <c r="C560">
        <v>150</v>
      </c>
      <c r="D560" t="s">
        <v>325</v>
      </c>
      <c r="E560" t="s">
        <v>11</v>
      </c>
      <c r="F560">
        <v>1</v>
      </c>
      <c r="G560" t="s">
        <v>18</v>
      </c>
    </row>
    <row r="561" spans="1:7" x14ac:dyDescent="0.25">
      <c r="A561">
        <v>33</v>
      </c>
      <c r="B561" t="s">
        <v>186</v>
      </c>
      <c r="C561">
        <v>160</v>
      </c>
      <c r="D561" t="s">
        <v>326</v>
      </c>
      <c r="E561" t="s">
        <v>11</v>
      </c>
      <c r="F561">
        <v>1</v>
      </c>
      <c r="G561" t="s">
        <v>18</v>
      </c>
    </row>
    <row r="562" spans="1:7" x14ac:dyDescent="0.25">
      <c r="A562">
        <v>33</v>
      </c>
      <c r="B562" t="s">
        <v>186</v>
      </c>
      <c r="C562">
        <v>170</v>
      </c>
      <c r="D562" t="s">
        <v>526</v>
      </c>
      <c r="E562" t="s">
        <v>14</v>
      </c>
      <c r="F562">
        <v>0.5</v>
      </c>
      <c r="G562" t="s">
        <v>15</v>
      </c>
    </row>
    <row r="563" spans="1:7" x14ac:dyDescent="0.25">
      <c r="A563">
        <v>34</v>
      </c>
      <c r="B563" t="s">
        <v>188</v>
      </c>
      <c r="C563">
        <v>10</v>
      </c>
      <c r="D563" t="s">
        <v>327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188</v>
      </c>
      <c r="C564">
        <v>20</v>
      </c>
      <c r="D564" t="s">
        <v>300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188</v>
      </c>
      <c r="C565">
        <v>30</v>
      </c>
      <c r="D565" t="s">
        <v>110</v>
      </c>
      <c r="E565" t="s">
        <v>111</v>
      </c>
      <c r="F565">
        <v>0.63900000000000001</v>
      </c>
      <c r="G565" t="s">
        <v>15</v>
      </c>
    </row>
    <row r="566" spans="1:7" x14ac:dyDescent="0.25">
      <c r="A566">
        <v>34</v>
      </c>
      <c r="B566" t="s">
        <v>188</v>
      </c>
      <c r="C566">
        <v>40</v>
      </c>
      <c r="D566" t="s">
        <v>202</v>
      </c>
      <c r="E566" t="s">
        <v>11</v>
      </c>
      <c r="F566">
        <v>2.1589999999999998</v>
      </c>
      <c r="G566" t="s">
        <v>15</v>
      </c>
    </row>
    <row r="567" spans="1:7" x14ac:dyDescent="0.25">
      <c r="A567">
        <v>34</v>
      </c>
      <c r="B567" t="s">
        <v>188</v>
      </c>
      <c r="C567">
        <v>50</v>
      </c>
      <c r="D567" t="s">
        <v>114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188</v>
      </c>
      <c r="C568">
        <v>60</v>
      </c>
      <c r="D568" t="s">
        <v>189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188</v>
      </c>
      <c r="C569">
        <v>70</v>
      </c>
      <c r="D569" t="s">
        <v>116</v>
      </c>
      <c r="E569" t="s">
        <v>17</v>
      </c>
      <c r="F569">
        <v>12.903</v>
      </c>
      <c r="G569" t="s">
        <v>15</v>
      </c>
    </row>
    <row r="570" spans="1:7" x14ac:dyDescent="0.25">
      <c r="A570">
        <v>34</v>
      </c>
      <c r="B570" t="s">
        <v>188</v>
      </c>
      <c r="C570">
        <v>80</v>
      </c>
      <c r="D570" t="s">
        <v>20</v>
      </c>
      <c r="E570" t="s">
        <v>17</v>
      </c>
      <c r="F570">
        <v>79.355000000000004</v>
      </c>
      <c r="G570" t="s">
        <v>15</v>
      </c>
    </row>
    <row r="571" spans="1:7" x14ac:dyDescent="0.25">
      <c r="A571">
        <v>34</v>
      </c>
      <c r="B571" t="s">
        <v>188</v>
      </c>
      <c r="C571">
        <v>90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34</v>
      </c>
      <c r="B572" t="s">
        <v>188</v>
      </c>
      <c r="C572">
        <v>100</v>
      </c>
      <c r="D572" t="s">
        <v>117</v>
      </c>
      <c r="E572" t="s">
        <v>14</v>
      </c>
      <c r="F572">
        <v>8.5999999999999993E-2</v>
      </c>
      <c r="G572" t="s">
        <v>15</v>
      </c>
    </row>
    <row r="573" spans="1:7" x14ac:dyDescent="0.25">
      <c r="A573">
        <v>34</v>
      </c>
      <c r="B573" t="s">
        <v>188</v>
      </c>
      <c r="C573">
        <v>110</v>
      </c>
      <c r="D573" t="s">
        <v>118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188</v>
      </c>
      <c r="C574">
        <v>120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188</v>
      </c>
      <c r="C575">
        <v>130</v>
      </c>
      <c r="D575" t="s">
        <v>26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188</v>
      </c>
      <c r="C576">
        <v>140</v>
      </c>
      <c r="D576" t="s">
        <v>108</v>
      </c>
      <c r="E576" t="s">
        <v>14</v>
      </c>
      <c r="F576">
        <v>1.27</v>
      </c>
      <c r="G576" t="s">
        <v>15</v>
      </c>
    </row>
    <row r="577" spans="1:7" x14ac:dyDescent="0.25">
      <c r="A577">
        <v>34</v>
      </c>
      <c r="B577" t="s">
        <v>188</v>
      </c>
      <c r="C577">
        <v>150</v>
      </c>
      <c r="D577" t="s">
        <v>328</v>
      </c>
      <c r="E577" t="s">
        <v>11</v>
      </c>
      <c r="F577">
        <v>1</v>
      </c>
      <c r="G577" t="s">
        <v>18</v>
      </c>
    </row>
    <row r="578" spans="1:7" x14ac:dyDescent="0.25">
      <c r="A578">
        <v>34</v>
      </c>
      <c r="B578" t="s">
        <v>188</v>
      </c>
      <c r="C578">
        <v>160</v>
      </c>
      <c r="D578" t="s">
        <v>329</v>
      </c>
      <c r="E578" t="s">
        <v>11</v>
      </c>
      <c r="F578">
        <v>1</v>
      </c>
      <c r="G578" t="s">
        <v>18</v>
      </c>
    </row>
    <row r="579" spans="1:7" x14ac:dyDescent="0.25">
      <c r="A579">
        <v>34</v>
      </c>
      <c r="B579" t="s">
        <v>188</v>
      </c>
      <c r="C579">
        <v>170</v>
      </c>
      <c r="D579" t="s">
        <v>527</v>
      </c>
      <c r="E579" t="s">
        <v>14</v>
      </c>
      <c r="F579">
        <v>0.6</v>
      </c>
      <c r="G579" t="s">
        <v>15</v>
      </c>
    </row>
    <row r="580" spans="1:7" x14ac:dyDescent="0.25">
      <c r="A580">
        <v>35</v>
      </c>
      <c r="B580" t="s">
        <v>190</v>
      </c>
      <c r="C580">
        <v>10</v>
      </c>
      <c r="D580" t="s">
        <v>330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190</v>
      </c>
      <c r="C581">
        <v>20</v>
      </c>
      <c r="D581" t="s">
        <v>300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190</v>
      </c>
      <c r="C582">
        <v>30</v>
      </c>
      <c r="D582" t="s">
        <v>110</v>
      </c>
      <c r="E582" t="s">
        <v>111</v>
      </c>
      <c r="F582">
        <v>0.74</v>
      </c>
      <c r="G582" t="s">
        <v>15</v>
      </c>
    </row>
    <row r="583" spans="1:7" x14ac:dyDescent="0.25">
      <c r="A583">
        <v>35</v>
      </c>
      <c r="B583" t="s">
        <v>190</v>
      </c>
      <c r="C583">
        <v>40</v>
      </c>
      <c r="D583" t="s">
        <v>202</v>
      </c>
      <c r="E583" t="s">
        <v>11</v>
      </c>
      <c r="F583">
        <v>2.1589999999999998</v>
      </c>
      <c r="G583" t="s">
        <v>15</v>
      </c>
    </row>
    <row r="584" spans="1:7" x14ac:dyDescent="0.25">
      <c r="A584">
        <v>35</v>
      </c>
      <c r="B584" t="s">
        <v>190</v>
      </c>
      <c r="C584">
        <v>50</v>
      </c>
      <c r="D584" t="s">
        <v>114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190</v>
      </c>
      <c r="C585">
        <v>60</v>
      </c>
      <c r="D585" t="s">
        <v>191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190</v>
      </c>
      <c r="C586">
        <v>70</v>
      </c>
      <c r="D586" t="s">
        <v>116</v>
      </c>
      <c r="E586" t="s">
        <v>17</v>
      </c>
      <c r="F586">
        <v>13.513</v>
      </c>
      <c r="G586" t="s">
        <v>15</v>
      </c>
    </row>
    <row r="587" spans="1:7" x14ac:dyDescent="0.25">
      <c r="A587">
        <v>35</v>
      </c>
      <c r="B587" t="s">
        <v>190</v>
      </c>
      <c r="C587">
        <v>80</v>
      </c>
      <c r="D587" t="s">
        <v>20</v>
      </c>
      <c r="E587" t="s">
        <v>17</v>
      </c>
      <c r="F587">
        <v>83.103999999999999</v>
      </c>
      <c r="G587" t="s">
        <v>15</v>
      </c>
    </row>
    <row r="588" spans="1:7" x14ac:dyDescent="0.25">
      <c r="A588">
        <v>35</v>
      </c>
      <c r="B588" t="s">
        <v>190</v>
      </c>
      <c r="C588">
        <v>90</v>
      </c>
      <c r="D588" t="s">
        <v>24</v>
      </c>
      <c r="E588" t="s">
        <v>11</v>
      </c>
      <c r="F588">
        <v>1</v>
      </c>
      <c r="G588" t="s">
        <v>15</v>
      </c>
    </row>
    <row r="589" spans="1:7" x14ac:dyDescent="0.25">
      <c r="A589">
        <v>35</v>
      </c>
      <c r="B589" t="s">
        <v>190</v>
      </c>
      <c r="C589">
        <v>100</v>
      </c>
      <c r="D589" t="s">
        <v>117</v>
      </c>
      <c r="E589" t="s">
        <v>14</v>
      </c>
      <c r="F589">
        <v>9.6000000000000002E-2</v>
      </c>
      <c r="G589" t="s">
        <v>15</v>
      </c>
    </row>
    <row r="590" spans="1:7" x14ac:dyDescent="0.25">
      <c r="A590">
        <v>35</v>
      </c>
      <c r="B590" t="s">
        <v>190</v>
      </c>
      <c r="C590">
        <v>110</v>
      </c>
      <c r="D590" t="s">
        <v>118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190</v>
      </c>
      <c r="C591">
        <v>120</v>
      </c>
      <c r="D591" t="s">
        <v>25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190</v>
      </c>
      <c r="C592">
        <v>130</v>
      </c>
      <c r="D592" t="s">
        <v>26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190</v>
      </c>
      <c r="C593">
        <v>140</v>
      </c>
      <c r="D593" t="s">
        <v>108</v>
      </c>
      <c r="E593" t="s">
        <v>14</v>
      </c>
      <c r="F593">
        <v>1.27</v>
      </c>
      <c r="G593" t="s">
        <v>15</v>
      </c>
    </row>
    <row r="594" spans="1:7" x14ac:dyDescent="0.25">
      <c r="A594">
        <v>35</v>
      </c>
      <c r="B594" t="s">
        <v>190</v>
      </c>
      <c r="C594">
        <v>150</v>
      </c>
      <c r="D594" t="s">
        <v>331</v>
      </c>
      <c r="E594" t="s">
        <v>11</v>
      </c>
      <c r="F594">
        <v>1</v>
      </c>
      <c r="G594" t="s">
        <v>18</v>
      </c>
    </row>
    <row r="595" spans="1:7" x14ac:dyDescent="0.25">
      <c r="A595">
        <v>35</v>
      </c>
      <c r="B595" t="s">
        <v>190</v>
      </c>
      <c r="C595">
        <v>160</v>
      </c>
      <c r="D595" t="s">
        <v>332</v>
      </c>
      <c r="E595" t="s">
        <v>11</v>
      </c>
      <c r="F595">
        <v>1</v>
      </c>
      <c r="G595" t="s">
        <v>18</v>
      </c>
    </row>
    <row r="596" spans="1:7" x14ac:dyDescent="0.25">
      <c r="A596">
        <v>35</v>
      </c>
      <c r="B596" t="s">
        <v>190</v>
      </c>
      <c r="C596">
        <v>170</v>
      </c>
      <c r="D596" t="s">
        <v>527</v>
      </c>
      <c r="E596" t="s">
        <v>14</v>
      </c>
      <c r="F596">
        <v>0.6</v>
      </c>
      <c r="G596" t="s">
        <v>15</v>
      </c>
    </row>
    <row r="597" spans="1:7" x14ac:dyDescent="0.25">
      <c r="A597">
        <v>36</v>
      </c>
      <c r="B597" t="s">
        <v>192</v>
      </c>
      <c r="C597">
        <v>10</v>
      </c>
      <c r="D597" t="s">
        <v>333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192</v>
      </c>
      <c r="C598">
        <v>20</v>
      </c>
      <c r="D598" t="s">
        <v>300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192</v>
      </c>
      <c r="C599">
        <v>30</v>
      </c>
      <c r="D599" t="s">
        <v>110</v>
      </c>
      <c r="E599" t="s">
        <v>111</v>
      </c>
      <c r="F599">
        <v>0.84</v>
      </c>
      <c r="G599" t="s">
        <v>15</v>
      </c>
    </row>
    <row r="600" spans="1:7" x14ac:dyDescent="0.25">
      <c r="A600">
        <v>36</v>
      </c>
      <c r="B600" t="s">
        <v>192</v>
      </c>
      <c r="C600">
        <v>40</v>
      </c>
      <c r="D600" t="s">
        <v>202</v>
      </c>
      <c r="E600" t="s">
        <v>11</v>
      </c>
      <c r="F600">
        <v>2.1589999999999998</v>
      </c>
      <c r="G600" t="s">
        <v>15</v>
      </c>
    </row>
    <row r="601" spans="1:7" x14ac:dyDescent="0.25">
      <c r="A601">
        <v>36</v>
      </c>
      <c r="B601" t="s">
        <v>192</v>
      </c>
      <c r="C601">
        <v>50</v>
      </c>
      <c r="D601" t="s">
        <v>114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192</v>
      </c>
      <c r="C602">
        <v>60</v>
      </c>
      <c r="D602" t="s">
        <v>193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192</v>
      </c>
      <c r="C603">
        <v>70</v>
      </c>
      <c r="D603" t="s">
        <v>116</v>
      </c>
      <c r="E603" t="s">
        <v>17</v>
      </c>
      <c r="F603">
        <v>14.122</v>
      </c>
      <c r="G603" t="s">
        <v>15</v>
      </c>
    </row>
    <row r="604" spans="1:7" x14ac:dyDescent="0.25">
      <c r="A604">
        <v>36</v>
      </c>
      <c r="B604" t="s">
        <v>192</v>
      </c>
      <c r="C604">
        <v>80</v>
      </c>
      <c r="D604" t="s">
        <v>20</v>
      </c>
      <c r="E604" t="s">
        <v>17</v>
      </c>
      <c r="F604">
        <v>86.852999999999994</v>
      </c>
      <c r="G604" t="s">
        <v>15</v>
      </c>
    </row>
    <row r="605" spans="1:7" x14ac:dyDescent="0.25">
      <c r="A605">
        <v>36</v>
      </c>
      <c r="B605" t="s">
        <v>192</v>
      </c>
      <c r="C605">
        <v>90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36</v>
      </c>
      <c r="B606" t="s">
        <v>192</v>
      </c>
      <c r="C606">
        <v>100</v>
      </c>
      <c r="D606" t="s">
        <v>117</v>
      </c>
      <c r="E606" t="s">
        <v>14</v>
      </c>
      <c r="F606">
        <v>0.106</v>
      </c>
      <c r="G606" t="s">
        <v>15</v>
      </c>
    </row>
    <row r="607" spans="1:7" x14ac:dyDescent="0.25">
      <c r="A607">
        <v>36</v>
      </c>
      <c r="B607" t="s">
        <v>192</v>
      </c>
      <c r="C607">
        <v>110</v>
      </c>
      <c r="D607" t="s">
        <v>118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192</v>
      </c>
      <c r="C608">
        <v>120</v>
      </c>
      <c r="D608" t="s">
        <v>25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192</v>
      </c>
      <c r="C609">
        <v>130</v>
      </c>
      <c r="D609" t="s">
        <v>26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192</v>
      </c>
      <c r="C610">
        <v>140</v>
      </c>
      <c r="D610" t="s">
        <v>108</v>
      </c>
      <c r="E610" t="s">
        <v>14</v>
      </c>
      <c r="F610">
        <v>1.27</v>
      </c>
      <c r="G610" t="s">
        <v>15</v>
      </c>
    </row>
    <row r="611" spans="1:7" x14ac:dyDescent="0.25">
      <c r="A611">
        <v>36</v>
      </c>
      <c r="B611" t="s">
        <v>192</v>
      </c>
      <c r="C611">
        <v>150</v>
      </c>
      <c r="D611" t="s">
        <v>334</v>
      </c>
      <c r="E611" t="s">
        <v>11</v>
      </c>
      <c r="F611">
        <v>1</v>
      </c>
      <c r="G611" t="s">
        <v>18</v>
      </c>
    </row>
    <row r="612" spans="1:7" x14ac:dyDescent="0.25">
      <c r="A612">
        <v>36</v>
      </c>
      <c r="B612" t="s">
        <v>192</v>
      </c>
      <c r="C612">
        <v>160</v>
      </c>
      <c r="D612" t="s">
        <v>335</v>
      </c>
      <c r="E612" t="s">
        <v>11</v>
      </c>
      <c r="F612">
        <v>1</v>
      </c>
      <c r="G612" t="s">
        <v>18</v>
      </c>
    </row>
    <row r="613" spans="1:7" x14ac:dyDescent="0.25">
      <c r="A613">
        <v>36</v>
      </c>
      <c r="B613" t="s">
        <v>192</v>
      </c>
      <c r="C613">
        <v>170</v>
      </c>
      <c r="D613" t="s">
        <v>527</v>
      </c>
      <c r="E613" t="s">
        <v>14</v>
      </c>
      <c r="F613">
        <v>0.6</v>
      </c>
      <c r="G613" t="s">
        <v>15</v>
      </c>
    </row>
    <row r="614" spans="1:7" x14ac:dyDescent="0.25">
      <c r="A614">
        <v>37</v>
      </c>
      <c r="B614" t="s">
        <v>194</v>
      </c>
      <c r="C614">
        <v>10</v>
      </c>
      <c r="D614" t="s">
        <v>336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194</v>
      </c>
      <c r="C615">
        <v>20</v>
      </c>
      <c r="D615" t="s">
        <v>300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194</v>
      </c>
      <c r="C616">
        <v>30</v>
      </c>
      <c r="D616" t="s">
        <v>110</v>
      </c>
      <c r="E616" t="s">
        <v>111</v>
      </c>
      <c r="F616">
        <v>0.89100000000000001</v>
      </c>
      <c r="G616" t="s">
        <v>15</v>
      </c>
    </row>
    <row r="617" spans="1:7" x14ac:dyDescent="0.25">
      <c r="A617">
        <v>37</v>
      </c>
      <c r="B617" t="s">
        <v>194</v>
      </c>
      <c r="C617">
        <v>40</v>
      </c>
      <c r="D617" t="s">
        <v>202</v>
      </c>
      <c r="E617" t="s">
        <v>11</v>
      </c>
      <c r="F617">
        <v>2.1589999999999998</v>
      </c>
      <c r="G617" t="s">
        <v>15</v>
      </c>
    </row>
    <row r="618" spans="1:7" x14ac:dyDescent="0.25">
      <c r="A618">
        <v>37</v>
      </c>
      <c r="B618" t="s">
        <v>194</v>
      </c>
      <c r="C618">
        <v>50</v>
      </c>
      <c r="D618" t="s">
        <v>114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194</v>
      </c>
      <c r="C619">
        <v>60</v>
      </c>
      <c r="D619" t="s">
        <v>195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194</v>
      </c>
      <c r="C620">
        <v>70</v>
      </c>
      <c r="D620" t="s">
        <v>116</v>
      </c>
      <c r="E620" t="s">
        <v>17</v>
      </c>
      <c r="F620">
        <v>14.427</v>
      </c>
      <c r="G620" t="s">
        <v>15</v>
      </c>
    </row>
    <row r="621" spans="1:7" x14ac:dyDescent="0.25">
      <c r="A621">
        <v>37</v>
      </c>
      <c r="B621" t="s">
        <v>194</v>
      </c>
      <c r="C621">
        <v>80</v>
      </c>
      <c r="D621" t="s">
        <v>20</v>
      </c>
      <c r="E621" t="s">
        <v>17</v>
      </c>
      <c r="F621">
        <v>88.727000000000004</v>
      </c>
      <c r="G621" t="s">
        <v>15</v>
      </c>
    </row>
    <row r="622" spans="1:7" x14ac:dyDescent="0.25">
      <c r="A622">
        <v>37</v>
      </c>
      <c r="B622" t="s">
        <v>194</v>
      </c>
      <c r="C622">
        <v>90</v>
      </c>
      <c r="D622" t="s">
        <v>24</v>
      </c>
      <c r="E622" t="s">
        <v>11</v>
      </c>
      <c r="F622">
        <v>1</v>
      </c>
      <c r="G622" t="s">
        <v>15</v>
      </c>
    </row>
    <row r="623" spans="1:7" x14ac:dyDescent="0.25">
      <c r="A623">
        <v>37</v>
      </c>
      <c r="B623" t="s">
        <v>194</v>
      </c>
      <c r="C623">
        <v>100</v>
      </c>
      <c r="D623" t="s">
        <v>117</v>
      </c>
      <c r="E623" t="s">
        <v>14</v>
      </c>
      <c r="F623">
        <v>0.111</v>
      </c>
      <c r="G623" t="s">
        <v>15</v>
      </c>
    </row>
    <row r="624" spans="1:7" x14ac:dyDescent="0.25">
      <c r="A624">
        <v>37</v>
      </c>
      <c r="B624" t="s">
        <v>194</v>
      </c>
      <c r="C624">
        <v>110</v>
      </c>
      <c r="D624" t="s">
        <v>118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194</v>
      </c>
      <c r="C625">
        <v>120</v>
      </c>
      <c r="D625" t="s">
        <v>25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194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194</v>
      </c>
      <c r="C627">
        <v>140</v>
      </c>
      <c r="D627" t="s">
        <v>108</v>
      </c>
      <c r="E627" t="s">
        <v>14</v>
      </c>
      <c r="F627">
        <v>1.27</v>
      </c>
      <c r="G627" t="s">
        <v>15</v>
      </c>
    </row>
    <row r="628" spans="1:7" x14ac:dyDescent="0.25">
      <c r="A628">
        <v>37</v>
      </c>
      <c r="B628" t="s">
        <v>194</v>
      </c>
      <c r="C628">
        <v>150</v>
      </c>
      <c r="D628" t="s">
        <v>337</v>
      </c>
      <c r="E628" t="s">
        <v>11</v>
      </c>
      <c r="F628">
        <v>1</v>
      </c>
      <c r="G628" t="s">
        <v>18</v>
      </c>
    </row>
    <row r="629" spans="1:7" x14ac:dyDescent="0.25">
      <c r="A629">
        <v>37</v>
      </c>
      <c r="B629" t="s">
        <v>194</v>
      </c>
      <c r="C629">
        <v>160</v>
      </c>
      <c r="D629" t="s">
        <v>338</v>
      </c>
      <c r="E629" t="s">
        <v>11</v>
      </c>
      <c r="F629">
        <v>1</v>
      </c>
      <c r="G629" t="s">
        <v>18</v>
      </c>
    </row>
    <row r="630" spans="1:7" x14ac:dyDescent="0.25">
      <c r="A630">
        <v>37</v>
      </c>
      <c r="B630" t="s">
        <v>194</v>
      </c>
      <c r="C630">
        <v>170</v>
      </c>
      <c r="D630" t="s">
        <v>527</v>
      </c>
      <c r="E630" t="s">
        <v>14</v>
      </c>
      <c r="F630">
        <v>0.6</v>
      </c>
      <c r="G630" t="s">
        <v>15</v>
      </c>
    </row>
    <row r="631" spans="1:7" x14ac:dyDescent="0.25">
      <c r="A631">
        <v>38</v>
      </c>
      <c r="B631" t="s">
        <v>196</v>
      </c>
      <c r="C631">
        <v>10</v>
      </c>
      <c r="D631" t="s">
        <v>339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196</v>
      </c>
      <c r="C632">
        <v>20</v>
      </c>
      <c r="D632" t="s">
        <v>300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196</v>
      </c>
      <c r="C633">
        <v>30</v>
      </c>
      <c r="D633" t="s">
        <v>110</v>
      </c>
      <c r="E633" t="s">
        <v>111</v>
      </c>
      <c r="F633">
        <v>0.94099999999999995</v>
      </c>
      <c r="G633" t="s">
        <v>15</v>
      </c>
    </row>
    <row r="634" spans="1:7" x14ac:dyDescent="0.25">
      <c r="A634">
        <v>38</v>
      </c>
      <c r="B634" t="s">
        <v>196</v>
      </c>
      <c r="C634">
        <v>40</v>
      </c>
      <c r="D634" t="s">
        <v>202</v>
      </c>
      <c r="E634" t="s">
        <v>11</v>
      </c>
      <c r="F634">
        <v>2.1589999999999998</v>
      </c>
      <c r="G634" t="s">
        <v>15</v>
      </c>
    </row>
    <row r="635" spans="1:7" x14ac:dyDescent="0.25">
      <c r="A635">
        <v>38</v>
      </c>
      <c r="B635" t="s">
        <v>196</v>
      </c>
      <c r="C635">
        <v>50</v>
      </c>
      <c r="D635" t="s">
        <v>114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196</v>
      </c>
      <c r="C636">
        <v>60</v>
      </c>
      <c r="D636" t="s">
        <v>197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196</v>
      </c>
      <c r="C637">
        <v>70</v>
      </c>
      <c r="D637" t="s">
        <v>116</v>
      </c>
      <c r="E637" t="s">
        <v>17</v>
      </c>
      <c r="F637">
        <v>14.731999999999999</v>
      </c>
      <c r="G637" t="s">
        <v>15</v>
      </c>
    </row>
    <row r="638" spans="1:7" x14ac:dyDescent="0.25">
      <c r="A638">
        <v>38</v>
      </c>
      <c r="B638" t="s">
        <v>196</v>
      </c>
      <c r="C638">
        <v>80</v>
      </c>
      <c r="D638" t="s">
        <v>20</v>
      </c>
      <c r="E638" t="s">
        <v>17</v>
      </c>
      <c r="F638">
        <v>90.602000000000004</v>
      </c>
      <c r="G638" t="s">
        <v>15</v>
      </c>
    </row>
    <row r="639" spans="1:7" x14ac:dyDescent="0.25">
      <c r="A639">
        <v>38</v>
      </c>
      <c r="B639" t="s">
        <v>196</v>
      </c>
      <c r="C639">
        <v>90</v>
      </c>
      <c r="D639" t="s">
        <v>24</v>
      </c>
      <c r="E639" t="s">
        <v>11</v>
      </c>
      <c r="F639">
        <v>1</v>
      </c>
      <c r="G639" t="s">
        <v>15</v>
      </c>
    </row>
    <row r="640" spans="1:7" x14ac:dyDescent="0.25">
      <c r="A640">
        <v>38</v>
      </c>
      <c r="B640" t="s">
        <v>196</v>
      </c>
      <c r="C640">
        <v>100</v>
      </c>
      <c r="D640" t="s">
        <v>117</v>
      </c>
      <c r="E640" t="s">
        <v>14</v>
      </c>
      <c r="F640">
        <v>0.115</v>
      </c>
      <c r="G640" t="s">
        <v>15</v>
      </c>
    </row>
    <row r="641" spans="1:7" x14ac:dyDescent="0.25">
      <c r="A641">
        <v>38</v>
      </c>
      <c r="B641" t="s">
        <v>196</v>
      </c>
      <c r="C641">
        <v>110</v>
      </c>
      <c r="D641" t="s">
        <v>118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196</v>
      </c>
      <c r="C642">
        <v>120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196</v>
      </c>
      <c r="C643">
        <v>130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196</v>
      </c>
      <c r="C644">
        <v>140</v>
      </c>
      <c r="D644" t="s">
        <v>108</v>
      </c>
      <c r="E644" t="s">
        <v>14</v>
      </c>
      <c r="F644">
        <v>1.27</v>
      </c>
      <c r="G644" t="s">
        <v>15</v>
      </c>
    </row>
    <row r="645" spans="1:7" x14ac:dyDescent="0.25">
      <c r="A645">
        <v>38</v>
      </c>
      <c r="B645" t="s">
        <v>196</v>
      </c>
      <c r="C645">
        <v>150</v>
      </c>
      <c r="D645" t="s">
        <v>340</v>
      </c>
      <c r="E645" t="s">
        <v>11</v>
      </c>
      <c r="F645">
        <v>1</v>
      </c>
      <c r="G645" t="s">
        <v>18</v>
      </c>
    </row>
    <row r="646" spans="1:7" x14ac:dyDescent="0.25">
      <c r="A646">
        <v>38</v>
      </c>
      <c r="B646" t="s">
        <v>196</v>
      </c>
      <c r="C646">
        <v>160</v>
      </c>
      <c r="D646" t="s">
        <v>341</v>
      </c>
      <c r="E646" t="s">
        <v>11</v>
      </c>
      <c r="F646">
        <v>1</v>
      </c>
      <c r="G646" t="s">
        <v>18</v>
      </c>
    </row>
    <row r="647" spans="1:7" x14ac:dyDescent="0.25">
      <c r="A647">
        <v>38</v>
      </c>
      <c r="B647" t="s">
        <v>196</v>
      </c>
      <c r="C647">
        <v>170</v>
      </c>
      <c r="D647" t="s">
        <v>527</v>
      </c>
      <c r="E647" t="s">
        <v>14</v>
      </c>
      <c r="F647">
        <v>0.6</v>
      </c>
      <c r="G647" t="s">
        <v>15</v>
      </c>
    </row>
    <row r="648" spans="1:7" x14ac:dyDescent="0.25">
      <c r="A648">
        <v>39</v>
      </c>
      <c r="B648" t="s">
        <v>198</v>
      </c>
      <c r="C648">
        <v>10</v>
      </c>
      <c r="D648" t="s">
        <v>342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198</v>
      </c>
      <c r="C649">
        <v>20</v>
      </c>
      <c r="D649" t="s">
        <v>300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198</v>
      </c>
      <c r="C650">
        <v>30</v>
      </c>
      <c r="D650" t="s">
        <v>110</v>
      </c>
      <c r="E650" t="s">
        <v>111</v>
      </c>
      <c r="F650">
        <v>1.042</v>
      </c>
      <c r="G650" t="s">
        <v>15</v>
      </c>
    </row>
    <row r="651" spans="1:7" x14ac:dyDescent="0.25">
      <c r="A651">
        <v>39</v>
      </c>
      <c r="B651" t="s">
        <v>198</v>
      </c>
      <c r="C651">
        <v>40</v>
      </c>
      <c r="D651" t="s">
        <v>202</v>
      </c>
      <c r="E651" t="s">
        <v>11</v>
      </c>
      <c r="F651">
        <v>2.1589999999999998</v>
      </c>
      <c r="G651" t="s">
        <v>15</v>
      </c>
    </row>
    <row r="652" spans="1:7" x14ac:dyDescent="0.25">
      <c r="A652">
        <v>39</v>
      </c>
      <c r="B652" t="s">
        <v>198</v>
      </c>
      <c r="C652">
        <v>50</v>
      </c>
      <c r="D652" t="s">
        <v>114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198</v>
      </c>
      <c r="C653">
        <v>60</v>
      </c>
      <c r="D653" t="s">
        <v>199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198</v>
      </c>
      <c r="C654">
        <v>70</v>
      </c>
      <c r="D654" t="s">
        <v>116</v>
      </c>
      <c r="E654" t="s">
        <v>17</v>
      </c>
      <c r="F654">
        <v>15.342000000000001</v>
      </c>
      <c r="G654" t="s">
        <v>15</v>
      </c>
    </row>
    <row r="655" spans="1:7" x14ac:dyDescent="0.25">
      <c r="A655">
        <v>39</v>
      </c>
      <c r="B655" t="s">
        <v>198</v>
      </c>
      <c r="C655">
        <v>80</v>
      </c>
      <c r="D655" t="s">
        <v>20</v>
      </c>
      <c r="E655" t="s">
        <v>17</v>
      </c>
      <c r="F655">
        <v>94.350999999999999</v>
      </c>
      <c r="G655" t="s">
        <v>15</v>
      </c>
    </row>
    <row r="656" spans="1:7" x14ac:dyDescent="0.25">
      <c r="A656">
        <v>39</v>
      </c>
      <c r="B656" t="s">
        <v>198</v>
      </c>
      <c r="C656">
        <v>90</v>
      </c>
      <c r="D656" t="s">
        <v>24</v>
      </c>
      <c r="E656" t="s">
        <v>11</v>
      </c>
      <c r="F656">
        <v>1</v>
      </c>
      <c r="G656" t="s">
        <v>15</v>
      </c>
    </row>
    <row r="657" spans="1:7" x14ac:dyDescent="0.25">
      <c r="A657">
        <v>39</v>
      </c>
      <c r="B657" t="s">
        <v>198</v>
      </c>
      <c r="C657">
        <v>100</v>
      </c>
      <c r="D657" t="s">
        <v>117</v>
      </c>
      <c r="E657" t="s">
        <v>14</v>
      </c>
      <c r="F657">
        <v>0.125</v>
      </c>
      <c r="G657" t="s">
        <v>15</v>
      </c>
    </row>
    <row r="658" spans="1:7" x14ac:dyDescent="0.25">
      <c r="A658">
        <v>39</v>
      </c>
      <c r="B658" t="s">
        <v>198</v>
      </c>
      <c r="C658">
        <v>110</v>
      </c>
      <c r="D658" t="s">
        <v>118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198</v>
      </c>
      <c r="C659">
        <v>120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198</v>
      </c>
      <c r="C660">
        <v>130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198</v>
      </c>
      <c r="C661">
        <v>140</v>
      </c>
      <c r="D661" t="s">
        <v>108</v>
      </c>
      <c r="E661" t="s">
        <v>14</v>
      </c>
      <c r="F661">
        <v>1.27</v>
      </c>
      <c r="G661" t="s">
        <v>15</v>
      </c>
    </row>
    <row r="662" spans="1:7" x14ac:dyDescent="0.25">
      <c r="A662">
        <v>39</v>
      </c>
      <c r="B662" t="s">
        <v>198</v>
      </c>
      <c r="C662">
        <v>150</v>
      </c>
      <c r="D662" t="s">
        <v>343</v>
      </c>
      <c r="E662" t="s">
        <v>11</v>
      </c>
      <c r="F662">
        <v>1</v>
      </c>
      <c r="G662" t="s">
        <v>18</v>
      </c>
    </row>
    <row r="663" spans="1:7" x14ac:dyDescent="0.25">
      <c r="A663">
        <v>39</v>
      </c>
      <c r="B663" t="s">
        <v>198</v>
      </c>
      <c r="C663">
        <v>160</v>
      </c>
      <c r="D663" t="s">
        <v>344</v>
      </c>
      <c r="E663" t="s">
        <v>11</v>
      </c>
      <c r="F663">
        <v>1</v>
      </c>
      <c r="G663" t="s">
        <v>18</v>
      </c>
    </row>
    <row r="664" spans="1:7" x14ac:dyDescent="0.25">
      <c r="A664">
        <v>39</v>
      </c>
      <c r="B664" t="s">
        <v>198</v>
      </c>
      <c r="C664">
        <v>170</v>
      </c>
      <c r="D664" t="s">
        <v>528</v>
      </c>
      <c r="E664" t="s">
        <v>14</v>
      </c>
      <c r="F664">
        <v>0.8</v>
      </c>
      <c r="G664" t="s">
        <v>15</v>
      </c>
    </row>
    <row r="665" spans="1:7" x14ac:dyDescent="0.25">
      <c r="A665">
        <v>40</v>
      </c>
      <c r="B665" t="s">
        <v>200</v>
      </c>
      <c r="C665">
        <v>10</v>
      </c>
      <c r="D665" t="s">
        <v>345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200</v>
      </c>
      <c r="C666">
        <v>20</v>
      </c>
      <c r="D666" t="s">
        <v>300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200</v>
      </c>
      <c r="C667">
        <v>30</v>
      </c>
      <c r="D667" t="s">
        <v>110</v>
      </c>
      <c r="E667" t="s">
        <v>111</v>
      </c>
      <c r="F667">
        <v>1.143</v>
      </c>
      <c r="G667" t="s">
        <v>15</v>
      </c>
    </row>
    <row r="668" spans="1:7" x14ac:dyDescent="0.25">
      <c r="A668">
        <v>40</v>
      </c>
      <c r="B668" t="s">
        <v>200</v>
      </c>
      <c r="C668">
        <v>40</v>
      </c>
      <c r="D668" t="s">
        <v>202</v>
      </c>
      <c r="E668" t="s">
        <v>11</v>
      </c>
      <c r="F668">
        <v>2.1589999999999998</v>
      </c>
      <c r="G668" t="s">
        <v>15</v>
      </c>
    </row>
    <row r="669" spans="1:7" x14ac:dyDescent="0.25">
      <c r="A669">
        <v>40</v>
      </c>
      <c r="B669" t="s">
        <v>200</v>
      </c>
      <c r="C669">
        <v>50</v>
      </c>
      <c r="D669" t="s">
        <v>114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200</v>
      </c>
      <c r="C670">
        <v>60</v>
      </c>
      <c r="D670" t="s">
        <v>201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200</v>
      </c>
      <c r="C671">
        <v>70</v>
      </c>
      <c r="D671" t="s">
        <v>116</v>
      </c>
      <c r="E671" t="s">
        <v>17</v>
      </c>
      <c r="F671">
        <v>15.951000000000001</v>
      </c>
      <c r="G671" t="s">
        <v>15</v>
      </c>
    </row>
    <row r="672" spans="1:7" x14ac:dyDescent="0.25">
      <c r="A672">
        <v>40</v>
      </c>
      <c r="B672" t="s">
        <v>200</v>
      </c>
      <c r="C672">
        <v>80</v>
      </c>
      <c r="D672" t="s">
        <v>20</v>
      </c>
      <c r="E672" t="s">
        <v>17</v>
      </c>
      <c r="F672">
        <v>98.1</v>
      </c>
      <c r="G672" t="s">
        <v>15</v>
      </c>
    </row>
    <row r="673" spans="1:7" x14ac:dyDescent="0.25">
      <c r="A673">
        <v>40</v>
      </c>
      <c r="B673" t="s">
        <v>200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40</v>
      </c>
      <c r="B674" t="s">
        <v>200</v>
      </c>
      <c r="C674">
        <v>100</v>
      </c>
      <c r="D674" t="s">
        <v>117</v>
      </c>
      <c r="E674" t="s">
        <v>14</v>
      </c>
      <c r="F674">
        <v>0.13500000000000001</v>
      </c>
      <c r="G674" t="s">
        <v>15</v>
      </c>
    </row>
    <row r="675" spans="1:7" x14ac:dyDescent="0.25">
      <c r="A675">
        <v>40</v>
      </c>
      <c r="B675" t="s">
        <v>200</v>
      </c>
      <c r="C675">
        <v>110</v>
      </c>
      <c r="D675" t="s">
        <v>118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200</v>
      </c>
      <c r="C676">
        <v>120</v>
      </c>
      <c r="D676" t="s">
        <v>25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200</v>
      </c>
      <c r="C677">
        <v>130</v>
      </c>
      <c r="D677" t="s">
        <v>26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200</v>
      </c>
      <c r="C678">
        <v>140</v>
      </c>
      <c r="D678" t="s">
        <v>108</v>
      </c>
      <c r="E678" t="s">
        <v>14</v>
      </c>
      <c r="F678">
        <v>1.27</v>
      </c>
      <c r="G678" t="s">
        <v>15</v>
      </c>
    </row>
    <row r="679" spans="1:7" x14ac:dyDescent="0.25">
      <c r="A679">
        <v>40</v>
      </c>
      <c r="B679" t="s">
        <v>200</v>
      </c>
      <c r="C679">
        <v>150</v>
      </c>
      <c r="D679" t="s">
        <v>346</v>
      </c>
      <c r="E679" t="s">
        <v>11</v>
      </c>
      <c r="F679">
        <v>1</v>
      </c>
      <c r="G679" t="s">
        <v>18</v>
      </c>
    </row>
    <row r="680" spans="1:7" x14ac:dyDescent="0.25">
      <c r="A680">
        <v>40</v>
      </c>
      <c r="B680" t="s">
        <v>200</v>
      </c>
      <c r="C680">
        <v>160</v>
      </c>
      <c r="D680" t="s">
        <v>347</v>
      </c>
      <c r="E680" t="s">
        <v>11</v>
      </c>
      <c r="F680">
        <v>1</v>
      </c>
      <c r="G680" t="s">
        <v>18</v>
      </c>
    </row>
    <row r="681" spans="1:7" x14ac:dyDescent="0.25">
      <c r="A681">
        <v>40</v>
      </c>
      <c r="B681" t="s">
        <v>200</v>
      </c>
      <c r="C681">
        <v>170</v>
      </c>
      <c r="D681" t="s">
        <v>528</v>
      </c>
      <c r="E681" t="s">
        <v>14</v>
      </c>
      <c r="F681">
        <v>0.8</v>
      </c>
      <c r="G681" t="s">
        <v>15</v>
      </c>
    </row>
    <row r="682" spans="1:7" x14ac:dyDescent="0.25">
      <c r="A682">
        <v>41</v>
      </c>
      <c r="B682" t="s">
        <v>348</v>
      </c>
      <c r="C682">
        <v>10</v>
      </c>
      <c r="D682" t="s">
        <v>349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348</v>
      </c>
      <c r="C683">
        <v>20</v>
      </c>
      <c r="D683" t="s">
        <v>350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348</v>
      </c>
      <c r="C684">
        <v>30</v>
      </c>
      <c r="D684" t="s">
        <v>110</v>
      </c>
      <c r="E684" t="s">
        <v>111</v>
      </c>
      <c r="F684">
        <v>0.41699999999999998</v>
      </c>
      <c r="G684" t="s">
        <v>15</v>
      </c>
    </row>
    <row r="685" spans="1:7" x14ac:dyDescent="0.25">
      <c r="A685">
        <v>41</v>
      </c>
      <c r="B685" t="s">
        <v>348</v>
      </c>
      <c r="C685">
        <v>40</v>
      </c>
      <c r="D685" t="s">
        <v>202</v>
      </c>
      <c r="E685" t="s">
        <v>11</v>
      </c>
      <c r="F685">
        <v>0.78700000000000003</v>
      </c>
      <c r="G685" t="s">
        <v>15</v>
      </c>
    </row>
    <row r="686" spans="1:7" x14ac:dyDescent="0.25">
      <c r="A686">
        <v>41</v>
      </c>
      <c r="B686" t="s">
        <v>348</v>
      </c>
      <c r="C686">
        <v>50</v>
      </c>
      <c r="D686" t="s">
        <v>114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348</v>
      </c>
      <c r="C687">
        <v>60</v>
      </c>
      <c r="D687" t="s">
        <v>351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348</v>
      </c>
      <c r="C688">
        <v>70</v>
      </c>
      <c r="D688" t="s">
        <v>116</v>
      </c>
      <c r="E688" t="s">
        <v>17</v>
      </c>
      <c r="F688">
        <v>10.77</v>
      </c>
      <c r="G688" t="s">
        <v>15</v>
      </c>
    </row>
    <row r="689" spans="1:7" x14ac:dyDescent="0.25">
      <c r="A689">
        <v>41</v>
      </c>
      <c r="B689" t="s">
        <v>348</v>
      </c>
      <c r="C689">
        <v>80</v>
      </c>
      <c r="D689" t="s">
        <v>20</v>
      </c>
      <c r="E689" t="s">
        <v>17</v>
      </c>
      <c r="F689">
        <v>66.233000000000004</v>
      </c>
      <c r="G689" t="s">
        <v>15</v>
      </c>
    </row>
    <row r="690" spans="1:7" x14ac:dyDescent="0.25">
      <c r="A690">
        <v>41</v>
      </c>
      <c r="B690" t="s">
        <v>348</v>
      </c>
      <c r="C690">
        <v>90</v>
      </c>
      <c r="D690" t="s">
        <v>24</v>
      </c>
      <c r="E690" t="s">
        <v>11</v>
      </c>
      <c r="F690">
        <v>1</v>
      </c>
      <c r="G690" t="s">
        <v>15</v>
      </c>
    </row>
    <row r="691" spans="1:7" x14ac:dyDescent="0.25">
      <c r="A691">
        <v>41</v>
      </c>
      <c r="B691" t="s">
        <v>348</v>
      </c>
      <c r="C691">
        <v>100</v>
      </c>
      <c r="D691" t="s">
        <v>117</v>
      </c>
      <c r="E691" t="s">
        <v>14</v>
      </c>
      <c r="F691">
        <v>7.1999999999999995E-2</v>
      </c>
      <c r="G691" t="s">
        <v>15</v>
      </c>
    </row>
    <row r="692" spans="1:7" x14ac:dyDescent="0.25">
      <c r="A692">
        <v>41</v>
      </c>
      <c r="B692" t="s">
        <v>348</v>
      </c>
      <c r="C692">
        <v>110</v>
      </c>
      <c r="D692" t="s">
        <v>118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348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348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348</v>
      </c>
      <c r="C695">
        <v>140</v>
      </c>
      <c r="D695" t="s">
        <v>108</v>
      </c>
      <c r="E695" t="s">
        <v>14</v>
      </c>
      <c r="F695">
        <v>0.54</v>
      </c>
      <c r="G695" t="s">
        <v>15</v>
      </c>
    </row>
    <row r="696" spans="1:7" x14ac:dyDescent="0.25">
      <c r="A696">
        <v>41</v>
      </c>
      <c r="B696" t="s">
        <v>348</v>
      </c>
      <c r="C696">
        <v>150</v>
      </c>
      <c r="D696" t="s">
        <v>352</v>
      </c>
      <c r="E696" t="s">
        <v>11</v>
      </c>
      <c r="F696">
        <v>1</v>
      </c>
      <c r="G696" t="s">
        <v>18</v>
      </c>
    </row>
    <row r="697" spans="1:7" x14ac:dyDescent="0.25">
      <c r="A697">
        <v>41</v>
      </c>
      <c r="B697" t="s">
        <v>348</v>
      </c>
      <c r="C697">
        <v>160</v>
      </c>
      <c r="D697" t="s">
        <v>353</v>
      </c>
      <c r="E697" t="s">
        <v>11</v>
      </c>
      <c r="F697">
        <v>1</v>
      </c>
      <c r="G697" t="s">
        <v>18</v>
      </c>
    </row>
    <row r="698" spans="1:7" x14ac:dyDescent="0.25">
      <c r="A698">
        <v>41</v>
      </c>
      <c r="B698" t="s">
        <v>348</v>
      </c>
      <c r="C698">
        <v>170</v>
      </c>
      <c r="D698" t="s">
        <v>526</v>
      </c>
      <c r="E698" t="s">
        <v>14</v>
      </c>
      <c r="F698">
        <v>0.5</v>
      </c>
      <c r="G698" t="s">
        <v>15</v>
      </c>
    </row>
    <row r="699" spans="1:7" x14ac:dyDescent="0.25">
      <c r="A699">
        <v>42</v>
      </c>
      <c r="B699" t="s">
        <v>354</v>
      </c>
      <c r="C699">
        <v>10</v>
      </c>
      <c r="D699" t="s">
        <v>355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354</v>
      </c>
      <c r="C700">
        <v>20</v>
      </c>
      <c r="D700" t="s">
        <v>210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354</v>
      </c>
      <c r="C701">
        <v>30</v>
      </c>
      <c r="D701" t="s">
        <v>110</v>
      </c>
      <c r="E701" t="s">
        <v>111</v>
      </c>
      <c r="F701">
        <v>0.503</v>
      </c>
      <c r="G701" t="s">
        <v>15</v>
      </c>
    </row>
    <row r="702" spans="1:7" x14ac:dyDescent="0.25">
      <c r="A702">
        <v>42</v>
      </c>
      <c r="B702" t="s">
        <v>354</v>
      </c>
      <c r="C702">
        <v>40</v>
      </c>
      <c r="D702" t="s">
        <v>202</v>
      </c>
      <c r="E702" t="s">
        <v>11</v>
      </c>
      <c r="F702">
        <v>0.94</v>
      </c>
      <c r="G702" t="s">
        <v>15</v>
      </c>
    </row>
    <row r="703" spans="1:7" x14ac:dyDescent="0.25">
      <c r="A703">
        <v>42</v>
      </c>
      <c r="B703" t="s">
        <v>354</v>
      </c>
      <c r="C703">
        <v>50</v>
      </c>
      <c r="D703" t="s">
        <v>114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354</v>
      </c>
      <c r="C704">
        <v>60</v>
      </c>
      <c r="D704" t="s">
        <v>356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354</v>
      </c>
      <c r="C705">
        <v>70</v>
      </c>
      <c r="D705" t="s">
        <v>116</v>
      </c>
      <c r="E705" t="s">
        <v>17</v>
      </c>
      <c r="F705">
        <v>11.379</v>
      </c>
      <c r="G705" t="s">
        <v>15</v>
      </c>
    </row>
    <row r="706" spans="1:7" x14ac:dyDescent="0.25">
      <c r="A706">
        <v>42</v>
      </c>
      <c r="B706" t="s">
        <v>354</v>
      </c>
      <c r="C706">
        <v>80</v>
      </c>
      <c r="D706" t="s">
        <v>20</v>
      </c>
      <c r="E706" t="s">
        <v>17</v>
      </c>
      <c r="F706">
        <v>69.981999999999999</v>
      </c>
      <c r="G706" t="s">
        <v>15</v>
      </c>
    </row>
    <row r="707" spans="1:7" x14ac:dyDescent="0.25">
      <c r="A707">
        <v>42</v>
      </c>
      <c r="B707" t="s">
        <v>354</v>
      </c>
      <c r="C707">
        <v>90</v>
      </c>
      <c r="D707" t="s">
        <v>24</v>
      </c>
      <c r="E707" t="s">
        <v>11</v>
      </c>
      <c r="F707">
        <v>1</v>
      </c>
      <c r="G707" t="s">
        <v>15</v>
      </c>
    </row>
    <row r="708" spans="1:7" x14ac:dyDescent="0.25">
      <c r="A708">
        <v>42</v>
      </c>
      <c r="B708" t="s">
        <v>354</v>
      </c>
      <c r="C708">
        <v>100</v>
      </c>
      <c r="D708" t="s">
        <v>117</v>
      </c>
      <c r="E708" t="s">
        <v>14</v>
      </c>
      <c r="F708">
        <v>8.1000000000000003E-2</v>
      </c>
      <c r="G708" t="s">
        <v>15</v>
      </c>
    </row>
    <row r="709" spans="1:7" x14ac:dyDescent="0.25">
      <c r="A709">
        <v>42</v>
      </c>
      <c r="B709" t="s">
        <v>354</v>
      </c>
      <c r="C709">
        <v>110</v>
      </c>
      <c r="D709" t="s">
        <v>118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354</v>
      </c>
      <c r="C710">
        <v>120</v>
      </c>
      <c r="D710" t="s">
        <v>25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354</v>
      </c>
      <c r="C711">
        <v>130</v>
      </c>
      <c r="D711" t="s">
        <v>26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354</v>
      </c>
      <c r="C712">
        <v>140</v>
      </c>
      <c r="D712" t="s">
        <v>108</v>
      </c>
      <c r="E712" t="s">
        <v>14</v>
      </c>
      <c r="F712">
        <v>0.622</v>
      </c>
      <c r="G712" t="s">
        <v>15</v>
      </c>
    </row>
    <row r="713" spans="1:7" x14ac:dyDescent="0.25">
      <c r="A713">
        <v>42</v>
      </c>
      <c r="B713" t="s">
        <v>354</v>
      </c>
      <c r="C713">
        <v>150</v>
      </c>
      <c r="D713" t="s">
        <v>357</v>
      </c>
      <c r="E713" t="s">
        <v>11</v>
      </c>
      <c r="F713">
        <v>1</v>
      </c>
      <c r="G713" t="s">
        <v>18</v>
      </c>
    </row>
    <row r="714" spans="1:7" x14ac:dyDescent="0.25">
      <c r="A714">
        <v>42</v>
      </c>
      <c r="B714" t="s">
        <v>354</v>
      </c>
      <c r="C714">
        <v>160</v>
      </c>
      <c r="D714" t="s">
        <v>358</v>
      </c>
      <c r="E714" t="s">
        <v>11</v>
      </c>
      <c r="F714">
        <v>1</v>
      </c>
      <c r="G714" t="s">
        <v>18</v>
      </c>
    </row>
    <row r="715" spans="1:7" x14ac:dyDescent="0.25">
      <c r="A715">
        <v>42</v>
      </c>
      <c r="B715" t="s">
        <v>354</v>
      </c>
      <c r="C715">
        <v>170</v>
      </c>
      <c r="D715" t="s">
        <v>526</v>
      </c>
      <c r="E715" t="s">
        <v>14</v>
      </c>
      <c r="F715">
        <v>0.5</v>
      </c>
      <c r="G715" t="s">
        <v>15</v>
      </c>
    </row>
    <row r="716" spans="1:7" x14ac:dyDescent="0.25">
      <c r="A716">
        <v>43</v>
      </c>
      <c r="B716" t="s">
        <v>359</v>
      </c>
      <c r="C716">
        <v>10</v>
      </c>
      <c r="D716" t="s">
        <v>360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359</v>
      </c>
      <c r="C717">
        <v>20</v>
      </c>
      <c r="D717" t="s">
        <v>214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359</v>
      </c>
      <c r="C718">
        <v>30</v>
      </c>
      <c r="D718" t="s">
        <v>110</v>
      </c>
      <c r="E718" t="s">
        <v>111</v>
      </c>
      <c r="F718">
        <v>0.58899999999999997</v>
      </c>
      <c r="G718" t="s">
        <v>15</v>
      </c>
    </row>
    <row r="719" spans="1:7" x14ac:dyDescent="0.25">
      <c r="A719">
        <v>43</v>
      </c>
      <c r="B719" t="s">
        <v>359</v>
      </c>
      <c r="C719">
        <v>40</v>
      </c>
      <c r="D719" t="s">
        <v>202</v>
      </c>
      <c r="E719" t="s">
        <v>11</v>
      </c>
      <c r="F719">
        <v>1.0920000000000001</v>
      </c>
      <c r="G719" t="s">
        <v>15</v>
      </c>
    </row>
    <row r="720" spans="1:7" x14ac:dyDescent="0.25">
      <c r="A720">
        <v>43</v>
      </c>
      <c r="B720" t="s">
        <v>359</v>
      </c>
      <c r="C720">
        <v>50</v>
      </c>
      <c r="D720" t="s">
        <v>114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359</v>
      </c>
      <c r="C721">
        <v>60</v>
      </c>
      <c r="D721" t="s">
        <v>361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359</v>
      </c>
      <c r="C722">
        <v>70</v>
      </c>
      <c r="D722" t="s">
        <v>116</v>
      </c>
      <c r="E722" t="s">
        <v>17</v>
      </c>
      <c r="F722">
        <v>11.989000000000001</v>
      </c>
      <c r="G722" t="s">
        <v>15</v>
      </c>
    </row>
    <row r="723" spans="1:7" x14ac:dyDescent="0.25">
      <c r="A723">
        <v>43</v>
      </c>
      <c r="B723" t="s">
        <v>359</v>
      </c>
      <c r="C723">
        <v>80</v>
      </c>
      <c r="D723" t="s">
        <v>20</v>
      </c>
      <c r="E723" t="s">
        <v>17</v>
      </c>
      <c r="F723">
        <v>73.730999999999995</v>
      </c>
      <c r="G723" t="s">
        <v>15</v>
      </c>
    </row>
    <row r="724" spans="1:7" x14ac:dyDescent="0.25">
      <c r="A724">
        <v>43</v>
      </c>
      <c r="B724" t="s">
        <v>359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43</v>
      </c>
      <c r="B725" t="s">
        <v>359</v>
      </c>
      <c r="C725">
        <v>100</v>
      </c>
      <c r="D725" t="s">
        <v>117</v>
      </c>
      <c r="E725" t="s">
        <v>14</v>
      </c>
      <c r="F725">
        <v>9.0999999999999998E-2</v>
      </c>
      <c r="G725" t="s">
        <v>15</v>
      </c>
    </row>
    <row r="726" spans="1:7" x14ac:dyDescent="0.25">
      <c r="A726">
        <v>43</v>
      </c>
      <c r="B726" t="s">
        <v>359</v>
      </c>
      <c r="C726">
        <v>110</v>
      </c>
      <c r="D726" t="s">
        <v>118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359</v>
      </c>
      <c r="C727">
        <v>120</v>
      </c>
      <c r="D727" t="s">
        <v>25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359</v>
      </c>
      <c r="C728">
        <v>130</v>
      </c>
      <c r="D728" t="s">
        <v>26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359</v>
      </c>
      <c r="C729">
        <v>140</v>
      </c>
      <c r="D729" t="s">
        <v>108</v>
      </c>
      <c r="E729" t="s">
        <v>14</v>
      </c>
      <c r="F729">
        <v>0.70299999999999996</v>
      </c>
      <c r="G729" t="s">
        <v>15</v>
      </c>
    </row>
    <row r="730" spans="1:7" x14ac:dyDescent="0.25">
      <c r="A730">
        <v>43</v>
      </c>
      <c r="B730" t="s">
        <v>359</v>
      </c>
      <c r="C730">
        <v>150</v>
      </c>
      <c r="D730" t="s">
        <v>362</v>
      </c>
      <c r="E730" t="s">
        <v>11</v>
      </c>
      <c r="F730">
        <v>1</v>
      </c>
      <c r="G730" t="s">
        <v>18</v>
      </c>
    </row>
    <row r="731" spans="1:7" x14ac:dyDescent="0.25">
      <c r="A731">
        <v>43</v>
      </c>
      <c r="B731" t="s">
        <v>359</v>
      </c>
      <c r="C731">
        <v>160</v>
      </c>
      <c r="D731" t="s">
        <v>363</v>
      </c>
      <c r="E731" t="s">
        <v>11</v>
      </c>
      <c r="F731">
        <v>1</v>
      </c>
      <c r="G731" t="s">
        <v>18</v>
      </c>
    </row>
    <row r="732" spans="1:7" x14ac:dyDescent="0.25">
      <c r="A732">
        <v>43</v>
      </c>
      <c r="B732" t="s">
        <v>359</v>
      </c>
      <c r="C732">
        <v>170</v>
      </c>
      <c r="D732" t="s">
        <v>527</v>
      </c>
      <c r="E732" t="s">
        <v>14</v>
      </c>
      <c r="F732">
        <v>0.6</v>
      </c>
      <c r="G732" t="s">
        <v>15</v>
      </c>
    </row>
    <row r="733" spans="1:7" x14ac:dyDescent="0.25">
      <c r="A733">
        <v>44</v>
      </c>
      <c r="B733" t="s">
        <v>364</v>
      </c>
      <c r="C733">
        <v>10</v>
      </c>
      <c r="D733" t="s">
        <v>365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364</v>
      </c>
      <c r="C734">
        <v>20</v>
      </c>
      <c r="D734" t="s">
        <v>218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364</v>
      </c>
      <c r="C735">
        <v>30</v>
      </c>
      <c r="D735" t="s">
        <v>110</v>
      </c>
      <c r="E735" t="s">
        <v>111</v>
      </c>
      <c r="F735">
        <v>0.67600000000000005</v>
      </c>
      <c r="G735" t="s">
        <v>15</v>
      </c>
    </row>
    <row r="736" spans="1:7" x14ac:dyDescent="0.25">
      <c r="A736">
        <v>44</v>
      </c>
      <c r="B736" t="s">
        <v>364</v>
      </c>
      <c r="C736">
        <v>40</v>
      </c>
      <c r="D736" t="s">
        <v>202</v>
      </c>
      <c r="E736" t="s">
        <v>11</v>
      </c>
      <c r="F736">
        <v>1.2450000000000001</v>
      </c>
      <c r="G736" t="s">
        <v>15</v>
      </c>
    </row>
    <row r="737" spans="1:7" x14ac:dyDescent="0.25">
      <c r="A737">
        <v>44</v>
      </c>
      <c r="B737" t="s">
        <v>364</v>
      </c>
      <c r="C737">
        <v>50</v>
      </c>
      <c r="D737" t="s">
        <v>114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364</v>
      </c>
      <c r="C738">
        <v>60</v>
      </c>
      <c r="D738" t="s">
        <v>366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364</v>
      </c>
      <c r="C739">
        <v>70</v>
      </c>
      <c r="D739" t="s">
        <v>116</v>
      </c>
      <c r="E739" t="s">
        <v>17</v>
      </c>
      <c r="F739">
        <v>12.598000000000001</v>
      </c>
      <c r="G739" t="s">
        <v>15</v>
      </c>
    </row>
    <row r="740" spans="1:7" x14ac:dyDescent="0.25">
      <c r="A740">
        <v>44</v>
      </c>
      <c r="B740" t="s">
        <v>364</v>
      </c>
      <c r="C740">
        <v>80</v>
      </c>
      <c r="D740" t="s">
        <v>20</v>
      </c>
      <c r="E740" t="s">
        <v>17</v>
      </c>
      <c r="F740">
        <v>77.48</v>
      </c>
      <c r="G740" t="s">
        <v>15</v>
      </c>
    </row>
    <row r="741" spans="1:7" x14ac:dyDescent="0.25">
      <c r="A741">
        <v>44</v>
      </c>
      <c r="B741" t="s">
        <v>364</v>
      </c>
      <c r="C741">
        <v>90</v>
      </c>
      <c r="D741" t="s">
        <v>24</v>
      </c>
      <c r="E741" t="s">
        <v>11</v>
      </c>
      <c r="F741">
        <v>1</v>
      </c>
      <c r="G741" t="s">
        <v>15</v>
      </c>
    </row>
    <row r="742" spans="1:7" x14ac:dyDescent="0.25">
      <c r="A742">
        <v>44</v>
      </c>
      <c r="B742" t="s">
        <v>364</v>
      </c>
      <c r="C742">
        <v>100</v>
      </c>
      <c r="D742" t="s">
        <v>117</v>
      </c>
      <c r="E742" t="s">
        <v>14</v>
      </c>
      <c r="F742">
        <v>0.10100000000000001</v>
      </c>
      <c r="G742" t="s">
        <v>15</v>
      </c>
    </row>
    <row r="743" spans="1:7" x14ac:dyDescent="0.25">
      <c r="A743">
        <v>44</v>
      </c>
      <c r="B743" t="s">
        <v>364</v>
      </c>
      <c r="C743">
        <v>110</v>
      </c>
      <c r="D743" t="s">
        <v>118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364</v>
      </c>
      <c r="C744">
        <v>120</v>
      </c>
      <c r="D744" t="s">
        <v>25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364</v>
      </c>
      <c r="C745">
        <v>130</v>
      </c>
      <c r="D745" t="s">
        <v>26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364</v>
      </c>
      <c r="C746">
        <v>140</v>
      </c>
      <c r="D746" t="s">
        <v>108</v>
      </c>
      <c r="E746" t="s">
        <v>14</v>
      </c>
      <c r="F746">
        <v>0.78400000000000003</v>
      </c>
      <c r="G746" t="s">
        <v>15</v>
      </c>
    </row>
    <row r="747" spans="1:7" x14ac:dyDescent="0.25">
      <c r="A747">
        <v>44</v>
      </c>
      <c r="B747" t="s">
        <v>364</v>
      </c>
      <c r="C747">
        <v>150</v>
      </c>
      <c r="D747" t="s">
        <v>367</v>
      </c>
      <c r="E747" t="s">
        <v>11</v>
      </c>
      <c r="F747">
        <v>1</v>
      </c>
      <c r="G747" t="s">
        <v>18</v>
      </c>
    </row>
    <row r="748" spans="1:7" x14ac:dyDescent="0.25">
      <c r="A748">
        <v>44</v>
      </c>
      <c r="B748" t="s">
        <v>364</v>
      </c>
      <c r="C748">
        <v>160</v>
      </c>
      <c r="D748" t="s">
        <v>368</v>
      </c>
      <c r="E748" t="s">
        <v>11</v>
      </c>
      <c r="F748">
        <v>1</v>
      </c>
      <c r="G748" t="s">
        <v>18</v>
      </c>
    </row>
    <row r="749" spans="1:7" x14ac:dyDescent="0.25">
      <c r="A749">
        <v>44</v>
      </c>
      <c r="B749" t="s">
        <v>364</v>
      </c>
      <c r="C749">
        <v>170</v>
      </c>
      <c r="D749" t="s">
        <v>527</v>
      </c>
      <c r="E749" t="s">
        <v>14</v>
      </c>
      <c r="F749">
        <v>0.6</v>
      </c>
      <c r="G749" t="s">
        <v>15</v>
      </c>
    </row>
    <row r="750" spans="1:7" x14ac:dyDescent="0.25">
      <c r="A750">
        <v>45</v>
      </c>
      <c r="B750" t="s">
        <v>369</v>
      </c>
      <c r="C750">
        <v>10</v>
      </c>
      <c r="D750" t="s">
        <v>370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369</v>
      </c>
      <c r="C751">
        <v>20</v>
      </c>
      <c r="D751" t="s">
        <v>222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369</v>
      </c>
      <c r="C752">
        <v>30</v>
      </c>
      <c r="D752" t="s">
        <v>110</v>
      </c>
      <c r="E752" t="s">
        <v>111</v>
      </c>
      <c r="F752">
        <v>0.84799999999999998</v>
      </c>
      <c r="G752" t="s">
        <v>15</v>
      </c>
    </row>
    <row r="753" spans="1:7" x14ac:dyDescent="0.25">
      <c r="A753">
        <v>45</v>
      </c>
      <c r="B753" t="s">
        <v>369</v>
      </c>
      <c r="C753">
        <v>40</v>
      </c>
      <c r="D753" t="s">
        <v>202</v>
      </c>
      <c r="E753" t="s">
        <v>11</v>
      </c>
      <c r="F753">
        <v>1.5489999999999999</v>
      </c>
      <c r="G753" t="s">
        <v>15</v>
      </c>
    </row>
    <row r="754" spans="1:7" x14ac:dyDescent="0.25">
      <c r="A754">
        <v>45</v>
      </c>
      <c r="B754" t="s">
        <v>369</v>
      </c>
      <c r="C754">
        <v>50</v>
      </c>
      <c r="D754" t="s">
        <v>114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369</v>
      </c>
      <c r="C755">
        <v>60</v>
      </c>
      <c r="D755" t="s">
        <v>371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369</v>
      </c>
      <c r="C756">
        <v>70</v>
      </c>
      <c r="D756" t="s">
        <v>116</v>
      </c>
      <c r="E756" t="s">
        <v>17</v>
      </c>
      <c r="F756">
        <v>13.818</v>
      </c>
      <c r="G756" t="s">
        <v>15</v>
      </c>
    </row>
    <row r="757" spans="1:7" x14ac:dyDescent="0.25">
      <c r="A757">
        <v>45</v>
      </c>
      <c r="B757" t="s">
        <v>369</v>
      </c>
      <c r="C757">
        <v>80</v>
      </c>
      <c r="D757" t="s">
        <v>20</v>
      </c>
      <c r="E757" t="s">
        <v>17</v>
      </c>
      <c r="F757">
        <v>84.977999999999994</v>
      </c>
      <c r="G757" t="s">
        <v>15</v>
      </c>
    </row>
    <row r="758" spans="1:7" x14ac:dyDescent="0.25">
      <c r="A758">
        <v>45</v>
      </c>
      <c r="B758" t="s">
        <v>369</v>
      </c>
      <c r="C758">
        <v>90</v>
      </c>
      <c r="D758" t="s">
        <v>24</v>
      </c>
      <c r="E758" t="s">
        <v>11</v>
      </c>
      <c r="F758">
        <v>1</v>
      </c>
      <c r="G758" t="s">
        <v>15</v>
      </c>
    </row>
    <row r="759" spans="1:7" x14ac:dyDescent="0.25">
      <c r="A759">
        <v>45</v>
      </c>
      <c r="B759" t="s">
        <v>369</v>
      </c>
      <c r="C759">
        <v>100</v>
      </c>
      <c r="D759" t="s">
        <v>117</v>
      </c>
      <c r="E759" t="s">
        <v>14</v>
      </c>
      <c r="F759">
        <v>0.12</v>
      </c>
      <c r="G759" t="s">
        <v>15</v>
      </c>
    </row>
    <row r="760" spans="1:7" x14ac:dyDescent="0.25">
      <c r="A760">
        <v>45</v>
      </c>
      <c r="B760" t="s">
        <v>369</v>
      </c>
      <c r="C760">
        <v>110</v>
      </c>
      <c r="D760" t="s">
        <v>118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369</v>
      </c>
      <c r="C761">
        <v>120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369</v>
      </c>
      <c r="C762">
        <v>130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369</v>
      </c>
      <c r="C763">
        <v>140</v>
      </c>
      <c r="D763" t="s">
        <v>108</v>
      </c>
      <c r="E763" t="s">
        <v>14</v>
      </c>
      <c r="F763">
        <v>0.94599999999999995</v>
      </c>
      <c r="G763" t="s">
        <v>15</v>
      </c>
    </row>
    <row r="764" spans="1:7" x14ac:dyDescent="0.25">
      <c r="A764">
        <v>45</v>
      </c>
      <c r="B764" t="s">
        <v>369</v>
      </c>
      <c r="C764">
        <v>150</v>
      </c>
      <c r="D764" t="s">
        <v>372</v>
      </c>
      <c r="E764" t="s">
        <v>11</v>
      </c>
      <c r="F764">
        <v>1</v>
      </c>
      <c r="G764" t="s">
        <v>18</v>
      </c>
    </row>
    <row r="765" spans="1:7" x14ac:dyDescent="0.25">
      <c r="A765">
        <v>45</v>
      </c>
      <c r="B765" t="s">
        <v>369</v>
      </c>
      <c r="C765">
        <v>160</v>
      </c>
      <c r="D765" t="s">
        <v>373</v>
      </c>
      <c r="E765" t="s">
        <v>11</v>
      </c>
      <c r="F765">
        <v>1</v>
      </c>
      <c r="G765" t="s">
        <v>18</v>
      </c>
    </row>
    <row r="766" spans="1:7" x14ac:dyDescent="0.25">
      <c r="A766">
        <v>45</v>
      </c>
      <c r="B766" t="s">
        <v>369</v>
      </c>
      <c r="C766">
        <v>170</v>
      </c>
      <c r="D766" t="s">
        <v>527</v>
      </c>
      <c r="E766" t="s">
        <v>14</v>
      </c>
      <c r="F766">
        <v>0.6</v>
      </c>
      <c r="G766" t="s">
        <v>15</v>
      </c>
    </row>
    <row r="767" spans="1:7" x14ac:dyDescent="0.25">
      <c r="A767">
        <v>46</v>
      </c>
      <c r="B767" t="s">
        <v>374</v>
      </c>
      <c r="C767">
        <v>10</v>
      </c>
      <c r="D767" t="s">
        <v>375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374</v>
      </c>
      <c r="C768">
        <v>20</v>
      </c>
      <c r="D768" t="s">
        <v>232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374</v>
      </c>
      <c r="C769">
        <v>30</v>
      </c>
      <c r="D769" t="s">
        <v>110</v>
      </c>
      <c r="E769" t="s">
        <v>111</v>
      </c>
      <c r="F769">
        <v>0.93500000000000005</v>
      </c>
      <c r="G769" t="s">
        <v>15</v>
      </c>
    </row>
    <row r="770" spans="1:7" x14ac:dyDescent="0.25">
      <c r="A770">
        <v>46</v>
      </c>
      <c r="B770" t="s">
        <v>374</v>
      </c>
      <c r="C770">
        <v>40</v>
      </c>
      <c r="D770" t="s">
        <v>202</v>
      </c>
      <c r="E770" t="s">
        <v>11</v>
      </c>
      <c r="F770">
        <v>1.702</v>
      </c>
      <c r="G770" t="s">
        <v>15</v>
      </c>
    </row>
    <row r="771" spans="1:7" x14ac:dyDescent="0.25">
      <c r="A771">
        <v>46</v>
      </c>
      <c r="B771" t="s">
        <v>374</v>
      </c>
      <c r="C771">
        <v>50</v>
      </c>
      <c r="D771" t="s">
        <v>114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374</v>
      </c>
      <c r="C772">
        <v>60</v>
      </c>
      <c r="D772" t="s">
        <v>376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374</v>
      </c>
      <c r="C773">
        <v>70</v>
      </c>
      <c r="D773" t="s">
        <v>116</v>
      </c>
      <c r="E773" t="s">
        <v>17</v>
      </c>
      <c r="F773">
        <v>14.427</v>
      </c>
      <c r="G773" t="s">
        <v>15</v>
      </c>
    </row>
    <row r="774" spans="1:7" x14ac:dyDescent="0.25">
      <c r="A774">
        <v>46</v>
      </c>
      <c r="B774" t="s">
        <v>374</v>
      </c>
      <c r="C774">
        <v>80</v>
      </c>
      <c r="D774" t="s">
        <v>20</v>
      </c>
      <c r="E774" t="s">
        <v>17</v>
      </c>
      <c r="F774">
        <v>88.727000000000004</v>
      </c>
      <c r="G774" t="s">
        <v>15</v>
      </c>
    </row>
    <row r="775" spans="1:7" x14ac:dyDescent="0.25">
      <c r="A775">
        <v>46</v>
      </c>
      <c r="B775" t="s">
        <v>374</v>
      </c>
      <c r="C775">
        <v>90</v>
      </c>
      <c r="D775" t="s">
        <v>24</v>
      </c>
      <c r="E775" t="s">
        <v>11</v>
      </c>
      <c r="F775">
        <v>1</v>
      </c>
      <c r="G775" t="s">
        <v>15</v>
      </c>
    </row>
    <row r="776" spans="1:7" x14ac:dyDescent="0.25">
      <c r="A776">
        <v>46</v>
      </c>
      <c r="B776" t="s">
        <v>374</v>
      </c>
      <c r="C776">
        <v>100</v>
      </c>
      <c r="D776" t="s">
        <v>117</v>
      </c>
      <c r="E776" t="s">
        <v>14</v>
      </c>
      <c r="F776">
        <v>0.13</v>
      </c>
      <c r="G776" t="s">
        <v>15</v>
      </c>
    </row>
    <row r="777" spans="1:7" x14ac:dyDescent="0.25">
      <c r="A777">
        <v>46</v>
      </c>
      <c r="B777" t="s">
        <v>374</v>
      </c>
      <c r="C777">
        <v>110</v>
      </c>
      <c r="D777" t="s">
        <v>118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374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374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374</v>
      </c>
      <c r="C780">
        <v>140</v>
      </c>
      <c r="D780" t="s">
        <v>108</v>
      </c>
      <c r="E780" t="s">
        <v>14</v>
      </c>
      <c r="F780">
        <v>1.0269999999999999</v>
      </c>
      <c r="G780" t="s">
        <v>15</v>
      </c>
    </row>
    <row r="781" spans="1:7" x14ac:dyDescent="0.25">
      <c r="A781">
        <v>46</v>
      </c>
      <c r="B781" t="s">
        <v>374</v>
      </c>
      <c r="C781">
        <v>150</v>
      </c>
      <c r="D781" t="s">
        <v>377</v>
      </c>
      <c r="E781" t="s">
        <v>11</v>
      </c>
      <c r="F781">
        <v>1</v>
      </c>
      <c r="G781" t="s">
        <v>18</v>
      </c>
    </row>
    <row r="782" spans="1:7" x14ac:dyDescent="0.25">
      <c r="A782">
        <v>46</v>
      </c>
      <c r="B782" t="s">
        <v>374</v>
      </c>
      <c r="C782">
        <v>160</v>
      </c>
      <c r="D782" t="s">
        <v>378</v>
      </c>
      <c r="E782" t="s">
        <v>11</v>
      </c>
      <c r="F782">
        <v>1</v>
      </c>
      <c r="G782" t="s">
        <v>18</v>
      </c>
    </row>
    <row r="783" spans="1:7" x14ac:dyDescent="0.25">
      <c r="A783">
        <v>46</v>
      </c>
      <c r="B783" t="s">
        <v>374</v>
      </c>
      <c r="C783">
        <v>170</v>
      </c>
      <c r="D783" t="s">
        <v>528</v>
      </c>
      <c r="E783" t="s">
        <v>14</v>
      </c>
      <c r="F783">
        <v>0.8</v>
      </c>
      <c r="G783" t="s">
        <v>15</v>
      </c>
    </row>
    <row r="784" spans="1:7" x14ac:dyDescent="0.25">
      <c r="A784">
        <v>47</v>
      </c>
      <c r="B784" t="s">
        <v>379</v>
      </c>
      <c r="C784">
        <v>10</v>
      </c>
      <c r="D784" t="s">
        <v>380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379</v>
      </c>
      <c r="C785">
        <v>20</v>
      </c>
      <c r="D785" t="s">
        <v>236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379</v>
      </c>
      <c r="C786">
        <v>30</v>
      </c>
      <c r="D786" t="s">
        <v>110</v>
      </c>
      <c r="E786" t="s">
        <v>111</v>
      </c>
      <c r="F786">
        <v>1.0209999999999999</v>
      </c>
      <c r="G786" t="s">
        <v>15</v>
      </c>
    </row>
    <row r="787" spans="1:7" x14ac:dyDescent="0.25">
      <c r="A787">
        <v>47</v>
      </c>
      <c r="B787" t="s">
        <v>379</v>
      </c>
      <c r="C787">
        <v>40</v>
      </c>
      <c r="D787" t="s">
        <v>202</v>
      </c>
      <c r="E787" t="s">
        <v>11</v>
      </c>
      <c r="F787">
        <v>1.8540000000000001</v>
      </c>
      <c r="G787" t="s">
        <v>15</v>
      </c>
    </row>
    <row r="788" spans="1:7" x14ac:dyDescent="0.25">
      <c r="A788">
        <v>47</v>
      </c>
      <c r="B788" t="s">
        <v>379</v>
      </c>
      <c r="C788">
        <v>50</v>
      </c>
      <c r="D788" t="s">
        <v>114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379</v>
      </c>
      <c r="C789">
        <v>60</v>
      </c>
      <c r="D789" t="s">
        <v>381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379</v>
      </c>
      <c r="C790">
        <v>70</v>
      </c>
      <c r="D790" t="s">
        <v>116</v>
      </c>
      <c r="E790" t="s">
        <v>17</v>
      </c>
      <c r="F790">
        <v>15.037000000000001</v>
      </c>
      <c r="G790" t="s">
        <v>15</v>
      </c>
    </row>
    <row r="791" spans="1:7" x14ac:dyDescent="0.25">
      <c r="A791">
        <v>47</v>
      </c>
      <c r="B791" t="s">
        <v>379</v>
      </c>
      <c r="C791">
        <v>80</v>
      </c>
      <c r="D791" t="s">
        <v>20</v>
      </c>
      <c r="E791" t="s">
        <v>17</v>
      </c>
      <c r="F791">
        <v>92.475999999999999</v>
      </c>
      <c r="G791" t="s">
        <v>15</v>
      </c>
    </row>
    <row r="792" spans="1:7" x14ac:dyDescent="0.25">
      <c r="A792">
        <v>47</v>
      </c>
      <c r="B792" t="s">
        <v>379</v>
      </c>
      <c r="C792">
        <v>90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47</v>
      </c>
      <c r="B793" t="s">
        <v>379</v>
      </c>
      <c r="C793">
        <v>100</v>
      </c>
      <c r="D793" t="s">
        <v>117</v>
      </c>
      <c r="E793" t="s">
        <v>14</v>
      </c>
      <c r="F793">
        <v>0.14000000000000001</v>
      </c>
      <c r="G793" t="s">
        <v>15</v>
      </c>
    </row>
    <row r="794" spans="1:7" x14ac:dyDescent="0.25">
      <c r="A794">
        <v>47</v>
      </c>
      <c r="B794" t="s">
        <v>379</v>
      </c>
      <c r="C794">
        <v>110</v>
      </c>
      <c r="D794" t="s">
        <v>118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379</v>
      </c>
      <c r="C795">
        <v>120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379</v>
      </c>
      <c r="C796">
        <v>130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379</v>
      </c>
      <c r="C797">
        <v>140</v>
      </c>
      <c r="D797" t="s">
        <v>108</v>
      </c>
      <c r="E797" t="s">
        <v>14</v>
      </c>
      <c r="F797">
        <v>1.1080000000000001</v>
      </c>
      <c r="G797" t="s">
        <v>15</v>
      </c>
    </row>
    <row r="798" spans="1:7" x14ac:dyDescent="0.25">
      <c r="A798">
        <v>47</v>
      </c>
      <c r="B798" t="s">
        <v>379</v>
      </c>
      <c r="C798">
        <v>150</v>
      </c>
      <c r="D798" t="s">
        <v>382</v>
      </c>
      <c r="E798" t="s">
        <v>11</v>
      </c>
      <c r="F798">
        <v>1</v>
      </c>
      <c r="G798" t="s">
        <v>18</v>
      </c>
    </row>
    <row r="799" spans="1:7" x14ac:dyDescent="0.25">
      <c r="A799">
        <v>47</v>
      </c>
      <c r="B799" t="s">
        <v>379</v>
      </c>
      <c r="C799">
        <v>160</v>
      </c>
      <c r="D799" t="s">
        <v>383</v>
      </c>
      <c r="E799" t="s">
        <v>11</v>
      </c>
      <c r="F799">
        <v>1</v>
      </c>
      <c r="G799" t="s">
        <v>18</v>
      </c>
    </row>
    <row r="800" spans="1:7" x14ac:dyDescent="0.25">
      <c r="A800">
        <v>47</v>
      </c>
      <c r="B800" t="s">
        <v>379</v>
      </c>
      <c r="C800">
        <v>170</v>
      </c>
      <c r="D800" t="s">
        <v>528</v>
      </c>
      <c r="E800" t="s">
        <v>14</v>
      </c>
      <c r="F800">
        <v>0.8</v>
      </c>
      <c r="G800" t="s">
        <v>15</v>
      </c>
    </row>
    <row r="801" spans="1:7" x14ac:dyDescent="0.25">
      <c r="A801">
        <v>48</v>
      </c>
      <c r="B801" t="s">
        <v>384</v>
      </c>
      <c r="C801">
        <v>10</v>
      </c>
      <c r="D801" t="s">
        <v>385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384</v>
      </c>
      <c r="C802">
        <v>20</v>
      </c>
      <c r="D802" t="s">
        <v>386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384</v>
      </c>
      <c r="C803">
        <v>30</v>
      </c>
      <c r="D803" t="s">
        <v>110</v>
      </c>
      <c r="E803" t="s">
        <v>111</v>
      </c>
      <c r="F803">
        <v>0.435</v>
      </c>
      <c r="G803" t="s">
        <v>15</v>
      </c>
    </row>
    <row r="804" spans="1:7" x14ac:dyDescent="0.25">
      <c r="A804">
        <v>48</v>
      </c>
      <c r="B804" t="s">
        <v>384</v>
      </c>
      <c r="C804">
        <v>40</v>
      </c>
      <c r="D804" t="s">
        <v>202</v>
      </c>
      <c r="E804" t="s">
        <v>11</v>
      </c>
      <c r="F804">
        <v>0.78700000000000003</v>
      </c>
      <c r="G804" t="s">
        <v>15</v>
      </c>
    </row>
    <row r="805" spans="1:7" x14ac:dyDescent="0.25">
      <c r="A805">
        <v>48</v>
      </c>
      <c r="B805" t="s">
        <v>384</v>
      </c>
      <c r="C805">
        <v>50</v>
      </c>
      <c r="D805" t="s">
        <v>114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384</v>
      </c>
      <c r="C806">
        <v>60</v>
      </c>
      <c r="D806" t="s">
        <v>387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384</v>
      </c>
      <c r="C807">
        <v>70</v>
      </c>
      <c r="D807" t="s">
        <v>116</v>
      </c>
      <c r="E807" t="s">
        <v>17</v>
      </c>
      <c r="F807">
        <v>11.074</v>
      </c>
      <c r="G807" t="s">
        <v>15</v>
      </c>
    </row>
    <row r="808" spans="1:7" x14ac:dyDescent="0.25">
      <c r="A808">
        <v>48</v>
      </c>
      <c r="B808" t="s">
        <v>384</v>
      </c>
      <c r="C808">
        <v>80</v>
      </c>
      <c r="D808" t="s">
        <v>20</v>
      </c>
      <c r="E808" t="s">
        <v>17</v>
      </c>
      <c r="F808">
        <v>68.108000000000004</v>
      </c>
      <c r="G808" t="s">
        <v>15</v>
      </c>
    </row>
    <row r="809" spans="1:7" x14ac:dyDescent="0.25">
      <c r="A809">
        <v>48</v>
      </c>
      <c r="B809" t="s">
        <v>384</v>
      </c>
      <c r="C809">
        <v>90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48</v>
      </c>
      <c r="B810" t="s">
        <v>384</v>
      </c>
      <c r="C810">
        <v>100</v>
      </c>
      <c r="D810" t="s">
        <v>117</v>
      </c>
      <c r="E810" t="s">
        <v>14</v>
      </c>
      <c r="F810">
        <v>7.1999999999999995E-2</v>
      </c>
      <c r="G810" t="s">
        <v>15</v>
      </c>
    </row>
    <row r="811" spans="1:7" x14ac:dyDescent="0.25">
      <c r="A811">
        <v>48</v>
      </c>
      <c r="B811" t="s">
        <v>384</v>
      </c>
      <c r="C811">
        <v>110</v>
      </c>
      <c r="D811" t="s">
        <v>118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384</v>
      </c>
      <c r="C812">
        <v>120</v>
      </c>
      <c r="D812" t="s">
        <v>25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384</v>
      </c>
      <c r="C813">
        <v>130</v>
      </c>
      <c r="D813" t="s">
        <v>26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384</v>
      </c>
      <c r="C814">
        <v>140</v>
      </c>
      <c r="D814" t="s">
        <v>108</v>
      </c>
      <c r="E814" t="s">
        <v>14</v>
      </c>
      <c r="F814">
        <v>0.54</v>
      </c>
      <c r="G814" t="s">
        <v>15</v>
      </c>
    </row>
    <row r="815" spans="1:7" x14ac:dyDescent="0.25">
      <c r="A815">
        <v>48</v>
      </c>
      <c r="B815" t="s">
        <v>384</v>
      </c>
      <c r="C815">
        <v>150</v>
      </c>
      <c r="D815" t="s">
        <v>388</v>
      </c>
      <c r="E815" t="s">
        <v>11</v>
      </c>
      <c r="F815">
        <v>1</v>
      </c>
      <c r="G815" t="s">
        <v>18</v>
      </c>
    </row>
    <row r="816" spans="1:7" x14ac:dyDescent="0.25">
      <c r="A816">
        <v>48</v>
      </c>
      <c r="B816" t="s">
        <v>384</v>
      </c>
      <c r="C816">
        <v>160</v>
      </c>
      <c r="D816" t="s">
        <v>389</v>
      </c>
      <c r="E816" t="s">
        <v>11</v>
      </c>
      <c r="F816">
        <v>1</v>
      </c>
      <c r="G816" t="s">
        <v>18</v>
      </c>
    </row>
    <row r="817" spans="1:7" x14ac:dyDescent="0.25">
      <c r="A817">
        <v>48</v>
      </c>
      <c r="B817" t="s">
        <v>384</v>
      </c>
      <c r="C817">
        <v>170</v>
      </c>
      <c r="D817" t="s">
        <v>526</v>
      </c>
      <c r="E817" t="s">
        <v>14</v>
      </c>
      <c r="F817">
        <v>0.5</v>
      </c>
      <c r="G817" t="s">
        <v>15</v>
      </c>
    </row>
    <row r="818" spans="1:7" x14ac:dyDescent="0.25">
      <c r="A818">
        <v>49</v>
      </c>
      <c r="B818" t="s">
        <v>390</v>
      </c>
      <c r="C818">
        <v>10</v>
      </c>
      <c r="D818" t="s">
        <v>391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390</v>
      </c>
      <c r="C819">
        <v>20</v>
      </c>
      <c r="D819" t="s">
        <v>240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390</v>
      </c>
      <c r="C820">
        <v>30</v>
      </c>
      <c r="D820" t="s">
        <v>110</v>
      </c>
      <c r="E820" t="s">
        <v>111</v>
      </c>
      <c r="F820">
        <v>0.52400000000000002</v>
      </c>
      <c r="G820" t="s">
        <v>15</v>
      </c>
    </row>
    <row r="821" spans="1:7" x14ac:dyDescent="0.25">
      <c r="A821">
        <v>49</v>
      </c>
      <c r="B821" t="s">
        <v>390</v>
      </c>
      <c r="C821">
        <v>40</v>
      </c>
      <c r="D821" t="s">
        <v>202</v>
      </c>
      <c r="E821" t="s">
        <v>11</v>
      </c>
      <c r="F821">
        <v>0.94</v>
      </c>
      <c r="G821" t="s">
        <v>15</v>
      </c>
    </row>
    <row r="822" spans="1:7" x14ac:dyDescent="0.25">
      <c r="A822">
        <v>49</v>
      </c>
      <c r="B822" t="s">
        <v>390</v>
      </c>
      <c r="C822">
        <v>50</v>
      </c>
      <c r="D822" t="s">
        <v>114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390</v>
      </c>
      <c r="C823">
        <v>60</v>
      </c>
      <c r="D823" t="s">
        <v>392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390</v>
      </c>
      <c r="C824">
        <v>70</v>
      </c>
      <c r="D824" t="s">
        <v>116</v>
      </c>
      <c r="E824" t="s">
        <v>17</v>
      </c>
      <c r="F824">
        <v>11.683999999999999</v>
      </c>
      <c r="G824" t="s">
        <v>15</v>
      </c>
    </row>
    <row r="825" spans="1:7" x14ac:dyDescent="0.25">
      <c r="A825">
        <v>49</v>
      </c>
      <c r="B825" t="s">
        <v>390</v>
      </c>
      <c r="C825">
        <v>80</v>
      </c>
      <c r="D825" t="s">
        <v>20</v>
      </c>
      <c r="E825" t="s">
        <v>17</v>
      </c>
      <c r="F825">
        <v>71.856999999999999</v>
      </c>
      <c r="G825" t="s">
        <v>15</v>
      </c>
    </row>
    <row r="826" spans="1:7" x14ac:dyDescent="0.25">
      <c r="A826">
        <v>49</v>
      </c>
      <c r="B826" t="s">
        <v>390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49</v>
      </c>
      <c r="B827" t="s">
        <v>390</v>
      </c>
      <c r="C827">
        <v>100</v>
      </c>
      <c r="D827" t="s">
        <v>117</v>
      </c>
      <c r="E827" t="s">
        <v>14</v>
      </c>
      <c r="F827">
        <v>8.1000000000000003E-2</v>
      </c>
      <c r="G827" t="s">
        <v>15</v>
      </c>
    </row>
    <row r="828" spans="1:7" x14ac:dyDescent="0.25">
      <c r="A828">
        <v>49</v>
      </c>
      <c r="B828" t="s">
        <v>390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390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390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390</v>
      </c>
      <c r="C831">
        <v>140</v>
      </c>
      <c r="D831" t="s">
        <v>108</v>
      </c>
      <c r="E831" t="s">
        <v>14</v>
      </c>
      <c r="F831">
        <v>0.622</v>
      </c>
      <c r="G831" t="s">
        <v>15</v>
      </c>
    </row>
    <row r="832" spans="1:7" x14ac:dyDescent="0.25">
      <c r="A832">
        <v>49</v>
      </c>
      <c r="B832" t="s">
        <v>390</v>
      </c>
      <c r="C832">
        <v>150</v>
      </c>
      <c r="D832" t="s">
        <v>393</v>
      </c>
      <c r="E832" t="s">
        <v>11</v>
      </c>
      <c r="F832">
        <v>1</v>
      </c>
      <c r="G832" t="s">
        <v>18</v>
      </c>
    </row>
    <row r="833" spans="1:7" x14ac:dyDescent="0.25">
      <c r="A833">
        <v>49</v>
      </c>
      <c r="B833" t="s">
        <v>390</v>
      </c>
      <c r="C833">
        <v>160</v>
      </c>
      <c r="D833" t="s">
        <v>394</v>
      </c>
      <c r="E833" t="s">
        <v>11</v>
      </c>
      <c r="F833">
        <v>1</v>
      </c>
      <c r="G833" t="s">
        <v>18</v>
      </c>
    </row>
    <row r="834" spans="1:7" x14ac:dyDescent="0.25">
      <c r="A834">
        <v>49</v>
      </c>
      <c r="B834" t="s">
        <v>390</v>
      </c>
      <c r="C834">
        <v>170</v>
      </c>
      <c r="D834" t="s">
        <v>526</v>
      </c>
      <c r="E834" t="s">
        <v>14</v>
      </c>
      <c r="F834">
        <v>0.5</v>
      </c>
      <c r="G834" t="s">
        <v>15</v>
      </c>
    </row>
    <row r="835" spans="1:7" x14ac:dyDescent="0.25">
      <c r="A835">
        <v>50</v>
      </c>
      <c r="B835" t="s">
        <v>395</v>
      </c>
      <c r="C835">
        <v>10</v>
      </c>
      <c r="D835" t="s">
        <v>396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395</v>
      </c>
      <c r="C836">
        <v>20</v>
      </c>
      <c r="D836" t="s">
        <v>244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395</v>
      </c>
      <c r="C837">
        <v>30</v>
      </c>
      <c r="D837" t="s">
        <v>110</v>
      </c>
      <c r="E837" t="s">
        <v>111</v>
      </c>
      <c r="F837">
        <v>0.61399999999999999</v>
      </c>
      <c r="G837" t="s">
        <v>15</v>
      </c>
    </row>
    <row r="838" spans="1:7" x14ac:dyDescent="0.25">
      <c r="A838">
        <v>50</v>
      </c>
      <c r="B838" t="s">
        <v>395</v>
      </c>
      <c r="C838">
        <v>40</v>
      </c>
      <c r="D838" t="s">
        <v>202</v>
      </c>
      <c r="E838" t="s">
        <v>11</v>
      </c>
      <c r="F838">
        <v>1.0920000000000001</v>
      </c>
      <c r="G838" t="s">
        <v>15</v>
      </c>
    </row>
    <row r="839" spans="1:7" x14ac:dyDescent="0.25">
      <c r="A839">
        <v>50</v>
      </c>
      <c r="B839" t="s">
        <v>395</v>
      </c>
      <c r="C839">
        <v>50</v>
      </c>
      <c r="D839" t="s">
        <v>114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395</v>
      </c>
      <c r="C840">
        <v>60</v>
      </c>
      <c r="D840" t="s">
        <v>397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395</v>
      </c>
      <c r="C841">
        <v>70</v>
      </c>
      <c r="D841" t="s">
        <v>116</v>
      </c>
      <c r="E841" t="s">
        <v>17</v>
      </c>
      <c r="F841">
        <v>12.294</v>
      </c>
      <c r="G841" t="s">
        <v>15</v>
      </c>
    </row>
    <row r="842" spans="1:7" x14ac:dyDescent="0.25">
      <c r="A842">
        <v>50</v>
      </c>
      <c r="B842" t="s">
        <v>395</v>
      </c>
      <c r="C842">
        <v>80</v>
      </c>
      <c r="D842" t="s">
        <v>20</v>
      </c>
      <c r="E842" t="s">
        <v>17</v>
      </c>
      <c r="F842">
        <v>75.605999999999995</v>
      </c>
      <c r="G842" t="s">
        <v>15</v>
      </c>
    </row>
    <row r="843" spans="1:7" x14ac:dyDescent="0.25">
      <c r="A843">
        <v>50</v>
      </c>
      <c r="B843" t="s">
        <v>395</v>
      </c>
      <c r="C843">
        <v>90</v>
      </c>
      <c r="D843" t="s">
        <v>24</v>
      </c>
      <c r="E843" t="s">
        <v>11</v>
      </c>
      <c r="F843">
        <v>1</v>
      </c>
      <c r="G843" t="s">
        <v>15</v>
      </c>
    </row>
    <row r="844" spans="1:7" x14ac:dyDescent="0.25">
      <c r="A844">
        <v>50</v>
      </c>
      <c r="B844" t="s">
        <v>395</v>
      </c>
      <c r="C844">
        <v>100</v>
      </c>
      <c r="D844" t="s">
        <v>117</v>
      </c>
      <c r="E844" t="s">
        <v>14</v>
      </c>
      <c r="F844">
        <v>9.0999999999999998E-2</v>
      </c>
      <c r="G844" t="s">
        <v>15</v>
      </c>
    </row>
    <row r="845" spans="1:7" x14ac:dyDescent="0.25">
      <c r="A845">
        <v>50</v>
      </c>
      <c r="B845" t="s">
        <v>395</v>
      </c>
      <c r="C845">
        <v>110</v>
      </c>
      <c r="D845" t="s">
        <v>118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395</v>
      </c>
      <c r="C846">
        <v>120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395</v>
      </c>
      <c r="C847">
        <v>130</v>
      </c>
      <c r="D847" t="s">
        <v>26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395</v>
      </c>
      <c r="C848">
        <v>140</v>
      </c>
      <c r="D848" t="s">
        <v>108</v>
      </c>
      <c r="E848" t="s">
        <v>14</v>
      </c>
      <c r="F848">
        <v>0.70299999999999996</v>
      </c>
      <c r="G848" t="s">
        <v>15</v>
      </c>
    </row>
    <row r="849" spans="1:7" x14ac:dyDescent="0.25">
      <c r="A849">
        <v>50</v>
      </c>
      <c r="B849" t="s">
        <v>395</v>
      </c>
      <c r="C849">
        <v>150</v>
      </c>
      <c r="D849" t="s">
        <v>398</v>
      </c>
      <c r="E849" t="s">
        <v>11</v>
      </c>
      <c r="F849">
        <v>1</v>
      </c>
      <c r="G849" t="s">
        <v>18</v>
      </c>
    </row>
    <row r="850" spans="1:7" x14ac:dyDescent="0.25">
      <c r="A850">
        <v>50</v>
      </c>
      <c r="B850" t="s">
        <v>395</v>
      </c>
      <c r="C850">
        <v>160</v>
      </c>
      <c r="D850" t="s">
        <v>399</v>
      </c>
      <c r="E850" t="s">
        <v>11</v>
      </c>
      <c r="F850">
        <v>1</v>
      </c>
      <c r="G850" t="s">
        <v>18</v>
      </c>
    </row>
    <row r="851" spans="1:7" x14ac:dyDescent="0.25">
      <c r="A851">
        <v>50</v>
      </c>
      <c r="B851" t="s">
        <v>395</v>
      </c>
      <c r="C851">
        <v>170</v>
      </c>
      <c r="D851" t="s">
        <v>527</v>
      </c>
      <c r="E851" t="s">
        <v>14</v>
      </c>
      <c r="F851">
        <v>0.6</v>
      </c>
      <c r="G851" t="s">
        <v>15</v>
      </c>
    </row>
    <row r="852" spans="1:7" x14ac:dyDescent="0.25">
      <c r="A852">
        <v>51</v>
      </c>
      <c r="B852" t="s">
        <v>400</v>
      </c>
      <c r="C852">
        <v>10</v>
      </c>
      <c r="D852" t="s">
        <v>401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400</v>
      </c>
      <c r="C853">
        <v>20</v>
      </c>
      <c r="D853" t="s">
        <v>248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400</v>
      </c>
      <c r="C854">
        <v>30</v>
      </c>
      <c r="D854" t="s">
        <v>110</v>
      </c>
      <c r="E854" t="s">
        <v>111</v>
      </c>
      <c r="F854">
        <v>0.70399999999999996</v>
      </c>
      <c r="G854" t="s">
        <v>15</v>
      </c>
    </row>
    <row r="855" spans="1:7" x14ac:dyDescent="0.25">
      <c r="A855">
        <v>51</v>
      </c>
      <c r="B855" t="s">
        <v>400</v>
      </c>
      <c r="C855">
        <v>40</v>
      </c>
      <c r="D855" t="s">
        <v>202</v>
      </c>
      <c r="E855" t="s">
        <v>11</v>
      </c>
      <c r="F855">
        <v>1.2450000000000001</v>
      </c>
      <c r="G855" t="s">
        <v>15</v>
      </c>
    </row>
    <row r="856" spans="1:7" x14ac:dyDescent="0.25">
      <c r="A856">
        <v>51</v>
      </c>
      <c r="B856" t="s">
        <v>400</v>
      </c>
      <c r="C856">
        <v>50</v>
      </c>
      <c r="D856" t="s">
        <v>114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400</v>
      </c>
      <c r="C857">
        <v>60</v>
      </c>
      <c r="D857" t="s">
        <v>402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400</v>
      </c>
      <c r="C858">
        <v>70</v>
      </c>
      <c r="D858" t="s">
        <v>116</v>
      </c>
      <c r="E858" t="s">
        <v>17</v>
      </c>
      <c r="F858">
        <v>12.903</v>
      </c>
      <c r="G858" t="s">
        <v>15</v>
      </c>
    </row>
    <row r="859" spans="1:7" x14ac:dyDescent="0.25">
      <c r="A859">
        <v>51</v>
      </c>
      <c r="B859" t="s">
        <v>400</v>
      </c>
      <c r="C859">
        <v>80</v>
      </c>
      <c r="D859" t="s">
        <v>20</v>
      </c>
      <c r="E859" t="s">
        <v>17</v>
      </c>
      <c r="F859">
        <v>79.355000000000004</v>
      </c>
      <c r="G859" t="s">
        <v>15</v>
      </c>
    </row>
    <row r="860" spans="1:7" x14ac:dyDescent="0.25">
      <c r="A860">
        <v>51</v>
      </c>
      <c r="B860" t="s">
        <v>400</v>
      </c>
      <c r="C860">
        <v>90</v>
      </c>
      <c r="D860" t="s">
        <v>24</v>
      </c>
      <c r="E860" t="s">
        <v>11</v>
      </c>
      <c r="F860">
        <v>1</v>
      </c>
      <c r="G860" t="s">
        <v>15</v>
      </c>
    </row>
    <row r="861" spans="1:7" x14ac:dyDescent="0.25">
      <c r="A861">
        <v>51</v>
      </c>
      <c r="B861" t="s">
        <v>400</v>
      </c>
      <c r="C861">
        <v>100</v>
      </c>
      <c r="D861" t="s">
        <v>117</v>
      </c>
      <c r="E861" t="s">
        <v>14</v>
      </c>
      <c r="F861">
        <v>0.10100000000000001</v>
      </c>
      <c r="G861" t="s">
        <v>15</v>
      </c>
    </row>
    <row r="862" spans="1:7" x14ac:dyDescent="0.25">
      <c r="A862">
        <v>51</v>
      </c>
      <c r="B862" t="s">
        <v>400</v>
      </c>
      <c r="C862">
        <v>110</v>
      </c>
      <c r="D862" t="s">
        <v>118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400</v>
      </c>
      <c r="C863">
        <v>120</v>
      </c>
      <c r="D863" t="s">
        <v>25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400</v>
      </c>
      <c r="C864">
        <v>130</v>
      </c>
      <c r="D864" t="s">
        <v>26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400</v>
      </c>
      <c r="C865">
        <v>140</v>
      </c>
      <c r="D865" t="s">
        <v>108</v>
      </c>
      <c r="E865" t="s">
        <v>14</v>
      </c>
      <c r="F865">
        <v>0.78400000000000003</v>
      </c>
      <c r="G865" t="s">
        <v>15</v>
      </c>
    </row>
    <row r="866" spans="1:7" x14ac:dyDescent="0.25">
      <c r="A866">
        <v>51</v>
      </c>
      <c r="B866" t="s">
        <v>400</v>
      </c>
      <c r="C866">
        <v>150</v>
      </c>
      <c r="D866" t="s">
        <v>403</v>
      </c>
      <c r="E866" t="s">
        <v>11</v>
      </c>
      <c r="F866">
        <v>1</v>
      </c>
      <c r="G866" t="s">
        <v>18</v>
      </c>
    </row>
    <row r="867" spans="1:7" x14ac:dyDescent="0.25">
      <c r="A867">
        <v>51</v>
      </c>
      <c r="B867" t="s">
        <v>400</v>
      </c>
      <c r="C867">
        <v>160</v>
      </c>
      <c r="D867" t="s">
        <v>404</v>
      </c>
      <c r="E867" t="s">
        <v>11</v>
      </c>
      <c r="F867">
        <v>1</v>
      </c>
      <c r="G867" t="s">
        <v>18</v>
      </c>
    </row>
    <row r="868" spans="1:7" x14ac:dyDescent="0.25">
      <c r="A868">
        <v>51</v>
      </c>
      <c r="B868" t="s">
        <v>400</v>
      </c>
      <c r="C868">
        <v>170</v>
      </c>
      <c r="D868" t="s">
        <v>527</v>
      </c>
      <c r="E868" t="s">
        <v>14</v>
      </c>
      <c r="F868">
        <v>0.6</v>
      </c>
      <c r="G868" t="s">
        <v>15</v>
      </c>
    </row>
    <row r="869" spans="1:7" x14ac:dyDescent="0.25">
      <c r="A869">
        <v>52</v>
      </c>
      <c r="B869" t="s">
        <v>405</v>
      </c>
      <c r="C869">
        <v>10</v>
      </c>
      <c r="D869" t="s">
        <v>406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405</v>
      </c>
      <c r="C870">
        <v>20</v>
      </c>
      <c r="D870" t="s">
        <v>252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405</v>
      </c>
      <c r="C871">
        <v>30</v>
      </c>
      <c r="D871" t="s">
        <v>110</v>
      </c>
      <c r="E871" t="s">
        <v>111</v>
      </c>
      <c r="F871">
        <v>0.88400000000000001</v>
      </c>
      <c r="G871" t="s">
        <v>15</v>
      </c>
    </row>
    <row r="872" spans="1:7" x14ac:dyDescent="0.25">
      <c r="A872">
        <v>52</v>
      </c>
      <c r="B872" t="s">
        <v>405</v>
      </c>
      <c r="C872">
        <v>40</v>
      </c>
      <c r="D872" t="s">
        <v>202</v>
      </c>
      <c r="E872" t="s">
        <v>11</v>
      </c>
      <c r="F872">
        <v>1.5489999999999999</v>
      </c>
      <c r="G872" t="s">
        <v>15</v>
      </c>
    </row>
    <row r="873" spans="1:7" x14ac:dyDescent="0.25">
      <c r="A873">
        <v>52</v>
      </c>
      <c r="B873" t="s">
        <v>405</v>
      </c>
      <c r="C873">
        <v>50</v>
      </c>
      <c r="D873" t="s">
        <v>114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405</v>
      </c>
      <c r="C874">
        <v>60</v>
      </c>
      <c r="D874" t="s">
        <v>407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405</v>
      </c>
      <c r="C875">
        <v>70</v>
      </c>
      <c r="D875" t="s">
        <v>116</v>
      </c>
      <c r="E875" t="s">
        <v>17</v>
      </c>
      <c r="F875">
        <v>14.122</v>
      </c>
      <c r="G875" t="s">
        <v>15</v>
      </c>
    </row>
    <row r="876" spans="1:7" x14ac:dyDescent="0.25">
      <c r="A876">
        <v>52</v>
      </c>
      <c r="B876" t="s">
        <v>405</v>
      </c>
      <c r="C876">
        <v>80</v>
      </c>
      <c r="D876" t="s">
        <v>20</v>
      </c>
      <c r="E876" t="s">
        <v>17</v>
      </c>
      <c r="F876">
        <v>86.852999999999994</v>
      </c>
      <c r="G876" t="s">
        <v>15</v>
      </c>
    </row>
    <row r="877" spans="1:7" x14ac:dyDescent="0.25">
      <c r="A877">
        <v>52</v>
      </c>
      <c r="B877" t="s">
        <v>405</v>
      </c>
      <c r="C877">
        <v>90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52</v>
      </c>
      <c r="B878" t="s">
        <v>405</v>
      </c>
      <c r="C878">
        <v>100</v>
      </c>
      <c r="D878" t="s">
        <v>117</v>
      </c>
      <c r="E878" t="s">
        <v>14</v>
      </c>
      <c r="F878">
        <v>0.12</v>
      </c>
      <c r="G878" t="s">
        <v>15</v>
      </c>
    </row>
    <row r="879" spans="1:7" x14ac:dyDescent="0.25">
      <c r="A879">
        <v>52</v>
      </c>
      <c r="B879" t="s">
        <v>405</v>
      </c>
      <c r="C879">
        <v>110</v>
      </c>
      <c r="D879" t="s">
        <v>118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405</v>
      </c>
      <c r="C880">
        <v>120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405</v>
      </c>
      <c r="C881">
        <v>130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405</v>
      </c>
      <c r="C882">
        <v>140</v>
      </c>
      <c r="D882" t="s">
        <v>108</v>
      </c>
      <c r="E882" t="s">
        <v>14</v>
      </c>
      <c r="F882">
        <v>0.94599999999999995</v>
      </c>
      <c r="G882" t="s">
        <v>15</v>
      </c>
    </row>
    <row r="883" spans="1:7" x14ac:dyDescent="0.25">
      <c r="A883">
        <v>52</v>
      </c>
      <c r="B883" t="s">
        <v>405</v>
      </c>
      <c r="C883">
        <v>150</v>
      </c>
      <c r="D883" t="s">
        <v>408</v>
      </c>
      <c r="E883" t="s">
        <v>11</v>
      </c>
      <c r="F883">
        <v>1</v>
      </c>
      <c r="G883" t="s">
        <v>18</v>
      </c>
    </row>
    <row r="884" spans="1:7" x14ac:dyDescent="0.25">
      <c r="A884">
        <v>52</v>
      </c>
      <c r="B884" t="s">
        <v>405</v>
      </c>
      <c r="C884">
        <v>160</v>
      </c>
      <c r="D884" t="s">
        <v>409</v>
      </c>
      <c r="E884" t="s">
        <v>11</v>
      </c>
      <c r="F884">
        <v>1</v>
      </c>
      <c r="G884" t="s">
        <v>18</v>
      </c>
    </row>
    <row r="885" spans="1:7" x14ac:dyDescent="0.25">
      <c r="A885">
        <v>52</v>
      </c>
      <c r="B885" t="s">
        <v>405</v>
      </c>
      <c r="C885">
        <v>170</v>
      </c>
      <c r="D885" t="s">
        <v>527</v>
      </c>
      <c r="E885" t="s">
        <v>14</v>
      </c>
      <c r="F885">
        <v>0.6</v>
      </c>
      <c r="G885" t="s">
        <v>15</v>
      </c>
    </row>
    <row r="886" spans="1:7" x14ac:dyDescent="0.25">
      <c r="A886">
        <v>53</v>
      </c>
      <c r="B886" t="s">
        <v>410</v>
      </c>
      <c r="C886">
        <v>10</v>
      </c>
      <c r="D886" t="s">
        <v>411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410</v>
      </c>
      <c r="C887">
        <v>20</v>
      </c>
      <c r="D887" t="s">
        <v>262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410</v>
      </c>
      <c r="C888">
        <v>30</v>
      </c>
      <c r="D888" t="s">
        <v>110</v>
      </c>
      <c r="E888" t="s">
        <v>111</v>
      </c>
      <c r="F888">
        <v>0.97399999999999998</v>
      </c>
      <c r="G888" t="s">
        <v>15</v>
      </c>
    </row>
    <row r="889" spans="1:7" x14ac:dyDescent="0.25">
      <c r="A889">
        <v>53</v>
      </c>
      <c r="B889" t="s">
        <v>410</v>
      </c>
      <c r="C889">
        <v>40</v>
      </c>
      <c r="D889" t="s">
        <v>202</v>
      </c>
      <c r="E889" t="s">
        <v>11</v>
      </c>
      <c r="F889">
        <v>1.702</v>
      </c>
      <c r="G889" t="s">
        <v>15</v>
      </c>
    </row>
    <row r="890" spans="1:7" x14ac:dyDescent="0.25">
      <c r="A890">
        <v>53</v>
      </c>
      <c r="B890" t="s">
        <v>410</v>
      </c>
      <c r="C890">
        <v>50</v>
      </c>
      <c r="D890" t="s">
        <v>114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410</v>
      </c>
      <c r="C891">
        <v>60</v>
      </c>
      <c r="D891" t="s">
        <v>412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410</v>
      </c>
      <c r="C892">
        <v>70</v>
      </c>
      <c r="D892" t="s">
        <v>116</v>
      </c>
      <c r="E892" t="s">
        <v>17</v>
      </c>
      <c r="F892">
        <v>14.731999999999999</v>
      </c>
      <c r="G892" t="s">
        <v>15</v>
      </c>
    </row>
    <row r="893" spans="1:7" x14ac:dyDescent="0.25">
      <c r="A893">
        <v>53</v>
      </c>
      <c r="B893" t="s">
        <v>410</v>
      </c>
      <c r="C893">
        <v>80</v>
      </c>
      <c r="D893" t="s">
        <v>20</v>
      </c>
      <c r="E893" t="s">
        <v>17</v>
      </c>
      <c r="F893">
        <v>90.602000000000004</v>
      </c>
      <c r="G893" t="s">
        <v>15</v>
      </c>
    </row>
    <row r="894" spans="1:7" x14ac:dyDescent="0.25">
      <c r="A894">
        <v>53</v>
      </c>
      <c r="B894" t="s">
        <v>410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53</v>
      </c>
      <c r="B895" t="s">
        <v>410</v>
      </c>
      <c r="C895">
        <v>100</v>
      </c>
      <c r="D895" t="s">
        <v>117</v>
      </c>
      <c r="E895" t="s">
        <v>14</v>
      </c>
      <c r="F895">
        <v>0.13</v>
      </c>
      <c r="G895" t="s">
        <v>15</v>
      </c>
    </row>
    <row r="896" spans="1:7" x14ac:dyDescent="0.25">
      <c r="A896">
        <v>53</v>
      </c>
      <c r="B896" t="s">
        <v>410</v>
      </c>
      <c r="C896">
        <v>110</v>
      </c>
      <c r="D896" t="s">
        <v>118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410</v>
      </c>
      <c r="C897">
        <v>120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410</v>
      </c>
      <c r="C898">
        <v>130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410</v>
      </c>
      <c r="C899">
        <v>140</v>
      </c>
      <c r="D899" t="s">
        <v>108</v>
      </c>
      <c r="E899" t="s">
        <v>14</v>
      </c>
      <c r="F899">
        <v>1.0269999999999999</v>
      </c>
      <c r="G899" t="s">
        <v>15</v>
      </c>
    </row>
    <row r="900" spans="1:7" x14ac:dyDescent="0.25">
      <c r="A900">
        <v>53</v>
      </c>
      <c r="B900" t="s">
        <v>410</v>
      </c>
      <c r="C900">
        <v>150</v>
      </c>
      <c r="D900" t="s">
        <v>413</v>
      </c>
      <c r="E900" t="s">
        <v>11</v>
      </c>
      <c r="F900">
        <v>1</v>
      </c>
      <c r="G900" t="s">
        <v>18</v>
      </c>
    </row>
    <row r="901" spans="1:7" x14ac:dyDescent="0.25">
      <c r="A901">
        <v>53</v>
      </c>
      <c r="B901" t="s">
        <v>410</v>
      </c>
      <c r="C901">
        <v>160</v>
      </c>
      <c r="D901" t="s">
        <v>414</v>
      </c>
      <c r="E901" t="s">
        <v>11</v>
      </c>
      <c r="F901">
        <v>1</v>
      </c>
      <c r="G901" t="s">
        <v>18</v>
      </c>
    </row>
    <row r="902" spans="1:7" x14ac:dyDescent="0.25">
      <c r="A902">
        <v>53</v>
      </c>
      <c r="B902" t="s">
        <v>410</v>
      </c>
      <c r="C902">
        <v>170</v>
      </c>
      <c r="D902" t="s">
        <v>528</v>
      </c>
      <c r="E902" t="s">
        <v>14</v>
      </c>
      <c r="F902">
        <v>0.8</v>
      </c>
      <c r="G902" t="s">
        <v>15</v>
      </c>
    </row>
    <row r="903" spans="1:7" x14ac:dyDescent="0.25">
      <c r="A903">
        <v>54</v>
      </c>
      <c r="B903" t="s">
        <v>415</v>
      </c>
      <c r="C903">
        <v>10</v>
      </c>
      <c r="D903" t="s">
        <v>416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415</v>
      </c>
      <c r="C904">
        <v>20</v>
      </c>
      <c r="D904" t="s">
        <v>266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415</v>
      </c>
      <c r="C905">
        <v>30</v>
      </c>
      <c r="D905" t="s">
        <v>110</v>
      </c>
      <c r="E905" t="s">
        <v>111</v>
      </c>
      <c r="F905">
        <v>1.0640000000000001</v>
      </c>
      <c r="G905" t="s">
        <v>15</v>
      </c>
    </row>
    <row r="906" spans="1:7" x14ac:dyDescent="0.25">
      <c r="A906">
        <v>54</v>
      </c>
      <c r="B906" t="s">
        <v>415</v>
      </c>
      <c r="C906">
        <v>40</v>
      </c>
      <c r="D906" t="s">
        <v>202</v>
      </c>
      <c r="E906" t="s">
        <v>11</v>
      </c>
      <c r="F906">
        <v>1.8540000000000001</v>
      </c>
      <c r="G906" t="s">
        <v>15</v>
      </c>
    </row>
    <row r="907" spans="1:7" x14ac:dyDescent="0.25">
      <c r="A907">
        <v>54</v>
      </c>
      <c r="B907" t="s">
        <v>415</v>
      </c>
      <c r="C907">
        <v>50</v>
      </c>
      <c r="D907" t="s">
        <v>114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415</v>
      </c>
      <c r="C908">
        <v>60</v>
      </c>
      <c r="D908" t="s">
        <v>417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415</v>
      </c>
      <c r="C909">
        <v>70</v>
      </c>
      <c r="D909" t="s">
        <v>116</v>
      </c>
      <c r="E909" t="s">
        <v>17</v>
      </c>
      <c r="F909">
        <v>15.342000000000001</v>
      </c>
      <c r="G909" t="s">
        <v>15</v>
      </c>
    </row>
    <row r="910" spans="1:7" x14ac:dyDescent="0.25">
      <c r="A910">
        <v>54</v>
      </c>
      <c r="B910" t="s">
        <v>415</v>
      </c>
      <c r="C910">
        <v>80</v>
      </c>
      <c r="D910" t="s">
        <v>20</v>
      </c>
      <c r="E910" t="s">
        <v>17</v>
      </c>
      <c r="F910">
        <v>94.350999999999999</v>
      </c>
      <c r="G910" t="s">
        <v>15</v>
      </c>
    </row>
    <row r="911" spans="1:7" x14ac:dyDescent="0.25">
      <c r="A911">
        <v>54</v>
      </c>
      <c r="B911" t="s">
        <v>415</v>
      </c>
      <c r="C911">
        <v>90</v>
      </c>
      <c r="D911" t="s">
        <v>24</v>
      </c>
      <c r="E911" t="s">
        <v>11</v>
      </c>
      <c r="F911">
        <v>1</v>
      </c>
      <c r="G911" t="s">
        <v>15</v>
      </c>
    </row>
    <row r="912" spans="1:7" x14ac:dyDescent="0.25">
      <c r="A912">
        <v>54</v>
      </c>
      <c r="B912" t="s">
        <v>415</v>
      </c>
      <c r="C912">
        <v>100</v>
      </c>
      <c r="D912" t="s">
        <v>117</v>
      </c>
      <c r="E912" t="s">
        <v>14</v>
      </c>
      <c r="F912">
        <v>0.14000000000000001</v>
      </c>
      <c r="G912" t="s">
        <v>15</v>
      </c>
    </row>
    <row r="913" spans="1:7" x14ac:dyDescent="0.25">
      <c r="A913">
        <v>54</v>
      </c>
      <c r="B913" t="s">
        <v>415</v>
      </c>
      <c r="C913">
        <v>110</v>
      </c>
      <c r="D913" t="s">
        <v>118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415</v>
      </c>
      <c r="C914">
        <v>120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415</v>
      </c>
      <c r="C915">
        <v>130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415</v>
      </c>
      <c r="C916">
        <v>140</v>
      </c>
      <c r="D916" t="s">
        <v>108</v>
      </c>
      <c r="E916" t="s">
        <v>14</v>
      </c>
      <c r="F916">
        <v>1.1080000000000001</v>
      </c>
      <c r="G916" t="s">
        <v>15</v>
      </c>
    </row>
    <row r="917" spans="1:7" x14ac:dyDescent="0.25">
      <c r="A917">
        <v>54</v>
      </c>
      <c r="B917" t="s">
        <v>415</v>
      </c>
      <c r="C917">
        <v>150</v>
      </c>
      <c r="D917" t="s">
        <v>418</v>
      </c>
      <c r="E917" t="s">
        <v>11</v>
      </c>
      <c r="F917">
        <v>1</v>
      </c>
      <c r="G917" t="s">
        <v>18</v>
      </c>
    </row>
    <row r="918" spans="1:7" x14ac:dyDescent="0.25">
      <c r="A918">
        <v>54</v>
      </c>
      <c r="B918" t="s">
        <v>415</v>
      </c>
      <c r="C918">
        <v>160</v>
      </c>
      <c r="D918" t="s">
        <v>419</v>
      </c>
      <c r="E918" t="s">
        <v>11</v>
      </c>
      <c r="F918">
        <v>1</v>
      </c>
      <c r="G918" t="s">
        <v>18</v>
      </c>
    </row>
    <row r="919" spans="1:7" x14ac:dyDescent="0.25">
      <c r="A919">
        <v>54</v>
      </c>
      <c r="B919" t="s">
        <v>415</v>
      </c>
      <c r="C919">
        <v>170</v>
      </c>
      <c r="D919" t="s">
        <v>528</v>
      </c>
      <c r="E919" t="s">
        <v>14</v>
      </c>
      <c r="F919">
        <v>0.8</v>
      </c>
      <c r="G919" t="s">
        <v>15</v>
      </c>
    </row>
    <row r="920" spans="1:7" x14ac:dyDescent="0.25">
      <c r="A920">
        <v>55</v>
      </c>
      <c r="B920" t="s">
        <v>420</v>
      </c>
      <c r="C920">
        <v>10</v>
      </c>
      <c r="D920" t="s">
        <v>421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420</v>
      </c>
      <c r="C921">
        <v>20</v>
      </c>
      <c r="D921" t="s">
        <v>422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420</v>
      </c>
      <c r="C922">
        <v>30</v>
      </c>
      <c r="D922" t="s">
        <v>110</v>
      </c>
      <c r="E922" t="s">
        <v>111</v>
      </c>
      <c r="F922">
        <v>0.45200000000000001</v>
      </c>
      <c r="G922" t="s">
        <v>15</v>
      </c>
    </row>
    <row r="923" spans="1:7" x14ac:dyDescent="0.25">
      <c r="A923">
        <v>55</v>
      </c>
      <c r="B923" t="s">
        <v>420</v>
      </c>
      <c r="C923">
        <v>40</v>
      </c>
      <c r="D923" t="s">
        <v>202</v>
      </c>
      <c r="E923" t="s">
        <v>11</v>
      </c>
      <c r="F923">
        <v>0.78700000000000003</v>
      </c>
      <c r="G923" t="s">
        <v>15</v>
      </c>
    </row>
    <row r="924" spans="1:7" x14ac:dyDescent="0.25">
      <c r="A924">
        <v>55</v>
      </c>
      <c r="B924" t="s">
        <v>420</v>
      </c>
      <c r="C924">
        <v>50</v>
      </c>
      <c r="D924" t="s">
        <v>114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420</v>
      </c>
      <c r="C925">
        <v>60</v>
      </c>
      <c r="D925" t="s">
        <v>423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420</v>
      </c>
      <c r="C926">
        <v>70</v>
      </c>
      <c r="D926" t="s">
        <v>116</v>
      </c>
      <c r="E926" t="s">
        <v>17</v>
      </c>
      <c r="F926">
        <v>11.379</v>
      </c>
      <c r="G926" t="s">
        <v>15</v>
      </c>
    </row>
    <row r="927" spans="1:7" x14ac:dyDescent="0.25">
      <c r="A927">
        <v>55</v>
      </c>
      <c r="B927" t="s">
        <v>420</v>
      </c>
      <c r="C927">
        <v>80</v>
      </c>
      <c r="D927" t="s">
        <v>20</v>
      </c>
      <c r="E927" t="s">
        <v>17</v>
      </c>
      <c r="F927">
        <v>69.981999999999999</v>
      </c>
      <c r="G927" t="s">
        <v>15</v>
      </c>
    </row>
    <row r="928" spans="1:7" x14ac:dyDescent="0.25">
      <c r="A928">
        <v>55</v>
      </c>
      <c r="B928" t="s">
        <v>420</v>
      </c>
      <c r="C928">
        <v>90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55</v>
      </c>
      <c r="B929" t="s">
        <v>420</v>
      </c>
      <c r="C929">
        <v>100</v>
      </c>
      <c r="D929" t="s">
        <v>117</v>
      </c>
      <c r="E929" t="s">
        <v>14</v>
      </c>
      <c r="F929">
        <v>7.1999999999999995E-2</v>
      </c>
      <c r="G929" t="s">
        <v>15</v>
      </c>
    </row>
    <row r="930" spans="1:7" x14ac:dyDescent="0.25">
      <c r="A930">
        <v>55</v>
      </c>
      <c r="B930" t="s">
        <v>420</v>
      </c>
      <c r="C930">
        <v>110</v>
      </c>
      <c r="D930" t="s">
        <v>118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420</v>
      </c>
      <c r="C931">
        <v>120</v>
      </c>
      <c r="D931" t="s">
        <v>25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420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420</v>
      </c>
      <c r="C933">
        <v>140</v>
      </c>
      <c r="D933" t="s">
        <v>108</v>
      </c>
      <c r="E933" t="s">
        <v>14</v>
      </c>
      <c r="F933">
        <v>1.1890000000000001</v>
      </c>
      <c r="G933" t="s">
        <v>15</v>
      </c>
    </row>
    <row r="934" spans="1:7" x14ac:dyDescent="0.25">
      <c r="A934">
        <v>55</v>
      </c>
      <c r="B934" t="s">
        <v>420</v>
      </c>
      <c r="C934">
        <v>150</v>
      </c>
      <c r="D934" t="s">
        <v>424</v>
      </c>
      <c r="E934" t="s">
        <v>11</v>
      </c>
      <c r="F934">
        <v>1</v>
      </c>
      <c r="G934" t="s">
        <v>18</v>
      </c>
    </row>
    <row r="935" spans="1:7" x14ac:dyDescent="0.25">
      <c r="A935">
        <v>55</v>
      </c>
      <c r="B935" t="s">
        <v>420</v>
      </c>
      <c r="C935">
        <v>160</v>
      </c>
      <c r="D935" t="s">
        <v>425</v>
      </c>
      <c r="E935" t="s">
        <v>11</v>
      </c>
      <c r="F935">
        <v>1</v>
      </c>
      <c r="G935" t="s">
        <v>18</v>
      </c>
    </row>
    <row r="936" spans="1:7" x14ac:dyDescent="0.25">
      <c r="A936">
        <v>55</v>
      </c>
      <c r="B936" t="s">
        <v>420</v>
      </c>
      <c r="C936">
        <v>170</v>
      </c>
      <c r="D936" t="s">
        <v>526</v>
      </c>
      <c r="E936" t="s">
        <v>14</v>
      </c>
      <c r="F936">
        <v>0.5</v>
      </c>
      <c r="G936" t="s">
        <v>15</v>
      </c>
    </row>
    <row r="937" spans="1:7" x14ac:dyDescent="0.25">
      <c r="A937">
        <v>56</v>
      </c>
      <c r="B937" t="s">
        <v>426</v>
      </c>
      <c r="C937">
        <v>10</v>
      </c>
      <c r="D937" t="s">
        <v>427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426</v>
      </c>
      <c r="C938">
        <v>20</v>
      </c>
      <c r="D938" t="s">
        <v>270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426</v>
      </c>
      <c r="C939">
        <v>30</v>
      </c>
      <c r="D939" t="s">
        <v>110</v>
      </c>
      <c r="E939" t="s">
        <v>111</v>
      </c>
      <c r="F939">
        <v>0.54600000000000004</v>
      </c>
      <c r="G939" t="s">
        <v>15</v>
      </c>
    </row>
    <row r="940" spans="1:7" x14ac:dyDescent="0.25">
      <c r="A940">
        <v>56</v>
      </c>
      <c r="B940" t="s">
        <v>426</v>
      </c>
      <c r="C940">
        <v>40</v>
      </c>
      <c r="D940" t="s">
        <v>202</v>
      </c>
      <c r="E940" t="s">
        <v>11</v>
      </c>
      <c r="F940">
        <v>0.94</v>
      </c>
      <c r="G940" t="s">
        <v>15</v>
      </c>
    </row>
    <row r="941" spans="1:7" x14ac:dyDescent="0.25">
      <c r="A941">
        <v>56</v>
      </c>
      <c r="B941" t="s">
        <v>426</v>
      </c>
      <c r="C941">
        <v>50</v>
      </c>
      <c r="D941" t="s">
        <v>114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426</v>
      </c>
      <c r="C942">
        <v>60</v>
      </c>
      <c r="D942" t="s">
        <v>428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426</v>
      </c>
      <c r="C943">
        <v>70</v>
      </c>
      <c r="D943" t="s">
        <v>116</v>
      </c>
      <c r="E943" t="s">
        <v>17</v>
      </c>
      <c r="F943">
        <v>11.989000000000001</v>
      </c>
      <c r="G943" t="s">
        <v>15</v>
      </c>
    </row>
    <row r="944" spans="1:7" x14ac:dyDescent="0.25">
      <c r="A944">
        <v>56</v>
      </c>
      <c r="B944" t="s">
        <v>426</v>
      </c>
      <c r="C944">
        <v>80</v>
      </c>
      <c r="D944" t="s">
        <v>20</v>
      </c>
      <c r="E944" t="s">
        <v>17</v>
      </c>
      <c r="F944">
        <v>73.730999999999995</v>
      </c>
      <c r="G944" t="s">
        <v>15</v>
      </c>
    </row>
    <row r="945" spans="1:7" x14ac:dyDescent="0.25">
      <c r="A945">
        <v>56</v>
      </c>
      <c r="B945" t="s">
        <v>426</v>
      </c>
      <c r="C945">
        <v>90</v>
      </c>
      <c r="D945" t="s">
        <v>24</v>
      </c>
      <c r="E945" t="s">
        <v>11</v>
      </c>
      <c r="F945">
        <v>1</v>
      </c>
      <c r="G945" t="s">
        <v>15</v>
      </c>
    </row>
    <row r="946" spans="1:7" x14ac:dyDescent="0.25">
      <c r="A946">
        <v>56</v>
      </c>
      <c r="B946" t="s">
        <v>426</v>
      </c>
      <c r="C946">
        <v>100</v>
      </c>
      <c r="D946" t="s">
        <v>117</v>
      </c>
      <c r="E946" t="s">
        <v>14</v>
      </c>
      <c r="F946">
        <v>8.1000000000000003E-2</v>
      </c>
      <c r="G946" t="s">
        <v>15</v>
      </c>
    </row>
    <row r="947" spans="1:7" x14ac:dyDescent="0.25">
      <c r="A947">
        <v>56</v>
      </c>
      <c r="B947" t="s">
        <v>426</v>
      </c>
      <c r="C947">
        <v>110</v>
      </c>
      <c r="D947" t="s">
        <v>118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426</v>
      </c>
      <c r="C948">
        <v>120</v>
      </c>
      <c r="D948" t="s">
        <v>25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426</v>
      </c>
      <c r="C949">
        <v>130</v>
      </c>
      <c r="D949" t="s">
        <v>26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426</v>
      </c>
      <c r="C950">
        <v>140</v>
      </c>
      <c r="D950" t="s">
        <v>108</v>
      </c>
      <c r="E950" t="s">
        <v>14</v>
      </c>
      <c r="F950">
        <v>1.1890000000000001</v>
      </c>
      <c r="G950" t="s">
        <v>15</v>
      </c>
    </row>
    <row r="951" spans="1:7" x14ac:dyDescent="0.25">
      <c r="A951">
        <v>56</v>
      </c>
      <c r="B951" t="s">
        <v>426</v>
      </c>
      <c r="C951">
        <v>150</v>
      </c>
      <c r="D951" t="s">
        <v>429</v>
      </c>
      <c r="E951" t="s">
        <v>11</v>
      </c>
      <c r="F951">
        <v>1</v>
      </c>
      <c r="G951" t="s">
        <v>18</v>
      </c>
    </row>
    <row r="952" spans="1:7" x14ac:dyDescent="0.25">
      <c r="A952">
        <v>56</v>
      </c>
      <c r="B952" t="s">
        <v>426</v>
      </c>
      <c r="C952">
        <v>160</v>
      </c>
      <c r="D952" t="s">
        <v>430</v>
      </c>
      <c r="E952" t="s">
        <v>11</v>
      </c>
      <c r="F952">
        <v>1</v>
      </c>
      <c r="G952" t="s">
        <v>18</v>
      </c>
    </row>
    <row r="953" spans="1:7" x14ac:dyDescent="0.25">
      <c r="A953">
        <v>56</v>
      </c>
      <c r="B953" t="s">
        <v>426</v>
      </c>
      <c r="C953">
        <v>170</v>
      </c>
      <c r="D953" t="s">
        <v>526</v>
      </c>
      <c r="E953" t="s">
        <v>14</v>
      </c>
      <c r="F953">
        <v>0.5</v>
      </c>
      <c r="G953" t="s">
        <v>15</v>
      </c>
    </row>
    <row r="954" spans="1:7" x14ac:dyDescent="0.25">
      <c r="A954">
        <v>57</v>
      </c>
      <c r="B954" t="s">
        <v>431</v>
      </c>
      <c r="C954">
        <v>10</v>
      </c>
      <c r="D954" t="s">
        <v>432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431</v>
      </c>
      <c r="C955">
        <v>20</v>
      </c>
      <c r="D955" t="s">
        <v>274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431</v>
      </c>
      <c r="C956">
        <v>30</v>
      </c>
      <c r="D956" t="s">
        <v>110</v>
      </c>
      <c r="E956" t="s">
        <v>111</v>
      </c>
      <c r="F956">
        <v>0.63900000000000001</v>
      </c>
      <c r="G956" t="s">
        <v>15</v>
      </c>
    </row>
    <row r="957" spans="1:7" x14ac:dyDescent="0.25">
      <c r="A957">
        <v>57</v>
      </c>
      <c r="B957" t="s">
        <v>431</v>
      </c>
      <c r="C957">
        <v>40</v>
      </c>
      <c r="D957" t="s">
        <v>202</v>
      </c>
      <c r="E957" t="s">
        <v>11</v>
      </c>
      <c r="F957">
        <v>1.0920000000000001</v>
      </c>
      <c r="G957" t="s">
        <v>15</v>
      </c>
    </row>
    <row r="958" spans="1:7" x14ac:dyDescent="0.25">
      <c r="A958">
        <v>57</v>
      </c>
      <c r="B958" t="s">
        <v>431</v>
      </c>
      <c r="C958">
        <v>50</v>
      </c>
      <c r="D958" t="s">
        <v>114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431</v>
      </c>
      <c r="C959">
        <v>60</v>
      </c>
      <c r="D959" t="s">
        <v>433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431</v>
      </c>
      <c r="C960">
        <v>70</v>
      </c>
      <c r="D960" t="s">
        <v>116</v>
      </c>
      <c r="E960" t="s">
        <v>17</v>
      </c>
      <c r="F960">
        <v>12.598000000000001</v>
      </c>
      <c r="G960" t="s">
        <v>15</v>
      </c>
    </row>
    <row r="961" spans="1:7" x14ac:dyDescent="0.25">
      <c r="A961">
        <v>57</v>
      </c>
      <c r="B961" t="s">
        <v>431</v>
      </c>
      <c r="C961">
        <v>80</v>
      </c>
      <c r="D961" t="s">
        <v>20</v>
      </c>
      <c r="E961" t="s">
        <v>17</v>
      </c>
      <c r="F961">
        <v>77.48</v>
      </c>
      <c r="G961" t="s">
        <v>15</v>
      </c>
    </row>
    <row r="962" spans="1:7" x14ac:dyDescent="0.25">
      <c r="A962">
        <v>57</v>
      </c>
      <c r="B962" t="s">
        <v>431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57</v>
      </c>
      <c r="B963" t="s">
        <v>431</v>
      </c>
      <c r="C963">
        <v>100</v>
      </c>
      <c r="D963" t="s">
        <v>117</v>
      </c>
      <c r="E963" t="s">
        <v>14</v>
      </c>
      <c r="F963">
        <v>9.0999999999999998E-2</v>
      </c>
      <c r="G963" t="s">
        <v>15</v>
      </c>
    </row>
    <row r="964" spans="1:7" x14ac:dyDescent="0.25">
      <c r="A964">
        <v>57</v>
      </c>
      <c r="B964" t="s">
        <v>431</v>
      </c>
      <c r="C964">
        <v>110</v>
      </c>
      <c r="D964" t="s">
        <v>118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431</v>
      </c>
      <c r="C965">
        <v>120</v>
      </c>
      <c r="D965" t="s">
        <v>25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431</v>
      </c>
      <c r="C966">
        <v>130</v>
      </c>
      <c r="D966" t="s">
        <v>26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431</v>
      </c>
      <c r="C967">
        <v>140</v>
      </c>
      <c r="D967" t="s">
        <v>108</v>
      </c>
      <c r="E967" t="s">
        <v>14</v>
      </c>
      <c r="F967">
        <v>1.1890000000000001</v>
      </c>
      <c r="G967" t="s">
        <v>15</v>
      </c>
    </row>
    <row r="968" spans="1:7" x14ac:dyDescent="0.25">
      <c r="A968">
        <v>57</v>
      </c>
      <c r="B968" t="s">
        <v>431</v>
      </c>
      <c r="C968">
        <v>150</v>
      </c>
      <c r="D968" t="s">
        <v>434</v>
      </c>
      <c r="E968" t="s">
        <v>11</v>
      </c>
      <c r="F968">
        <v>1</v>
      </c>
      <c r="G968" t="s">
        <v>18</v>
      </c>
    </row>
    <row r="969" spans="1:7" x14ac:dyDescent="0.25">
      <c r="A969">
        <v>57</v>
      </c>
      <c r="B969" t="s">
        <v>431</v>
      </c>
      <c r="C969">
        <v>160</v>
      </c>
      <c r="D969" t="s">
        <v>435</v>
      </c>
      <c r="E969" t="s">
        <v>11</v>
      </c>
      <c r="F969">
        <v>1</v>
      </c>
      <c r="G969" t="s">
        <v>18</v>
      </c>
    </row>
    <row r="970" spans="1:7" x14ac:dyDescent="0.25">
      <c r="A970">
        <v>57</v>
      </c>
      <c r="B970" t="s">
        <v>431</v>
      </c>
      <c r="C970">
        <v>170</v>
      </c>
      <c r="D970" t="s">
        <v>527</v>
      </c>
      <c r="E970" t="s">
        <v>14</v>
      </c>
      <c r="F970">
        <v>0.6</v>
      </c>
      <c r="G970" t="s">
        <v>15</v>
      </c>
    </row>
    <row r="971" spans="1:7" x14ac:dyDescent="0.25">
      <c r="A971">
        <v>58</v>
      </c>
      <c r="B971" t="s">
        <v>436</v>
      </c>
      <c r="C971">
        <v>10</v>
      </c>
      <c r="D971" t="s">
        <v>437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436</v>
      </c>
      <c r="C972">
        <v>20</v>
      </c>
      <c r="D972" t="s">
        <v>278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436</v>
      </c>
      <c r="C973">
        <v>30</v>
      </c>
      <c r="D973" t="s">
        <v>110</v>
      </c>
      <c r="E973" t="s">
        <v>111</v>
      </c>
      <c r="F973">
        <v>0.73299999999999998</v>
      </c>
      <c r="G973" t="s">
        <v>15</v>
      </c>
    </row>
    <row r="974" spans="1:7" x14ac:dyDescent="0.25">
      <c r="A974">
        <v>58</v>
      </c>
      <c r="B974" t="s">
        <v>436</v>
      </c>
      <c r="C974">
        <v>40</v>
      </c>
      <c r="D974" t="s">
        <v>202</v>
      </c>
      <c r="E974" t="s">
        <v>11</v>
      </c>
      <c r="F974">
        <v>1.2450000000000001</v>
      </c>
      <c r="G974" t="s">
        <v>15</v>
      </c>
    </row>
    <row r="975" spans="1:7" x14ac:dyDescent="0.25">
      <c r="A975">
        <v>58</v>
      </c>
      <c r="B975" t="s">
        <v>436</v>
      </c>
      <c r="C975">
        <v>50</v>
      </c>
      <c r="D975" t="s">
        <v>114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436</v>
      </c>
      <c r="C976">
        <v>60</v>
      </c>
      <c r="D976" t="s">
        <v>438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436</v>
      </c>
      <c r="C977">
        <v>70</v>
      </c>
      <c r="D977" t="s">
        <v>116</v>
      </c>
      <c r="E977" t="s">
        <v>17</v>
      </c>
      <c r="F977">
        <v>13.208</v>
      </c>
      <c r="G977" t="s">
        <v>15</v>
      </c>
    </row>
    <row r="978" spans="1:7" x14ac:dyDescent="0.25">
      <c r="A978">
        <v>58</v>
      </c>
      <c r="B978" t="s">
        <v>436</v>
      </c>
      <c r="C978">
        <v>80</v>
      </c>
      <c r="D978" t="s">
        <v>20</v>
      </c>
      <c r="E978" t="s">
        <v>17</v>
      </c>
      <c r="F978">
        <v>81.228999999999999</v>
      </c>
      <c r="G978" t="s">
        <v>15</v>
      </c>
    </row>
    <row r="979" spans="1:7" x14ac:dyDescent="0.25">
      <c r="A979">
        <v>58</v>
      </c>
      <c r="B979" t="s">
        <v>436</v>
      </c>
      <c r="C979">
        <v>90</v>
      </c>
      <c r="D979" t="s">
        <v>24</v>
      </c>
      <c r="E979" t="s">
        <v>11</v>
      </c>
      <c r="F979">
        <v>1</v>
      </c>
      <c r="G979" t="s">
        <v>15</v>
      </c>
    </row>
    <row r="980" spans="1:7" x14ac:dyDescent="0.25">
      <c r="A980">
        <v>58</v>
      </c>
      <c r="B980" t="s">
        <v>436</v>
      </c>
      <c r="C980">
        <v>100</v>
      </c>
      <c r="D980" t="s">
        <v>117</v>
      </c>
      <c r="E980" t="s">
        <v>14</v>
      </c>
      <c r="F980">
        <v>0.10100000000000001</v>
      </c>
      <c r="G980" t="s">
        <v>15</v>
      </c>
    </row>
    <row r="981" spans="1:7" x14ac:dyDescent="0.25">
      <c r="A981">
        <v>58</v>
      </c>
      <c r="B981" t="s">
        <v>436</v>
      </c>
      <c r="C981">
        <v>110</v>
      </c>
      <c r="D981" t="s">
        <v>118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436</v>
      </c>
      <c r="C982">
        <v>120</v>
      </c>
      <c r="D982" t="s">
        <v>25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436</v>
      </c>
      <c r="C983">
        <v>130</v>
      </c>
      <c r="D983" t="s">
        <v>26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436</v>
      </c>
      <c r="C984">
        <v>140</v>
      </c>
      <c r="D984" t="s">
        <v>108</v>
      </c>
      <c r="E984" t="s">
        <v>14</v>
      </c>
      <c r="F984">
        <v>1.1890000000000001</v>
      </c>
      <c r="G984" t="s">
        <v>15</v>
      </c>
    </row>
    <row r="985" spans="1:7" x14ac:dyDescent="0.25">
      <c r="A985">
        <v>58</v>
      </c>
      <c r="B985" t="s">
        <v>436</v>
      </c>
      <c r="C985">
        <v>150</v>
      </c>
      <c r="D985" t="s">
        <v>439</v>
      </c>
      <c r="E985" t="s">
        <v>11</v>
      </c>
      <c r="F985">
        <v>1</v>
      </c>
      <c r="G985" t="s">
        <v>18</v>
      </c>
    </row>
    <row r="986" spans="1:7" x14ac:dyDescent="0.25">
      <c r="A986">
        <v>58</v>
      </c>
      <c r="B986" t="s">
        <v>436</v>
      </c>
      <c r="C986">
        <v>160</v>
      </c>
      <c r="D986" t="s">
        <v>440</v>
      </c>
      <c r="E986" t="s">
        <v>11</v>
      </c>
      <c r="F986">
        <v>1</v>
      </c>
      <c r="G986" t="s">
        <v>18</v>
      </c>
    </row>
    <row r="987" spans="1:7" x14ac:dyDescent="0.25">
      <c r="A987">
        <v>58</v>
      </c>
      <c r="B987" t="s">
        <v>436</v>
      </c>
      <c r="C987">
        <v>170</v>
      </c>
      <c r="D987" t="s">
        <v>527</v>
      </c>
      <c r="E987" t="s">
        <v>14</v>
      </c>
      <c r="F987">
        <v>0.6</v>
      </c>
      <c r="G987" t="s">
        <v>15</v>
      </c>
    </row>
    <row r="988" spans="1:7" x14ac:dyDescent="0.25">
      <c r="A988">
        <v>59</v>
      </c>
      <c r="B988" t="s">
        <v>441</v>
      </c>
      <c r="C988">
        <v>10</v>
      </c>
      <c r="D988" t="s">
        <v>442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441</v>
      </c>
      <c r="C989">
        <v>20</v>
      </c>
      <c r="D989" t="s">
        <v>282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441</v>
      </c>
      <c r="C990">
        <v>30</v>
      </c>
      <c r="D990" t="s">
        <v>110</v>
      </c>
      <c r="E990" t="s">
        <v>111</v>
      </c>
      <c r="F990">
        <v>0.92</v>
      </c>
      <c r="G990" t="s">
        <v>15</v>
      </c>
    </row>
    <row r="991" spans="1:7" x14ac:dyDescent="0.25">
      <c r="A991">
        <v>59</v>
      </c>
      <c r="B991" t="s">
        <v>441</v>
      </c>
      <c r="C991">
        <v>40</v>
      </c>
      <c r="D991" t="s">
        <v>202</v>
      </c>
      <c r="E991" t="s">
        <v>11</v>
      </c>
      <c r="F991">
        <v>1.5489999999999999</v>
      </c>
      <c r="G991" t="s">
        <v>15</v>
      </c>
    </row>
    <row r="992" spans="1:7" x14ac:dyDescent="0.25">
      <c r="A992">
        <v>59</v>
      </c>
      <c r="B992" t="s">
        <v>441</v>
      </c>
      <c r="C992">
        <v>50</v>
      </c>
      <c r="D992" t="s">
        <v>114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441</v>
      </c>
      <c r="C993">
        <v>60</v>
      </c>
      <c r="D993" t="s">
        <v>443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441</v>
      </c>
      <c r="C994">
        <v>70</v>
      </c>
      <c r="D994" t="s">
        <v>116</v>
      </c>
      <c r="E994" t="s">
        <v>17</v>
      </c>
      <c r="F994">
        <v>14.427</v>
      </c>
      <c r="G994" t="s">
        <v>15</v>
      </c>
    </row>
    <row r="995" spans="1:7" x14ac:dyDescent="0.25">
      <c r="A995">
        <v>59</v>
      </c>
      <c r="B995" t="s">
        <v>441</v>
      </c>
      <c r="C995">
        <v>80</v>
      </c>
      <c r="D995" t="s">
        <v>20</v>
      </c>
      <c r="E995" t="s">
        <v>17</v>
      </c>
      <c r="F995">
        <v>88.727000000000004</v>
      </c>
      <c r="G995" t="s">
        <v>15</v>
      </c>
    </row>
    <row r="996" spans="1:7" x14ac:dyDescent="0.25">
      <c r="A996">
        <v>59</v>
      </c>
      <c r="B996" t="s">
        <v>441</v>
      </c>
      <c r="C996">
        <v>90</v>
      </c>
      <c r="D996" t="s">
        <v>24</v>
      </c>
      <c r="E996" t="s">
        <v>11</v>
      </c>
      <c r="F996">
        <v>1</v>
      </c>
      <c r="G996" t="s">
        <v>15</v>
      </c>
    </row>
    <row r="997" spans="1:7" x14ac:dyDescent="0.25">
      <c r="A997">
        <v>59</v>
      </c>
      <c r="B997" t="s">
        <v>441</v>
      </c>
      <c r="C997">
        <v>100</v>
      </c>
      <c r="D997" t="s">
        <v>117</v>
      </c>
      <c r="E997" t="s">
        <v>14</v>
      </c>
      <c r="F997">
        <v>0.12</v>
      </c>
      <c r="G997" t="s">
        <v>15</v>
      </c>
    </row>
    <row r="998" spans="1:7" x14ac:dyDescent="0.25">
      <c r="A998">
        <v>59</v>
      </c>
      <c r="B998" t="s">
        <v>441</v>
      </c>
      <c r="C998">
        <v>110</v>
      </c>
      <c r="D998" t="s">
        <v>118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441</v>
      </c>
      <c r="C999">
        <v>120</v>
      </c>
      <c r="D999" t="s">
        <v>25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441</v>
      </c>
      <c r="C1000">
        <v>130</v>
      </c>
      <c r="D1000" t="s">
        <v>26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441</v>
      </c>
      <c r="C1001">
        <v>140</v>
      </c>
      <c r="D1001" t="s">
        <v>108</v>
      </c>
      <c r="E1001" t="s">
        <v>14</v>
      </c>
      <c r="F1001">
        <v>1.1890000000000001</v>
      </c>
      <c r="G1001" t="s">
        <v>15</v>
      </c>
    </row>
    <row r="1002" spans="1:7" x14ac:dyDescent="0.25">
      <c r="A1002">
        <v>59</v>
      </c>
      <c r="B1002" t="s">
        <v>441</v>
      </c>
      <c r="C1002">
        <v>150</v>
      </c>
      <c r="D1002" t="s">
        <v>444</v>
      </c>
      <c r="E1002" t="s">
        <v>11</v>
      </c>
      <c r="F1002">
        <v>1</v>
      </c>
      <c r="G1002" t="s">
        <v>18</v>
      </c>
    </row>
    <row r="1003" spans="1:7" x14ac:dyDescent="0.25">
      <c r="A1003">
        <v>59</v>
      </c>
      <c r="B1003" t="s">
        <v>441</v>
      </c>
      <c r="C1003">
        <v>160</v>
      </c>
      <c r="D1003" t="s">
        <v>445</v>
      </c>
      <c r="E1003" t="s">
        <v>11</v>
      </c>
      <c r="F1003">
        <v>1</v>
      </c>
      <c r="G1003" t="s">
        <v>18</v>
      </c>
    </row>
    <row r="1004" spans="1:7" x14ac:dyDescent="0.25">
      <c r="A1004">
        <v>59</v>
      </c>
      <c r="B1004" t="s">
        <v>441</v>
      </c>
      <c r="C1004">
        <v>170</v>
      </c>
      <c r="D1004" t="s">
        <v>527</v>
      </c>
      <c r="E1004" t="s">
        <v>14</v>
      </c>
      <c r="F1004">
        <v>0.6</v>
      </c>
      <c r="G1004" t="s">
        <v>15</v>
      </c>
    </row>
    <row r="1005" spans="1:7" x14ac:dyDescent="0.25">
      <c r="A1005">
        <v>60</v>
      </c>
      <c r="B1005" t="s">
        <v>446</v>
      </c>
      <c r="C1005">
        <v>10</v>
      </c>
      <c r="D1005" t="s">
        <v>447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446</v>
      </c>
      <c r="C1006">
        <v>20</v>
      </c>
      <c r="D1006" t="s">
        <v>292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446</v>
      </c>
      <c r="C1007">
        <v>30</v>
      </c>
      <c r="D1007" t="s">
        <v>110</v>
      </c>
      <c r="E1007" t="s">
        <v>111</v>
      </c>
      <c r="F1007">
        <v>1.014</v>
      </c>
      <c r="G1007" t="s">
        <v>15</v>
      </c>
    </row>
    <row r="1008" spans="1:7" x14ac:dyDescent="0.25">
      <c r="A1008">
        <v>60</v>
      </c>
      <c r="B1008" t="s">
        <v>446</v>
      </c>
      <c r="C1008">
        <v>40</v>
      </c>
      <c r="D1008" t="s">
        <v>202</v>
      </c>
      <c r="E1008" t="s">
        <v>11</v>
      </c>
      <c r="F1008">
        <v>1.702</v>
      </c>
      <c r="G1008" t="s">
        <v>15</v>
      </c>
    </row>
    <row r="1009" spans="1:7" x14ac:dyDescent="0.25">
      <c r="A1009">
        <v>60</v>
      </c>
      <c r="B1009" t="s">
        <v>446</v>
      </c>
      <c r="C1009">
        <v>50</v>
      </c>
      <c r="D1009" t="s">
        <v>114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446</v>
      </c>
      <c r="C1010">
        <v>60</v>
      </c>
      <c r="D1010" t="s">
        <v>448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446</v>
      </c>
      <c r="C1011">
        <v>70</v>
      </c>
      <c r="D1011" t="s">
        <v>116</v>
      </c>
      <c r="E1011" t="s">
        <v>17</v>
      </c>
      <c r="F1011">
        <v>15.037000000000001</v>
      </c>
      <c r="G1011" t="s">
        <v>15</v>
      </c>
    </row>
    <row r="1012" spans="1:7" x14ac:dyDescent="0.25">
      <c r="A1012">
        <v>60</v>
      </c>
      <c r="B1012" t="s">
        <v>446</v>
      </c>
      <c r="C1012">
        <v>80</v>
      </c>
      <c r="D1012" t="s">
        <v>20</v>
      </c>
      <c r="E1012" t="s">
        <v>17</v>
      </c>
      <c r="F1012">
        <v>92.475999999999999</v>
      </c>
      <c r="G1012" t="s">
        <v>15</v>
      </c>
    </row>
    <row r="1013" spans="1:7" x14ac:dyDescent="0.25">
      <c r="A1013">
        <v>60</v>
      </c>
      <c r="B1013" t="s">
        <v>446</v>
      </c>
      <c r="C1013">
        <v>90</v>
      </c>
      <c r="D1013" t="s">
        <v>24</v>
      </c>
      <c r="E1013" t="s">
        <v>11</v>
      </c>
      <c r="F1013">
        <v>1</v>
      </c>
      <c r="G1013" t="s">
        <v>15</v>
      </c>
    </row>
    <row r="1014" spans="1:7" x14ac:dyDescent="0.25">
      <c r="A1014">
        <v>60</v>
      </c>
      <c r="B1014" t="s">
        <v>446</v>
      </c>
      <c r="C1014">
        <v>100</v>
      </c>
      <c r="D1014" t="s">
        <v>117</v>
      </c>
      <c r="E1014" t="s">
        <v>14</v>
      </c>
      <c r="F1014">
        <v>0.13</v>
      </c>
      <c r="G1014" t="s">
        <v>15</v>
      </c>
    </row>
    <row r="1015" spans="1:7" x14ac:dyDescent="0.25">
      <c r="A1015">
        <v>60</v>
      </c>
      <c r="B1015" t="s">
        <v>446</v>
      </c>
      <c r="C1015">
        <v>110</v>
      </c>
      <c r="D1015" t="s">
        <v>118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446</v>
      </c>
      <c r="C1016">
        <v>120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446</v>
      </c>
      <c r="C1017">
        <v>130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446</v>
      </c>
      <c r="C1018">
        <v>140</v>
      </c>
      <c r="D1018" t="s">
        <v>108</v>
      </c>
      <c r="E1018" t="s">
        <v>14</v>
      </c>
      <c r="F1018">
        <v>1.1890000000000001</v>
      </c>
      <c r="G1018" t="s">
        <v>15</v>
      </c>
    </row>
    <row r="1019" spans="1:7" x14ac:dyDescent="0.25">
      <c r="A1019">
        <v>60</v>
      </c>
      <c r="B1019" t="s">
        <v>446</v>
      </c>
      <c r="C1019">
        <v>150</v>
      </c>
      <c r="D1019" t="s">
        <v>449</v>
      </c>
      <c r="E1019" t="s">
        <v>11</v>
      </c>
      <c r="F1019">
        <v>1</v>
      </c>
      <c r="G1019" t="s">
        <v>18</v>
      </c>
    </row>
    <row r="1020" spans="1:7" x14ac:dyDescent="0.25">
      <c r="A1020">
        <v>60</v>
      </c>
      <c r="B1020" t="s">
        <v>446</v>
      </c>
      <c r="C1020">
        <v>160</v>
      </c>
      <c r="D1020" t="s">
        <v>450</v>
      </c>
      <c r="E1020" t="s">
        <v>11</v>
      </c>
      <c r="F1020">
        <v>1</v>
      </c>
      <c r="G1020" t="s">
        <v>18</v>
      </c>
    </row>
    <row r="1021" spans="1:7" x14ac:dyDescent="0.25">
      <c r="A1021">
        <v>60</v>
      </c>
      <c r="B1021" t="s">
        <v>446</v>
      </c>
      <c r="C1021">
        <v>170</v>
      </c>
      <c r="D1021" t="s">
        <v>528</v>
      </c>
      <c r="E1021" t="s">
        <v>14</v>
      </c>
      <c r="F1021">
        <v>0.8</v>
      </c>
      <c r="G1021" t="s">
        <v>15</v>
      </c>
    </row>
    <row r="1022" spans="1:7" x14ac:dyDescent="0.25">
      <c r="A1022">
        <v>61</v>
      </c>
      <c r="B1022" t="s">
        <v>451</v>
      </c>
      <c r="C1022">
        <v>10</v>
      </c>
      <c r="D1022" t="s">
        <v>452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451</v>
      </c>
      <c r="C1023">
        <v>20</v>
      </c>
      <c r="D1023" t="s">
        <v>296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451</v>
      </c>
      <c r="C1024">
        <v>30</v>
      </c>
      <c r="D1024" t="s">
        <v>110</v>
      </c>
      <c r="E1024" t="s">
        <v>111</v>
      </c>
      <c r="F1024">
        <v>1.107</v>
      </c>
      <c r="G1024" t="s">
        <v>15</v>
      </c>
    </row>
    <row r="1025" spans="1:7" x14ac:dyDescent="0.25">
      <c r="A1025">
        <v>61</v>
      </c>
      <c r="B1025" t="s">
        <v>451</v>
      </c>
      <c r="C1025">
        <v>40</v>
      </c>
      <c r="D1025" t="s">
        <v>202</v>
      </c>
      <c r="E1025" t="s">
        <v>11</v>
      </c>
      <c r="F1025">
        <v>1.8540000000000001</v>
      </c>
      <c r="G1025" t="s">
        <v>15</v>
      </c>
    </row>
    <row r="1026" spans="1:7" x14ac:dyDescent="0.25">
      <c r="A1026">
        <v>61</v>
      </c>
      <c r="B1026" t="s">
        <v>451</v>
      </c>
      <c r="C1026">
        <v>50</v>
      </c>
      <c r="D1026" t="s">
        <v>114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451</v>
      </c>
      <c r="C1027">
        <v>60</v>
      </c>
      <c r="D1027" t="s">
        <v>453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451</v>
      </c>
      <c r="C1028">
        <v>70</v>
      </c>
      <c r="D1028" t="s">
        <v>116</v>
      </c>
      <c r="E1028" t="s">
        <v>17</v>
      </c>
      <c r="F1028">
        <v>15.646000000000001</v>
      </c>
      <c r="G1028" t="s">
        <v>15</v>
      </c>
    </row>
    <row r="1029" spans="1:7" x14ac:dyDescent="0.25">
      <c r="A1029">
        <v>61</v>
      </c>
      <c r="B1029" t="s">
        <v>451</v>
      </c>
      <c r="C1029">
        <v>80</v>
      </c>
      <c r="D1029" t="s">
        <v>20</v>
      </c>
      <c r="E1029" t="s">
        <v>17</v>
      </c>
      <c r="F1029">
        <v>96.224999999999994</v>
      </c>
      <c r="G1029" t="s">
        <v>15</v>
      </c>
    </row>
    <row r="1030" spans="1:7" x14ac:dyDescent="0.25">
      <c r="A1030">
        <v>61</v>
      </c>
      <c r="B1030" t="s">
        <v>451</v>
      </c>
      <c r="C1030">
        <v>90</v>
      </c>
      <c r="D1030" t="s">
        <v>24</v>
      </c>
      <c r="E1030" t="s">
        <v>11</v>
      </c>
      <c r="F1030">
        <v>1</v>
      </c>
      <c r="G1030" t="s">
        <v>15</v>
      </c>
    </row>
    <row r="1031" spans="1:7" x14ac:dyDescent="0.25">
      <c r="A1031">
        <v>61</v>
      </c>
      <c r="B1031" t="s">
        <v>451</v>
      </c>
      <c r="C1031">
        <v>100</v>
      </c>
      <c r="D1031" t="s">
        <v>117</v>
      </c>
      <c r="E1031" t="s">
        <v>14</v>
      </c>
      <c r="F1031">
        <v>0.14000000000000001</v>
      </c>
      <c r="G1031" t="s">
        <v>15</v>
      </c>
    </row>
    <row r="1032" spans="1:7" x14ac:dyDescent="0.25">
      <c r="A1032">
        <v>61</v>
      </c>
      <c r="B1032" t="s">
        <v>451</v>
      </c>
      <c r="C1032">
        <v>110</v>
      </c>
      <c r="D1032" t="s">
        <v>118</v>
      </c>
      <c r="E1032" t="s">
        <v>11</v>
      </c>
      <c r="F1032">
        <v>4</v>
      </c>
      <c r="G1032" t="s">
        <v>15</v>
      </c>
    </row>
    <row r="1033" spans="1:7" x14ac:dyDescent="0.25">
      <c r="A1033">
        <v>61</v>
      </c>
      <c r="B1033" t="s">
        <v>451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451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451</v>
      </c>
      <c r="C1035">
        <v>140</v>
      </c>
      <c r="D1035" t="s">
        <v>108</v>
      </c>
      <c r="E1035" t="s">
        <v>14</v>
      </c>
      <c r="F1035">
        <v>1.1890000000000001</v>
      </c>
      <c r="G1035" t="s">
        <v>15</v>
      </c>
    </row>
    <row r="1036" spans="1:7" x14ac:dyDescent="0.25">
      <c r="A1036">
        <v>61</v>
      </c>
      <c r="B1036" t="s">
        <v>451</v>
      </c>
      <c r="C1036">
        <v>150</v>
      </c>
      <c r="D1036" t="s">
        <v>454</v>
      </c>
      <c r="E1036" t="s">
        <v>11</v>
      </c>
      <c r="F1036">
        <v>1</v>
      </c>
      <c r="G1036" t="s">
        <v>18</v>
      </c>
    </row>
    <row r="1037" spans="1:7" x14ac:dyDescent="0.25">
      <c r="A1037">
        <v>61</v>
      </c>
      <c r="B1037" t="s">
        <v>451</v>
      </c>
      <c r="C1037">
        <v>160</v>
      </c>
      <c r="D1037" t="s">
        <v>455</v>
      </c>
      <c r="E1037" t="s">
        <v>11</v>
      </c>
      <c r="F1037">
        <v>1</v>
      </c>
      <c r="G1037" t="s">
        <v>18</v>
      </c>
    </row>
    <row r="1038" spans="1:7" x14ac:dyDescent="0.25">
      <c r="A1038">
        <v>61</v>
      </c>
      <c r="B1038" t="s">
        <v>451</v>
      </c>
      <c r="C1038">
        <v>170</v>
      </c>
      <c r="D1038" t="s">
        <v>528</v>
      </c>
      <c r="E1038" t="s">
        <v>14</v>
      </c>
      <c r="F1038">
        <v>0.8</v>
      </c>
      <c r="G1038" t="s">
        <v>15</v>
      </c>
    </row>
    <row r="1039" spans="1:7" x14ac:dyDescent="0.25">
      <c r="A1039">
        <v>62</v>
      </c>
      <c r="B1039" t="s">
        <v>456</v>
      </c>
      <c r="C1039">
        <v>10</v>
      </c>
      <c r="D1039" t="s">
        <v>457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456</v>
      </c>
      <c r="C1040">
        <v>20</v>
      </c>
      <c r="D1040" t="s">
        <v>300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456</v>
      </c>
      <c r="C1041">
        <v>30</v>
      </c>
      <c r="D1041" t="s">
        <v>110</v>
      </c>
      <c r="E1041" t="s">
        <v>111</v>
      </c>
      <c r="F1041">
        <v>0.46400000000000002</v>
      </c>
      <c r="G1041" t="s">
        <v>15</v>
      </c>
    </row>
    <row r="1042" spans="1:7" x14ac:dyDescent="0.25">
      <c r="A1042">
        <v>62</v>
      </c>
      <c r="B1042" t="s">
        <v>456</v>
      </c>
      <c r="C1042">
        <v>40</v>
      </c>
      <c r="D1042" t="s">
        <v>202</v>
      </c>
      <c r="E1042" t="s">
        <v>11</v>
      </c>
      <c r="F1042">
        <v>2.0569999999999999</v>
      </c>
      <c r="G1042" t="s">
        <v>15</v>
      </c>
    </row>
    <row r="1043" spans="1:7" x14ac:dyDescent="0.25">
      <c r="A1043">
        <v>62</v>
      </c>
      <c r="B1043" t="s">
        <v>456</v>
      </c>
      <c r="C1043">
        <v>50</v>
      </c>
      <c r="D1043" t="s">
        <v>114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456</v>
      </c>
      <c r="C1044">
        <v>60</v>
      </c>
      <c r="D1044" t="s">
        <v>458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456</v>
      </c>
      <c r="C1045">
        <v>70</v>
      </c>
      <c r="D1045" t="s">
        <v>116</v>
      </c>
      <c r="E1045" t="s">
        <v>17</v>
      </c>
      <c r="F1045">
        <v>11.582000000000001</v>
      </c>
      <c r="G1045" t="s">
        <v>15</v>
      </c>
    </row>
    <row r="1046" spans="1:7" x14ac:dyDescent="0.25">
      <c r="A1046">
        <v>62</v>
      </c>
      <c r="B1046" t="s">
        <v>456</v>
      </c>
      <c r="C1046">
        <v>80</v>
      </c>
      <c r="D1046" t="s">
        <v>20</v>
      </c>
      <c r="E1046" t="s">
        <v>17</v>
      </c>
      <c r="F1046">
        <v>71.231999999999999</v>
      </c>
      <c r="G1046" t="s">
        <v>15</v>
      </c>
    </row>
    <row r="1047" spans="1:7" x14ac:dyDescent="0.25">
      <c r="A1047">
        <v>62</v>
      </c>
      <c r="B1047" t="s">
        <v>456</v>
      </c>
      <c r="C1047">
        <v>90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62</v>
      </c>
      <c r="B1048" t="s">
        <v>456</v>
      </c>
      <c r="C1048">
        <v>100</v>
      </c>
      <c r="D1048" t="s">
        <v>117</v>
      </c>
      <c r="E1048" t="s">
        <v>14</v>
      </c>
      <c r="F1048">
        <v>7.1999999999999995E-2</v>
      </c>
      <c r="G1048" t="s">
        <v>15</v>
      </c>
    </row>
    <row r="1049" spans="1:7" x14ac:dyDescent="0.25">
      <c r="A1049">
        <v>62</v>
      </c>
      <c r="B1049" t="s">
        <v>456</v>
      </c>
      <c r="C1049">
        <v>110</v>
      </c>
      <c r="D1049" t="s">
        <v>118</v>
      </c>
      <c r="E1049" t="s">
        <v>11</v>
      </c>
      <c r="F1049">
        <v>4</v>
      </c>
      <c r="G1049" t="s">
        <v>15</v>
      </c>
    </row>
    <row r="1050" spans="1:7" x14ac:dyDescent="0.25">
      <c r="A1050">
        <v>62</v>
      </c>
      <c r="B1050" t="s">
        <v>456</v>
      </c>
      <c r="C1050">
        <v>120</v>
      </c>
      <c r="D1050" t="s">
        <v>25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456</v>
      </c>
      <c r="C1051">
        <v>130</v>
      </c>
      <c r="D1051" t="s">
        <v>26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456</v>
      </c>
      <c r="C1052">
        <v>140</v>
      </c>
      <c r="D1052" t="s">
        <v>108</v>
      </c>
      <c r="E1052" t="s">
        <v>14</v>
      </c>
      <c r="F1052">
        <v>1.216</v>
      </c>
      <c r="G1052" t="s">
        <v>15</v>
      </c>
    </row>
    <row r="1053" spans="1:7" x14ac:dyDescent="0.25">
      <c r="A1053">
        <v>62</v>
      </c>
      <c r="B1053" t="s">
        <v>456</v>
      </c>
      <c r="C1053">
        <v>150</v>
      </c>
      <c r="D1053" t="s">
        <v>459</v>
      </c>
      <c r="E1053" t="s">
        <v>11</v>
      </c>
      <c r="F1053">
        <v>1</v>
      </c>
      <c r="G1053" t="s">
        <v>18</v>
      </c>
    </row>
    <row r="1054" spans="1:7" x14ac:dyDescent="0.25">
      <c r="A1054">
        <v>62</v>
      </c>
      <c r="B1054" t="s">
        <v>456</v>
      </c>
      <c r="C1054">
        <v>160</v>
      </c>
      <c r="D1054" t="s">
        <v>460</v>
      </c>
      <c r="E1054" t="s">
        <v>11</v>
      </c>
      <c r="F1054">
        <v>1</v>
      </c>
      <c r="G1054" t="s">
        <v>18</v>
      </c>
    </row>
    <row r="1055" spans="1:7" x14ac:dyDescent="0.25">
      <c r="A1055">
        <v>62</v>
      </c>
      <c r="B1055" t="s">
        <v>456</v>
      </c>
      <c r="C1055">
        <v>170</v>
      </c>
      <c r="D1055" t="s">
        <v>526</v>
      </c>
      <c r="E1055" t="s">
        <v>14</v>
      </c>
      <c r="F1055">
        <v>0.5</v>
      </c>
      <c r="G1055" t="s">
        <v>15</v>
      </c>
    </row>
    <row r="1056" spans="1:7" x14ac:dyDescent="0.25">
      <c r="A1056">
        <v>63</v>
      </c>
      <c r="B1056" t="s">
        <v>461</v>
      </c>
      <c r="C1056">
        <v>10</v>
      </c>
      <c r="D1056" t="s">
        <v>462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461</v>
      </c>
      <c r="C1057">
        <v>20</v>
      </c>
      <c r="D1057" t="s">
        <v>300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461</v>
      </c>
      <c r="C1058">
        <v>30</v>
      </c>
      <c r="D1058" t="s">
        <v>110</v>
      </c>
      <c r="E1058" t="s">
        <v>111</v>
      </c>
      <c r="F1058">
        <v>0.56000000000000005</v>
      </c>
      <c r="G1058" t="s">
        <v>15</v>
      </c>
    </row>
    <row r="1059" spans="1:7" x14ac:dyDescent="0.25">
      <c r="A1059">
        <v>63</v>
      </c>
      <c r="B1059" t="s">
        <v>461</v>
      </c>
      <c r="C1059">
        <v>40</v>
      </c>
      <c r="D1059" t="s">
        <v>202</v>
      </c>
      <c r="E1059" t="s">
        <v>11</v>
      </c>
      <c r="F1059">
        <v>2.0569999999999999</v>
      </c>
      <c r="G1059" t="s">
        <v>15</v>
      </c>
    </row>
    <row r="1060" spans="1:7" x14ac:dyDescent="0.25">
      <c r="A1060">
        <v>63</v>
      </c>
      <c r="B1060" t="s">
        <v>461</v>
      </c>
      <c r="C1060">
        <v>50</v>
      </c>
      <c r="D1060" t="s">
        <v>114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461</v>
      </c>
      <c r="C1061">
        <v>60</v>
      </c>
      <c r="D1061" t="s">
        <v>463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461</v>
      </c>
      <c r="C1062">
        <v>70</v>
      </c>
      <c r="D1062" t="s">
        <v>116</v>
      </c>
      <c r="E1062" t="s">
        <v>17</v>
      </c>
      <c r="F1062">
        <v>12.192</v>
      </c>
      <c r="G1062" t="s">
        <v>15</v>
      </c>
    </row>
    <row r="1063" spans="1:7" x14ac:dyDescent="0.25">
      <c r="A1063">
        <v>63</v>
      </c>
      <c r="B1063" t="s">
        <v>461</v>
      </c>
      <c r="C1063">
        <v>80</v>
      </c>
      <c r="D1063" t="s">
        <v>20</v>
      </c>
      <c r="E1063" t="s">
        <v>17</v>
      </c>
      <c r="F1063">
        <v>74.980999999999995</v>
      </c>
      <c r="G1063" t="s">
        <v>15</v>
      </c>
    </row>
    <row r="1064" spans="1:7" x14ac:dyDescent="0.25">
      <c r="A1064">
        <v>63</v>
      </c>
      <c r="B1064" t="s">
        <v>461</v>
      </c>
      <c r="C1064">
        <v>90</v>
      </c>
      <c r="D1064" t="s">
        <v>24</v>
      </c>
      <c r="E1064" t="s">
        <v>11</v>
      </c>
      <c r="F1064">
        <v>1</v>
      </c>
      <c r="G1064" t="s">
        <v>15</v>
      </c>
    </row>
    <row r="1065" spans="1:7" x14ac:dyDescent="0.25">
      <c r="A1065">
        <v>63</v>
      </c>
      <c r="B1065" t="s">
        <v>461</v>
      </c>
      <c r="C1065">
        <v>100</v>
      </c>
      <c r="D1065" t="s">
        <v>117</v>
      </c>
      <c r="E1065" t="s">
        <v>14</v>
      </c>
      <c r="F1065">
        <v>8.1000000000000003E-2</v>
      </c>
      <c r="G1065" t="s">
        <v>15</v>
      </c>
    </row>
    <row r="1066" spans="1:7" x14ac:dyDescent="0.25">
      <c r="A1066">
        <v>63</v>
      </c>
      <c r="B1066" t="s">
        <v>461</v>
      </c>
      <c r="C1066">
        <v>110</v>
      </c>
      <c r="D1066" t="s">
        <v>118</v>
      </c>
      <c r="E1066" t="s">
        <v>11</v>
      </c>
      <c r="F1066">
        <v>4</v>
      </c>
      <c r="G1066" t="s">
        <v>15</v>
      </c>
    </row>
    <row r="1067" spans="1:7" x14ac:dyDescent="0.25">
      <c r="A1067">
        <v>63</v>
      </c>
      <c r="B1067" t="s">
        <v>461</v>
      </c>
      <c r="C1067">
        <v>120</v>
      </c>
      <c r="D1067" t="s">
        <v>25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461</v>
      </c>
      <c r="C1068">
        <v>130</v>
      </c>
      <c r="D1068" t="s">
        <v>26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461</v>
      </c>
      <c r="C1069">
        <v>140</v>
      </c>
      <c r="D1069" t="s">
        <v>108</v>
      </c>
      <c r="E1069" t="s">
        <v>14</v>
      </c>
      <c r="F1069">
        <v>1.216</v>
      </c>
      <c r="G1069" t="s">
        <v>15</v>
      </c>
    </row>
    <row r="1070" spans="1:7" x14ac:dyDescent="0.25">
      <c r="A1070">
        <v>63</v>
      </c>
      <c r="B1070" t="s">
        <v>461</v>
      </c>
      <c r="C1070">
        <v>150</v>
      </c>
      <c r="D1070" t="s">
        <v>464</v>
      </c>
      <c r="E1070" t="s">
        <v>11</v>
      </c>
      <c r="F1070">
        <v>1</v>
      </c>
      <c r="G1070" t="s">
        <v>18</v>
      </c>
    </row>
    <row r="1071" spans="1:7" x14ac:dyDescent="0.25">
      <c r="A1071">
        <v>63</v>
      </c>
      <c r="B1071" t="s">
        <v>461</v>
      </c>
      <c r="C1071">
        <v>160</v>
      </c>
      <c r="D1071" t="s">
        <v>465</v>
      </c>
      <c r="E1071" t="s">
        <v>11</v>
      </c>
      <c r="F1071">
        <v>1</v>
      </c>
      <c r="G1071" t="s">
        <v>18</v>
      </c>
    </row>
    <row r="1072" spans="1:7" x14ac:dyDescent="0.25">
      <c r="A1072">
        <v>63</v>
      </c>
      <c r="B1072" t="s">
        <v>461</v>
      </c>
      <c r="C1072">
        <v>170</v>
      </c>
      <c r="D1072" t="s">
        <v>526</v>
      </c>
      <c r="E1072" t="s">
        <v>14</v>
      </c>
      <c r="F1072">
        <v>0.5</v>
      </c>
      <c r="G1072" t="s">
        <v>15</v>
      </c>
    </row>
    <row r="1073" spans="1:7" x14ac:dyDescent="0.25">
      <c r="A1073">
        <v>64</v>
      </c>
      <c r="B1073" t="s">
        <v>466</v>
      </c>
      <c r="C1073">
        <v>10</v>
      </c>
      <c r="D1073" t="s">
        <v>467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466</v>
      </c>
      <c r="C1074">
        <v>20</v>
      </c>
      <c r="D1074" t="s">
        <v>300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466</v>
      </c>
      <c r="C1075">
        <v>30</v>
      </c>
      <c r="D1075" t="s">
        <v>110</v>
      </c>
      <c r="E1075" t="s">
        <v>111</v>
      </c>
      <c r="F1075">
        <v>0.65600000000000003</v>
      </c>
      <c r="G1075" t="s">
        <v>15</v>
      </c>
    </row>
    <row r="1076" spans="1:7" x14ac:dyDescent="0.25">
      <c r="A1076">
        <v>64</v>
      </c>
      <c r="B1076" t="s">
        <v>466</v>
      </c>
      <c r="C1076">
        <v>40</v>
      </c>
      <c r="D1076" t="s">
        <v>202</v>
      </c>
      <c r="E1076" t="s">
        <v>11</v>
      </c>
      <c r="F1076">
        <v>2.0569999999999999</v>
      </c>
      <c r="G1076" t="s">
        <v>15</v>
      </c>
    </row>
    <row r="1077" spans="1:7" x14ac:dyDescent="0.25">
      <c r="A1077">
        <v>64</v>
      </c>
      <c r="B1077" t="s">
        <v>466</v>
      </c>
      <c r="C1077">
        <v>50</v>
      </c>
      <c r="D1077" t="s">
        <v>114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466</v>
      </c>
      <c r="C1078">
        <v>60</v>
      </c>
      <c r="D1078" t="s">
        <v>468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466</v>
      </c>
      <c r="C1079">
        <v>70</v>
      </c>
      <c r="D1079" t="s">
        <v>116</v>
      </c>
      <c r="E1079" t="s">
        <v>17</v>
      </c>
      <c r="F1079">
        <v>12.802</v>
      </c>
      <c r="G1079" t="s">
        <v>15</v>
      </c>
    </row>
    <row r="1080" spans="1:7" x14ac:dyDescent="0.25">
      <c r="A1080">
        <v>64</v>
      </c>
      <c r="B1080" t="s">
        <v>466</v>
      </c>
      <c r="C1080">
        <v>80</v>
      </c>
      <c r="D1080" t="s">
        <v>20</v>
      </c>
      <c r="E1080" t="s">
        <v>17</v>
      </c>
      <c r="F1080">
        <v>78.73</v>
      </c>
      <c r="G1080" t="s">
        <v>15</v>
      </c>
    </row>
    <row r="1081" spans="1:7" x14ac:dyDescent="0.25">
      <c r="A1081">
        <v>64</v>
      </c>
      <c r="B1081" t="s">
        <v>466</v>
      </c>
      <c r="C1081">
        <v>90</v>
      </c>
      <c r="D1081" t="s">
        <v>24</v>
      </c>
      <c r="E1081" t="s">
        <v>11</v>
      </c>
      <c r="F1081">
        <v>1</v>
      </c>
      <c r="G1081" t="s">
        <v>15</v>
      </c>
    </row>
    <row r="1082" spans="1:7" x14ac:dyDescent="0.25">
      <c r="A1082">
        <v>64</v>
      </c>
      <c r="B1082" t="s">
        <v>466</v>
      </c>
      <c r="C1082">
        <v>100</v>
      </c>
      <c r="D1082" t="s">
        <v>117</v>
      </c>
      <c r="E1082" t="s">
        <v>14</v>
      </c>
      <c r="F1082">
        <v>9.0999999999999998E-2</v>
      </c>
      <c r="G1082" t="s">
        <v>15</v>
      </c>
    </row>
    <row r="1083" spans="1:7" x14ac:dyDescent="0.25">
      <c r="A1083">
        <v>64</v>
      </c>
      <c r="B1083" t="s">
        <v>466</v>
      </c>
      <c r="C1083">
        <v>110</v>
      </c>
      <c r="D1083" t="s">
        <v>118</v>
      </c>
      <c r="E1083" t="s">
        <v>11</v>
      </c>
      <c r="F1083">
        <v>4</v>
      </c>
      <c r="G1083" t="s">
        <v>15</v>
      </c>
    </row>
    <row r="1084" spans="1:7" x14ac:dyDescent="0.25">
      <c r="A1084">
        <v>64</v>
      </c>
      <c r="B1084" t="s">
        <v>466</v>
      </c>
      <c r="C1084">
        <v>120</v>
      </c>
      <c r="D1084" t="s">
        <v>25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466</v>
      </c>
      <c r="C1085">
        <v>130</v>
      </c>
      <c r="D1085" t="s">
        <v>26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466</v>
      </c>
      <c r="C1086">
        <v>140</v>
      </c>
      <c r="D1086" t="s">
        <v>108</v>
      </c>
      <c r="E1086" t="s">
        <v>14</v>
      </c>
      <c r="F1086">
        <v>1.216</v>
      </c>
      <c r="G1086" t="s">
        <v>15</v>
      </c>
    </row>
    <row r="1087" spans="1:7" x14ac:dyDescent="0.25">
      <c r="A1087">
        <v>64</v>
      </c>
      <c r="B1087" t="s">
        <v>466</v>
      </c>
      <c r="C1087">
        <v>150</v>
      </c>
      <c r="D1087" t="s">
        <v>469</v>
      </c>
      <c r="E1087" t="s">
        <v>11</v>
      </c>
      <c r="F1087">
        <v>1</v>
      </c>
      <c r="G1087" t="s">
        <v>18</v>
      </c>
    </row>
    <row r="1088" spans="1:7" x14ac:dyDescent="0.25">
      <c r="A1088">
        <v>64</v>
      </c>
      <c r="B1088" t="s">
        <v>466</v>
      </c>
      <c r="C1088">
        <v>160</v>
      </c>
      <c r="D1088" t="s">
        <v>470</v>
      </c>
      <c r="E1088" t="s">
        <v>11</v>
      </c>
      <c r="F1088">
        <v>1</v>
      </c>
      <c r="G1088" t="s">
        <v>18</v>
      </c>
    </row>
    <row r="1089" spans="1:7" x14ac:dyDescent="0.25">
      <c r="A1089">
        <v>64</v>
      </c>
      <c r="B1089" t="s">
        <v>466</v>
      </c>
      <c r="C1089">
        <v>170</v>
      </c>
      <c r="D1089" t="s">
        <v>527</v>
      </c>
      <c r="E1089" t="s">
        <v>14</v>
      </c>
      <c r="F1089">
        <v>0.6</v>
      </c>
      <c r="G1089" t="s">
        <v>15</v>
      </c>
    </row>
    <row r="1090" spans="1:7" x14ac:dyDescent="0.25">
      <c r="A1090">
        <v>65</v>
      </c>
      <c r="B1090" t="s">
        <v>471</v>
      </c>
      <c r="C1090">
        <v>10</v>
      </c>
      <c r="D1090" t="s">
        <v>472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471</v>
      </c>
      <c r="C1091">
        <v>20</v>
      </c>
      <c r="D1091" t="s">
        <v>300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471</v>
      </c>
      <c r="C1092">
        <v>30</v>
      </c>
      <c r="D1092" t="s">
        <v>110</v>
      </c>
      <c r="E1092" t="s">
        <v>111</v>
      </c>
      <c r="F1092">
        <v>0.752</v>
      </c>
      <c r="G1092" t="s">
        <v>15</v>
      </c>
    </row>
    <row r="1093" spans="1:7" x14ac:dyDescent="0.25">
      <c r="A1093">
        <v>65</v>
      </c>
      <c r="B1093" t="s">
        <v>471</v>
      </c>
      <c r="C1093">
        <v>40</v>
      </c>
      <c r="D1093" t="s">
        <v>202</v>
      </c>
      <c r="E1093" t="s">
        <v>11</v>
      </c>
      <c r="F1093">
        <v>2.0569999999999999</v>
      </c>
      <c r="G1093" t="s">
        <v>15</v>
      </c>
    </row>
    <row r="1094" spans="1:7" x14ac:dyDescent="0.25">
      <c r="A1094">
        <v>65</v>
      </c>
      <c r="B1094" t="s">
        <v>471</v>
      </c>
      <c r="C1094">
        <v>50</v>
      </c>
      <c r="D1094" t="s">
        <v>114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471</v>
      </c>
      <c r="C1095">
        <v>60</v>
      </c>
      <c r="D1095" t="s">
        <v>473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471</v>
      </c>
      <c r="C1096">
        <v>70</v>
      </c>
      <c r="D1096" t="s">
        <v>116</v>
      </c>
      <c r="E1096" t="s">
        <v>17</v>
      </c>
      <c r="F1096">
        <v>13.411</v>
      </c>
      <c r="G1096" t="s">
        <v>15</v>
      </c>
    </row>
    <row r="1097" spans="1:7" x14ac:dyDescent="0.25">
      <c r="A1097">
        <v>65</v>
      </c>
      <c r="B1097" t="s">
        <v>471</v>
      </c>
      <c r="C1097">
        <v>80</v>
      </c>
      <c r="D1097" t="s">
        <v>20</v>
      </c>
      <c r="E1097" t="s">
        <v>17</v>
      </c>
      <c r="F1097">
        <v>82.478999999999999</v>
      </c>
      <c r="G1097" t="s">
        <v>15</v>
      </c>
    </row>
    <row r="1098" spans="1:7" x14ac:dyDescent="0.25">
      <c r="A1098">
        <v>65</v>
      </c>
      <c r="B1098" t="s">
        <v>471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65</v>
      </c>
      <c r="B1099" t="s">
        <v>471</v>
      </c>
      <c r="C1099">
        <v>100</v>
      </c>
      <c r="D1099" t="s">
        <v>117</v>
      </c>
      <c r="E1099" t="s">
        <v>14</v>
      </c>
      <c r="F1099">
        <v>0.10100000000000001</v>
      </c>
      <c r="G1099" t="s">
        <v>15</v>
      </c>
    </row>
    <row r="1100" spans="1:7" x14ac:dyDescent="0.25">
      <c r="A1100">
        <v>65</v>
      </c>
      <c r="B1100" t="s">
        <v>471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65</v>
      </c>
      <c r="B1101" t="s">
        <v>471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471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471</v>
      </c>
      <c r="C1103">
        <v>140</v>
      </c>
      <c r="D1103" t="s">
        <v>108</v>
      </c>
      <c r="E1103" t="s">
        <v>14</v>
      </c>
      <c r="F1103">
        <v>1.216</v>
      </c>
      <c r="G1103" t="s">
        <v>15</v>
      </c>
    </row>
    <row r="1104" spans="1:7" x14ac:dyDescent="0.25">
      <c r="A1104">
        <v>65</v>
      </c>
      <c r="B1104" t="s">
        <v>471</v>
      </c>
      <c r="C1104">
        <v>150</v>
      </c>
      <c r="D1104" t="s">
        <v>474</v>
      </c>
      <c r="E1104" t="s">
        <v>11</v>
      </c>
      <c r="F1104">
        <v>1</v>
      </c>
      <c r="G1104" t="s">
        <v>18</v>
      </c>
    </row>
    <row r="1105" spans="1:7" x14ac:dyDescent="0.25">
      <c r="A1105">
        <v>65</v>
      </c>
      <c r="B1105" t="s">
        <v>471</v>
      </c>
      <c r="C1105">
        <v>160</v>
      </c>
      <c r="D1105" t="s">
        <v>475</v>
      </c>
      <c r="E1105" t="s">
        <v>11</v>
      </c>
      <c r="F1105">
        <v>1</v>
      </c>
      <c r="G1105" t="s">
        <v>18</v>
      </c>
    </row>
    <row r="1106" spans="1:7" x14ac:dyDescent="0.25">
      <c r="A1106">
        <v>65</v>
      </c>
      <c r="B1106" t="s">
        <v>471</v>
      </c>
      <c r="C1106">
        <v>170</v>
      </c>
      <c r="D1106" t="s">
        <v>527</v>
      </c>
      <c r="E1106" t="s">
        <v>14</v>
      </c>
      <c r="F1106">
        <v>0.6</v>
      </c>
      <c r="G1106" t="s">
        <v>15</v>
      </c>
    </row>
    <row r="1107" spans="1:7" x14ac:dyDescent="0.25">
      <c r="A1107">
        <v>66</v>
      </c>
      <c r="B1107" t="s">
        <v>476</v>
      </c>
      <c r="C1107">
        <v>10</v>
      </c>
      <c r="D1107" t="s">
        <v>477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476</v>
      </c>
      <c r="C1108">
        <v>20</v>
      </c>
      <c r="D1108" t="s">
        <v>300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476</v>
      </c>
      <c r="C1109">
        <v>30</v>
      </c>
      <c r="D1109" t="s">
        <v>110</v>
      </c>
      <c r="E1109" t="s">
        <v>111</v>
      </c>
      <c r="F1109">
        <v>0.94399999999999995</v>
      </c>
      <c r="G1109" t="s">
        <v>15</v>
      </c>
    </row>
    <row r="1110" spans="1:7" x14ac:dyDescent="0.25">
      <c r="A1110">
        <v>66</v>
      </c>
      <c r="B1110" t="s">
        <v>476</v>
      </c>
      <c r="C1110">
        <v>40</v>
      </c>
      <c r="D1110" t="s">
        <v>202</v>
      </c>
      <c r="E1110" t="s">
        <v>11</v>
      </c>
      <c r="F1110">
        <v>2.0569999999999999</v>
      </c>
      <c r="G1110" t="s">
        <v>15</v>
      </c>
    </row>
    <row r="1111" spans="1:7" x14ac:dyDescent="0.25">
      <c r="A1111">
        <v>66</v>
      </c>
      <c r="B1111" t="s">
        <v>476</v>
      </c>
      <c r="C1111">
        <v>50</v>
      </c>
      <c r="D1111" t="s">
        <v>114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476</v>
      </c>
      <c r="C1112">
        <v>60</v>
      </c>
      <c r="D1112" t="s">
        <v>478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476</v>
      </c>
      <c r="C1113">
        <v>70</v>
      </c>
      <c r="D1113" t="s">
        <v>116</v>
      </c>
      <c r="E1113" t="s">
        <v>17</v>
      </c>
      <c r="F1113">
        <v>14.63</v>
      </c>
      <c r="G1113" t="s">
        <v>15</v>
      </c>
    </row>
    <row r="1114" spans="1:7" x14ac:dyDescent="0.25">
      <c r="A1114">
        <v>66</v>
      </c>
      <c r="B1114" t="s">
        <v>476</v>
      </c>
      <c r="C1114">
        <v>80</v>
      </c>
      <c r="D1114" t="s">
        <v>20</v>
      </c>
      <c r="E1114" t="s">
        <v>17</v>
      </c>
      <c r="F1114">
        <v>89.977000000000004</v>
      </c>
      <c r="G1114" t="s">
        <v>15</v>
      </c>
    </row>
    <row r="1115" spans="1:7" x14ac:dyDescent="0.25">
      <c r="A1115">
        <v>66</v>
      </c>
      <c r="B1115" t="s">
        <v>476</v>
      </c>
      <c r="C1115">
        <v>90</v>
      </c>
      <c r="D1115" t="s">
        <v>24</v>
      </c>
      <c r="E1115" t="s">
        <v>11</v>
      </c>
      <c r="F1115">
        <v>1</v>
      </c>
      <c r="G1115" t="s">
        <v>15</v>
      </c>
    </row>
    <row r="1116" spans="1:7" x14ac:dyDescent="0.25">
      <c r="A1116">
        <v>66</v>
      </c>
      <c r="B1116" t="s">
        <v>476</v>
      </c>
      <c r="C1116">
        <v>100</v>
      </c>
      <c r="D1116" t="s">
        <v>117</v>
      </c>
      <c r="E1116" t="s">
        <v>14</v>
      </c>
      <c r="F1116">
        <v>0.12</v>
      </c>
      <c r="G1116" t="s">
        <v>15</v>
      </c>
    </row>
    <row r="1117" spans="1:7" x14ac:dyDescent="0.25">
      <c r="A1117">
        <v>66</v>
      </c>
      <c r="B1117" t="s">
        <v>476</v>
      </c>
      <c r="C1117">
        <v>110</v>
      </c>
      <c r="D1117" t="s">
        <v>118</v>
      </c>
      <c r="E1117" t="s">
        <v>11</v>
      </c>
      <c r="F1117">
        <v>4</v>
      </c>
      <c r="G1117" t="s">
        <v>15</v>
      </c>
    </row>
    <row r="1118" spans="1:7" x14ac:dyDescent="0.25">
      <c r="A1118">
        <v>66</v>
      </c>
      <c r="B1118" t="s">
        <v>476</v>
      </c>
      <c r="C1118">
        <v>120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476</v>
      </c>
      <c r="C1119">
        <v>130</v>
      </c>
      <c r="D1119" t="s">
        <v>26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476</v>
      </c>
      <c r="C1120">
        <v>140</v>
      </c>
      <c r="D1120" t="s">
        <v>108</v>
      </c>
      <c r="E1120" t="s">
        <v>14</v>
      </c>
      <c r="F1120">
        <v>1.216</v>
      </c>
      <c r="G1120" t="s">
        <v>15</v>
      </c>
    </row>
    <row r="1121" spans="1:7" x14ac:dyDescent="0.25">
      <c r="A1121">
        <v>66</v>
      </c>
      <c r="B1121" t="s">
        <v>476</v>
      </c>
      <c r="C1121">
        <v>150</v>
      </c>
      <c r="D1121" t="s">
        <v>479</v>
      </c>
      <c r="E1121" t="s">
        <v>11</v>
      </c>
      <c r="F1121">
        <v>1</v>
      </c>
      <c r="G1121" t="s">
        <v>18</v>
      </c>
    </row>
    <row r="1122" spans="1:7" x14ac:dyDescent="0.25">
      <c r="A1122">
        <v>66</v>
      </c>
      <c r="B1122" t="s">
        <v>476</v>
      </c>
      <c r="C1122">
        <v>160</v>
      </c>
      <c r="D1122" t="s">
        <v>480</v>
      </c>
      <c r="E1122" t="s">
        <v>11</v>
      </c>
      <c r="F1122">
        <v>1</v>
      </c>
      <c r="G1122" t="s">
        <v>18</v>
      </c>
    </row>
    <row r="1123" spans="1:7" x14ac:dyDescent="0.25">
      <c r="A1123">
        <v>66</v>
      </c>
      <c r="B1123" t="s">
        <v>476</v>
      </c>
      <c r="C1123">
        <v>170</v>
      </c>
      <c r="D1123" t="s">
        <v>527</v>
      </c>
      <c r="E1123" t="s">
        <v>14</v>
      </c>
      <c r="F1123">
        <v>0.6</v>
      </c>
      <c r="G1123" t="s">
        <v>15</v>
      </c>
    </row>
    <row r="1124" spans="1:7" x14ac:dyDescent="0.25">
      <c r="A1124">
        <v>67</v>
      </c>
      <c r="B1124" t="s">
        <v>481</v>
      </c>
      <c r="C1124">
        <v>10</v>
      </c>
      <c r="D1124" t="s">
        <v>482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481</v>
      </c>
      <c r="C1125">
        <v>20</v>
      </c>
      <c r="D1125" t="s">
        <v>300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481</v>
      </c>
      <c r="C1126">
        <v>30</v>
      </c>
      <c r="D1126" t="s">
        <v>110</v>
      </c>
      <c r="E1126" t="s">
        <v>111</v>
      </c>
      <c r="F1126">
        <v>1.04</v>
      </c>
      <c r="G1126" t="s">
        <v>15</v>
      </c>
    </row>
    <row r="1127" spans="1:7" x14ac:dyDescent="0.25">
      <c r="A1127">
        <v>67</v>
      </c>
      <c r="B1127" t="s">
        <v>481</v>
      </c>
      <c r="C1127">
        <v>40</v>
      </c>
      <c r="D1127" t="s">
        <v>202</v>
      </c>
      <c r="E1127" t="s">
        <v>11</v>
      </c>
      <c r="F1127">
        <v>2.0569999999999999</v>
      </c>
      <c r="G1127" t="s">
        <v>15</v>
      </c>
    </row>
    <row r="1128" spans="1:7" x14ac:dyDescent="0.25">
      <c r="A1128">
        <v>67</v>
      </c>
      <c r="B1128" t="s">
        <v>481</v>
      </c>
      <c r="C1128">
        <v>50</v>
      </c>
      <c r="D1128" t="s">
        <v>114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481</v>
      </c>
      <c r="C1129">
        <v>60</v>
      </c>
      <c r="D1129" t="s">
        <v>483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481</v>
      </c>
      <c r="C1130">
        <v>70</v>
      </c>
      <c r="D1130" t="s">
        <v>116</v>
      </c>
      <c r="E1130" t="s">
        <v>17</v>
      </c>
      <c r="F1130">
        <v>15.24</v>
      </c>
      <c r="G1130" t="s">
        <v>15</v>
      </c>
    </row>
    <row r="1131" spans="1:7" x14ac:dyDescent="0.25">
      <c r="A1131">
        <v>67</v>
      </c>
      <c r="B1131" t="s">
        <v>481</v>
      </c>
      <c r="C1131">
        <v>80</v>
      </c>
      <c r="D1131" t="s">
        <v>20</v>
      </c>
      <c r="E1131" t="s">
        <v>17</v>
      </c>
      <c r="F1131">
        <v>93.725999999999999</v>
      </c>
      <c r="G1131" t="s">
        <v>15</v>
      </c>
    </row>
    <row r="1132" spans="1:7" x14ac:dyDescent="0.25">
      <c r="A1132">
        <v>67</v>
      </c>
      <c r="B1132" t="s">
        <v>481</v>
      </c>
      <c r="C1132">
        <v>90</v>
      </c>
      <c r="D1132" t="s">
        <v>24</v>
      </c>
      <c r="E1132" t="s">
        <v>11</v>
      </c>
      <c r="F1132">
        <v>1</v>
      </c>
      <c r="G1132" t="s">
        <v>15</v>
      </c>
    </row>
    <row r="1133" spans="1:7" x14ac:dyDescent="0.25">
      <c r="A1133">
        <v>67</v>
      </c>
      <c r="B1133" t="s">
        <v>481</v>
      </c>
      <c r="C1133">
        <v>100</v>
      </c>
      <c r="D1133" t="s">
        <v>117</v>
      </c>
      <c r="E1133" t="s">
        <v>14</v>
      </c>
      <c r="F1133">
        <v>0.13</v>
      </c>
      <c r="G1133" t="s">
        <v>15</v>
      </c>
    </row>
    <row r="1134" spans="1:7" x14ac:dyDescent="0.25">
      <c r="A1134">
        <v>67</v>
      </c>
      <c r="B1134" t="s">
        <v>481</v>
      </c>
      <c r="C1134">
        <v>110</v>
      </c>
      <c r="D1134" t="s">
        <v>118</v>
      </c>
      <c r="E1134" t="s">
        <v>11</v>
      </c>
      <c r="F1134">
        <v>4</v>
      </c>
      <c r="G1134" t="s">
        <v>15</v>
      </c>
    </row>
    <row r="1135" spans="1:7" x14ac:dyDescent="0.25">
      <c r="A1135">
        <v>67</v>
      </c>
      <c r="B1135" t="s">
        <v>481</v>
      </c>
      <c r="C1135">
        <v>120</v>
      </c>
      <c r="D1135" t="s">
        <v>25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481</v>
      </c>
      <c r="C1136">
        <v>130</v>
      </c>
      <c r="D1136" t="s">
        <v>26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481</v>
      </c>
      <c r="C1137">
        <v>140</v>
      </c>
      <c r="D1137" t="s">
        <v>108</v>
      </c>
      <c r="E1137" t="s">
        <v>14</v>
      </c>
      <c r="F1137">
        <v>1.216</v>
      </c>
      <c r="G1137" t="s">
        <v>15</v>
      </c>
    </row>
    <row r="1138" spans="1:7" x14ac:dyDescent="0.25">
      <c r="A1138">
        <v>67</v>
      </c>
      <c r="B1138" t="s">
        <v>481</v>
      </c>
      <c r="C1138">
        <v>150</v>
      </c>
      <c r="D1138" t="s">
        <v>484</v>
      </c>
      <c r="E1138" t="s">
        <v>11</v>
      </c>
      <c r="F1138">
        <v>1</v>
      </c>
      <c r="G1138" t="s">
        <v>18</v>
      </c>
    </row>
    <row r="1139" spans="1:7" x14ac:dyDescent="0.25">
      <c r="A1139">
        <v>67</v>
      </c>
      <c r="B1139" t="s">
        <v>481</v>
      </c>
      <c r="C1139">
        <v>160</v>
      </c>
      <c r="D1139" t="s">
        <v>485</v>
      </c>
      <c r="E1139" t="s">
        <v>11</v>
      </c>
      <c r="F1139">
        <v>1</v>
      </c>
      <c r="G1139" t="s">
        <v>18</v>
      </c>
    </row>
    <row r="1140" spans="1:7" x14ac:dyDescent="0.25">
      <c r="A1140">
        <v>67</v>
      </c>
      <c r="B1140" t="s">
        <v>481</v>
      </c>
      <c r="C1140">
        <v>170</v>
      </c>
      <c r="D1140" t="s">
        <v>528</v>
      </c>
      <c r="E1140" t="s">
        <v>14</v>
      </c>
      <c r="F1140">
        <v>0.8</v>
      </c>
      <c r="G1140" t="s">
        <v>15</v>
      </c>
    </row>
    <row r="1141" spans="1:7" x14ac:dyDescent="0.25">
      <c r="A1141">
        <v>68</v>
      </c>
      <c r="B1141" t="s">
        <v>486</v>
      </c>
      <c r="C1141">
        <v>10</v>
      </c>
      <c r="D1141" t="s">
        <v>487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486</v>
      </c>
      <c r="C1142">
        <v>20</v>
      </c>
      <c r="D1142" t="s">
        <v>300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486</v>
      </c>
      <c r="C1143">
        <v>30</v>
      </c>
      <c r="D1143" t="s">
        <v>110</v>
      </c>
      <c r="E1143" t="s">
        <v>111</v>
      </c>
      <c r="F1143">
        <v>1.1359999999999999</v>
      </c>
      <c r="G1143" t="s">
        <v>15</v>
      </c>
    </row>
    <row r="1144" spans="1:7" x14ac:dyDescent="0.25">
      <c r="A1144">
        <v>68</v>
      </c>
      <c r="B1144" t="s">
        <v>486</v>
      </c>
      <c r="C1144">
        <v>40</v>
      </c>
      <c r="D1144" t="s">
        <v>202</v>
      </c>
      <c r="E1144" t="s">
        <v>11</v>
      </c>
      <c r="F1144">
        <v>2.0569999999999999</v>
      </c>
      <c r="G1144" t="s">
        <v>15</v>
      </c>
    </row>
    <row r="1145" spans="1:7" x14ac:dyDescent="0.25">
      <c r="A1145">
        <v>68</v>
      </c>
      <c r="B1145" t="s">
        <v>486</v>
      </c>
      <c r="C1145">
        <v>50</v>
      </c>
      <c r="D1145" t="s">
        <v>114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486</v>
      </c>
      <c r="C1146">
        <v>60</v>
      </c>
      <c r="D1146" t="s">
        <v>488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486</v>
      </c>
      <c r="C1147">
        <v>70</v>
      </c>
      <c r="D1147" t="s">
        <v>116</v>
      </c>
      <c r="E1147" t="s">
        <v>17</v>
      </c>
      <c r="F1147">
        <v>15.85</v>
      </c>
      <c r="G1147" t="s">
        <v>15</v>
      </c>
    </row>
    <row r="1148" spans="1:7" x14ac:dyDescent="0.25">
      <c r="A1148">
        <v>68</v>
      </c>
      <c r="B1148" t="s">
        <v>486</v>
      </c>
      <c r="C1148">
        <v>80</v>
      </c>
      <c r="D1148" t="s">
        <v>20</v>
      </c>
      <c r="E1148" t="s">
        <v>17</v>
      </c>
      <c r="F1148">
        <v>97.474999999999994</v>
      </c>
      <c r="G1148" t="s">
        <v>15</v>
      </c>
    </row>
    <row r="1149" spans="1:7" x14ac:dyDescent="0.25">
      <c r="A1149">
        <v>68</v>
      </c>
      <c r="B1149" t="s">
        <v>486</v>
      </c>
      <c r="C1149">
        <v>90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68</v>
      </c>
      <c r="B1150" t="s">
        <v>486</v>
      </c>
      <c r="C1150">
        <v>100</v>
      </c>
      <c r="D1150" t="s">
        <v>117</v>
      </c>
      <c r="E1150" t="s">
        <v>14</v>
      </c>
      <c r="F1150">
        <v>0.14000000000000001</v>
      </c>
      <c r="G1150" t="s">
        <v>15</v>
      </c>
    </row>
    <row r="1151" spans="1:7" x14ac:dyDescent="0.25">
      <c r="A1151">
        <v>68</v>
      </c>
      <c r="B1151" t="s">
        <v>486</v>
      </c>
      <c r="C1151">
        <v>110</v>
      </c>
      <c r="D1151" t="s">
        <v>118</v>
      </c>
      <c r="E1151" t="s">
        <v>11</v>
      </c>
      <c r="F1151">
        <v>4</v>
      </c>
      <c r="G1151" t="s">
        <v>15</v>
      </c>
    </row>
    <row r="1152" spans="1:7" x14ac:dyDescent="0.25">
      <c r="A1152">
        <v>68</v>
      </c>
      <c r="B1152" t="s">
        <v>486</v>
      </c>
      <c r="C1152">
        <v>120</v>
      </c>
      <c r="D1152" t="s">
        <v>25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486</v>
      </c>
      <c r="C1153">
        <v>130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486</v>
      </c>
      <c r="C1154">
        <v>140</v>
      </c>
      <c r="D1154" t="s">
        <v>108</v>
      </c>
      <c r="E1154" t="s">
        <v>14</v>
      </c>
      <c r="F1154">
        <v>1.216</v>
      </c>
      <c r="G1154" t="s">
        <v>15</v>
      </c>
    </row>
    <row r="1155" spans="1:7" x14ac:dyDescent="0.25">
      <c r="A1155">
        <v>68</v>
      </c>
      <c r="B1155" t="s">
        <v>486</v>
      </c>
      <c r="C1155">
        <v>150</v>
      </c>
      <c r="D1155" t="s">
        <v>489</v>
      </c>
      <c r="E1155" t="s">
        <v>11</v>
      </c>
      <c r="F1155">
        <v>1</v>
      </c>
      <c r="G1155" t="s">
        <v>18</v>
      </c>
    </row>
    <row r="1156" spans="1:7" x14ac:dyDescent="0.25">
      <c r="A1156">
        <v>68</v>
      </c>
      <c r="B1156" t="s">
        <v>486</v>
      </c>
      <c r="C1156">
        <v>160</v>
      </c>
      <c r="D1156" t="s">
        <v>490</v>
      </c>
      <c r="E1156" t="s">
        <v>11</v>
      </c>
      <c r="F1156">
        <v>1</v>
      </c>
      <c r="G1156" t="s">
        <v>18</v>
      </c>
    </row>
    <row r="1157" spans="1:7" x14ac:dyDescent="0.25">
      <c r="A1157">
        <v>68</v>
      </c>
      <c r="B1157" t="s">
        <v>486</v>
      </c>
      <c r="C1157">
        <v>170</v>
      </c>
      <c r="D1157" t="s">
        <v>528</v>
      </c>
      <c r="E1157" t="s">
        <v>14</v>
      </c>
      <c r="F1157">
        <v>0.8</v>
      </c>
      <c r="G1157" t="s">
        <v>15</v>
      </c>
    </row>
    <row r="1158" spans="1:7" x14ac:dyDescent="0.25">
      <c r="A1158">
        <v>69</v>
      </c>
      <c r="B1158" t="s">
        <v>491</v>
      </c>
      <c r="C1158">
        <v>10</v>
      </c>
      <c r="D1158" t="s">
        <v>492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491</v>
      </c>
      <c r="C1159">
        <v>20</v>
      </c>
      <c r="D1159" t="s">
        <v>300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491</v>
      </c>
      <c r="C1160">
        <v>30</v>
      </c>
      <c r="D1160" t="s">
        <v>110</v>
      </c>
      <c r="E1160" t="s">
        <v>111</v>
      </c>
      <c r="F1160">
        <v>0.48699999999999999</v>
      </c>
      <c r="G1160" t="s">
        <v>15</v>
      </c>
    </row>
    <row r="1161" spans="1:7" x14ac:dyDescent="0.25">
      <c r="A1161">
        <v>69</v>
      </c>
      <c r="B1161" t="s">
        <v>491</v>
      </c>
      <c r="C1161">
        <v>40</v>
      </c>
      <c r="D1161" t="s">
        <v>202</v>
      </c>
      <c r="E1161" t="s">
        <v>11</v>
      </c>
      <c r="F1161">
        <v>2.1589999999999998</v>
      </c>
      <c r="G1161" t="s">
        <v>15</v>
      </c>
    </row>
    <row r="1162" spans="1:7" x14ac:dyDescent="0.25">
      <c r="A1162">
        <v>69</v>
      </c>
      <c r="B1162" t="s">
        <v>491</v>
      </c>
      <c r="C1162">
        <v>50</v>
      </c>
      <c r="D1162" t="s">
        <v>114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491</v>
      </c>
      <c r="C1163">
        <v>60</v>
      </c>
      <c r="D1163" t="s">
        <v>493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491</v>
      </c>
      <c r="C1164">
        <v>70</v>
      </c>
      <c r="D1164" t="s">
        <v>116</v>
      </c>
      <c r="E1164" t="s">
        <v>17</v>
      </c>
      <c r="F1164">
        <v>11.989000000000001</v>
      </c>
      <c r="G1164" t="s">
        <v>15</v>
      </c>
    </row>
    <row r="1165" spans="1:7" x14ac:dyDescent="0.25">
      <c r="A1165">
        <v>69</v>
      </c>
      <c r="B1165" t="s">
        <v>491</v>
      </c>
      <c r="C1165">
        <v>80</v>
      </c>
      <c r="D1165" t="s">
        <v>20</v>
      </c>
      <c r="E1165" t="s">
        <v>17</v>
      </c>
      <c r="F1165">
        <v>73.730999999999995</v>
      </c>
      <c r="G1165" t="s">
        <v>15</v>
      </c>
    </row>
    <row r="1166" spans="1:7" x14ac:dyDescent="0.25">
      <c r="A1166">
        <v>69</v>
      </c>
      <c r="B1166" t="s">
        <v>491</v>
      </c>
      <c r="C1166">
        <v>90</v>
      </c>
      <c r="D1166" t="s">
        <v>24</v>
      </c>
      <c r="E1166" t="s">
        <v>11</v>
      </c>
      <c r="F1166">
        <v>1</v>
      </c>
      <c r="G1166" t="s">
        <v>15</v>
      </c>
    </row>
    <row r="1167" spans="1:7" x14ac:dyDescent="0.25">
      <c r="A1167">
        <v>69</v>
      </c>
      <c r="B1167" t="s">
        <v>491</v>
      </c>
      <c r="C1167">
        <v>100</v>
      </c>
      <c r="D1167" t="s">
        <v>117</v>
      </c>
      <c r="E1167" t="s">
        <v>14</v>
      </c>
      <c r="F1167">
        <v>7.1999999999999995E-2</v>
      </c>
      <c r="G1167" t="s">
        <v>15</v>
      </c>
    </row>
    <row r="1168" spans="1:7" x14ac:dyDescent="0.25">
      <c r="A1168">
        <v>69</v>
      </c>
      <c r="B1168" t="s">
        <v>491</v>
      </c>
      <c r="C1168">
        <v>110</v>
      </c>
      <c r="D1168" t="s">
        <v>118</v>
      </c>
      <c r="E1168" t="s">
        <v>11</v>
      </c>
      <c r="F1168">
        <v>4</v>
      </c>
      <c r="G1168" t="s">
        <v>15</v>
      </c>
    </row>
    <row r="1169" spans="1:7" x14ac:dyDescent="0.25">
      <c r="A1169">
        <v>69</v>
      </c>
      <c r="B1169" t="s">
        <v>491</v>
      </c>
      <c r="C1169">
        <v>120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491</v>
      </c>
      <c r="C1170">
        <v>130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491</v>
      </c>
      <c r="C1171">
        <v>140</v>
      </c>
      <c r="D1171" t="s">
        <v>108</v>
      </c>
      <c r="E1171" t="s">
        <v>14</v>
      </c>
      <c r="F1171">
        <v>1.27</v>
      </c>
      <c r="G1171" t="s">
        <v>15</v>
      </c>
    </row>
    <row r="1172" spans="1:7" x14ac:dyDescent="0.25">
      <c r="A1172">
        <v>69</v>
      </c>
      <c r="B1172" t="s">
        <v>491</v>
      </c>
      <c r="C1172">
        <v>150</v>
      </c>
      <c r="D1172" t="s">
        <v>494</v>
      </c>
      <c r="E1172" t="s">
        <v>11</v>
      </c>
      <c r="F1172">
        <v>1</v>
      </c>
      <c r="G1172" t="s">
        <v>18</v>
      </c>
    </row>
    <row r="1173" spans="1:7" x14ac:dyDescent="0.25">
      <c r="A1173">
        <v>69</v>
      </c>
      <c r="B1173" t="s">
        <v>491</v>
      </c>
      <c r="C1173">
        <v>160</v>
      </c>
      <c r="D1173" t="s">
        <v>495</v>
      </c>
      <c r="E1173" t="s">
        <v>11</v>
      </c>
      <c r="F1173">
        <v>1</v>
      </c>
      <c r="G1173" t="s">
        <v>18</v>
      </c>
    </row>
    <row r="1174" spans="1:7" x14ac:dyDescent="0.25">
      <c r="A1174">
        <v>69</v>
      </c>
      <c r="B1174" t="s">
        <v>491</v>
      </c>
      <c r="C1174">
        <v>170</v>
      </c>
      <c r="D1174" t="s">
        <v>526</v>
      </c>
      <c r="E1174" t="s">
        <v>14</v>
      </c>
      <c r="F1174">
        <v>0.5</v>
      </c>
      <c r="G1174" t="s">
        <v>15</v>
      </c>
    </row>
    <row r="1175" spans="1:7" x14ac:dyDescent="0.25">
      <c r="A1175">
        <v>70</v>
      </c>
      <c r="B1175" t="s">
        <v>496</v>
      </c>
      <c r="C1175">
        <v>10</v>
      </c>
      <c r="D1175" t="s">
        <v>497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496</v>
      </c>
      <c r="C1176">
        <v>20</v>
      </c>
      <c r="D1176" t="s">
        <v>300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496</v>
      </c>
      <c r="C1177">
        <v>30</v>
      </c>
      <c r="D1177" t="s">
        <v>110</v>
      </c>
      <c r="E1177" t="s">
        <v>111</v>
      </c>
      <c r="F1177">
        <v>0.58799999999999997</v>
      </c>
      <c r="G1177" t="s">
        <v>15</v>
      </c>
    </row>
    <row r="1178" spans="1:7" x14ac:dyDescent="0.25">
      <c r="A1178">
        <v>70</v>
      </c>
      <c r="B1178" t="s">
        <v>496</v>
      </c>
      <c r="C1178">
        <v>40</v>
      </c>
      <c r="D1178" t="s">
        <v>202</v>
      </c>
      <c r="E1178" t="s">
        <v>11</v>
      </c>
      <c r="F1178">
        <v>2.1589999999999998</v>
      </c>
      <c r="G1178" t="s">
        <v>15</v>
      </c>
    </row>
    <row r="1179" spans="1:7" x14ac:dyDescent="0.25">
      <c r="A1179">
        <v>70</v>
      </c>
      <c r="B1179" t="s">
        <v>496</v>
      </c>
      <c r="C1179">
        <v>50</v>
      </c>
      <c r="D1179" t="s">
        <v>114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496</v>
      </c>
      <c r="C1180">
        <v>60</v>
      </c>
      <c r="D1180" t="s">
        <v>498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496</v>
      </c>
      <c r="C1181">
        <v>70</v>
      </c>
      <c r="D1181" t="s">
        <v>116</v>
      </c>
      <c r="E1181" t="s">
        <v>17</v>
      </c>
      <c r="F1181">
        <v>12.598000000000001</v>
      </c>
      <c r="G1181" t="s">
        <v>15</v>
      </c>
    </row>
    <row r="1182" spans="1:7" x14ac:dyDescent="0.25">
      <c r="A1182">
        <v>70</v>
      </c>
      <c r="B1182" t="s">
        <v>496</v>
      </c>
      <c r="C1182">
        <v>80</v>
      </c>
      <c r="D1182" t="s">
        <v>20</v>
      </c>
      <c r="E1182" t="s">
        <v>17</v>
      </c>
      <c r="F1182">
        <v>77.48</v>
      </c>
      <c r="G1182" t="s">
        <v>15</v>
      </c>
    </row>
    <row r="1183" spans="1:7" x14ac:dyDescent="0.25">
      <c r="A1183">
        <v>70</v>
      </c>
      <c r="B1183" t="s">
        <v>496</v>
      </c>
      <c r="C1183">
        <v>90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70</v>
      </c>
      <c r="B1184" t="s">
        <v>496</v>
      </c>
      <c r="C1184">
        <v>100</v>
      </c>
      <c r="D1184" t="s">
        <v>117</v>
      </c>
      <c r="E1184" t="s">
        <v>14</v>
      </c>
      <c r="F1184">
        <v>8.1000000000000003E-2</v>
      </c>
      <c r="G1184" t="s">
        <v>15</v>
      </c>
    </row>
    <row r="1185" spans="1:7" x14ac:dyDescent="0.25">
      <c r="A1185">
        <v>70</v>
      </c>
      <c r="B1185" t="s">
        <v>496</v>
      </c>
      <c r="C1185">
        <v>110</v>
      </c>
      <c r="D1185" t="s">
        <v>118</v>
      </c>
      <c r="E1185" t="s">
        <v>11</v>
      </c>
      <c r="F1185">
        <v>4</v>
      </c>
      <c r="G1185" t="s">
        <v>15</v>
      </c>
    </row>
    <row r="1186" spans="1:7" x14ac:dyDescent="0.25">
      <c r="A1186">
        <v>70</v>
      </c>
      <c r="B1186" t="s">
        <v>496</v>
      </c>
      <c r="C1186">
        <v>120</v>
      </c>
      <c r="D1186" t="s">
        <v>25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496</v>
      </c>
      <c r="C1187">
        <v>130</v>
      </c>
      <c r="D1187" t="s">
        <v>26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496</v>
      </c>
      <c r="C1188">
        <v>140</v>
      </c>
      <c r="D1188" t="s">
        <v>108</v>
      </c>
      <c r="E1188" t="s">
        <v>14</v>
      </c>
      <c r="F1188">
        <v>1.27</v>
      </c>
      <c r="G1188" t="s">
        <v>15</v>
      </c>
    </row>
    <row r="1189" spans="1:7" x14ac:dyDescent="0.25">
      <c r="A1189">
        <v>70</v>
      </c>
      <c r="B1189" t="s">
        <v>496</v>
      </c>
      <c r="C1189">
        <v>150</v>
      </c>
      <c r="D1189" t="s">
        <v>499</v>
      </c>
      <c r="E1189" t="s">
        <v>11</v>
      </c>
      <c r="F1189">
        <v>1</v>
      </c>
      <c r="G1189" t="s">
        <v>18</v>
      </c>
    </row>
    <row r="1190" spans="1:7" x14ac:dyDescent="0.25">
      <c r="A1190">
        <v>70</v>
      </c>
      <c r="B1190" t="s">
        <v>496</v>
      </c>
      <c r="C1190">
        <v>160</v>
      </c>
      <c r="D1190" t="s">
        <v>500</v>
      </c>
      <c r="E1190" t="s">
        <v>11</v>
      </c>
      <c r="F1190">
        <v>1</v>
      </c>
      <c r="G1190" t="s">
        <v>18</v>
      </c>
    </row>
    <row r="1191" spans="1:7" x14ac:dyDescent="0.25">
      <c r="A1191">
        <v>70</v>
      </c>
      <c r="B1191" t="s">
        <v>496</v>
      </c>
      <c r="C1191">
        <v>170</v>
      </c>
      <c r="D1191" t="s">
        <v>526</v>
      </c>
      <c r="E1191" t="s">
        <v>14</v>
      </c>
      <c r="F1191">
        <v>0.5</v>
      </c>
      <c r="G1191" t="s">
        <v>15</v>
      </c>
    </row>
    <row r="1192" spans="1:7" x14ac:dyDescent="0.25">
      <c r="A1192">
        <v>71</v>
      </c>
      <c r="B1192" t="s">
        <v>501</v>
      </c>
      <c r="C1192">
        <v>10</v>
      </c>
      <c r="D1192" t="s">
        <v>502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501</v>
      </c>
      <c r="C1193">
        <v>20</v>
      </c>
      <c r="D1193" t="s">
        <v>300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501</v>
      </c>
      <c r="C1194">
        <v>30</v>
      </c>
      <c r="D1194" t="s">
        <v>110</v>
      </c>
      <c r="E1194" t="s">
        <v>111</v>
      </c>
      <c r="F1194">
        <v>0.68899999999999995</v>
      </c>
      <c r="G1194" t="s">
        <v>15</v>
      </c>
    </row>
    <row r="1195" spans="1:7" x14ac:dyDescent="0.25">
      <c r="A1195">
        <v>71</v>
      </c>
      <c r="B1195" t="s">
        <v>501</v>
      </c>
      <c r="C1195">
        <v>40</v>
      </c>
      <c r="D1195" t="s">
        <v>202</v>
      </c>
      <c r="E1195" t="s">
        <v>11</v>
      </c>
      <c r="F1195">
        <v>2.1589999999999998</v>
      </c>
      <c r="G1195" t="s">
        <v>15</v>
      </c>
    </row>
    <row r="1196" spans="1:7" x14ac:dyDescent="0.25">
      <c r="A1196">
        <v>71</v>
      </c>
      <c r="B1196" t="s">
        <v>501</v>
      </c>
      <c r="C1196">
        <v>50</v>
      </c>
      <c r="D1196" t="s">
        <v>114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501</v>
      </c>
      <c r="C1197">
        <v>60</v>
      </c>
      <c r="D1197" t="s">
        <v>503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501</v>
      </c>
      <c r="C1198">
        <v>70</v>
      </c>
      <c r="D1198" t="s">
        <v>116</v>
      </c>
      <c r="E1198" t="s">
        <v>17</v>
      </c>
      <c r="F1198">
        <v>13.208</v>
      </c>
      <c r="G1198" t="s">
        <v>15</v>
      </c>
    </row>
    <row r="1199" spans="1:7" x14ac:dyDescent="0.25">
      <c r="A1199">
        <v>71</v>
      </c>
      <c r="B1199" t="s">
        <v>501</v>
      </c>
      <c r="C1199">
        <v>80</v>
      </c>
      <c r="D1199" t="s">
        <v>20</v>
      </c>
      <c r="E1199" t="s">
        <v>17</v>
      </c>
      <c r="F1199">
        <v>81.228999999999999</v>
      </c>
      <c r="G1199" t="s">
        <v>15</v>
      </c>
    </row>
    <row r="1200" spans="1:7" x14ac:dyDescent="0.25">
      <c r="A1200">
        <v>71</v>
      </c>
      <c r="B1200" t="s">
        <v>501</v>
      </c>
      <c r="C1200">
        <v>90</v>
      </c>
      <c r="D1200" t="s">
        <v>24</v>
      </c>
      <c r="E1200" t="s">
        <v>11</v>
      </c>
      <c r="F1200">
        <v>1</v>
      </c>
      <c r="G1200" t="s">
        <v>15</v>
      </c>
    </row>
    <row r="1201" spans="1:7" x14ac:dyDescent="0.25">
      <c r="A1201">
        <v>71</v>
      </c>
      <c r="B1201" t="s">
        <v>501</v>
      </c>
      <c r="C1201">
        <v>100</v>
      </c>
      <c r="D1201" t="s">
        <v>117</v>
      </c>
      <c r="E1201" t="s">
        <v>14</v>
      </c>
      <c r="F1201">
        <v>9.0999999999999998E-2</v>
      </c>
      <c r="G1201" t="s">
        <v>15</v>
      </c>
    </row>
    <row r="1202" spans="1:7" x14ac:dyDescent="0.25">
      <c r="A1202">
        <v>71</v>
      </c>
      <c r="B1202" t="s">
        <v>501</v>
      </c>
      <c r="C1202">
        <v>110</v>
      </c>
      <c r="D1202" t="s">
        <v>118</v>
      </c>
      <c r="E1202" t="s">
        <v>11</v>
      </c>
      <c r="F1202">
        <v>4</v>
      </c>
      <c r="G1202" t="s">
        <v>15</v>
      </c>
    </row>
    <row r="1203" spans="1:7" x14ac:dyDescent="0.25">
      <c r="A1203">
        <v>71</v>
      </c>
      <c r="B1203" t="s">
        <v>501</v>
      </c>
      <c r="C1203">
        <v>120</v>
      </c>
      <c r="D1203" t="s">
        <v>25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501</v>
      </c>
      <c r="C1204">
        <v>130</v>
      </c>
      <c r="D1204" t="s">
        <v>26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501</v>
      </c>
      <c r="C1205">
        <v>140</v>
      </c>
      <c r="D1205" t="s">
        <v>108</v>
      </c>
      <c r="E1205" t="s">
        <v>14</v>
      </c>
      <c r="F1205">
        <v>1.27</v>
      </c>
      <c r="G1205" t="s">
        <v>15</v>
      </c>
    </row>
    <row r="1206" spans="1:7" x14ac:dyDescent="0.25">
      <c r="A1206">
        <v>71</v>
      </c>
      <c r="B1206" t="s">
        <v>501</v>
      </c>
      <c r="C1206">
        <v>150</v>
      </c>
      <c r="D1206" t="s">
        <v>504</v>
      </c>
      <c r="E1206" t="s">
        <v>11</v>
      </c>
      <c r="F1206">
        <v>1</v>
      </c>
      <c r="G1206" t="s">
        <v>18</v>
      </c>
    </row>
    <row r="1207" spans="1:7" x14ac:dyDescent="0.25">
      <c r="A1207">
        <v>71</v>
      </c>
      <c r="B1207" t="s">
        <v>501</v>
      </c>
      <c r="C1207">
        <v>160</v>
      </c>
      <c r="D1207" t="s">
        <v>505</v>
      </c>
      <c r="E1207" t="s">
        <v>11</v>
      </c>
      <c r="F1207">
        <v>1</v>
      </c>
      <c r="G1207" t="s">
        <v>18</v>
      </c>
    </row>
    <row r="1208" spans="1:7" x14ac:dyDescent="0.25">
      <c r="A1208">
        <v>71</v>
      </c>
      <c r="B1208" t="s">
        <v>501</v>
      </c>
      <c r="C1208">
        <v>170</v>
      </c>
      <c r="D1208" t="s">
        <v>527</v>
      </c>
      <c r="E1208" t="s">
        <v>14</v>
      </c>
      <c r="F1208">
        <v>0.6</v>
      </c>
      <c r="G1208" t="s">
        <v>15</v>
      </c>
    </row>
    <row r="1209" spans="1:7" x14ac:dyDescent="0.25">
      <c r="A1209">
        <v>72</v>
      </c>
      <c r="B1209" t="s">
        <v>506</v>
      </c>
      <c r="C1209">
        <v>10</v>
      </c>
      <c r="D1209" t="s">
        <v>507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506</v>
      </c>
      <c r="C1210">
        <v>20</v>
      </c>
      <c r="D1210" t="s">
        <v>300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506</v>
      </c>
      <c r="C1211">
        <v>30</v>
      </c>
      <c r="D1211" t="s">
        <v>110</v>
      </c>
      <c r="E1211" t="s">
        <v>111</v>
      </c>
      <c r="F1211">
        <v>0.79</v>
      </c>
      <c r="G1211" t="s">
        <v>15</v>
      </c>
    </row>
    <row r="1212" spans="1:7" x14ac:dyDescent="0.25">
      <c r="A1212">
        <v>72</v>
      </c>
      <c r="B1212" t="s">
        <v>506</v>
      </c>
      <c r="C1212">
        <v>40</v>
      </c>
      <c r="D1212" t="s">
        <v>202</v>
      </c>
      <c r="E1212" t="s">
        <v>11</v>
      </c>
      <c r="F1212">
        <v>2.1589999999999998</v>
      </c>
      <c r="G1212" t="s">
        <v>15</v>
      </c>
    </row>
    <row r="1213" spans="1:7" x14ac:dyDescent="0.25">
      <c r="A1213">
        <v>72</v>
      </c>
      <c r="B1213" t="s">
        <v>506</v>
      </c>
      <c r="C1213">
        <v>50</v>
      </c>
      <c r="D1213" t="s">
        <v>114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506</v>
      </c>
      <c r="C1214">
        <v>60</v>
      </c>
      <c r="D1214" t="s">
        <v>508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506</v>
      </c>
      <c r="C1215">
        <v>70</v>
      </c>
      <c r="D1215" t="s">
        <v>116</v>
      </c>
      <c r="E1215" t="s">
        <v>17</v>
      </c>
      <c r="F1215">
        <v>13.818</v>
      </c>
      <c r="G1215" t="s">
        <v>15</v>
      </c>
    </row>
    <row r="1216" spans="1:7" x14ac:dyDescent="0.25">
      <c r="A1216">
        <v>72</v>
      </c>
      <c r="B1216" t="s">
        <v>506</v>
      </c>
      <c r="C1216">
        <v>80</v>
      </c>
      <c r="D1216" t="s">
        <v>20</v>
      </c>
      <c r="E1216" t="s">
        <v>17</v>
      </c>
      <c r="F1216">
        <v>84.977999999999994</v>
      </c>
      <c r="G1216" t="s">
        <v>15</v>
      </c>
    </row>
    <row r="1217" spans="1:7" x14ac:dyDescent="0.25">
      <c r="A1217">
        <v>72</v>
      </c>
      <c r="B1217" t="s">
        <v>506</v>
      </c>
      <c r="C1217">
        <v>90</v>
      </c>
      <c r="D1217" t="s">
        <v>24</v>
      </c>
      <c r="E1217" t="s">
        <v>11</v>
      </c>
      <c r="F1217">
        <v>1</v>
      </c>
      <c r="G1217" t="s">
        <v>15</v>
      </c>
    </row>
    <row r="1218" spans="1:7" x14ac:dyDescent="0.25">
      <c r="A1218">
        <v>72</v>
      </c>
      <c r="B1218" t="s">
        <v>506</v>
      </c>
      <c r="C1218">
        <v>100</v>
      </c>
      <c r="D1218" t="s">
        <v>117</v>
      </c>
      <c r="E1218" t="s">
        <v>14</v>
      </c>
      <c r="F1218">
        <v>0.10100000000000001</v>
      </c>
      <c r="G1218" t="s">
        <v>15</v>
      </c>
    </row>
    <row r="1219" spans="1:7" x14ac:dyDescent="0.25">
      <c r="A1219">
        <v>72</v>
      </c>
      <c r="B1219" t="s">
        <v>506</v>
      </c>
      <c r="C1219">
        <v>110</v>
      </c>
      <c r="D1219" t="s">
        <v>118</v>
      </c>
      <c r="E1219" t="s">
        <v>11</v>
      </c>
      <c r="F1219">
        <v>4</v>
      </c>
      <c r="G1219" t="s">
        <v>15</v>
      </c>
    </row>
    <row r="1220" spans="1:7" x14ac:dyDescent="0.25">
      <c r="A1220">
        <v>72</v>
      </c>
      <c r="B1220" t="s">
        <v>506</v>
      </c>
      <c r="C1220">
        <v>120</v>
      </c>
      <c r="D1220" t="s">
        <v>25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506</v>
      </c>
      <c r="C1221">
        <v>130</v>
      </c>
      <c r="D1221" t="s">
        <v>26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506</v>
      </c>
      <c r="C1222">
        <v>140</v>
      </c>
      <c r="D1222" t="s">
        <v>108</v>
      </c>
      <c r="E1222" t="s">
        <v>14</v>
      </c>
      <c r="F1222">
        <v>1.27</v>
      </c>
      <c r="G1222" t="s">
        <v>15</v>
      </c>
    </row>
    <row r="1223" spans="1:7" x14ac:dyDescent="0.25">
      <c r="A1223">
        <v>72</v>
      </c>
      <c r="B1223" t="s">
        <v>506</v>
      </c>
      <c r="C1223">
        <v>150</v>
      </c>
      <c r="D1223" t="s">
        <v>509</v>
      </c>
      <c r="E1223" t="s">
        <v>11</v>
      </c>
      <c r="F1223">
        <v>1</v>
      </c>
      <c r="G1223" t="s">
        <v>18</v>
      </c>
    </row>
    <row r="1224" spans="1:7" x14ac:dyDescent="0.25">
      <c r="A1224">
        <v>72</v>
      </c>
      <c r="B1224" t="s">
        <v>506</v>
      </c>
      <c r="C1224">
        <v>160</v>
      </c>
      <c r="D1224" t="s">
        <v>510</v>
      </c>
      <c r="E1224" t="s">
        <v>11</v>
      </c>
      <c r="F1224">
        <v>1</v>
      </c>
      <c r="G1224" t="s">
        <v>18</v>
      </c>
    </row>
    <row r="1225" spans="1:7" x14ac:dyDescent="0.25">
      <c r="A1225">
        <v>72</v>
      </c>
      <c r="B1225" t="s">
        <v>506</v>
      </c>
      <c r="C1225">
        <v>170</v>
      </c>
      <c r="D1225" t="s">
        <v>527</v>
      </c>
      <c r="E1225" t="s">
        <v>14</v>
      </c>
      <c r="F1225">
        <v>0.6</v>
      </c>
      <c r="G1225" t="s">
        <v>15</v>
      </c>
    </row>
    <row r="1226" spans="1:7" x14ac:dyDescent="0.25">
      <c r="A1226">
        <v>73</v>
      </c>
      <c r="B1226" t="s">
        <v>511</v>
      </c>
      <c r="C1226">
        <v>10</v>
      </c>
      <c r="D1226" t="s">
        <v>512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511</v>
      </c>
      <c r="C1227">
        <v>20</v>
      </c>
      <c r="D1227" t="s">
        <v>300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511</v>
      </c>
      <c r="C1228">
        <v>30</v>
      </c>
      <c r="D1228" t="s">
        <v>110</v>
      </c>
      <c r="E1228" t="s">
        <v>111</v>
      </c>
      <c r="F1228">
        <v>0.99199999999999999</v>
      </c>
      <c r="G1228" t="s">
        <v>15</v>
      </c>
    </row>
    <row r="1229" spans="1:7" x14ac:dyDescent="0.25">
      <c r="A1229">
        <v>73</v>
      </c>
      <c r="B1229" t="s">
        <v>511</v>
      </c>
      <c r="C1229">
        <v>40</v>
      </c>
      <c r="D1229" t="s">
        <v>202</v>
      </c>
      <c r="E1229" t="s">
        <v>11</v>
      </c>
      <c r="F1229">
        <v>2.1589999999999998</v>
      </c>
      <c r="G1229" t="s">
        <v>15</v>
      </c>
    </row>
    <row r="1230" spans="1:7" x14ac:dyDescent="0.25">
      <c r="A1230">
        <v>73</v>
      </c>
      <c r="B1230" t="s">
        <v>511</v>
      </c>
      <c r="C1230">
        <v>50</v>
      </c>
      <c r="D1230" t="s">
        <v>114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511</v>
      </c>
      <c r="C1231">
        <v>60</v>
      </c>
      <c r="D1231" t="s">
        <v>513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511</v>
      </c>
      <c r="C1232">
        <v>70</v>
      </c>
      <c r="D1232" t="s">
        <v>116</v>
      </c>
      <c r="E1232" t="s">
        <v>17</v>
      </c>
      <c r="F1232">
        <v>15.037000000000001</v>
      </c>
      <c r="G1232" t="s">
        <v>15</v>
      </c>
    </row>
    <row r="1233" spans="1:7" x14ac:dyDescent="0.25">
      <c r="A1233">
        <v>73</v>
      </c>
      <c r="B1233" t="s">
        <v>511</v>
      </c>
      <c r="C1233">
        <v>80</v>
      </c>
      <c r="D1233" t="s">
        <v>20</v>
      </c>
      <c r="E1233" t="s">
        <v>17</v>
      </c>
      <c r="F1233">
        <v>92.475999999999999</v>
      </c>
      <c r="G1233" t="s">
        <v>15</v>
      </c>
    </row>
    <row r="1234" spans="1:7" x14ac:dyDescent="0.25">
      <c r="A1234">
        <v>73</v>
      </c>
      <c r="B1234" t="s">
        <v>511</v>
      </c>
      <c r="C1234">
        <v>90</v>
      </c>
      <c r="D1234" t="s">
        <v>24</v>
      </c>
      <c r="E1234" t="s">
        <v>11</v>
      </c>
      <c r="F1234">
        <v>1</v>
      </c>
      <c r="G1234" t="s">
        <v>15</v>
      </c>
    </row>
    <row r="1235" spans="1:7" x14ac:dyDescent="0.25">
      <c r="A1235">
        <v>73</v>
      </c>
      <c r="B1235" t="s">
        <v>511</v>
      </c>
      <c r="C1235">
        <v>100</v>
      </c>
      <c r="D1235" t="s">
        <v>117</v>
      </c>
      <c r="E1235" t="s">
        <v>14</v>
      </c>
      <c r="F1235">
        <v>0.12</v>
      </c>
      <c r="G1235" t="s">
        <v>15</v>
      </c>
    </row>
    <row r="1236" spans="1:7" x14ac:dyDescent="0.25">
      <c r="A1236">
        <v>73</v>
      </c>
      <c r="B1236" t="s">
        <v>511</v>
      </c>
      <c r="C1236">
        <v>110</v>
      </c>
      <c r="D1236" t="s">
        <v>118</v>
      </c>
      <c r="E1236" t="s">
        <v>11</v>
      </c>
      <c r="F1236">
        <v>4</v>
      </c>
      <c r="G1236" t="s">
        <v>15</v>
      </c>
    </row>
    <row r="1237" spans="1:7" x14ac:dyDescent="0.25">
      <c r="A1237">
        <v>73</v>
      </c>
      <c r="B1237" t="s">
        <v>511</v>
      </c>
      <c r="C1237">
        <v>120</v>
      </c>
      <c r="D1237" t="s">
        <v>25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511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511</v>
      </c>
      <c r="C1239">
        <v>140</v>
      </c>
      <c r="D1239" t="s">
        <v>108</v>
      </c>
      <c r="E1239" t="s">
        <v>14</v>
      </c>
      <c r="F1239">
        <v>1.27</v>
      </c>
      <c r="G1239" t="s">
        <v>15</v>
      </c>
    </row>
    <row r="1240" spans="1:7" x14ac:dyDescent="0.25">
      <c r="A1240">
        <v>73</v>
      </c>
      <c r="B1240" t="s">
        <v>511</v>
      </c>
      <c r="C1240">
        <v>150</v>
      </c>
      <c r="D1240" t="s">
        <v>514</v>
      </c>
      <c r="E1240" t="s">
        <v>11</v>
      </c>
      <c r="F1240">
        <v>1</v>
      </c>
      <c r="G1240" t="s">
        <v>18</v>
      </c>
    </row>
    <row r="1241" spans="1:7" x14ac:dyDescent="0.25">
      <c r="A1241">
        <v>73</v>
      </c>
      <c r="B1241" t="s">
        <v>511</v>
      </c>
      <c r="C1241">
        <v>160</v>
      </c>
      <c r="D1241" t="s">
        <v>515</v>
      </c>
      <c r="E1241" t="s">
        <v>11</v>
      </c>
      <c r="F1241">
        <v>1</v>
      </c>
      <c r="G1241" t="s">
        <v>18</v>
      </c>
    </row>
    <row r="1242" spans="1:7" x14ac:dyDescent="0.25">
      <c r="A1242">
        <v>73</v>
      </c>
      <c r="B1242" t="s">
        <v>511</v>
      </c>
      <c r="C1242">
        <v>170</v>
      </c>
      <c r="D1242" t="s">
        <v>527</v>
      </c>
      <c r="E1242" t="s">
        <v>14</v>
      </c>
      <c r="F1242">
        <v>0.6</v>
      </c>
      <c r="G1242" t="s">
        <v>15</v>
      </c>
    </row>
    <row r="1243" spans="1:7" x14ac:dyDescent="0.25">
      <c r="A1243">
        <v>74</v>
      </c>
      <c r="B1243" t="s">
        <v>516</v>
      </c>
      <c r="C1243">
        <v>10</v>
      </c>
      <c r="D1243" t="s">
        <v>517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516</v>
      </c>
      <c r="C1244">
        <v>20</v>
      </c>
      <c r="D1244" t="s">
        <v>300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516</v>
      </c>
      <c r="C1245">
        <v>30</v>
      </c>
      <c r="D1245" t="s">
        <v>110</v>
      </c>
      <c r="E1245" t="s">
        <v>111</v>
      </c>
      <c r="F1245">
        <v>1.0920000000000001</v>
      </c>
      <c r="G1245" t="s">
        <v>15</v>
      </c>
    </row>
    <row r="1246" spans="1:7" x14ac:dyDescent="0.25">
      <c r="A1246">
        <v>74</v>
      </c>
      <c r="B1246" t="s">
        <v>516</v>
      </c>
      <c r="C1246">
        <v>40</v>
      </c>
      <c r="D1246" t="s">
        <v>202</v>
      </c>
      <c r="E1246" t="s">
        <v>11</v>
      </c>
      <c r="F1246">
        <v>2.1589999999999998</v>
      </c>
      <c r="G1246" t="s">
        <v>15</v>
      </c>
    </row>
    <row r="1247" spans="1:7" x14ac:dyDescent="0.25">
      <c r="A1247">
        <v>74</v>
      </c>
      <c r="B1247" t="s">
        <v>516</v>
      </c>
      <c r="C1247">
        <v>50</v>
      </c>
      <c r="D1247" t="s">
        <v>114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516</v>
      </c>
      <c r="C1248">
        <v>60</v>
      </c>
      <c r="D1248" t="s">
        <v>518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516</v>
      </c>
      <c r="C1249">
        <v>70</v>
      </c>
      <c r="D1249" t="s">
        <v>116</v>
      </c>
      <c r="E1249" t="s">
        <v>17</v>
      </c>
      <c r="F1249">
        <v>15.646000000000001</v>
      </c>
      <c r="G1249" t="s">
        <v>15</v>
      </c>
    </row>
    <row r="1250" spans="1:7" x14ac:dyDescent="0.25">
      <c r="A1250">
        <v>74</v>
      </c>
      <c r="B1250" t="s">
        <v>516</v>
      </c>
      <c r="C1250">
        <v>80</v>
      </c>
      <c r="D1250" t="s">
        <v>20</v>
      </c>
      <c r="E1250" t="s">
        <v>17</v>
      </c>
      <c r="F1250">
        <v>96.224999999999994</v>
      </c>
      <c r="G1250" t="s">
        <v>15</v>
      </c>
    </row>
    <row r="1251" spans="1:7" x14ac:dyDescent="0.25">
      <c r="A1251">
        <v>74</v>
      </c>
      <c r="B1251" t="s">
        <v>516</v>
      </c>
      <c r="C1251">
        <v>90</v>
      </c>
      <c r="D1251" t="s">
        <v>24</v>
      </c>
      <c r="E1251" t="s">
        <v>11</v>
      </c>
      <c r="F1251">
        <v>1</v>
      </c>
      <c r="G1251" t="s">
        <v>15</v>
      </c>
    </row>
    <row r="1252" spans="1:7" x14ac:dyDescent="0.25">
      <c r="A1252">
        <v>74</v>
      </c>
      <c r="B1252" t="s">
        <v>516</v>
      </c>
      <c r="C1252">
        <v>100</v>
      </c>
      <c r="D1252" t="s">
        <v>117</v>
      </c>
      <c r="E1252" t="s">
        <v>14</v>
      </c>
      <c r="F1252">
        <v>0.13</v>
      </c>
      <c r="G1252" t="s">
        <v>15</v>
      </c>
    </row>
    <row r="1253" spans="1:7" x14ac:dyDescent="0.25">
      <c r="A1253">
        <v>74</v>
      </c>
      <c r="B1253" t="s">
        <v>516</v>
      </c>
      <c r="C1253">
        <v>110</v>
      </c>
      <c r="D1253" t="s">
        <v>118</v>
      </c>
      <c r="E1253" t="s">
        <v>11</v>
      </c>
      <c r="F1253">
        <v>4</v>
      </c>
      <c r="G1253" t="s">
        <v>15</v>
      </c>
    </row>
    <row r="1254" spans="1:7" x14ac:dyDescent="0.25">
      <c r="A1254">
        <v>74</v>
      </c>
      <c r="B1254" t="s">
        <v>516</v>
      </c>
      <c r="C1254">
        <v>120</v>
      </c>
      <c r="D1254" t="s">
        <v>25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516</v>
      </c>
      <c r="C1255">
        <v>130</v>
      </c>
      <c r="D1255" t="s">
        <v>26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516</v>
      </c>
      <c r="C1256">
        <v>140</v>
      </c>
      <c r="D1256" t="s">
        <v>108</v>
      </c>
      <c r="E1256" t="s">
        <v>14</v>
      </c>
      <c r="F1256">
        <v>1.27</v>
      </c>
      <c r="G1256" t="s">
        <v>15</v>
      </c>
    </row>
    <row r="1257" spans="1:7" x14ac:dyDescent="0.25">
      <c r="A1257">
        <v>74</v>
      </c>
      <c r="B1257" t="s">
        <v>516</v>
      </c>
      <c r="C1257">
        <v>150</v>
      </c>
      <c r="D1257" t="s">
        <v>519</v>
      </c>
      <c r="E1257" t="s">
        <v>11</v>
      </c>
      <c r="F1257">
        <v>1</v>
      </c>
      <c r="G1257" t="s">
        <v>18</v>
      </c>
    </row>
    <row r="1258" spans="1:7" x14ac:dyDescent="0.25">
      <c r="A1258">
        <v>74</v>
      </c>
      <c r="B1258" t="s">
        <v>516</v>
      </c>
      <c r="C1258">
        <v>160</v>
      </c>
      <c r="D1258" t="s">
        <v>520</v>
      </c>
      <c r="E1258" t="s">
        <v>11</v>
      </c>
      <c r="F1258">
        <v>1</v>
      </c>
      <c r="G1258" t="s">
        <v>18</v>
      </c>
    </row>
    <row r="1259" spans="1:7" x14ac:dyDescent="0.25">
      <c r="A1259">
        <v>74</v>
      </c>
      <c r="B1259" t="s">
        <v>516</v>
      </c>
      <c r="C1259">
        <v>170</v>
      </c>
      <c r="D1259" t="s">
        <v>528</v>
      </c>
      <c r="E1259" t="s">
        <v>14</v>
      </c>
      <c r="F1259">
        <v>0.8</v>
      </c>
      <c r="G1259" t="s">
        <v>15</v>
      </c>
    </row>
    <row r="1260" spans="1:7" x14ac:dyDescent="0.25">
      <c r="A1260">
        <v>75</v>
      </c>
      <c r="B1260" t="s">
        <v>521</v>
      </c>
      <c r="C1260">
        <v>10</v>
      </c>
      <c r="D1260" t="s">
        <v>522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521</v>
      </c>
      <c r="C1261">
        <v>20</v>
      </c>
      <c r="D1261" t="s">
        <v>300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521</v>
      </c>
      <c r="C1262">
        <v>30</v>
      </c>
      <c r="D1262" t="s">
        <v>110</v>
      </c>
      <c r="E1262" t="s">
        <v>111</v>
      </c>
      <c r="F1262">
        <v>1.1930000000000001</v>
      </c>
      <c r="G1262" t="s">
        <v>15</v>
      </c>
    </row>
    <row r="1263" spans="1:7" x14ac:dyDescent="0.25">
      <c r="A1263">
        <v>75</v>
      </c>
      <c r="B1263" t="s">
        <v>521</v>
      </c>
      <c r="C1263">
        <v>40</v>
      </c>
      <c r="D1263" t="s">
        <v>202</v>
      </c>
      <c r="E1263" t="s">
        <v>11</v>
      </c>
      <c r="F1263">
        <v>2.1589999999999998</v>
      </c>
      <c r="G1263" t="s">
        <v>15</v>
      </c>
    </row>
    <row r="1264" spans="1:7" x14ac:dyDescent="0.25">
      <c r="A1264">
        <v>75</v>
      </c>
      <c r="B1264" t="s">
        <v>521</v>
      </c>
      <c r="C1264">
        <v>50</v>
      </c>
      <c r="D1264" t="s">
        <v>114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521</v>
      </c>
      <c r="C1265">
        <v>60</v>
      </c>
      <c r="D1265" t="s">
        <v>523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521</v>
      </c>
      <c r="C1266">
        <v>70</v>
      </c>
      <c r="D1266" t="s">
        <v>116</v>
      </c>
      <c r="E1266" t="s">
        <v>17</v>
      </c>
      <c r="F1266">
        <v>16.256</v>
      </c>
      <c r="G1266" t="s">
        <v>15</v>
      </c>
    </row>
    <row r="1267" spans="1:7" x14ac:dyDescent="0.25">
      <c r="A1267">
        <v>75</v>
      </c>
      <c r="B1267" t="s">
        <v>521</v>
      </c>
      <c r="C1267">
        <v>80</v>
      </c>
      <c r="D1267" t="s">
        <v>20</v>
      </c>
      <c r="E1267" t="s">
        <v>17</v>
      </c>
      <c r="F1267">
        <v>99.974000000000004</v>
      </c>
      <c r="G1267" t="s">
        <v>15</v>
      </c>
    </row>
    <row r="1268" spans="1:7" x14ac:dyDescent="0.25">
      <c r="A1268">
        <v>75</v>
      </c>
      <c r="B1268" t="s">
        <v>521</v>
      </c>
      <c r="C1268">
        <v>90</v>
      </c>
      <c r="D1268" t="s">
        <v>24</v>
      </c>
      <c r="E1268" t="s">
        <v>11</v>
      </c>
      <c r="F1268">
        <v>1</v>
      </c>
      <c r="G1268" t="s">
        <v>15</v>
      </c>
    </row>
    <row r="1269" spans="1:7" x14ac:dyDescent="0.25">
      <c r="A1269">
        <v>75</v>
      </c>
      <c r="B1269" t="s">
        <v>521</v>
      </c>
      <c r="C1269">
        <v>100</v>
      </c>
      <c r="D1269" t="s">
        <v>117</v>
      </c>
      <c r="E1269" t="s">
        <v>14</v>
      </c>
      <c r="F1269">
        <v>0.14000000000000001</v>
      </c>
      <c r="G1269" t="s">
        <v>15</v>
      </c>
    </row>
    <row r="1270" spans="1:7" x14ac:dyDescent="0.25">
      <c r="A1270">
        <v>75</v>
      </c>
      <c r="B1270" t="s">
        <v>521</v>
      </c>
      <c r="C1270">
        <v>110</v>
      </c>
      <c r="D1270" t="s">
        <v>118</v>
      </c>
      <c r="E1270" t="s">
        <v>11</v>
      </c>
      <c r="F1270">
        <v>4</v>
      </c>
      <c r="G1270" t="s">
        <v>15</v>
      </c>
    </row>
    <row r="1271" spans="1:7" x14ac:dyDescent="0.25">
      <c r="A1271">
        <v>75</v>
      </c>
      <c r="B1271" t="s">
        <v>521</v>
      </c>
      <c r="C1271">
        <v>120</v>
      </c>
      <c r="D1271" t="s">
        <v>25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521</v>
      </c>
      <c r="C1272">
        <v>130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521</v>
      </c>
      <c r="C1273">
        <v>140</v>
      </c>
      <c r="D1273" t="s">
        <v>108</v>
      </c>
      <c r="E1273" t="s">
        <v>14</v>
      </c>
      <c r="F1273">
        <v>1.27</v>
      </c>
      <c r="G1273" t="s">
        <v>15</v>
      </c>
    </row>
    <row r="1274" spans="1:7" x14ac:dyDescent="0.25">
      <c r="A1274">
        <v>75</v>
      </c>
      <c r="B1274" t="s">
        <v>521</v>
      </c>
      <c r="C1274">
        <v>150</v>
      </c>
      <c r="D1274" t="s">
        <v>524</v>
      </c>
      <c r="E1274" t="s">
        <v>11</v>
      </c>
      <c r="F1274">
        <v>1</v>
      </c>
      <c r="G1274" t="s">
        <v>18</v>
      </c>
    </row>
    <row r="1275" spans="1:7" x14ac:dyDescent="0.25">
      <c r="A1275">
        <v>75</v>
      </c>
      <c r="B1275" t="s">
        <v>521</v>
      </c>
      <c r="C1275">
        <v>160</v>
      </c>
      <c r="D1275" t="s">
        <v>525</v>
      </c>
      <c r="E1275" t="s">
        <v>11</v>
      </c>
      <c r="F1275">
        <v>1</v>
      </c>
      <c r="G1275" t="s">
        <v>18</v>
      </c>
    </row>
    <row r="1276" spans="1:7" x14ac:dyDescent="0.25">
      <c r="A1276">
        <v>75</v>
      </c>
      <c r="B1276" t="s">
        <v>521</v>
      </c>
      <c r="C1276">
        <v>170</v>
      </c>
      <c r="D1276" t="s">
        <v>528</v>
      </c>
      <c r="E1276" t="s">
        <v>14</v>
      </c>
      <c r="F1276">
        <v>0.8</v>
      </c>
      <c r="G12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topLeftCell="A1248" zoomScale="85" zoomScaleNormal="85" workbookViewId="0">
      <selection activeCell="E5" sqref="E5:E127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6" t="s">
        <v>29</v>
      </c>
      <c r="B1" s="57" t="s">
        <v>30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8" t="s">
        <v>31</v>
      </c>
      <c r="N1" s="59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x14ac:dyDescent="0.25">
      <c r="A2" s="56"/>
      <c r="B2" s="54" t="s">
        <v>32</v>
      </c>
      <c r="C2" s="54" t="s">
        <v>33</v>
      </c>
      <c r="D2" s="54" t="s">
        <v>34</v>
      </c>
      <c r="E2" s="54" t="s">
        <v>33</v>
      </c>
      <c r="F2" s="54" t="s">
        <v>34</v>
      </c>
      <c r="G2" s="54" t="s">
        <v>32</v>
      </c>
      <c r="H2" s="54" t="s">
        <v>34</v>
      </c>
      <c r="I2" s="54" t="s">
        <v>34</v>
      </c>
      <c r="J2" s="54" t="s">
        <v>34</v>
      </c>
      <c r="K2" s="54" t="s">
        <v>34</v>
      </c>
      <c r="L2" s="54" t="s">
        <v>32</v>
      </c>
      <c r="M2" s="55" t="s">
        <v>35</v>
      </c>
      <c r="N2" s="17" t="s">
        <v>35</v>
      </c>
      <c r="O2" s="55" t="s">
        <v>35</v>
      </c>
      <c r="P2" s="55" t="s">
        <v>36</v>
      </c>
      <c r="Q2" s="55" t="s">
        <v>35</v>
      </c>
      <c r="R2" s="55" t="s">
        <v>36</v>
      </c>
      <c r="S2" s="55" t="s">
        <v>35</v>
      </c>
      <c r="T2" s="55" t="s">
        <v>35</v>
      </c>
      <c r="U2" s="55" t="s">
        <v>36</v>
      </c>
      <c r="V2" s="55" t="s">
        <v>35</v>
      </c>
      <c r="W2" s="55" t="s">
        <v>35</v>
      </c>
      <c r="X2" s="55" t="s">
        <v>35</v>
      </c>
      <c r="Y2" s="55" t="s">
        <v>36</v>
      </c>
      <c r="Z2" s="55" t="s">
        <v>37</v>
      </c>
      <c r="AA2" s="55" t="s">
        <v>35</v>
      </c>
      <c r="AB2" s="55" t="s">
        <v>35</v>
      </c>
      <c r="AC2" s="55" t="s">
        <v>35</v>
      </c>
      <c r="AD2" s="55" t="s">
        <v>35</v>
      </c>
      <c r="AE2" s="55" t="s">
        <v>35</v>
      </c>
      <c r="AF2" s="55" t="s">
        <v>35</v>
      </c>
      <c r="AG2" s="55" t="s">
        <v>37</v>
      </c>
      <c r="AH2" s="55" t="s">
        <v>37</v>
      </c>
      <c r="AI2" s="55" t="s">
        <v>37</v>
      </c>
      <c r="AJ2" s="55" t="s">
        <v>35</v>
      </c>
      <c r="AK2" s="55" t="s">
        <v>35</v>
      </c>
      <c r="AL2" s="55" t="s">
        <v>35</v>
      </c>
    </row>
    <row r="3" spans="1:38" x14ac:dyDescent="0.25">
      <c r="A3" s="56"/>
      <c r="B3" s="54" t="s">
        <v>38</v>
      </c>
      <c r="C3" s="54" t="s">
        <v>39</v>
      </c>
      <c r="D3" s="54" t="s">
        <v>40</v>
      </c>
      <c r="E3" s="54" t="s">
        <v>39</v>
      </c>
      <c r="F3" s="54" t="s">
        <v>41</v>
      </c>
      <c r="G3" s="54" t="s">
        <v>42</v>
      </c>
      <c r="H3" s="54" t="s">
        <v>43</v>
      </c>
      <c r="I3" s="54" t="s">
        <v>44</v>
      </c>
      <c r="J3" s="54" t="s">
        <v>39</v>
      </c>
      <c r="K3" s="54" t="s">
        <v>39</v>
      </c>
      <c r="L3" s="54" t="s">
        <v>45</v>
      </c>
      <c r="M3" s="55" t="s">
        <v>46</v>
      </c>
      <c r="N3" s="17" t="s">
        <v>39</v>
      </c>
      <c r="O3" s="55" t="s">
        <v>41</v>
      </c>
      <c r="P3" s="55" t="s">
        <v>47</v>
      </c>
      <c r="Q3" s="55" t="s">
        <v>44</v>
      </c>
      <c r="R3" s="55" t="s">
        <v>43</v>
      </c>
      <c r="S3" s="55" t="s">
        <v>48</v>
      </c>
      <c r="T3" s="55" t="s">
        <v>46</v>
      </c>
      <c r="U3" s="55" t="s">
        <v>49</v>
      </c>
      <c r="V3" s="55" t="s">
        <v>43</v>
      </c>
      <c r="W3" s="55" t="s">
        <v>44</v>
      </c>
      <c r="X3" s="55" t="s">
        <v>44</v>
      </c>
      <c r="Y3" s="55" t="s">
        <v>38</v>
      </c>
      <c r="Z3" s="55" t="s">
        <v>45</v>
      </c>
      <c r="AA3" s="55" t="s">
        <v>50</v>
      </c>
      <c r="AB3" s="55" t="s">
        <v>50</v>
      </c>
      <c r="AC3" s="55" t="s">
        <v>44</v>
      </c>
      <c r="AD3" s="55" t="s">
        <v>44</v>
      </c>
      <c r="AE3" s="55" t="s">
        <v>49</v>
      </c>
      <c r="AF3" s="55" t="s">
        <v>48</v>
      </c>
      <c r="AG3" s="55" t="s">
        <v>38</v>
      </c>
      <c r="AH3" s="55" t="s">
        <v>45</v>
      </c>
      <c r="AI3" s="55" t="s">
        <v>45</v>
      </c>
      <c r="AJ3" s="55" t="s">
        <v>39</v>
      </c>
      <c r="AK3" s="55" t="s">
        <v>41</v>
      </c>
      <c r="AL3" s="55" t="s">
        <v>51</v>
      </c>
    </row>
    <row r="4" spans="1:38" x14ac:dyDescent="0.25">
      <c r="A4" s="56"/>
      <c r="B4" s="18" t="s">
        <v>52</v>
      </c>
      <c r="C4" s="18" t="s">
        <v>53</v>
      </c>
      <c r="D4" s="54" t="s">
        <v>54</v>
      </c>
      <c r="E4" s="18" t="s">
        <v>3</v>
      </c>
      <c r="F4" s="54" t="s">
        <v>55</v>
      </c>
      <c r="G4" s="18" t="s">
        <v>56</v>
      </c>
      <c r="H4" s="18" t="s">
        <v>6</v>
      </c>
      <c r="I4" s="18" t="s">
        <v>57</v>
      </c>
      <c r="J4" s="54" t="s">
        <v>58</v>
      </c>
      <c r="K4" s="54" t="s">
        <v>59</v>
      </c>
      <c r="L4" s="54" t="s">
        <v>60</v>
      </c>
      <c r="M4" s="19" t="s">
        <v>61</v>
      </c>
      <c r="N4" s="20" t="s">
        <v>3</v>
      </c>
      <c r="O4" s="55" t="s">
        <v>55</v>
      </c>
      <c r="P4" s="55" t="s">
        <v>62</v>
      </c>
      <c r="Q4" s="55" t="s">
        <v>63</v>
      </c>
      <c r="R4" s="55" t="s">
        <v>4</v>
      </c>
      <c r="S4" s="55" t="s">
        <v>64</v>
      </c>
      <c r="T4" s="55" t="s">
        <v>65</v>
      </c>
      <c r="U4" s="55" t="s">
        <v>66</v>
      </c>
      <c r="V4" s="55" t="s">
        <v>6</v>
      </c>
      <c r="W4" s="55" t="s">
        <v>67</v>
      </c>
      <c r="X4" s="55" t="s">
        <v>68</v>
      </c>
      <c r="Y4" s="55" t="s">
        <v>69</v>
      </c>
      <c r="Z4" s="55" t="s">
        <v>70</v>
      </c>
      <c r="AA4" s="55" t="s">
        <v>71</v>
      </c>
      <c r="AB4" s="55" t="s">
        <v>72</v>
      </c>
      <c r="AC4" s="55" t="s">
        <v>73</v>
      </c>
      <c r="AD4" s="55" t="s">
        <v>74</v>
      </c>
      <c r="AE4" s="55" t="s">
        <v>75</v>
      </c>
      <c r="AF4" s="55" t="s">
        <v>76</v>
      </c>
      <c r="AG4" s="55" t="s">
        <v>77</v>
      </c>
      <c r="AH4" s="55" t="s">
        <v>78</v>
      </c>
      <c r="AI4" s="55" t="s">
        <v>79</v>
      </c>
      <c r="AJ4" s="55" t="s">
        <v>80</v>
      </c>
      <c r="AK4" s="55" t="s">
        <v>81</v>
      </c>
      <c r="AL4" s="55" t="s">
        <v>82</v>
      </c>
    </row>
    <row r="5" spans="1:38" x14ac:dyDescent="0.25">
      <c r="A5" s="3">
        <v>1</v>
      </c>
      <c r="B5" s="3" t="s">
        <v>92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210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202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7.5999999999999998E-2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211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526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213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214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110</v>
      </c>
      <c r="O24" s="3"/>
      <c r="P24" s="3"/>
      <c r="Q24" s="3">
        <v>0.54600000000000004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202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114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116</v>
      </c>
      <c r="O28" s="3"/>
      <c r="P28" s="3"/>
      <c r="Q28" s="3">
        <v>11.683999999999999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71.856999999999999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117</v>
      </c>
      <c r="O31" s="3"/>
      <c r="P31" s="3"/>
      <c r="Q31" s="3">
        <v>8.5999999999999993E-2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118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108</v>
      </c>
      <c r="O35" s="3"/>
      <c r="P35" s="3"/>
      <c r="Q35" s="3">
        <v>0.66200000000000003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215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216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527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217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218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110</v>
      </c>
      <c r="O41" s="3"/>
      <c r="P41" s="3"/>
      <c r="Q41" s="3">
        <v>0.63300000000000001</v>
      </c>
      <c r="R41" s="3" t="s">
        <v>111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202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114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116</v>
      </c>
      <c r="O45" s="3"/>
      <c r="P45" s="3"/>
      <c r="Q45" s="3">
        <v>12.294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75.605999999999995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24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117</v>
      </c>
      <c r="O48" s="3"/>
      <c r="P48" s="3"/>
      <c r="Q48" s="3">
        <v>9.6000000000000002E-2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118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25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26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108</v>
      </c>
      <c r="O52" s="3"/>
      <c r="P52" s="3"/>
      <c r="Q52" s="3">
        <v>0.74299999999999999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219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220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527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221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222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110</v>
      </c>
      <c r="O58" s="3"/>
      <c r="P58" s="3"/>
      <c r="Q58" s="3">
        <v>0.71899999999999997</v>
      </c>
      <c r="R58" s="3" t="s">
        <v>111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202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114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116</v>
      </c>
      <c r="O62" s="3"/>
      <c r="P62" s="3"/>
      <c r="Q62" s="3">
        <v>12.903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79.355000000000004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128</v>
      </c>
      <c r="D65" s="3"/>
      <c r="E65" s="3" t="s">
        <v>128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117</v>
      </c>
      <c r="O65" s="3"/>
      <c r="P65" s="3"/>
      <c r="Q65" s="3">
        <v>0.106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128</v>
      </c>
      <c r="D66" s="3"/>
      <c r="E66" s="3" t="s">
        <v>128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118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128</v>
      </c>
      <c r="D67" s="3"/>
      <c r="E67" s="3" t="s">
        <v>128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25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128</v>
      </c>
      <c r="D68" s="3"/>
      <c r="E68" s="3" t="s">
        <v>128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26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108</v>
      </c>
      <c r="O69" s="3"/>
      <c r="P69" s="3"/>
      <c r="Q69" s="3">
        <v>0.82399999999999995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223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224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527</v>
      </c>
      <c r="O72" s="3"/>
      <c r="P72" s="3"/>
      <c r="Q72" s="3">
        <v>0.6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130</v>
      </c>
      <c r="D73" s="3"/>
      <c r="E73" s="3" t="s">
        <v>130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225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130</v>
      </c>
      <c r="D74" s="3"/>
      <c r="E74" s="3" t="s">
        <v>130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222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130</v>
      </c>
      <c r="D75" s="3"/>
      <c r="E75" s="3" t="s">
        <v>130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110</v>
      </c>
      <c r="O75" s="3"/>
      <c r="P75" s="3"/>
      <c r="Q75" s="3">
        <v>0.76200000000000001</v>
      </c>
      <c r="R75" s="3" t="s">
        <v>111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130</v>
      </c>
      <c r="D76" s="3"/>
      <c r="E76" s="3" t="s">
        <v>130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202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130</v>
      </c>
      <c r="D77" s="3"/>
      <c r="E77" s="3" t="s">
        <v>130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114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130</v>
      </c>
      <c r="D78" s="3"/>
      <c r="E78" s="3" t="s">
        <v>130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130</v>
      </c>
      <c r="D79" s="3"/>
      <c r="E79" s="3" t="s">
        <v>130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116</v>
      </c>
      <c r="O79" s="3"/>
      <c r="P79" s="3"/>
      <c r="Q79" s="3">
        <v>13.208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130</v>
      </c>
      <c r="D80" s="3"/>
      <c r="E80" s="3" t="s">
        <v>130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81.228999999999999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24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117</v>
      </c>
      <c r="O82" s="3"/>
      <c r="P82" s="3"/>
      <c r="Q82" s="3">
        <v>0.111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118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108</v>
      </c>
      <c r="O86" s="3"/>
      <c r="P86" s="3"/>
      <c r="Q86" s="3">
        <v>0.86499999999999999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226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227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527</v>
      </c>
      <c r="O89" s="3"/>
      <c r="P89" s="3"/>
      <c r="Q89" s="3">
        <v>0.6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132</v>
      </c>
      <c r="D90" s="3"/>
      <c r="E90" s="3" t="s">
        <v>132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228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132</v>
      </c>
      <c r="D91" s="3"/>
      <c r="E91" s="3" t="s">
        <v>132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222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132</v>
      </c>
      <c r="D92" s="3"/>
      <c r="E92" s="3" t="s">
        <v>132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110</v>
      </c>
      <c r="O92" s="3"/>
      <c r="P92" s="3"/>
      <c r="Q92" s="3">
        <v>0.80500000000000005</v>
      </c>
      <c r="R92" s="3" t="s">
        <v>111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132</v>
      </c>
      <c r="D93" s="3"/>
      <c r="E93" s="3" t="s">
        <v>132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202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132</v>
      </c>
      <c r="D94" s="3"/>
      <c r="E94" s="3" t="s">
        <v>132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114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132</v>
      </c>
      <c r="D95" s="3"/>
      <c r="E95" s="3" t="s">
        <v>132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133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116</v>
      </c>
      <c r="O96" s="3"/>
      <c r="P96" s="3"/>
      <c r="Q96" s="3">
        <v>13.513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83.103999999999999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117</v>
      </c>
      <c r="O99" s="3"/>
      <c r="P99" s="3"/>
      <c r="Q99" s="3">
        <v>0.115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118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25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26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108</v>
      </c>
      <c r="O103" s="3"/>
      <c r="P103" s="3"/>
      <c r="Q103" s="3">
        <v>0.90500000000000003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229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230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527</v>
      </c>
      <c r="O106" s="3"/>
      <c r="P106" s="3"/>
      <c r="Q106" s="3">
        <v>0.6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231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232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110</v>
      </c>
      <c r="O109" s="3"/>
      <c r="P109" s="3"/>
      <c r="Q109" s="3">
        <v>0.89100000000000001</v>
      </c>
      <c r="R109" s="3" t="s">
        <v>111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202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114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135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116</v>
      </c>
      <c r="O113" s="3"/>
      <c r="P113" s="3"/>
      <c r="Q113" s="3">
        <v>14.122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86.852999999999994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24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117</v>
      </c>
      <c r="O116" s="3"/>
      <c r="P116" s="3"/>
      <c r="Q116" s="3">
        <v>0.125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118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108</v>
      </c>
      <c r="O120" s="3"/>
      <c r="P120" s="3"/>
      <c r="Q120" s="3">
        <v>0.98599999999999999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233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234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528</v>
      </c>
      <c r="O123" s="3"/>
      <c r="P123" s="3"/>
      <c r="Q123" s="3">
        <v>0.8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235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236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110</v>
      </c>
      <c r="O126" s="3"/>
      <c r="P126" s="3"/>
      <c r="Q126" s="3">
        <v>0.97799999999999998</v>
      </c>
      <c r="R126" s="3" t="s">
        <v>111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202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114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137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116</v>
      </c>
      <c r="O130" s="3"/>
      <c r="P130" s="3"/>
      <c r="Q130" s="3">
        <v>14.731999999999999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90.602000000000004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24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117</v>
      </c>
      <c r="O133" s="3"/>
      <c r="P133" s="3"/>
      <c r="Q133" s="3">
        <v>0.13500000000000001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118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108</v>
      </c>
      <c r="O137" s="3"/>
      <c r="P137" s="3"/>
      <c r="Q137" s="3">
        <v>1.0669999999999999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237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238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528</v>
      </c>
      <c r="O140" s="3"/>
      <c r="P140" s="3"/>
      <c r="Q140" s="3">
        <v>0.8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138</v>
      </c>
      <c r="D141" s="3"/>
      <c r="E141" s="3" t="s">
        <v>138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239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138</v>
      </c>
      <c r="D142" s="3"/>
      <c r="E142" s="3" t="s">
        <v>138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240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138</v>
      </c>
      <c r="D143" s="3"/>
      <c r="E143" s="3" t="s">
        <v>138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110</v>
      </c>
      <c r="O143" s="3"/>
      <c r="P143" s="3"/>
      <c r="Q143" s="3">
        <v>0.48</v>
      </c>
      <c r="R143" s="3" t="s">
        <v>111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138</v>
      </c>
      <c r="D144" s="3"/>
      <c r="E144" s="3" t="s">
        <v>138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202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114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139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116</v>
      </c>
      <c r="O147" s="3"/>
      <c r="P147" s="3"/>
      <c r="Q147" s="3">
        <v>11.379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69.981999999999999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24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117</v>
      </c>
      <c r="O150" s="3"/>
      <c r="P150" s="3"/>
      <c r="Q150" s="3">
        <v>7.5999999999999998E-2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118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108</v>
      </c>
      <c r="O154" s="3"/>
      <c r="P154" s="3"/>
      <c r="Q154" s="3">
        <v>0.58099999999999996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241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242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526</v>
      </c>
      <c r="O157" s="3"/>
      <c r="P157" s="3"/>
      <c r="Q157" s="3">
        <v>0.5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243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244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110</v>
      </c>
      <c r="O160" s="3"/>
      <c r="P160" s="3"/>
      <c r="Q160" s="3">
        <v>0.56899999999999995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202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114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141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116</v>
      </c>
      <c r="O164" s="3"/>
      <c r="P164" s="3"/>
      <c r="Q164" s="3">
        <v>11.989000000000001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73.730999999999995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117</v>
      </c>
      <c r="O167" s="3"/>
      <c r="P167" s="3"/>
      <c r="Q167" s="3">
        <v>8.5999999999999993E-2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108</v>
      </c>
      <c r="O171" s="3"/>
      <c r="P171" s="3"/>
      <c r="Q171" s="3">
        <v>0.66200000000000003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245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246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527</v>
      </c>
      <c r="O174" s="3"/>
      <c r="P174" s="3"/>
      <c r="Q174" s="3">
        <v>0.6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247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248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110</v>
      </c>
      <c r="O177" s="3"/>
      <c r="P177" s="3"/>
      <c r="Q177" s="3">
        <v>0.65900000000000003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202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114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143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116</v>
      </c>
      <c r="O181" s="3"/>
      <c r="P181" s="3"/>
      <c r="Q181" s="3">
        <v>12.598000000000001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77.48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24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117</v>
      </c>
      <c r="O184" s="3"/>
      <c r="P184" s="3"/>
      <c r="Q184" s="3">
        <v>9.6000000000000002E-2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118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26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108</v>
      </c>
      <c r="O188" s="3"/>
      <c r="P188" s="3"/>
      <c r="Q188" s="3">
        <v>0.74299999999999999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249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250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527</v>
      </c>
      <c r="O191" s="3"/>
      <c r="P191" s="3"/>
      <c r="Q191" s="3">
        <v>0.6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251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252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110</v>
      </c>
      <c r="O194" s="3"/>
      <c r="P194" s="3"/>
      <c r="Q194" s="3">
        <v>0.749</v>
      </c>
      <c r="R194" s="3" t="s">
        <v>111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202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114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145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116</v>
      </c>
      <c r="O198" s="3"/>
      <c r="P198" s="3"/>
      <c r="Q198" s="3">
        <v>13.208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81.228999999999999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117</v>
      </c>
      <c r="O201" s="3"/>
      <c r="P201" s="3"/>
      <c r="Q201" s="3">
        <v>0.106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118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25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26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108</v>
      </c>
      <c r="O205" s="3"/>
      <c r="P205" s="3"/>
      <c r="Q205" s="3">
        <v>0.82399999999999995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253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254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527</v>
      </c>
      <c r="O208" s="3"/>
      <c r="P208" s="3"/>
      <c r="Q208" s="3">
        <v>0.6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255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252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110</v>
      </c>
      <c r="O211" s="3"/>
      <c r="P211" s="3"/>
      <c r="Q211" s="3">
        <v>0.79400000000000004</v>
      </c>
      <c r="R211" s="3" t="s">
        <v>111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202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114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147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116</v>
      </c>
      <c r="O215" s="3"/>
      <c r="P215" s="3"/>
      <c r="Q215" s="3">
        <v>13.513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83.103999999999999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24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117</v>
      </c>
      <c r="O218" s="3"/>
      <c r="P218" s="3"/>
      <c r="Q218" s="3">
        <v>0.111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118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108</v>
      </c>
      <c r="O222" s="3"/>
      <c r="P222" s="3"/>
      <c r="Q222" s="3">
        <v>0.86499999999999999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256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257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527</v>
      </c>
      <c r="O225" s="3"/>
      <c r="P225" s="3"/>
      <c r="Q225" s="3">
        <v>0.6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258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252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110</v>
      </c>
      <c r="O228" s="3"/>
      <c r="P228" s="3"/>
      <c r="Q228" s="3">
        <v>0.83899999999999997</v>
      </c>
      <c r="R228" s="3" t="s">
        <v>111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202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114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149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116</v>
      </c>
      <c r="O232" s="3"/>
      <c r="P232" s="3"/>
      <c r="Q232" s="3">
        <v>13.818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84.977999999999994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117</v>
      </c>
      <c r="O235" s="3"/>
      <c r="P235" s="3"/>
      <c r="Q235" s="3">
        <v>0.115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118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25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26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108</v>
      </c>
      <c r="O239" s="3"/>
      <c r="P239" s="3"/>
      <c r="Q239" s="3">
        <v>0.90500000000000003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259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260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527</v>
      </c>
      <c r="O242" s="3"/>
      <c r="P242" s="3"/>
      <c r="Q242" s="3">
        <v>0.6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261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262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110</v>
      </c>
      <c r="O245" s="3"/>
      <c r="P245" s="3"/>
      <c r="Q245" s="3">
        <v>0.92900000000000005</v>
      </c>
      <c r="R245" s="3" t="s">
        <v>111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202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114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151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116</v>
      </c>
      <c r="O249" s="3"/>
      <c r="P249" s="3"/>
      <c r="Q249" s="3">
        <v>14.427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88.727000000000004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117</v>
      </c>
      <c r="O252" s="3"/>
      <c r="P252" s="3"/>
      <c r="Q252" s="3">
        <v>0.125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118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108</v>
      </c>
      <c r="O256" s="3"/>
      <c r="P256" s="3"/>
      <c r="Q256" s="3">
        <v>0.98599999999999999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263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264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528</v>
      </c>
      <c r="O259" s="3"/>
      <c r="P259" s="3"/>
      <c r="Q259" s="3">
        <v>0.8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265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266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110</v>
      </c>
      <c r="O262" s="3"/>
      <c r="P262" s="3"/>
      <c r="Q262" s="3">
        <v>1.0189999999999999</v>
      </c>
      <c r="R262" s="3" t="s">
        <v>111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202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114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153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116</v>
      </c>
      <c r="O266" s="3"/>
      <c r="P266" s="3"/>
      <c r="Q266" s="3">
        <v>15.037000000000001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92.475999999999999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24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117</v>
      </c>
      <c r="O269" s="3"/>
      <c r="P269" s="3"/>
      <c r="Q269" s="3">
        <v>0.13500000000000001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118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108</v>
      </c>
      <c r="O273" s="3"/>
      <c r="P273" s="3"/>
      <c r="Q273" s="3">
        <v>1.0669999999999999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267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268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528</v>
      </c>
      <c r="O276" s="3"/>
      <c r="P276" s="3"/>
      <c r="Q276" s="3">
        <v>0.8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269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270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0.499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202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11.683999999999999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71.856999999999999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7.5999999999999998E-2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154</v>
      </c>
      <c r="D293" s="3"/>
      <c r="E293" s="3" t="s">
        <v>154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526</v>
      </c>
      <c r="O293" s="3"/>
      <c r="P293" s="3"/>
      <c r="Q293" s="3">
        <v>0.5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273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274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110</v>
      </c>
      <c r="O296" s="3"/>
      <c r="P296" s="3"/>
      <c r="Q296" s="3">
        <v>0.59299999999999997</v>
      </c>
      <c r="R296" s="3" t="s">
        <v>111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202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114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157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116</v>
      </c>
      <c r="O300" s="3"/>
      <c r="P300" s="3"/>
      <c r="Q300" s="3">
        <v>12.294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75.605999999999995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24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117</v>
      </c>
      <c r="O303" s="3"/>
      <c r="P303" s="3"/>
      <c r="Q303" s="3">
        <v>8.5999999999999993E-2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118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26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108</v>
      </c>
      <c r="O307" s="3"/>
      <c r="P307" s="3"/>
      <c r="Q307" s="3">
        <v>1.1890000000000001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275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156</v>
      </c>
      <c r="D309" s="3"/>
      <c r="E309" s="3" t="s">
        <v>156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276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156</v>
      </c>
      <c r="D310" s="3"/>
      <c r="E310" s="3" t="s">
        <v>156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527</v>
      </c>
      <c r="O310" s="3"/>
      <c r="P310" s="3"/>
      <c r="Q310" s="3">
        <v>0.6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277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278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110</v>
      </c>
      <c r="O313" s="3"/>
      <c r="P313" s="3"/>
      <c r="Q313" s="3">
        <v>0.68600000000000005</v>
      </c>
      <c r="R313" s="3" t="s">
        <v>111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202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114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116</v>
      </c>
      <c r="O317" s="3"/>
      <c r="P317" s="3"/>
      <c r="Q317" s="3">
        <v>12.903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79.355000000000004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24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117</v>
      </c>
      <c r="O320" s="3"/>
      <c r="P320" s="3"/>
      <c r="Q320" s="3">
        <v>9.6000000000000002E-2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118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108</v>
      </c>
      <c r="O324" s="3"/>
      <c r="P324" s="3"/>
      <c r="Q324" s="3">
        <v>1.1890000000000001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158</v>
      </c>
      <c r="D325" s="3"/>
      <c r="E325" s="3" t="s">
        <v>158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279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158</v>
      </c>
      <c r="D326" s="3"/>
      <c r="E326" s="3" t="s">
        <v>158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280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158</v>
      </c>
      <c r="D327" s="3"/>
      <c r="E327" s="3" t="s">
        <v>158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527</v>
      </c>
      <c r="O327" s="3"/>
      <c r="P327" s="3"/>
      <c r="Q327" s="3">
        <v>0.6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282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110</v>
      </c>
      <c r="O330" s="3"/>
      <c r="P330" s="3"/>
      <c r="Q330" s="3">
        <v>0.78</v>
      </c>
      <c r="R330" s="3" t="s">
        <v>111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202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114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161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116</v>
      </c>
      <c r="O334" s="3"/>
      <c r="P334" s="3"/>
      <c r="Q334" s="3">
        <v>13.513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83.103999999999999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117</v>
      </c>
      <c r="O337" s="3"/>
      <c r="P337" s="3"/>
      <c r="Q337" s="3">
        <v>0.106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118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160</v>
      </c>
      <c r="D341" s="3"/>
      <c r="E341" s="3" t="s">
        <v>160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108</v>
      </c>
      <c r="O341" s="3"/>
      <c r="P341" s="3"/>
      <c r="Q341" s="3">
        <v>1.1890000000000001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160</v>
      </c>
      <c r="D342" s="3"/>
      <c r="E342" s="3" t="s">
        <v>160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283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160</v>
      </c>
      <c r="D343" s="3"/>
      <c r="E343" s="3" t="s">
        <v>160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284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160</v>
      </c>
      <c r="D344" s="3"/>
      <c r="E344" s="3" t="s">
        <v>160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527</v>
      </c>
      <c r="O344" s="3"/>
      <c r="P344" s="3"/>
      <c r="Q344" s="3">
        <v>0.6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285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282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0.82599999999999996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202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114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163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116</v>
      </c>
      <c r="O351" s="3"/>
      <c r="P351" s="3"/>
      <c r="Q351" s="3">
        <v>13.818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84.977999999999994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117</v>
      </c>
      <c r="O354" s="3"/>
      <c r="P354" s="3"/>
      <c r="Q354" s="3">
        <v>0.111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118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162</v>
      </c>
      <c r="D357" s="3"/>
      <c r="E357" s="3" t="s">
        <v>162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162</v>
      </c>
      <c r="D358" s="3"/>
      <c r="E358" s="3" t="s">
        <v>162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108</v>
      </c>
      <c r="O358" s="3"/>
      <c r="P358" s="3"/>
      <c r="Q358" s="3">
        <v>1.1890000000000001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162</v>
      </c>
      <c r="D359" s="3"/>
      <c r="E359" s="3" t="s">
        <v>162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286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162</v>
      </c>
      <c r="D360" s="3"/>
      <c r="E360" s="3" t="s">
        <v>162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287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162</v>
      </c>
      <c r="D361" s="3"/>
      <c r="E361" s="3" t="s">
        <v>162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527</v>
      </c>
      <c r="O361" s="3"/>
      <c r="P361" s="3"/>
      <c r="Q361" s="3">
        <v>0.6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288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282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110</v>
      </c>
      <c r="O364" s="3"/>
      <c r="P364" s="3"/>
      <c r="Q364" s="3">
        <v>0.873</v>
      </c>
      <c r="R364" s="3" t="s">
        <v>111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202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114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165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116</v>
      </c>
      <c r="O368" s="3"/>
      <c r="P368" s="3"/>
      <c r="Q368" s="3">
        <v>14.122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86.852999999999994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24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117</v>
      </c>
      <c r="O371" s="3"/>
      <c r="P371" s="3"/>
      <c r="Q371" s="3">
        <v>0.115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118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164</v>
      </c>
      <c r="D373" s="3"/>
      <c r="E373" s="3" t="s">
        <v>164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25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164</v>
      </c>
      <c r="D374" s="3"/>
      <c r="E374" s="3" t="s">
        <v>164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26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164</v>
      </c>
      <c r="D375" s="3"/>
      <c r="E375" s="3" t="s">
        <v>164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108</v>
      </c>
      <c r="O375" s="3"/>
      <c r="P375" s="3"/>
      <c r="Q375" s="3">
        <v>1.1890000000000001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164</v>
      </c>
      <c r="D376" s="3"/>
      <c r="E376" s="3" t="s">
        <v>164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289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164</v>
      </c>
      <c r="D377" s="3"/>
      <c r="E377" s="3" t="s">
        <v>164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290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164</v>
      </c>
      <c r="D378" s="3"/>
      <c r="E378" s="3" t="s">
        <v>164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527</v>
      </c>
      <c r="O378" s="3"/>
      <c r="P378" s="3"/>
      <c r="Q378" s="3">
        <v>0.6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291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292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110</v>
      </c>
      <c r="O381" s="3"/>
      <c r="P381" s="3"/>
      <c r="Q381" s="3">
        <v>0.96699999999999997</v>
      </c>
      <c r="R381" s="3" t="s">
        <v>111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202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114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167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116</v>
      </c>
      <c r="O385" s="3"/>
      <c r="P385" s="3"/>
      <c r="Q385" s="3">
        <v>14.731999999999999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90.602000000000004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24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117</v>
      </c>
      <c r="O388" s="3"/>
      <c r="P388" s="3"/>
      <c r="Q388" s="3">
        <v>0.125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166</v>
      </c>
      <c r="D389" s="3"/>
      <c r="E389" s="3" t="s">
        <v>166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118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166</v>
      </c>
      <c r="D390" s="3"/>
      <c r="E390" s="3" t="s">
        <v>166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166</v>
      </c>
      <c r="D391" s="3"/>
      <c r="E391" s="3" t="s">
        <v>166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166</v>
      </c>
      <c r="D392" s="3"/>
      <c r="E392" s="3" t="s">
        <v>166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108</v>
      </c>
      <c r="O392" s="3"/>
      <c r="P392" s="3"/>
      <c r="Q392" s="3">
        <v>1.1890000000000001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166</v>
      </c>
      <c r="D393" s="3"/>
      <c r="E393" s="3" t="s">
        <v>166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293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166</v>
      </c>
      <c r="D394" s="3"/>
      <c r="E394" s="3" t="s">
        <v>166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294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166</v>
      </c>
      <c r="D395" s="3"/>
      <c r="E395" s="3" t="s">
        <v>166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528</v>
      </c>
      <c r="O395" s="3"/>
      <c r="P395" s="3"/>
      <c r="Q395" s="3">
        <v>0.8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295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296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110</v>
      </c>
      <c r="O398" s="3"/>
      <c r="P398" s="3"/>
      <c r="Q398" s="3">
        <v>1.06</v>
      </c>
      <c r="R398" s="3" t="s">
        <v>111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202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114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169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116</v>
      </c>
      <c r="O402" s="3"/>
      <c r="P402" s="3"/>
      <c r="Q402" s="3">
        <v>15.342000000000001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94.350999999999999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168</v>
      </c>
      <c r="D405" s="3"/>
      <c r="E405" s="3" t="s">
        <v>168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117</v>
      </c>
      <c r="O405" s="3"/>
      <c r="P405" s="3"/>
      <c r="Q405" s="3">
        <v>0.13500000000000001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168</v>
      </c>
      <c r="D406" s="3"/>
      <c r="E406" s="3" t="s">
        <v>168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118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168</v>
      </c>
      <c r="D407" s="3"/>
      <c r="E407" s="3" t="s">
        <v>168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168</v>
      </c>
      <c r="D408" s="3"/>
      <c r="E408" s="3" t="s">
        <v>168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168</v>
      </c>
      <c r="D409" s="3"/>
      <c r="E409" s="3" t="s">
        <v>168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108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168</v>
      </c>
      <c r="D410" s="3"/>
      <c r="E410" s="3" t="s">
        <v>168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297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168</v>
      </c>
      <c r="D411" s="3"/>
      <c r="E411" s="3" t="s">
        <v>168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298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168</v>
      </c>
      <c r="D412" s="3"/>
      <c r="E412" s="3" t="s">
        <v>168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528</v>
      </c>
      <c r="O412" s="3"/>
      <c r="P412" s="3"/>
      <c r="Q412" s="3">
        <v>0.8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299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300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110</v>
      </c>
      <c r="O415" s="3"/>
      <c r="P415" s="3"/>
      <c r="Q415" s="3">
        <v>0.51200000000000001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202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114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171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116</v>
      </c>
      <c r="O419" s="3"/>
      <c r="P419" s="3"/>
      <c r="Q419" s="3">
        <v>11.887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73.105999999999995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170</v>
      </c>
      <c r="D421" s="3"/>
      <c r="E421" s="3" t="s">
        <v>170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170</v>
      </c>
      <c r="D422" s="3"/>
      <c r="E422" s="3" t="s">
        <v>170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117</v>
      </c>
      <c r="O422" s="3"/>
      <c r="P422" s="3"/>
      <c r="Q422" s="3">
        <v>7.5999999999999998E-2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170</v>
      </c>
      <c r="D423" s="3"/>
      <c r="E423" s="3" t="s">
        <v>170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118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170</v>
      </c>
      <c r="D424" s="3"/>
      <c r="E424" s="3" t="s">
        <v>170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170</v>
      </c>
      <c r="D425" s="3"/>
      <c r="E425" s="3" t="s">
        <v>170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26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170</v>
      </c>
      <c r="D426" s="3"/>
      <c r="E426" s="3" t="s">
        <v>170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108</v>
      </c>
      <c r="O426" s="3"/>
      <c r="P426" s="3"/>
      <c r="Q426" s="3">
        <v>1.216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170</v>
      </c>
      <c r="D427" s="3"/>
      <c r="E427" s="3" t="s">
        <v>170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301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170</v>
      </c>
      <c r="D428" s="3"/>
      <c r="E428" s="3" t="s">
        <v>170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302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170</v>
      </c>
      <c r="D429" s="3"/>
      <c r="E429" s="3" t="s">
        <v>170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526</v>
      </c>
      <c r="O429" s="3"/>
      <c r="P429" s="3"/>
      <c r="Q429" s="3">
        <v>0.5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303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300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110</v>
      </c>
      <c r="O432" s="3"/>
      <c r="P432" s="3"/>
      <c r="Q432" s="3">
        <v>0.60799999999999998</v>
      </c>
      <c r="R432" s="3" t="s">
        <v>111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202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114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173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116</v>
      </c>
      <c r="O436" s="3"/>
      <c r="P436" s="3"/>
      <c r="Q436" s="3">
        <v>12.497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172</v>
      </c>
      <c r="D437" s="3"/>
      <c r="E437" s="3" t="s">
        <v>172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76.855000000000004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172</v>
      </c>
      <c r="D438" s="3"/>
      <c r="E438" s="3" t="s">
        <v>172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24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172</v>
      </c>
      <c r="D439" s="3"/>
      <c r="E439" s="3" t="s">
        <v>172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117</v>
      </c>
      <c r="O439" s="3"/>
      <c r="P439" s="3"/>
      <c r="Q439" s="3">
        <v>8.5999999999999993E-2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172</v>
      </c>
      <c r="D440" s="3"/>
      <c r="E440" s="3" t="s">
        <v>172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118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172</v>
      </c>
      <c r="D441" s="3"/>
      <c r="E441" s="3" t="s">
        <v>172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172</v>
      </c>
      <c r="D442" s="3"/>
      <c r="E442" s="3" t="s">
        <v>172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172</v>
      </c>
      <c r="D443" s="3"/>
      <c r="E443" s="3" t="s">
        <v>172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108</v>
      </c>
      <c r="O443" s="3"/>
      <c r="P443" s="3"/>
      <c r="Q443" s="3">
        <v>1.216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172</v>
      </c>
      <c r="D444" s="3"/>
      <c r="E444" s="3" t="s">
        <v>172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304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172</v>
      </c>
      <c r="D445" s="3"/>
      <c r="E445" s="3" t="s">
        <v>172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305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172</v>
      </c>
      <c r="D446" s="3"/>
      <c r="E446" s="3" t="s">
        <v>172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527</v>
      </c>
      <c r="O446" s="3"/>
      <c r="P446" s="3"/>
      <c r="Q446" s="3">
        <v>0.6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306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300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110</v>
      </c>
      <c r="O449" s="3"/>
      <c r="P449" s="3"/>
      <c r="Q449" s="3">
        <v>0.70399999999999996</v>
      </c>
      <c r="R449" s="3" t="s">
        <v>111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202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114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175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174</v>
      </c>
      <c r="D453" s="3"/>
      <c r="E453" s="3" t="s">
        <v>174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116</v>
      </c>
      <c r="O453" s="3"/>
      <c r="P453" s="3"/>
      <c r="Q453" s="3">
        <v>13.106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174</v>
      </c>
      <c r="D454" s="3"/>
      <c r="E454" s="3" t="s">
        <v>174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80.603999999999999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174</v>
      </c>
      <c r="D455" s="3"/>
      <c r="E455" s="3" t="s">
        <v>174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174</v>
      </c>
      <c r="D456" s="3"/>
      <c r="E456" s="3" t="s">
        <v>174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117</v>
      </c>
      <c r="O456" s="3"/>
      <c r="P456" s="3"/>
      <c r="Q456" s="3">
        <v>9.6000000000000002E-2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174</v>
      </c>
      <c r="D457" s="3"/>
      <c r="E457" s="3" t="s">
        <v>174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118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174</v>
      </c>
      <c r="D458" s="3"/>
      <c r="E458" s="3" t="s">
        <v>174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25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174</v>
      </c>
      <c r="D459" s="3"/>
      <c r="E459" s="3" t="s">
        <v>174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26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174</v>
      </c>
      <c r="D460" s="3"/>
      <c r="E460" s="3" t="s">
        <v>174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108</v>
      </c>
      <c r="O460" s="3"/>
      <c r="P460" s="3"/>
      <c r="Q460" s="3">
        <v>1.216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174</v>
      </c>
      <c r="D461" s="3"/>
      <c r="E461" s="3" t="s">
        <v>174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307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174</v>
      </c>
      <c r="D462" s="3"/>
      <c r="E462" s="3" t="s">
        <v>174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308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174</v>
      </c>
      <c r="D463" s="3"/>
      <c r="E463" s="3" t="s">
        <v>174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527</v>
      </c>
      <c r="O463" s="3"/>
      <c r="P463" s="3"/>
      <c r="Q463" s="3">
        <v>0.6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309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300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110</v>
      </c>
      <c r="O466" s="3"/>
      <c r="P466" s="3"/>
      <c r="Q466" s="3">
        <v>0.8</v>
      </c>
      <c r="R466" s="3" t="s">
        <v>111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202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114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176</v>
      </c>
      <c r="D469" s="3"/>
      <c r="E469" s="3" t="s">
        <v>176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177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176</v>
      </c>
      <c r="D470" s="3"/>
      <c r="E470" s="3" t="s">
        <v>176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116</v>
      </c>
      <c r="O470" s="3"/>
      <c r="P470" s="3"/>
      <c r="Q470" s="3">
        <v>13.715999999999999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176</v>
      </c>
      <c r="D471" s="3"/>
      <c r="E471" s="3" t="s">
        <v>176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84.352999999999994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176</v>
      </c>
      <c r="D472" s="3"/>
      <c r="E472" s="3" t="s">
        <v>176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24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176</v>
      </c>
      <c r="D473" s="3"/>
      <c r="E473" s="3" t="s">
        <v>176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117</v>
      </c>
      <c r="O473" s="3"/>
      <c r="P473" s="3"/>
      <c r="Q473" s="3">
        <v>0.106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176</v>
      </c>
      <c r="D474" s="3"/>
      <c r="E474" s="3" t="s">
        <v>176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118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176</v>
      </c>
      <c r="D475" s="3"/>
      <c r="E475" s="3" t="s">
        <v>176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25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176</v>
      </c>
      <c r="D476" s="3"/>
      <c r="E476" s="3" t="s">
        <v>176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26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176</v>
      </c>
      <c r="D477" s="3"/>
      <c r="E477" s="3" t="s">
        <v>176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108</v>
      </c>
      <c r="O477" s="3"/>
      <c r="P477" s="3"/>
      <c r="Q477" s="3">
        <v>1.216</v>
      </c>
      <c r="R477" s="3" t="s">
        <v>14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176</v>
      </c>
      <c r="D478" s="3"/>
      <c r="E478" s="3" t="s">
        <v>176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310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176</v>
      </c>
      <c r="D479" s="3"/>
      <c r="E479" s="3" t="s">
        <v>176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311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176</v>
      </c>
      <c r="D480" s="3"/>
      <c r="E480" s="3" t="s">
        <v>176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527</v>
      </c>
      <c r="O480" s="3"/>
      <c r="P480" s="3"/>
      <c r="Q480" s="3">
        <v>0.6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312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300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110</v>
      </c>
      <c r="O483" s="3"/>
      <c r="P483" s="3"/>
      <c r="Q483" s="3">
        <v>0.84799999999999998</v>
      </c>
      <c r="R483" s="3" t="s">
        <v>111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202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178</v>
      </c>
      <c r="D485" s="3"/>
      <c r="E485" s="3" t="s">
        <v>178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114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178</v>
      </c>
      <c r="D486" s="3"/>
      <c r="E486" s="3" t="s">
        <v>178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179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178</v>
      </c>
      <c r="D487" s="3"/>
      <c r="E487" s="3" t="s">
        <v>178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116</v>
      </c>
      <c r="O487" s="3"/>
      <c r="P487" s="3"/>
      <c r="Q487" s="3">
        <v>14.021000000000001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178</v>
      </c>
      <c r="D488" s="3"/>
      <c r="E488" s="3" t="s">
        <v>178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86.227999999999994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178</v>
      </c>
      <c r="D489" s="3"/>
      <c r="E489" s="3" t="s">
        <v>178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178</v>
      </c>
      <c r="D490" s="3"/>
      <c r="E490" s="3" t="s">
        <v>178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117</v>
      </c>
      <c r="O490" s="3"/>
      <c r="P490" s="3"/>
      <c r="Q490" s="3">
        <v>0.111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178</v>
      </c>
      <c r="D491" s="3"/>
      <c r="E491" s="3" t="s">
        <v>178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118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178</v>
      </c>
      <c r="D492" s="3"/>
      <c r="E492" s="3" t="s">
        <v>178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25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178</v>
      </c>
      <c r="D493" s="3"/>
      <c r="E493" s="3" t="s">
        <v>178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26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178</v>
      </c>
      <c r="D494" s="3"/>
      <c r="E494" s="3" t="s">
        <v>178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108</v>
      </c>
      <c r="O494" s="3"/>
      <c r="P494" s="3"/>
      <c r="Q494" s="3">
        <v>1.216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178</v>
      </c>
      <c r="D495" s="3"/>
      <c r="E495" s="3" t="s">
        <v>178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313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178</v>
      </c>
      <c r="D496" s="3"/>
      <c r="E496" s="3" t="s">
        <v>178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314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178</v>
      </c>
      <c r="D497" s="3"/>
      <c r="E497" s="3" t="s">
        <v>178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527</v>
      </c>
      <c r="O497" s="3"/>
      <c r="P497" s="3"/>
      <c r="Q497" s="3">
        <v>0.6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315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300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110</v>
      </c>
      <c r="O500" s="3"/>
      <c r="P500" s="3"/>
      <c r="Q500" s="3">
        <v>0.89600000000000002</v>
      </c>
      <c r="R500" s="3" t="s">
        <v>111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180</v>
      </c>
      <c r="D501" s="3"/>
      <c r="E501" s="3" t="s">
        <v>180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202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180</v>
      </c>
      <c r="D502" s="3"/>
      <c r="E502" s="3" t="s">
        <v>180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114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180</v>
      </c>
      <c r="D503" s="3"/>
      <c r="E503" s="3" t="s">
        <v>180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181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180</v>
      </c>
      <c r="D504" s="3"/>
      <c r="E504" s="3" t="s">
        <v>180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116</v>
      </c>
      <c r="O504" s="3"/>
      <c r="P504" s="3"/>
      <c r="Q504" s="3">
        <v>14.326000000000001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180</v>
      </c>
      <c r="D505" s="3"/>
      <c r="E505" s="3" t="s">
        <v>180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88.102000000000004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180</v>
      </c>
      <c r="D506" s="3"/>
      <c r="E506" s="3" t="s">
        <v>180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24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180</v>
      </c>
      <c r="D507" s="3"/>
      <c r="E507" s="3" t="s">
        <v>180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117</v>
      </c>
      <c r="O507" s="3"/>
      <c r="P507" s="3"/>
      <c r="Q507" s="3">
        <v>0.115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180</v>
      </c>
      <c r="D508" s="3"/>
      <c r="E508" s="3" t="s">
        <v>180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118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180</v>
      </c>
      <c r="D509" s="3"/>
      <c r="E509" s="3" t="s">
        <v>180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180</v>
      </c>
      <c r="D510" s="3"/>
      <c r="E510" s="3" t="s">
        <v>180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180</v>
      </c>
      <c r="D511" s="3"/>
      <c r="E511" s="3" t="s">
        <v>180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108</v>
      </c>
      <c r="O511" s="3"/>
      <c r="P511" s="3"/>
      <c r="Q511" s="3">
        <v>1.216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180</v>
      </c>
      <c r="D512" s="3"/>
      <c r="E512" s="3" t="s">
        <v>180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316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180</v>
      </c>
      <c r="D513" s="3"/>
      <c r="E513" s="3" t="s">
        <v>180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317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180</v>
      </c>
      <c r="D514" s="3"/>
      <c r="E514" s="3" t="s">
        <v>180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527</v>
      </c>
      <c r="O514" s="3"/>
      <c r="P514" s="3"/>
      <c r="Q514" s="3">
        <v>0.6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318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300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182</v>
      </c>
      <c r="D517" s="3"/>
      <c r="E517" s="3" t="s">
        <v>182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110</v>
      </c>
      <c r="O517" s="3"/>
      <c r="P517" s="3"/>
      <c r="Q517" s="3">
        <v>0.99199999999999999</v>
      </c>
      <c r="R517" s="3" t="s">
        <v>111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182</v>
      </c>
      <c r="D518" s="3"/>
      <c r="E518" s="3" t="s">
        <v>182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202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182</v>
      </c>
      <c r="D519" s="3"/>
      <c r="E519" s="3" t="s">
        <v>182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114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182</v>
      </c>
      <c r="D520" s="3"/>
      <c r="E520" s="3" t="s">
        <v>182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183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182</v>
      </c>
      <c r="D521" s="3"/>
      <c r="E521" s="3" t="s">
        <v>182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116</v>
      </c>
      <c r="O521" s="3"/>
      <c r="P521" s="3"/>
      <c r="Q521" s="3">
        <v>14.935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182</v>
      </c>
      <c r="D522" s="3"/>
      <c r="E522" s="3" t="s">
        <v>182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91.850999999999999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182</v>
      </c>
      <c r="D523" s="3"/>
      <c r="E523" s="3" t="s">
        <v>182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24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182</v>
      </c>
      <c r="D524" s="3"/>
      <c r="E524" s="3" t="s">
        <v>182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117</v>
      </c>
      <c r="O524" s="3"/>
      <c r="P524" s="3"/>
      <c r="Q524" s="3">
        <v>0.125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182</v>
      </c>
      <c r="D525" s="3"/>
      <c r="E525" s="3" t="s">
        <v>182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118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182</v>
      </c>
      <c r="D526" s="3"/>
      <c r="E526" s="3" t="s">
        <v>182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25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182</v>
      </c>
      <c r="D527" s="3"/>
      <c r="E527" s="3" t="s">
        <v>182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182</v>
      </c>
      <c r="D528" s="3"/>
      <c r="E528" s="3" t="s">
        <v>182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108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182</v>
      </c>
      <c r="D529" s="3"/>
      <c r="E529" s="3" t="s">
        <v>182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319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182</v>
      </c>
      <c r="D530" s="3"/>
      <c r="E530" s="3" t="s">
        <v>182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320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182</v>
      </c>
      <c r="D531" s="3"/>
      <c r="E531" s="3" t="s">
        <v>182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528</v>
      </c>
      <c r="O531" s="3"/>
      <c r="P531" s="3"/>
      <c r="Q531" s="3">
        <v>0.8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321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184</v>
      </c>
      <c r="D533" s="3"/>
      <c r="E533" s="3" t="s">
        <v>184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300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184</v>
      </c>
      <c r="D534" s="3"/>
      <c r="E534" s="3" t="s">
        <v>184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110</v>
      </c>
      <c r="O534" s="3"/>
      <c r="P534" s="3"/>
      <c r="Q534" s="3">
        <v>1.0880000000000001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184</v>
      </c>
      <c r="D535" s="3"/>
      <c r="E535" s="3" t="s">
        <v>184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202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184</v>
      </c>
      <c r="D536" s="3"/>
      <c r="E536" s="3" t="s">
        <v>184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114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184</v>
      </c>
      <c r="D537" s="3"/>
      <c r="E537" s="3" t="s">
        <v>184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185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184</v>
      </c>
      <c r="D538" s="3"/>
      <c r="E538" s="3" t="s">
        <v>184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116</v>
      </c>
      <c r="O538" s="3"/>
      <c r="P538" s="3"/>
      <c r="Q538" s="3">
        <v>15.545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184</v>
      </c>
      <c r="D539" s="3"/>
      <c r="E539" s="3" t="s">
        <v>184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95.600999999999999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184</v>
      </c>
      <c r="D540" s="3"/>
      <c r="E540" s="3" t="s">
        <v>184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24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184</v>
      </c>
      <c r="D541" s="3"/>
      <c r="E541" s="3" t="s">
        <v>184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117</v>
      </c>
      <c r="O541" s="3"/>
      <c r="P541" s="3"/>
      <c r="Q541" s="3">
        <v>0.13500000000000001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184</v>
      </c>
      <c r="D542" s="3"/>
      <c r="E542" s="3" t="s">
        <v>184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118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184</v>
      </c>
      <c r="D543" s="3"/>
      <c r="E543" s="3" t="s">
        <v>184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25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184</v>
      </c>
      <c r="D544" s="3"/>
      <c r="E544" s="3" t="s">
        <v>184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26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184</v>
      </c>
      <c r="D545" s="3"/>
      <c r="E545" s="3" t="s">
        <v>184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108</v>
      </c>
      <c r="O545" s="3"/>
      <c r="P545" s="3"/>
      <c r="Q545" s="3">
        <v>1.216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184</v>
      </c>
      <c r="D546" s="3"/>
      <c r="E546" s="3" t="s">
        <v>184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322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184</v>
      </c>
      <c r="D547" s="3"/>
      <c r="E547" s="3" t="s">
        <v>184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323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184</v>
      </c>
      <c r="D548" s="3"/>
      <c r="E548" s="3" t="s">
        <v>184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528</v>
      </c>
      <c r="O548" s="3"/>
      <c r="P548" s="3"/>
      <c r="Q548" s="3">
        <v>0.8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186</v>
      </c>
      <c r="D549" s="3"/>
      <c r="E549" s="3" t="s">
        <v>186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186</v>
      </c>
      <c r="D550" s="3"/>
      <c r="E550" s="3" t="s">
        <v>186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300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186</v>
      </c>
      <c r="D551" s="3"/>
      <c r="E551" s="3" t="s">
        <v>186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0.53800000000000003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186</v>
      </c>
      <c r="D552" s="3"/>
      <c r="E552" s="3" t="s">
        <v>186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202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186</v>
      </c>
      <c r="D553" s="3"/>
      <c r="E553" s="3" t="s">
        <v>186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186</v>
      </c>
      <c r="D554" s="3"/>
      <c r="E554" s="3" t="s">
        <v>186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186</v>
      </c>
      <c r="D555" s="3"/>
      <c r="E555" s="3" t="s">
        <v>186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12.294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186</v>
      </c>
      <c r="D556" s="3"/>
      <c r="E556" s="3" t="s">
        <v>186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75.605999999999995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186</v>
      </c>
      <c r="D557" s="3"/>
      <c r="E557" s="3" t="s">
        <v>186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186</v>
      </c>
      <c r="D558" s="3"/>
      <c r="E558" s="3" t="s">
        <v>186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7.5999999999999998E-2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186</v>
      </c>
      <c r="D559" s="3"/>
      <c r="E559" s="3" t="s">
        <v>186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186</v>
      </c>
      <c r="D560" s="3"/>
      <c r="E560" s="3" t="s">
        <v>186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186</v>
      </c>
      <c r="D561" s="3"/>
      <c r="E561" s="3" t="s">
        <v>186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186</v>
      </c>
      <c r="D562" s="3"/>
      <c r="E562" s="3" t="s">
        <v>186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186</v>
      </c>
      <c r="D563" s="3"/>
      <c r="E563" s="3" t="s">
        <v>186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186</v>
      </c>
      <c r="D564" s="3"/>
      <c r="E564" s="3" t="s">
        <v>186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186</v>
      </c>
      <c r="D565" s="3"/>
      <c r="E565" s="3" t="s">
        <v>186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526</v>
      </c>
      <c r="O565" s="3"/>
      <c r="P565" s="3"/>
      <c r="Q565" s="3">
        <v>0.5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188</v>
      </c>
      <c r="D566" s="3"/>
      <c r="E566" s="3" t="s">
        <v>188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327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188</v>
      </c>
      <c r="D567" s="3"/>
      <c r="E567" s="3" t="s">
        <v>188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300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188</v>
      </c>
      <c r="D568" s="3"/>
      <c r="E568" s="3" t="s">
        <v>188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110</v>
      </c>
      <c r="O568" s="3"/>
      <c r="P568" s="3"/>
      <c r="Q568" s="3">
        <v>0.63900000000000001</v>
      </c>
      <c r="R568" s="3" t="s">
        <v>111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188</v>
      </c>
      <c r="D569" s="3"/>
      <c r="E569" s="3" t="s">
        <v>188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202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188</v>
      </c>
      <c r="D570" s="3"/>
      <c r="E570" s="3" t="s">
        <v>188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114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188</v>
      </c>
      <c r="D571" s="3"/>
      <c r="E571" s="3" t="s">
        <v>188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189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188</v>
      </c>
      <c r="D572" s="3"/>
      <c r="E572" s="3" t="s">
        <v>188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116</v>
      </c>
      <c r="O572" s="3"/>
      <c r="P572" s="3"/>
      <c r="Q572" s="3">
        <v>12.903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188</v>
      </c>
      <c r="D573" s="3"/>
      <c r="E573" s="3" t="s">
        <v>188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79.355000000000004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188</v>
      </c>
      <c r="D574" s="3"/>
      <c r="E574" s="3" t="s">
        <v>188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188</v>
      </c>
      <c r="D575" s="3"/>
      <c r="E575" s="3" t="s">
        <v>188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117</v>
      </c>
      <c r="O575" s="3"/>
      <c r="P575" s="3"/>
      <c r="Q575" s="3">
        <v>8.5999999999999993E-2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188</v>
      </c>
      <c r="D576" s="3"/>
      <c r="E576" s="3" t="s">
        <v>188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118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188</v>
      </c>
      <c r="D577" s="3"/>
      <c r="E577" s="3" t="s">
        <v>188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188</v>
      </c>
      <c r="D578" s="3"/>
      <c r="E578" s="3" t="s">
        <v>188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26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188</v>
      </c>
      <c r="D579" s="3"/>
      <c r="E579" s="3" t="s">
        <v>188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108</v>
      </c>
      <c r="O579" s="3"/>
      <c r="P579" s="3"/>
      <c r="Q579" s="3">
        <v>1.27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188</v>
      </c>
      <c r="D580" s="3"/>
      <c r="E580" s="3" t="s">
        <v>188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328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188</v>
      </c>
      <c r="D581" s="3"/>
      <c r="E581" s="3" t="s">
        <v>188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329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188</v>
      </c>
      <c r="D582" s="3"/>
      <c r="E582" s="3" t="s">
        <v>188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527</v>
      </c>
      <c r="O582" s="3"/>
      <c r="P582" s="3"/>
      <c r="Q582" s="3">
        <v>0.6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190</v>
      </c>
      <c r="D583" s="3"/>
      <c r="E583" s="3" t="s">
        <v>190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330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190</v>
      </c>
      <c r="D584" s="3"/>
      <c r="E584" s="3" t="s">
        <v>190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300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190</v>
      </c>
      <c r="D585" s="3"/>
      <c r="E585" s="3" t="s">
        <v>190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110</v>
      </c>
      <c r="O585" s="3"/>
      <c r="P585" s="3"/>
      <c r="Q585" s="3">
        <v>0.74</v>
      </c>
      <c r="R585" s="3" t="s">
        <v>111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190</v>
      </c>
      <c r="D586" s="3"/>
      <c r="E586" s="3" t="s">
        <v>190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202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190</v>
      </c>
      <c r="D587" s="3"/>
      <c r="E587" s="3" t="s">
        <v>190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114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190</v>
      </c>
      <c r="D588" s="3"/>
      <c r="E588" s="3" t="s">
        <v>190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191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190</v>
      </c>
      <c r="D589" s="3"/>
      <c r="E589" s="3" t="s">
        <v>190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116</v>
      </c>
      <c r="O589" s="3"/>
      <c r="P589" s="3"/>
      <c r="Q589" s="3">
        <v>13.513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190</v>
      </c>
      <c r="D590" s="3"/>
      <c r="E590" s="3" t="s">
        <v>190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83.103999999999999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190</v>
      </c>
      <c r="D591" s="3"/>
      <c r="E591" s="3" t="s">
        <v>190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24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190</v>
      </c>
      <c r="D592" s="3"/>
      <c r="E592" s="3" t="s">
        <v>190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117</v>
      </c>
      <c r="O592" s="3"/>
      <c r="P592" s="3"/>
      <c r="Q592" s="3">
        <v>9.6000000000000002E-2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190</v>
      </c>
      <c r="D593" s="3"/>
      <c r="E593" s="3" t="s">
        <v>190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118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190</v>
      </c>
      <c r="D594" s="3"/>
      <c r="E594" s="3" t="s">
        <v>190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25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190</v>
      </c>
      <c r="D595" s="3"/>
      <c r="E595" s="3" t="s">
        <v>190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26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190</v>
      </c>
      <c r="D596" s="3"/>
      <c r="E596" s="3" t="s">
        <v>190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108</v>
      </c>
      <c r="O596" s="3"/>
      <c r="P596" s="3"/>
      <c r="Q596" s="3">
        <v>1.27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190</v>
      </c>
      <c r="D597" s="3"/>
      <c r="E597" s="3" t="s">
        <v>190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331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190</v>
      </c>
      <c r="D598" s="3"/>
      <c r="E598" s="3" t="s">
        <v>190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332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190</v>
      </c>
      <c r="D599" s="3"/>
      <c r="E599" s="3" t="s">
        <v>190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527</v>
      </c>
      <c r="O599" s="3"/>
      <c r="P599" s="3"/>
      <c r="Q599" s="3">
        <v>0.6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192</v>
      </c>
      <c r="D600" s="3"/>
      <c r="E600" s="3" t="s">
        <v>192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333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192</v>
      </c>
      <c r="D601" s="3"/>
      <c r="E601" s="3" t="s">
        <v>192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300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192</v>
      </c>
      <c r="D602" s="3"/>
      <c r="E602" s="3" t="s">
        <v>192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110</v>
      </c>
      <c r="O602" s="3"/>
      <c r="P602" s="3"/>
      <c r="Q602" s="3">
        <v>0.84</v>
      </c>
      <c r="R602" s="3" t="s">
        <v>111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192</v>
      </c>
      <c r="D603" s="3"/>
      <c r="E603" s="3" t="s">
        <v>192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202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192</v>
      </c>
      <c r="D604" s="3"/>
      <c r="E604" s="3" t="s">
        <v>192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114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192</v>
      </c>
      <c r="D605" s="3"/>
      <c r="E605" s="3" t="s">
        <v>192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193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192</v>
      </c>
      <c r="D606" s="3"/>
      <c r="E606" s="3" t="s">
        <v>192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116</v>
      </c>
      <c r="O606" s="3"/>
      <c r="P606" s="3"/>
      <c r="Q606" s="3">
        <v>14.122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192</v>
      </c>
      <c r="D607" s="3"/>
      <c r="E607" s="3" t="s">
        <v>192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86.852999999999994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192</v>
      </c>
      <c r="D608" s="3"/>
      <c r="E608" s="3" t="s">
        <v>192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192</v>
      </c>
      <c r="D609" s="3"/>
      <c r="E609" s="3" t="s">
        <v>192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117</v>
      </c>
      <c r="O609" s="3"/>
      <c r="P609" s="3"/>
      <c r="Q609" s="3">
        <v>0.106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192</v>
      </c>
      <c r="D610" s="3"/>
      <c r="E610" s="3" t="s">
        <v>192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118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192</v>
      </c>
      <c r="D611" s="3"/>
      <c r="E611" s="3" t="s">
        <v>192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25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192</v>
      </c>
      <c r="D612" s="3"/>
      <c r="E612" s="3" t="s">
        <v>192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26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192</v>
      </c>
      <c r="D613" s="3"/>
      <c r="E613" s="3" t="s">
        <v>192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108</v>
      </c>
      <c r="O613" s="3"/>
      <c r="P613" s="3"/>
      <c r="Q613" s="3">
        <v>1.27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192</v>
      </c>
      <c r="D614" s="3"/>
      <c r="E614" s="3" t="s">
        <v>192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334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192</v>
      </c>
      <c r="D615" s="3"/>
      <c r="E615" s="3" t="s">
        <v>192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335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192</v>
      </c>
      <c r="D616" s="3"/>
      <c r="E616" s="3" t="s">
        <v>192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527</v>
      </c>
      <c r="O616" s="3"/>
      <c r="P616" s="3"/>
      <c r="Q616" s="3">
        <v>0.6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194</v>
      </c>
      <c r="D617" s="3"/>
      <c r="E617" s="3" t="s">
        <v>194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336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194</v>
      </c>
      <c r="D618" s="3"/>
      <c r="E618" s="3" t="s">
        <v>194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300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194</v>
      </c>
      <c r="D619" s="3"/>
      <c r="E619" s="3" t="s">
        <v>194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110</v>
      </c>
      <c r="O619" s="3"/>
      <c r="P619" s="3"/>
      <c r="Q619" s="3">
        <v>0.89100000000000001</v>
      </c>
      <c r="R619" s="3" t="s">
        <v>111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194</v>
      </c>
      <c r="D620" s="3"/>
      <c r="E620" s="3" t="s">
        <v>194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202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194</v>
      </c>
      <c r="D621" s="3"/>
      <c r="E621" s="3" t="s">
        <v>194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114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194</v>
      </c>
      <c r="D622" s="3"/>
      <c r="E622" s="3" t="s">
        <v>194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195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194</v>
      </c>
      <c r="D623" s="3"/>
      <c r="E623" s="3" t="s">
        <v>194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116</v>
      </c>
      <c r="O623" s="3"/>
      <c r="P623" s="3"/>
      <c r="Q623" s="3">
        <v>14.427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194</v>
      </c>
      <c r="D624" s="3"/>
      <c r="E624" s="3" t="s">
        <v>194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88.727000000000004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194</v>
      </c>
      <c r="D625" s="3"/>
      <c r="E625" s="3" t="s">
        <v>194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24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194</v>
      </c>
      <c r="D626" s="3"/>
      <c r="E626" s="3" t="s">
        <v>194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117</v>
      </c>
      <c r="O626" s="3"/>
      <c r="P626" s="3"/>
      <c r="Q626" s="3">
        <v>0.111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194</v>
      </c>
      <c r="D627" s="3"/>
      <c r="E627" s="3" t="s">
        <v>194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118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194</v>
      </c>
      <c r="D628" s="3"/>
      <c r="E628" s="3" t="s">
        <v>194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25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194</v>
      </c>
      <c r="D629" s="3"/>
      <c r="E629" s="3" t="s">
        <v>194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194</v>
      </c>
      <c r="D630" s="3"/>
      <c r="E630" s="3" t="s">
        <v>194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108</v>
      </c>
      <c r="O630" s="3"/>
      <c r="P630" s="3"/>
      <c r="Q630" s="3">
        <v>1.27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194</v>
      </c>
      <c r="D631" s="3"/>
      <c r="E631" s="3" t="s">
        <v>194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337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194</v>
      </c>
      <c r="D632" s="3"/>
      <c r="E632" s="3" t="s">
        <v>194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338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194</v>
      </c>
      <c r="D633" s="3"/>
      <c r="E633" s="3" t="s">
        <v>194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527</v>
      </c>
      <c r="O633" s="3"/>
      <c r="P633" s="3"/>
      <c r="Q633" s="3">
        <v>0.6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196</v>
      </c>
      <c r="D634" s="3"/>
      <c r="E634" s="3" t="s">
        <v>196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339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196</v>
      </c>
      <c r="D635" s="3"/>
      <c r="E635" s="3" t="s">
        <v>196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300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196</v>
      </c>
      <c r="D636" s="3"/>
      <c r="E636" s="3" t="s">
        <v>196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110</v>
      </c>
      <c r="O636" s="3"/>
      <c r="P636" s="3"/>
      <c r="Q636" s="3">
        <v>0.94099999999999995</v>
      </c>
      <c r="R636" s="3" t="s">
        <v>111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196</v>
      </c>
      <c r="D637" s="3"/>
      <c r="E637" s="3" t="s">
        <v>196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202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196</v>
      </c>
      <c r="D638" s="3"/>
      <c r="E638" s="3" t="s">
        <v>196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114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196</v>
      </c>
      <c r="D639" s="3"/>
      <c r="E639" s="3" t="s">
        <v>196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197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196</v>
      </c>
      <c r="D640" s="3"/>
      <c r="E640" s="3" t="s">
        <v>196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116</v>
      </c>
      <c r="O640" s="3"/>
      <c r="P640" s="3"/>
      <c r="Q640" s="3">
        <v>14.731999999999999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196</v>
      </c>
      <c r="D641" s="3"/>
      <c r="E641" s="3" t="s">
        <v>196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90.602000000000004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196</v>
      </c>
      <c r="D642" s="3"/>
      <c r="E642" s="3" t="s">
        <v>196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24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196</v>
      </c>
      <c r="D643" s="3"/>
      <c r="E643" s="3" t="s">
        <v>196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117</v>
      </c>
      <c r="O643" s="3"/>
      <c r="P643" s="3"/>
      <c r="Q643" s="3">
        <v>0.115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196</v>
      </c>
      <c r="D644" s="3"/>
      <c r="E644" s="3" t="s">
        <v>196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118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196</v>
      </c>
      <c r="D645" s="3"/>
      <c r="E645" s="3" t="s">
        <v>196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196</v>
      </c>
      <c r="D646" s="3"/>
      <c r="E646" s="3" t="s">
        <v>196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196</v>
      </c>
      <c r="D647" s="3"/>
      <c r="E647" s="3" t="s">
        <v>196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108</v>
      </c>
      <c r="O647" s="3"/>
      <c r="P647" s="3"/>
      <c r="Q647" s="3">
        <v>1.27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196</v>
      </c>
      <c r="D648" s="3"/>
      <c r="E648" s="3" t="s">
        <v>196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340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196</v>
      </c>
      <c r="D649" s="3"/>
      <c r="E649" s="3" t="s">
        <v>196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341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196</v>
      </c>
      <c r="D650" s="3"/>
      <c r="E650" s="3" t="s">
        <v>196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527</v>
      </c>
      <c r="O650" s="3"/>
      <c r="P650" s="3"/>
      <c r="Q650" s="3">
        <v>0.6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342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300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198</v>
      </c>
      <c r="D653" s="3"/>
      <c r="E653" s="3" t="s">
        <v>198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110</v>
      </c>
      <c r="O653" s="3"/>
      <c r="P653" s="3"/>
      <c r="Q653" s="3">
        <v>1.042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198</v>
      </c>
      <c r="D654" s="3"/>
      <c r="E654" s="3" t="s">
        <v>198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202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198</v>
      </c>
      <c r="D655" s="3"/>
      <c r="E655" s="3" t="s">
        <v>198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114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198</v>
      </c>
      <c r="D656" s="3"/>
      <c r="E656" s="3" t="s">
        <v>198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199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198</v>
      </c>
      <c r="D657" s="3"/>
      <c r="E657" s="3" t="s">
        <v>198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116</v>
      </c>
      <c r="O657" s="3"/>
      <c r="P657" s="3"/>
      <c r="Q657" s="3">
        <v>15.342000000000001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198</v>
      </c>
      <c r="D658" s="3"/>
      <c r="E658" s="3" t="s">
        <v>198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94.350999999999999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198</v>
      </c>
      <c r="D659" s="3"/>
      <c r="E659" s="3" t="s">
        <v>198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24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198</v>
      </c>
      <c r="D660" s="3"/>
      <c r="E660" s="3" t="s">
        <v>198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117</v>
      </c>
      <c r="O660" s="3"/>
      <c r="P660" s="3"/>
      <c r="Q660" s="3">
        <v>0.125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198</v>
      </c>
      <c r="D661" s="3"/>
      <c r="E661" s="3" t="s">
        <v>198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118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198</v>
      </c>
      <c r="D662" s="3"/>
      <c r="E662" s="3" t="s">
        <v>198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198</v>
      </c>
      <c r="D663" s="3"/>
      <c r="E663" s="3" t="s">
        <v>198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198</v>
      </c>
      <c r="D664" s="3"/>
      <c r="E664" s="3" t="s">
        <v>198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108</v>
      </c>
      <c r="O664" s="3"/>
      <c r="P664" s="3"/>
      <c r="Q664" s="3">
        <v>1.27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198</v>
      </c>
      <c r="D665" s="3"/>
      <c r="E665" s="3" t="s">
        <v>198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343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198</v>
      </c>
      <c r="D666" s="3"/>
      <c r="E666" s="3" t="s">
        <v>198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344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198</v>
      </c>
      <c r="D667" s="3"/>
      <c r="E667" s="3" t="s">
        <v>198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528</v>
      </c>
      <c r="O667" s="3"/>
      <c r="P667" s="3"/>
      <c r="Q667" s="3">
        <v>0.8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345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300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110</v>
      </c>
      <c r="O670" s="3"/>
      <c r="P670" s="3"/>
      <c r="Q670" s="3">
        <v>1.143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202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114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201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116</v>
      </c>
      <c r="O674" s="3"/>
      <c r="P674" s="3"/>
      <c r="Q674" s="3">
        <v>15.951000000000001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98.1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200</v>
      </c>
      <c r="D677" s="3"/>
      <c r="E677" s="3" t="s">
        <v>200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117</v>
      </c>
      <c r="O677" s="3"/>
      <c r="P677" s="3"/>
      <c r="Q677" s="3">
        <v>0.13500000000000001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200</v>
      </c>
      <c r="D678" s="3"/>
      <c r="E678" s="3" t="s">
        <v>200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118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200</v>
      </c>
      <c r="D679" s="3"/>
      <c r="E679" s="3" t="s">
        <v>200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25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200</v>
      </c>
      <c r="D680" s="3"/>
      <c r="E680" s="3" t="s">
        <v>200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26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200</v>
      </c>
      <c r="D681" s="3"/>
      <c r="E681" s="3" t="s">
        <v>200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108</v>
      </c>
      <c r="O681" s="3"/>
      <c r="P681" s="3"/>
      <c r="Q681" s="3">
        <v>1.27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200</v>
      </c>
      <c r="D682" s="3"/>
      <c r="E682" s="3" t="s">
        <v>200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346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200</v>
      </c>
      <c r="D683" s="3"/>
      <c r="E683" s="3" t="s">
        <v>200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347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200</v>
      </c>
      <c r="D684" s="3"/>
      <c r="E684" s="3" t="s">
        <v>200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528</v>
      </c>
      <c r="O684" s="3"/>
      <c r="P684" s="3"/>
      <c r="Q684" s="3">
        <v>0.8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348</v>
      </c>
      <c r="D685" s="3"/>
      <c r="E685" s="3" t="s">
        <v>348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349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348</v>
      </c>
      <c r="D686" s="3"/>
      <c r="E686" s="3" t="s">
        <v>348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350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348</v>
      </c>
      <c r="D687" s="3"/>
      <c r="E687" s="3" t="s">
        <v>348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0.41699999999999998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348</v>
      </c>
      <c r="D688" s="3"/>
      <c r="E688" s="3" t="s">
        <v>348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202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348</v>
      </c>
      <c r="D689" s="3"/>
      <c r="E689" s="3" t="s">
        <v>348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114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348</v>
      </c>
      <c r="D690" s="3"/>
      <c r="E690" s="3" t="s">
        <v>348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351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348</v>
      </c>
      <c r="D691" s="3"/>
      <c r="E691" s="3" t="s">
        <v>348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116</v>
      </c>
      <c r="O691" s="3"/>
      <c r="P691" s="3"/>
      <c r="Q691" s="3">
        <v>10.77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348</v>
      </c>
      <c r="D692" s="3"/>
      <c r="E692" s="3" t="s">
        <v>348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66.233000000000004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348</v>
      </c>
      <c r="D693" s="3"/>
      <c r="E693" s="3" t="s">
        <v>348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348</v>
      </c>
      <c r="D694" s="3"/>
      <c r="E694" s="3" t="s">
        <v>348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117</v>
      </c>
      <c r="O694" s="3"/>
      <c r="P694" s="3"/>
      <c r="Q694" s="3">
        <v>7.1999999999999995E-2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348</v>
      </c>
      <c r="D695" s="3"/>
      <c r="E695" s="3" t="s">
        <v>348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118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348</v>
      </c>
      <c r="D696" s="3"/>
      <c r="E696" s="3" t="s">
        <v>348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348</v>
      </c>
      <c r="D697" s="3"/>
      <c r="E697" s="3" t="s">
        <v>348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348</v>
      </c>
      <c r="D698" s="3"/>
      <c r="E698" s="3" t="s">
        <v>348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108</v>
      </c>
      <c r="O698" s="3"/>
      <c r="P698" s="3"/>
      <c r="Q698" s="3">
        <v>0.54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348</v>
      </c>
      <c r="D699" s="3"/>
      <c r="E699" s="3" t="s">
        <v>348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352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348</v>
      </c>
      <c r="D700" s="3"/>
      <c r="E700" s="3" t="s">
        <v>348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353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348</v>
      </c>
      <c r="D701" s="3"/>
      <c r="E701" s="3" t="s">
        <v>348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526</v>
      </c>
      <c r="O701" s="3"/>
      <c r="P701" s="3"/>
      <c r="Q701" s="3">
        <v>0.5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354</v>
      </c>
      <c r="D702" s="3"/>
      <c r="E702" s="3" t="s">
        <v>354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355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354</v>
      </c>
      <c r="D703" s="3"/>
      <c r="E703" s="3" t="s">
        <v>354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210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354</v>
      </c>
      <c r="D704" s="3"/>
      <c r="E704" s="3" t="s">
        <v>354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110</v>
      </c>
      <c r="O704" s="3"/>
      <c r="P704" s="3"/>
      <c r="Q704" s="3">
        <v>0.503</v>
      </c>
      <c r="R704" s="3" t="s">
        <v>111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354</v>
      </c>
      <c r="D705" s="3"/>
      <c r="E705" s="3" t="s">
        <v>354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202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354</v>
      </c>
      <c r="D706" s="3"/>
      <c r="E706" s="3" t="s">
        <v>354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114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354</v>
      </c>
      <c r="D707" s="3"/>
      <c r="E707" s="3" t="s">
        <v>354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356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354</v>
      </c>
      <c r="D708" s="3"/>
      <c r="E708" s="3" t="s">
        <v>354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116</v>
      </c>
      <c r="O708" s="3"/>
      <c r="P708" s="3"/>
      <c r="Q708" s="3">
        <v>11.379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354</v>
      </c>
      <c r="D709" s="3"/>
      <c r="E709" s="3" t="s">
        <v>354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69.981999999999999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354</v>
      </c>
      <c r="D710" s="3"/>
      <c r="E710" s="3" t="s">
        <v>354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24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354</v>
      </c>
      <c r="D711" s="3"/>
      <c r="E711" s="3" t="s">
        <v>354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117</v>
      </c>
      <c r="O711" s="3"/>
      <c r="P711" s="3"/>
      <c r="Q711" s="3">
        <v>8.1000000000000003E-2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354</v>
      </c>
      <c r="D712" s="3"/>
      <c r="E712" s="3" t="s">
        <v>354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118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354</v>
      </c>
      <c r="D713" s="3"/>
      <c r="E713" s="3" t="s">
        <v>354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25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354</v>
      </c>
      <c r="D714" s="3"/>
      <c r="E714" s="3" t="s">
        <v>354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26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354</v>
      </c>
      <c r="D715" s="3"/>
      <c r="E715" s="3" t="s">
        <v>354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108</v>
      </c>
      <c r="O715" s="3"/>
      <c r="P715" s="3"/>
      <c r="Q715" s="3">
        <v>0.622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354</v>
      </c>
      <c r="D716" s="3"/>
      <c r="E716" s="3" t="s">
        <v>354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357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18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354</v>
      </c>
      <c r="D717" s="3"/>
      <c r="E717" s="3" t="s">
        <v>354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358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18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354</v>
      </c>
      <c r="D718" s="3"/>
      <c r="E718" s="3" t="s">
        <v>354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526</v>
      </c>
      <c r="O718" s="3"/>
      <c r="P718" s="3"/>
      <c r="Q718" s="3">
        <v>0.5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359</v>
      </c>
      <c r="D719" s="3"/>
      <c r="E719" s="3" t="s">
        <v>359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360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359</v>
      </c>
      <c r="D720" s="3"/>
      <c r="E720" s="3" t="s">
        <v>359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214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359</v>
      </c>
      <c r="D721" s="3"/>
      <c r="E721" s="3" t="s">
        <v>359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110</v>
      </c>
      <c r="O721" s="3"/>
      <c r="P721" s="3"/>
      <c r="Q721" s="3">
        <v>0.58899999999999997</v>
      </c>
      <c r="R721" s="3" t="s">
        <v>111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359</v>
      </c>
      <c r="D722" s="3"/>
      <c r="E722" s="3" t="s">
        <v>359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202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359</v>
      </c>
      <c r="D723" s="3"/>
      <c r="E723" s="3" t="s">
        <v>359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114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359</v>
      </c>
      <c r="D724" s="3"/>
      <c r="E724" s="3" t="s">
        <v>359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361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359</v>
      </c>
      <c r="D725" s="3"/>
      <c r="E725" s="3" t="s">
        <v>359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116</v>
      </c>
      <c r="O725" s="3"/>
      <c r="P725" s="3"/>
      <c r="Q725" s="3">
        <v>11.989000000000001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359</v>
      </c>
      <c r="D726" s="3"/>
      <c r="E726" s="3" t="s">
        <v>359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73.730999999999995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359</v>
      </c>
      <c r="D727" s="3"/>
      <c r="E727" s="3" t="s">
        <v>359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359</v>
      </c>
      <c r="D728" s="3"/>
      <c r="E728" s="3" t="s">
        <v>359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117</v>
      </c>
      <c r="O728" s="3"/>
      <c r="P728" s="3"/>
      <c r="Q728" s="3">
        <v>9.0999999999999998E-2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359</v>
      </c>
      <c r="D729" s="3"/>
      <c r="E729" s="3" t="s">
        <v>359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118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359</v>
      </c>
      <c r="D730" s="3"/>
      <c r="E730" s="3" t="s">
        <v>359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25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359</v>
      </c>
      <c r="D731" s="3"/>
      <c r="E731" s="3" t="s">
        <v>359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26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359</v>
      </c>
      <c r="D732" s="3"/>
      <c r="E732" s="3" t="s">
        <v>359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108</v>
      </c>
      <c r="O732" s="3"/>
      <c r="P732" s="3"/>
      <c r="Q732" s="3">
        <v>0.70299999999999996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359</v>
      </c>
      <c r="D733" s="3"/>
      <c r="E733" s="3" t="s">
        <v>359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362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359</v>
      </c>
      <c r="D734" s="3"/>
      <c r="E734" s="3" t="s">
        <v>359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363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359</v>
      </c>
      <c r="D735" s="3"/>
      <c r="E735" s="3" t="s">
        <v>359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527</v>
      </c>
      <c r="O735" s="3"/>
      <c r="P735" s="3"/>
      <c r="Q735" s="3">
        <v>0.6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364</v>
      </c>
      <c r="D736" s="3"/>
      <c r="E736" s="3" t="s">
        <v>364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365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364</v>
      </c>
      <c r="D737" s="3"/>
      <c r="E737" s="3" t="s">
        <v>364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218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364</v>
      </c>
      <c r="D738" s="3"/>
      <c r="E738" s="3" t="s">
        <v>364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110</v>
      </c>
      <c r="O738" s="3"/>
      <c r="P738" s="3"/>
      <c r="Q738" s="3">
        <v>0.67600000000000005</v>
      </c>
      <c r="R738" s="3" t="s">
        <v>111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364</v>
      </c>
      <c r="D739" s="3"/>
      <c r="E739" s="3" t="s">
        <v>364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202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364</v>
      </c>
      <c r="D740" s="3"/>
      <c r="E740" s="3" t="s">
        <v>364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114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364</v>
      </c>
      <c r="D741" s="3"/>
      <c r="E741" s="3" t="s">
        <v>364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366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364</v>
      </c>
      <c r="D742" s="3"/>
      <c r="E742" s="3" t="s">
        <v>364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116</v>
      </c>
      <c r="O742" s="3"/>
      <c r="P742" s="3"/>
      <c r="Q742" s="3">
        <v>12.598000000000001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364</v>
      </c>
      <c r="D743" s="3"/>
      <c r="E743" s="3" t="s">
        <v>364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77.48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364</v>
      </c>
      <c r="D744" s="3"/>
      <c r="E744" s="3" t="s">
        <v>364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24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364</v>
      </c>
      <c r="D745" s="3"/>
      <c r="E745" s="3" t="s">
        <v>364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117</v>
      </c>
      <c r="O745" s="3"/>
      <c r="P745" s="3"/>
      <c r="Q745" s="3">
        <v>0.10100000000000001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364</v>
      </c>
      <c r="D746" s="3"/>
      <c r="E746" s="3" t="s">
        <v>364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118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364</v>
      </c>
      <c r="D747" s="3"/>
      <c r="E747" s="3" t="s">
        <v>364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25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364</v>
      </c>
      <c r="D748" s="3"/>
      <c r="E748" s="3" t="s">
        <v>364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26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364</v>
      </c>
      <c r="D749" s="3"/>
      <c r="E749" s="3" t="s">
        <v>364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108</v>
      </c>
      <c r="O749" s="3"/>
      <c r="P749" s="3"/>
      <c r="Q749" s="3">
        <v>0.78400000000000003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364</v>
      </c>
      <c r="D750" s="3"/>
      <c r="E750" s="3" t="s">
        <v>364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367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364</v>
      </c>
      <c r="D751" s="3"/>
      <c r="E751" s="3" t="s">
        <v>364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368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364</v>
      </c>
      <c r="D752" s="3"/>
      <c r="E752" s="3" t="s">
        <v>364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527</v>
      </c>
      <c r="O752" s="3"/>
      <c r="P752" s="3"/>
      <c r="Q752" s="3">
        <v>0.6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369</v>
      </c>
      <c r="D753" s="3"/>
      <c r="E753" s="3" t="s">
        <v>369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370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369</v>
      </c>
      <c r="D754" s="3"/>
      <c r="E754" s="3" t="s">
        <v>369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222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369</v>
      </c>
      <c r="D755" s="3"/>
      <c r="E755" s="3" t="s">
        <v>369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110</v>
      </c>
      <c r="O755" s="3"/>
      <c r="P755" s="3"/>
      <c r="Q755" s="3">
        <v>0.84799999999999998</v>
      </c>
      <c r="R755" s="3" t="s">
        <v>111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369</v>
      </c>
      <c r="D756" s="3"/>
      <c r="E756" s="3" t="s">
        <v>369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202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369</v>
      </c>
      <c r="D757" s="3"/>
      <c r="E757" s="3" t="s">
        <v>369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114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369</v>
      </c>
      <c r="D758" s="3"/>
      <c r="E758" s="3" t="s">
        <v>369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371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369</v>
      </c>
      <c r="D759" s="3"/>
      <c r="E759" s="3" t="s">
        <v>369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116</v>
      </c>
      <c r="O759" s="3"/>
      <c r="P759" s="3"/>
      <c r="Q759" s="3">
        <v>13.818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369</v>
      </c>
      <c r="D760" s="3"/>
      <c r="E760" s="3" t="s">
        <v>369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84.977999999999994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369</v>
      </c>
      <c r="D761" s="3"/>
      <c r="E761" s="3" t="s">
        <v>369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369</v>
      </c>
      <c r="D762" s="3"/>
      <c r="E762" s="3" t="s">
        <v>369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117</v>
      </c>
      <c r="O762" s="3"/>
      <c r="P762" s="3"/>
      <c r="Q762" s="3">
        <v>0.12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369</v>
      </c>
      <c r="D763" s="3"/>
      <c r="E763" s="3" t="s">
        <v>369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118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369</v>
      </c>
      <c r="D764" s="3"/>
      <c r="E764" s="3" t="s">
        <v>369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369</v>
      </c>
      <c r="D765" s="3"/>
      <c r="E765" s="3" t="s">
        <v>369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369</v>
      </c>
      <c r="D766" s="3"/>
      <c r="E766" s="3" t="s">
        <v>369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108</v>
      </c>
      <c r="O766" s="3"/>
      <c r="P766" s="3"/>
      <c r="Q766" s="3">
        <v>0.94599999999999995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369</v>
      </c>
      <c r="D767" s="3"/>
      <c r="E767" s="3" t="s">
        <v>369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372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369</v>
      </c>
      <c r="D768" s="3"/>
      <c r="E768" s="3" t="s">
        <v>369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373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369</v>
      </c>
      <c r="D769" s="3"/>
      <c r="E769" s="3" t="s">
        <v>369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527</v>
      </c>
      <c r="O769" s="3"/>
      <c r="P769" s="3"/>
      <c r="Q769" s="3">
        <v>0.6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374</v>
      </c>
      <c r="D770" s="3"/>
      <c r="E770" s="3" t="s">
        <v>374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375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374</v>
      </c>
      <c r="D771" s="3"/>
      <c r="E771" s="3" t="s">
        <v>374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232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374</v>
      </c>
      <c r="D772" s="3"/>
      <c r="E772" s="3" t="s">
        <v>374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110</v>
      </c>
      <c r="O772" s="3"/>
      <c r="P772" s="3"/>
      <c r="Q772" s="3">
        <v>0.93500000000000005</v>
      </c>
      <c r="R772" s="3" t="s">
        <v>111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374</v>
      </c>
      <c r="D773" s="3"/>
      <c r="E773" s="3" t="s">
        <v>374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202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374</v>
      </c>
      <c r="D774" s="3"/>
      <c r="E774" s="3" t="s">
        <v>374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114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374</v>
      </c>
      <c r="D775" s="3"/>
      <c r="E775" s="3" t="s">
        <v>374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376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374</v>
      </c>
      <c r="D776" s="3"/>
      <c r="E776" s="3" t="s">
        <v>374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116</v>
      </c>
      <c r="O776" s="3"/>
      <c r="P776" s="3"/>
      <c r="Q776" s="3">
        <v>14.427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374</v>
      </c>
      <c r="D777" s="3"/>
      <c r="E777" s="3" t="s">
        <v>374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88.727000000000004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374</v>
      </c>
      <c r="D778" s="3"/>
      <c r="E778" s="3" t="s">
        <v>374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24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374</v>
      </c>
      <c r="D779" s="3"/>
      <c r="E779" s="3" t="s">
        <v>374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117</v>
      </c>
      <c r="O779" s="3"/>
      <c r="P779" s="3"/>
      <c r="Q779" s="3">
        <v>0.13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374</v>
      </c>
      <c r="D780" s="3"/>
      <c r="E780" s="3" t="s">
        <v>374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118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374</v>
      </c>
      <c r="D781" s="3"/>
      <c r="E781" s="3" t="s">
        <v>374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374</v>
      </c>
      <c r="D782" s="3"/>
      <c r="E782" s="3" t="s">
        <v>374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374</v>
      </c>
      <c r="D783" s="3"/>
      <c r="E783" s="3" t="s">
        <v>374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108</v>
      </c>
      <c r="O783" s="3"/>
      <c r="P783" s="3"/>
      <c r="Q783" s="3">
        <v>1.0269999999999999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374</v>
      </c>
      <c r="D784" s="3"/>
      <c r="E784" s="3" t="s">
        <v>374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377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374</v>
      </c>
      <c r="D785" s="3"/>
      <c r="E785" s="3" t="s">
        <v>374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378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374</v>
      </c>
      <c r="D786" s="3"/>
      <c r="E786" s="3" t="s">
        <v>374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528</v>
      </c>
      <c r="O786" s="3"/>
      <c r="P786" s="3"/>
      <c r="Q786" s="3">
        <v>0.8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379</v>
      </c>
      <c r="D787" s="3"/>
      <c r="E787" s="3" t="s">
        <v>379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380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379</v>
      </c>
      <c r="D788" s="3"/>
      <c r="E788" s="3" t="s">
        <v>379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236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379</v>
      </c>
      <c r="D789" s="3"/>
      <c r="E789" s="3" t="s">
        <v>379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110</v>
      </c>
      <c r="O789" s="3"/>
      <c r="P789" s="3"/>
      <c r="Q789" s="3">
        <v>1.0209999999999999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379</v>
      </c>
      <c r="D790" s="3"/>
      <c r="E790" s="3" t="s">
        <v>379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202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379</v>
      </c>
      <c r="D791" s="3"/>
      <c r="E791" s="3" t="s">
        <v>379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114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379</v>
      </c>
      <c r="D792" s="3"/>
      <c r="E792" s="3" t="s">
        <v>379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381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379</v>
      </c>
      <c r="D793" s="3"/>
      <c r="E793" s="3" t="s">
        <v>379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116</v>
      </c>
      <c r="O793" s="3"/>
      <c r="P793" s="3"/>
      <c r="Q793" s="3">
        <v>15.037000000000001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379</v>
      </c>
      <c r="D794" s="3"/>
      <c r="E794" s="3" t="s">
        <v>379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92.475999999999999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379</v>
      </c>
      <c r="D795" s="3"/>
      <c r="E795" s="3" t="s">
        <v>379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379</v>
      </c>
      <c r="D796" s="3"/>
      <c r="E796" s="3" t="s">
        <v>379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117</v>
      </c>
      <c r="O796" s="3"/>
      <c r="P796" s="3"/>
      <c r="Q796" s="3">
        <v>0.14000000000000001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379</v>
      </c>
      <c r="D797" s="3"/>
      <c r="E797" s="3" t="s">
        <v>379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118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379</v>
      </c>
      <c r="D798" s="3"/>
      <c r="E798" s="3" t="s">
        <v>379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379</v>
      </c>
      <c r="D799" s="3"/>
      <c r="E799" s="3" t="s">
        <v>379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379</v>
      </c>
      <c r="D800" s="3"/>
      <c r="E800" s="3" t="s">
        <v>379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108</v>
      </c>
      <c r="O800" s="3"/>
      <c r="P800" s="3"/>
      <c r="Q800" s="3">
        <v>1.1080000000000001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379</v>
      </c>
      <c r="D801" s="3"/>
      <c r="E801" s="3" t="s">
        <v>379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382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379</v>
      </c>
      <c r="D802" s="3"/>
      <c r="E802" s="3" t="s">
        <v>379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383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379</v>
      </c>
      <c r="D803" s="3"/>
      <c r="E803" s="3" t="s">
        <v>379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528</v>
      </c>
      <c r="O803" s="3"/>
      <c r="P803" s="3"/>
      <c r="Q803" s="3">
        <v>0.8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384</v>
      </c>
      <c r="D804" s="3"/>
      <c r="E804" s="3" t="s">
        <v>384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385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384</v>
      </c>
      <c r="D805" s="3"/>
      <c r="E805" s="3" t="s">
        <v>384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386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384</v>
      </c>
      <c r="D806" s="3"/>
      <c r="E806" s="3" t="s">
        <v>384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110</v>
      </c>
      <c r="O806" s="3"/>
      <c r="P806" s="3"/>
      <c r="Q806" s="3">
        <v>0.435</v>
      </c>
      <c r="R806" s="3" t="s">
        <v>111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384</v>
      </c>
      <c r="D807" s="3"/>
      <c r="E807" s="3" t="s">
        <v>384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202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384</v>
      </c>
      <c r="D808" s="3"/>
      <c r="E808" s="3" t="s">
        <v>384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114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384</v>
      </c>
      <c r="D809" s="3"/>
      <c r="E809" s="3" t="s">
        <v>384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387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384</v>
      </c>
      <c r="D810" s="3"/>
      <c r="E810" s="3" t="s">
        <v>384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116</v>
      </c>
      <c r="O810" s="3"/>
      <c r="P810" s="3"/>
      <c r="Q810" s="3">
        <v>11.074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384</v>
      </c>
      <c r="D811" s="3"/>
      <c r="E811" s="3" t="s">
        <v>384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68.108000000000004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384</v>
      </c>
      <c r="D812" s="3"/>
      <c r="E812" s="3" t="s">
        <v>384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384</v>
      </c>
      <c r="D813" s="3"/>
      <c r="E813" s="3" t="s">
        <v>384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117</v>
      </c>
      <c r="O813" s="3"/>
      <c r="P813" s="3"/>
      <c r="Q813" s="3">
        <v>7.1999999999999995E-2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384</v>
      </c>
      <c r="D814" s="3"/>
      <c r="E814" s="3" t="s">
        <v>384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118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384</v>
      </c>
      <c r="D815" s="3"/>
      <c r="E815" s="3" t="s">
        <v>384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25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384</v>
      </c>
      <c r="D816" s="3"/>
      <c r="E816" s="3" t="s">
        <v>384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384</v>
      </c>
      <c r="D817" s="3"/>
      <c r="E817" s="3" t="s">
        <v>384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108</v>
      </c>
      <c r="O817" s="3"/>
      <c r="P817" s="3"/>
      <c r="Q817" s="3">
        <v>0.54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384</v>
      </c>
      <c r="D818" s="3"/>
      <c r="E818" s="3" t="s">
        <v>384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388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384</v>
      </c>
      <c r="D819" s="3"/>
      <c r="E819" s="3" t="s">
        <v>384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389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384</v>
      </c>
      <c r="D820" s="3"/>
      <c r="E820" s="3" t="s">
        <v>384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526</v>
      </c>
      <c r="O820" s="3"/>
      <c r="P820" s="3"/>
      <c r="Q820" s="3">
        <v>0.5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390</v>
      </c>
      <c r="D821" s="3"/>
      <c r="E821" s="3" t="s">
        <v>390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391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390</v>
      </c>
      <c r="D822" s="3"/>
      <c r="E822" s="3" t="s">
        <v>390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240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390</v>
      </c>
      <c r="D823" s="3"/>
      <c r="E823" s="3" t="s">
        <v>390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0.52400000000000002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390</v>
      </c>
      <c r="D824" s="3"/>
      <c r="E824" s="3" t="s">
        <v>390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202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390</v>
      </c>
      <c r="D825" s="3"/>
      <c r="E825" s="3" t="s">
        <v>390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390</v>
      </c>
      <c r="D826" s="3"/>
      <c r="E826" s="3" t="s">
        <v>390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392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390</v>
      </c>
      <c r="D827" s="3"/>
      <c r="E827" s="3" t="s">
        <v>390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11.683999999999999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390</v>
      </c>
      <c r="D828" s="3"/>
      <c r="E828" s="3" t="s">
        <v>390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71.856999999999999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390</v>
      </c>
      <c r="D829" s="3"/>
      <c r="E829" s="3" t="s">
        <v>390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390</v>
      </c>
      <c r="D830" s="3"/>
      <c r="E830" s="3" t="s">
        <v>390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8.1000000000000003E-2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390</v>
      </c>
      <c r="D831" s="3"/>
      <c r="E831" s="3" t="s">
        <v>390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390</v>
      </c>
      <c r="D832" s="3"/>
      <c r="E832" s="3" t="s">
        <v>390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390</v>
      </c>
      <c r="D833" s="3"/>
      <c r="E833" s="3" t="s">
        <v>390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390</v>
      </c>
      <c r="D834" s="3"/>
      <c r="E834" s="3" t="s">
        <v>390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0.622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390</v>
      </c>
      <c r="D835" s="3"/>
      <c r="E835" s="3" t="s">
        <v>390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393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390</v>
      </c>
      <c r="D836" s="3"/>
      <c r="E836" s="3" t="s">
        <v>390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394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390</v>
      </c>
      <c r="D837" s="3"/>
      <c r="E837" s="3" t="s">
        <v>390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526</v>
      </c>
      <c r="O837" s="3"/>
      <c r="P837" s="3"/>
      <c r="Q837" s="3">
        <v>0.5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395</v>
      </c>
      <c r="D838" s="3"/>
      <c r="E838" s="3" t="s">
        <v>395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396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395</v>
      </c>
      <c r="D839" s="3"/>
      <c r="E839" s="3" t="s">
        <v>395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244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395</v>
      </c>
      <c r="D840" s="3"/>
      <c r="E840" s="3" t="s">
        <v>395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110</v>
      </c>
      <c r="O840" s="3"/>
      <c r="P840" s="3"/>
      <c r="Q840" s="3">
        <v>0.61399999999999999</v>
      </c>
      <c r="R840" s="3" t="s">
        <v>111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395</v>
      </c>
      <c r="D841" s="3"/>
      <c r="E841" s="3" t="s">
        <v>395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202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395</v>
      </c>
      <c r="D842" s="3"/>
      <c r="E842" s="3" t="s">
        <v>395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114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395</v>
      </c>
      <c r="D843" s="3"/>
      <c r="E843" s="3" t="s">
        <v>395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397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395</v>
      </c>
      <c r="D844" s="3"/>
      <c r="E844" s="3" t="s">
        <v>395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116</v>
      </c>
      <c r="O844" s="3"/>
      <c r="P844" s="3"/>
      <c r="Q844" s="3">
        <v>12.294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395</v>
      </c>
      <c r="D845" s="3"/>
      <c r="E845" s="3" t="s">
        <v>395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75.605999999999995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395</v>
      </c>
      <c r="D846" s="3"/>
      <c r="E846" s="3" t="s">
        <v>395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24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395</v>
      </c>
      <c r="D847" s="3"/>
      <c r="E847" s="3" t="s">
        <v>395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117</v>
      </c>
      <c r="O847" s="3"/>
      <c r="P847" s="3"/>
      <c r="Q847" s="3">
        <v>9.0999999999999998E-2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395</v>
      </c>
      <c r="D848" s="3"/>
      <c r="E848" s="3" t="s">
        <v>395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118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395</v>
      </c>
      <c r="D849" s="3"/>
      <c r="E849" s="3" t="s">
        <v>395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395</v>
      </c>
      <c r="D850" s="3"/>
      <c r="E850" s="3" t="s">
        <v>395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26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395</v>
      </c>
      <c r="D851" s="3"/>
      <c r="E851" s="3" t="s">
        <v>395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108</v>
      </c>
      <c r="O851" s="3"/>
      <c r="P851" s="3"/>
      <c r="Q851" s="3">
        <v>0.70299999999999996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395</v>
      </c>
      <c r="D852" s="3"/>
      <c r="E852" s="3" t="s">
        <v>395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398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395</v>
      </c>
      <c r="D853" s="3"/>
      <c r="E853" s="3" t="s">
        <v>395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399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395</v>
      </c>
      <c r="D854" s="3"/>
      <c r="E854" s="3" t="s">
        <v>395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527</v>
      </c>
      <c r="O854" s="3"/>
      <c r="P854" s="3"/>
      <c r="Q854" s="3">
        <v>0.6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400</v>
      </c>
      <c r="D855" s="3"/>
      <c r="E855" s="3" t="s">
        <v>400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401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400</v>
      </c>
      <c r="D856" s="3"/>
      <c r="E856" s="3" t="s">
        <v>400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248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400</v>
      </c>
      <c r="D857" s="3"/>
      <c r="E857" s="3" t="s">
        <v>400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110</v>
      </c>
      <c r="O857" s="3"/>
      <c r="P857" s="3"/>
      <c r="Q857" s="3">
        <v>0.70399999999999996</v>
      </c>
      <c r="R857" s="3" t="s">
        <v>111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400</v>
      </c>
      <c r="D858" s="3"/>
      <c r="E858" s="3" t="s">
        <v>400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202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400</v>
      </c>
      <c r="D859" s="3"/>
      <c r="E859" s="3" t="s">
        <v>400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114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400</v>
      </c>
      <c r="D860" s="3"/>
      <c r="E860" s="3" t="s">
        <v>400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402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400</v>
      </c>
      <c r="D861" s="3"/>
      <c r="E861" s="3" t="s">
        <v>400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116</v>
      </c>
      <c r="O861" s="3"/>
      <c r="P861" s="3"/>
      <c r="Q861" s="3">
        <v>12.903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400</v>
      </c>
      <c r="D862" s="3"/>
      <c r="E862" s="3" t="s">
        <v>400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79.355000000000004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400</v>
      </c>
      <c r="D863" s="3"/>
      <c r="E863" s="3" t="s">
        <v>400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24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400</v>
      </c>
      <c r="D864" s="3"/>
      <c r="E864" s="3" t="s">
        <v>400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117</v>
      </c>
      <c r="O864" s="3"/>
      <c r="P864" s="3"/>
      <c r="Q864" s="3">
        <v>0.10100000000000001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400</v>
      </c>
      <c r="D865" s="3"/>
      <c r="E865" s="3" t="s">
        <v>400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118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400</v>
      </c>
      <c r="D866" s="3"/>
      <c r="E866" s="3" t="s">
        <v>400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25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400</v>
      </c>
      <c r="D867" s="3"/>
      <c r="E867" s="3" t="s">
        <v>400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26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400</v>
      </c>
      <c r="D868" s="3"/>
      <c r="E868" s="3" t="s">
        <v>400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108</v>
      </c>
      <c r="O868" s="3"/>
      <c r="P868" s="3"/>
      <c r="Q868" s="3">
        <v>0.78400000000000003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400</v>
      </c>
      <c r="D869" s="3"/>
      <c r="E869" s="3" t="s">
        <v>400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403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400</v>
      </c>
      <c r="D870" s="3"/>
      <c r="E870" s="3" t="s">
        <v>400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404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400</v>
      </c>
      <c r="D871" s="3"/>
      <c r="E871" s="3" t="s">
        <v>400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527</v>
      </c>
      <c r="O871" s="3"/>
      <c r="P871" s="3"/>
      <c r="Q871" s="3">
        <v>0.6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405</v>
      </c>
      <c r="D872" s="3"/>
      <c r="E872" s="3" t="s">
        <v>405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406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405</v>
      </c>
      <c r="D873" s="3"/>
      <c r="E873" s="3" t="s">
        <v>405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252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405</v>
      </c>
      <c r="D874" s="3"/>
      <c r="E874" s="3" t="s">
        <v>405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110</v>
      </c>
      <c r="O874" s="3"/>
      <c r="P874" s="3"/>
      <c r="Q874" s="3">
        <v>0.88400000000000001</v>
      </c>
      <c r="R874" s="3" t="s">
        <v>111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405</v>
      </c>
      <c r="D875" s="3"/>
      <c r="E875" s="3" t="s">
        <v>405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202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405</v>
      </c>
      <c r="D876" s="3"/>
      <c r="E876" s="3" t="s">
        <v>405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114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405</v>
      </c>
      <c r="D877" s="3"/>
      <c r="E877" s="3" t="s">
        <v>405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407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405</v>
      </c>
      <c r="D878" s="3"/>
      <c r="E878" s="3" t="s">
        <v>405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116</v>
      </c>
      <c r="O878" s="3"/>
      <c r="P878" s="3"/>
      <c r="Q878" s="3">
        <v>14.122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405</v>
      </c>
      <c r="D879" s="3"/>
      <c r="E879" s="3" t="s">
        <v>405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86.852999999999994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405</v>
      </c>
      <c r="D880" s="3"/>
      <c r="E880" s="3" t="s">
        <v>405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405</v>
      </c>
      <c r="D881" s="3"/>
      <c r="E881" s="3" t="s">
        <v>405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117</v>
      </c>
      <c r="O881" s="3"/>
      <c r="P881" s="3"/>
      <c r="Q881" s="3">
        <v>0.12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405</v>
      </c>
      <c r="D882" s="3"/>
      <c r="E882" s="3" t="s">
        <v>405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118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405</v>
      </c>
      <c r="D883" s="3"/>
      <c r="E883" s="3" t="s">
        <v>405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405</v>
      </c>
      <c r="D884" s="3"/>
      <c r="E884" s="3" t="s">
        <v>405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405</v>
      </c>
      <c r="D885" s="3"/>
      <c r="E885" s="3" t="s">
        <v>405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108</v>
      </c>
      <c r="O885" s="3"/>
      <c r="P885" s="3"/>
      <c r="Q885" s="3">
        <v>0.94599999999999995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405</v>
      </c>
      <c r="D886" s="3"/>
      <c r="E886" s="3" t="s">
        <v>405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408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405</v>
      </c>
      <c r="D887" s="3"/>
      <c r="E887" s="3" t="s">
        <v>405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409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405</v>
      </c>
      <c r="D888" s="3"/>
      <c r="E888" s="3" t="s">
        <v>405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527</v>
      </c>
      <c r="O888" s="3"/>
      <c r="P888" s="3"/>
      <c r="Q888" s="3">
        <v>0.6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410</v>
      </c>
      <c r="D889" s="3"/>
      <c r="E889" s="3" t="s">
        <v>410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411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410</v>
      </c>
      <c r="D890" s="3"/>
      <c r="E890" s="3" t="s">
        <v>410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262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410</v>
      </c>
      <c r="D891" s="3"/>
      <c r="E891" s="3" t="s">
        <v>410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110</v>
      </c>
      <c r="O891" s="3"/>
      <c r="P891" s="3"/>
      <c r="Q891" s="3">
        <v>0.97399999999999998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410</v>
      </c>
      <c r="D892" s="3"/>
      <c r="E892" s="3" t="s">
        <v>410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202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410</v>
      </c>
      <c r="D893" s="3"/>
      <c r="E893" s="3" t="s">
        <v>410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114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410</v>
      </c>
      <c r="D894" s="3"/>
      <c r="E894" s="3" t="s">
        <v>410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412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410</v>
      </c>
      <c r="D895" s="3"/>
      <c r="E895" s="3" t="s">
        <v>410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116</v>
      </c>
      <c r="O895" s="3"/>
      <c r="P895" s="3"/>
      <c r="Q895" s="3">
        <v>14.731999999999999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410</v>
      </c>
      <c r="D896" s="3"/>
      <c r="E896" s="3" t="s">
        <v>410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90.602000000000004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410</v>
      </c>
      <c r="D897" s="3"/>
      <c r="E897" s="3" t="s">
        <v>410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410</v>
      </c>
      <c r="D898" s="3"/>
      <c r="E898" s="3" t="s">
        <v>410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117</v>
      </c>
      <c r="O898" s="3"/>
      <c r="P898" s="3"/>
      <c r="Q898" s="3">
        <v>0.13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410</v>
      </c>
      <c r="D899" s="3"/>
      <c r="E899" s="3" t="s">
        <v>410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118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410</v>
      </c>
      <c r="D900" s="3"/>
      <c r="E900" s="3" t="s">
        <v>410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410</v>
      </c>
      <c r="D901" s="3"/>
      <c r="E901" s="3" t="s">
        <v>410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410</v>
      </c>
      <c r="D902" s="3"/>
      <c r="E902" s="3" t="s">
        <v>410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108</v>
      </c>
      <c r="O902" s="3"/>
      <c r="P902" s="3"/>
      <c r="Q902" s="3">
        <v>1.0269999999999999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410</v>
      </c>
      <c r="D903" s="3"/>
      <c r="E903" s="3" t="s">
        <v>410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413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410</v>
      </c>
      <c r="D904" s="3"/>
      <c r="E904" s="3" t="s">
        <v>410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414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410</v>
      </c>
      <c r="D905" s="3"/>
      <c r="E905" s="3" t="s">
        <v>410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528</v>
      </c>
      <c r="O905" s="3"/>
      <c r="P905" s="3"/>
      <c r="Q905" s="3">
        <v>0.8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415</v>
      </c>
      <c r="D906" s="3"/>
      <c r="E906" s="3" t="s">
        <v>415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416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415</v>
      </c>
      <c r="D907" s="3"/>
      <c r="E907" s="3" t="s">
        <v>415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266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415</v>
      </c>
      <c r="D908" s="3"/>
      <c r="E908" s="3" t="s">
        <v>415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110</v>
      </c>
      <c r="O908" s="3"/>
      <c r="P908" s="3"/>
      <c r="Q908" s="3">
        <v>1.0640000000000001</v>
      </c>
      <c r="R908" s="3" t="s">
        <v>111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415</v>
      </c>
      <c r="D909" s="3"/>
      <c r="E909" s="3" t="s">
        <v>415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202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415</v>
      </c>
      <c r="D910" s="3"/>
      <c r="E910" s="3" t="s">
        <v>415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114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415</v>
      </c>
      <c r="D911" s="3"/>
      <c r="E911" s="3" t="s">
        <v>415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417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415</v>
      </c>
      <c r="D912" s="3"/>
      <c r="E912" s="3" t="s">
        <v>415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116</v>
      </c>
      <c r="O912" s="3"/>
      <c r="P912" s="3"/>
      <c r="Q912" s="3">
        <v>15.342000000000001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415</v>
      </c>
      <c r="D913" s="3"/>
      <c r="E913" s="3" t="s">
        <v>415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94.350999999999999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415</v>
      </c>
      <c r="D914" s="3"/>
      <c r="E914" s="3" t="s">
        <v>415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24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415</v>
      </c>
      <c r="D915" s="3"/>
      <c r="E915" s="3" t="s">
        <v>415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117</v>
      </c>
      <c r="O915" s="3"/>
      <c r="P915" s="3"/>
      <c r="Q915" s="3">
        <v>0.14000000000000001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415</v>
      </c>
      <c r="D916" s="3"/>
      <c r="E916" s="3" t="s">
        <v>415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118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415</v>
      </c>
      <c r="D917" s="3"/>
      <c r="E917" s="3" t="s">
        <v>415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415</v>
      </c>
      <c r="D918" s="3"/>
      <c r="E918" s="3" t="s">
        <v>415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415</v>
      </c>
      <c r="D919" s="3"/>
      <c r="E919" s="3" t="s">
        <v>415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108</v>
      </c>
      <c r="O919" s="3"/>
      <c r="P919" s="3"/>
      <c r="Q919" s="3">
        <v>1.1080000000000001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415</v>
      </c>
      <c r="D920" s="3"/>
      <c r="E920" s="3" t="s">
        <v>415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418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415</v>
      </c>
      <c r="D921" s="3"/>
      <c r="E921" s="3" t="s">
        <v>415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419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415</v>
      </c>
      <c r="D922" s="3"/>
      <c r="E922" s="3" t="s">
        <v>415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528</v>
      </c>
      <c r="O922" s="3"/>
      <c r="P922" s="3"/>
      <c r="Q922" s="3">
        <v>0.8</v>
      </c>
      <c r="R922" s="3" t="s">
        <v>14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420</v>
      </c>
      <c r="D923" s="3"/>
      <c r="E923" s="3" t="s">
        <v>420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421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420</v>
      </c>
      <c r="D924" s="3"/>
      <c r="E924" s="3" t="s">
        <v>420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422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420</v>
      </c>
      <c r="D925" s="3"/>
      <c r="E925" s="3" t="s">
        <v>420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110</v>
      </c>
      <c r="O925" s="3"/>
      <c r="P925" s="3"/>
      <c r="Q925" s="3">
        <v>0.45200000000000001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420</v>
      </c>
      <c r="D926" s="3"/>
      <c r="E926" s="3" t="s">
        <v>420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202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420</v>
      </c>
      <c r="D927" s="3"/>
      <c r="E927" s="3" t="s">
        <v>420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114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420</v>
      </c>
      <c r="D928" s="3"/>
      <c r="E928" s="3" t="s">
        <v>420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423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420</v>
      </c>
      <c r="D929" s="3"/>
      <c r="E929" s="3" t="s">
        <v>420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116</v>
      </c>
      <c r="O929" s="3"/>
      <c r="P929" s="3"/>
      <c r="Q929" s="3">
        <v>11.379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420</v>
      </c>
      <c r="D930" s="3"/>
      <c r="E930" s="3" t="s">
        <v>420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69.981999999999999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420</v>
      </c>
      <c r="D931" s="3"/>
      <c r="E931" s="3" t="s">
        <v>420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420</v>
      </c>
      <c r="D932" s="3"/>
      <c r="E932" s="3" t="s">
        <v>420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117</v>
      </c>
      <c r="O932" s="3"/>
      <c r="P932" s="3"/>
      <c r="Q932" s="3">
        <v>7.1999999999999995E-2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420</v>
      </c>
      <c r="D933" s="3"/>
      <c r="E933" s="3" t="s">
        <v>420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118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420</v>
      </c>
      <c r="D934" s="3"/>
      <c r="E934" s="3" t="s">
        <v>420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25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420</v>
      </c>
      <c r="D935" s="3"/>
      <c r="E935" s="3" t="s">
        <v>420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420</v>
      </c>
      <c r="D936" s="3"/>
      <c r="E936" s="3" t="s">
        <v>420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108</v>
      </c>
      <c r="O936" s="3"/>
      <c r="P936" s="3"/>
      <c r="Q936" s="3">
        <v>1.1890000000000001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420</v>
      </c>
      <c r="D937" s="3"/>
      <c r="E937" s="3" t="s">
        <v>420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424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420</v>
      </c>
      <c r="D938" s="3"/>
      <c r="E938" s="3" t="s">
        <v>420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425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420</v>
      </c>
      <c r="D939" s="3"/>
      <c r="E939" s="3" t="s">
        <v>420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526</v>
      </c>
      <c r="O939" s="3"/>
      <c r="P939" s="3"/>
      <c r="Q939" s="3">
        <v>0.5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426</v>
      </c>
      <c r="D940" s="3"/>
      <c r="E940" s="3" t="s">
        <v>426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427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426</v>
      </c>
      <c r="D941" s="3"/>
      <c r="E941" s="3" t="s">
        <v>426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270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426</v>
      </c>
      <c r="D942" s="3"/>
      <c r="E942" s="3" t="s">
        <v>426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110</v>
      </c>
      <c r="O942" s="3"/>
      <c r="P942" s="3"/>
      <c r="Q942" s="3">
        <v>0.54600000000000004</v>
      </c>
      <c r="R942" s="3" t="s">
        <v>111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426</v>
      </c>
      <c r="D943" s="3"/>
      <c r="E943" s="3" t="s">
        <v>426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202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426</v>
      </c>
      <c r="D944" s="3"/>
      <c r="E944" s="3" t="s">
        <v>426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114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426</v>
      </c>
      <c r="D945" s="3"/>
      <c r="E945" s="3" t="s">
        <v>426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428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426</v>
      </c>
      <c r="D946" s="3"/>
      <c r="E946" s="3" t="s">
        <v>426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116</v>
      </c>
      <c r="O946" s="3"/>
      <c r="P946" s="3"/>
      <c r="Q946" s="3">
        <v>11.989000000000001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426</v>
      </c>
      <c r="D947" s="3"/>
      <c r="E947" s="3" t="s">
        <v>426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73.730999999999995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426</v>
      </c>
      <c r="D948" s="3"/>
      <c r="E948" s="3" t="s">
        <v>426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24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426</v>
      </c>
      <c r="D949" s="3"/>
      <c r="E949" s="3" t="s">
        <v>426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117</v>
      </c>
      <c r="O949" s="3"/>
      <c r="P949" s="3"/>
      <c r="Q949" s="3">
        <v>8.1000000000000003E-2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426</v>
      </c>
      <c r="D950" s="3"/>
      <c r="E950" s="3" t="s">
        <v>426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118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426</v>
      </c>
      <c r="D951" s="3"/>
      <c r="E951" s="3" t="s">
        <v>426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25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426</v>
      </c>
      <c r="D952" s="3"/>
      <c r="E952" s="3" t="s">
        <v>426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26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426</v>
      </c>
      <c r="D953" s="3"/>
      <c r="E953" s="3" t="s">
        <v>426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108</v>
      </c>
      <c r="O953" s="3"/>
      <c r="P953" s="3"/>
      <c r="Q953" s="3">
        <v>1.1890000000000001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426</v>
      </c>
      <c r="D954" s="3"/>
      <c r="E954" s="3" t="s">
        <v>426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429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426</v>
      </c>
      <c r="D955" s="3"/>
      <c r="E955" s="3" t="s">
        <v>426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430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426</v>
      </c>
      <c r="D956" s="3"/>
      <c r="E956" s="3" t="s">
        <v>426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526</v>
      </c>
      <c r="O956" s="3"/>
      <c r="P956" s="3"/>
      <c r="Q956" s="3">
        <v>0.5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431</v>
      </c>
      <c r="D957" s="3"/>
      <c r="E957" s="3" t="s">
        <v>431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432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431</v>
      </c>
      <c r="D958" s="3"/>
      <c r="E958" s="3" t="s">
        <v>431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274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431</v>
      </c>
      <c r="D959" s="3"/>
      <c r="E959" s="3" t="s">
        <v>431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110</v>
      </c>
      <c r="O959" s="3"/>
      <c r="P959" s="3"/>
      <c r="Q959" s="3">
        <v>0.63900000000000001</v>
      </c>
      <c r="R959" s="3" t="s">
        <v>111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431</v>
      </c>
      <c r="D960" s="3"/>
      <c r="E960" s="3" t="s">
        <v>431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202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431</v>
      </c>
      <c r="D961" s="3"/>
      <c r="E961" s="3" t="s">
        <v>431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114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431</v>
      </c>
      <c r="D962" s="3"/>
      <c r="E962" s="3" t="s">
        <v>431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433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431</v>
      </c>
      <c r="D963" s="3"/>
      <c r="E963" s="3" t="s">
        <v>431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116</v>
      </c>
      <c r="O963" s="3"/>
      <c r="P963" s="3"/>
      <c r="Q963" s="3">
        <v>12.598000000000001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431</v>
      </c>
      <c r="D964" s="3"/>
      <c r="E964" s="3" t="s">
        <v>431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77.48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431</v>
      </c>
      <c r="D965" s="3"/>
      <c r="E965" s="3" t="s">
        <v>431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431</v>
      </c>
      <c r="D966" s="3"/>
      <c r="E966" s="3" t="s">
        <v>431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117</v>
      </c>
      <c r="O966" s="3"/>
      <c r="P966" s="3"/>
      <c r="Q966" s="3">
        <v>9.0999999999999998E-2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431</v>
      </c>
      <c r="D967" s="3"/>
      <c r="E967" s="3" t="s">
        <v>431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118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431</v>
      </c>
      <c r="D968" s="3"/>
      <c r="E968" s="3" t="s">
        <v>431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431</v>
      </c>
      <c r="D969" s="3"/>
      <c r="E969" s="3" t="s">
        <v>431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26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431</v>
      </c>
      <c r="D970" s="3"/>
      <c r="E970" s="3" t="s">
        <v>431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108</v>
      </c>
      <c r="O970" s="3"/>
      <c r="P970" s="3"/>
      <c r="Q970" s="3">
        <v>1.1890000000000001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431</v>
      </c>
      <c r="D971" s="3"/>
      <c r="E971" s="3" t="s">
        <v>431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434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431</v>
      </c>
      <c r="D972" s="3"/>
      <c r="E972" s="3" t="s">
        <v>431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435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431</v>
      </c>
      <c r="D973" s="3"/>
      <c r="E973" s="3" t="s">
        <v>431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527</v>
      </c>
      <c r="O973" s="3"/>
      <c r="P973" s="3"/>
      <c r="Q973" s="3">
        <v>0.6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436</v>
      </c>
      <c r="D974" s="3"/>
      <c r="E974" s="3" t="s">
        <v>436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437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436</v>
      </c>
      <c r="D975" s="3"/>
      <c r="E975" s="3" t="s">
        <v>436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278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436</v>
      </c>
      <c r="D976" s="3"/>
      <c r="E976" s="3" t="s">
        <v>436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110</v>
      </c>
      <c r="O976" s="3"/>
      <c r="P976" s="3"/>
      <c r="Q976" s="3">
        <v>0.73299999999999998</v>
      </c>
      <c r="R976" s="3" t="s">
        <v>111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436</v>
      </c>
      <c r="D977" s="3"/>
      <c r="E977" s="3" t="s">
        <v>436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202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436</v>
      </c>
      <c r="D978" s="3"/>
      <c r="E978" s="3" t="s">
        <v>436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114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436</v>
      </c>
      <c r="D979" s="3"/>
      <c r="E979" s="3" t="s">
        <v>436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438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436</v>
      </c>
      <c r="D980" s="3"/>
      <c r="E980" s="3" t="s">
        <v>436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116</v>
      </c>
      <c r="O980" s="3"/>
      <c r="P980" s="3"/>
      <c r="Q980" s="3">
        <v>13.208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436</v>
      </c>
      <c r="D981" s="3"/>
      <c r="E981" s="3" t="s">
        <v>436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81.228999999999999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436</v>
      </c>
      <c r="D982" s="3"/>
      <c r="E982" s="3" t="s">
        <v>436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24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436</v>
      </c>
      <c r="D983" s="3"/>
      <c r="E983" s="3" t="s">
        <v>436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117</v>
      </c>
      <c r="O983" s="3"/>
      <c r="P983" s="3"/>
      <c r="Q983" s="3">
        <v>0.10100000000000001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436</v>
      </c>
      <c r="D984" s="3"/>
      <c r="E984" s="3" t="s">
        <v>436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118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436</v>
      </c>
      <c r="D985" s="3"/>
      <c r="E985" s="3" t="s">
        <v>436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25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436</v>
      </c>
      <c r="D986" s="3"/>
      <c r="E986" s="3" t="s">
        <v>436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26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436</v>
      </c>
      <c r="D987" s="3"/>
      <c r="E987" s="3" t="s">
        <v>436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108</v>
      </c>
      <c r="O987" s="3"/>
      <c r="P987" s="3"/>
      <c r="Q987" s="3">
        <v>1.1890000000000001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436</v>
      </c>
      <c r="D988" s="3"/>
      <c r="E988" s="3" t="s">
        <v>436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439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436</v>
      </c>
      <c r="D989" s="3"/>
      <c r="E989" s="3" t="s">
        <v>436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440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436</v>
      </c>
      <c r="D990" s="3"/>
      <c r="E990" s="3" t="s">
        <v>436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527</v>
      </c>
      <c r="O990" s="3"/>
      <c r="P990" s="3"/>
      <c r="Q990" s="3">
        <v>0.6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441</v>
      </c>
      <c r="D991" s="3"/>
      <c r="E991" s="3" t="s">
        <v>441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442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441</v>
      </c>
      <c r="D992" s="3"/>
      <c r="E992" s="3" t="s">
        <v>441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282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441</v>
      </c>
      <c r="D993" s="3"/>
      <c r="E993" s="3" t="s">
        <v>441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110</v>
      </c>
      <c r="O993" s="3"/>
      <c r="P993" s="3"/>
      <c r="Q993" s="3">
        <v>0.92</v>
      </c>
      <c r="R993" s="3" t="s">
        <v>111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441</v>
      </c>
      <c r="D994" s="3"/>
      <c r="E994" s="3" t="s">
        <v>441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202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441</v>
      </c>
      <c r="D995" s="3"/>
      <c r="E995" s="3" t="s">
        <v>441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114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441</v>
      </c>
      <c r="D996" s="3"/>
      <c r="E996" s="3" t="s">
        <v>441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443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441</v>
      </c>
      <c r="D997" s="3"/>
      <c r="E997" s="3" t="s">
        <v>441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116</v>
      </c>
      <c r="O997" s="3"/>
      <c r="P997" s="3"/>
      <c r="Q997" s="3">
        <v>14.427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441</v>
      </c>
      <c r="D998" s="3"/>
      <c r="E998" s="3" t="s">
        <v>441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88.727000000000004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441</v>
      </c>
      <c r="D999" s="3"/>
      <c r="E999" s="3" t="s">
        <v>441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24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441</v>
      </c>
      <c r="D1000" s="3"/>
      <c r="E1000" s="3" t="s">
        <v>441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117</v>
      </c>
      <c r="O1000" s="3"/>
      <c r="P1000" s="3"/>
      <c r="Q1000" s="3">
        <v>0.12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441</v>
      </c>
      <c r="D1001" s="3"/>
      <c r="E1001" s="3" t="s">
        <v>441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118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441</v>
      </c>
      <c r="D1002" s="3"/>
      <c r="E1002" s="3" t="s">
        <v>441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25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441</v>
      </c>
      <c r="D1003" s="3"/>
      <c r="E1003" s="3" t="s">
        <v>441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26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441</v>
      </c>
      <c r="D1004" s="3"/>
      <c r="E1004" s="3" t="s">
        <v>441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108</v>
      </c>
      <c r="O1004" s="3"/>
      <c r="P1004" s="3"/>
      <c r="Q1004" s="3">
        <v>1.1890000000000001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441</v>
      </c>
      <c r="D1005" s="3"/>
      <c r="E1005" s="3" t="s">
        <v>441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444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441</v>
      </c>
      <c r="D1006" s="3"/>
      <c r="E1006" s="3" t="s">
        <v>441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445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18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441</v>
      </c>
      <c r="D1007" s="3"/>
      <c r="E1007" s="3" t="s">
        <v>441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527</v>
      </c>
      <c r="O1007" s="3"/>
      <c r="P1007" s="3"/>
      <c r="Q1007" s="3">
        <v>0.6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446</v>
      </c>
      <c r="D1008" s="3"/>
      <c r="E1008" s="3" t="s">
        <v>446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447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446</v>
      </c>
      <c r="D1009" s="3"/>
      <c r="E1009" s="3" t="s">
        <v>446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292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446</v>
      </c>
      <c r="D1010" s="3"/>
      <c r="E1010" s="3" t="s">
        <v>446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110</v>
      </c>
      <c r="O1010" s="3"/>
      <c r="P1010" s="3"/>
      <c r="Q1010" s="3">
        <v>1.014</v>
      </c>
      <c r="R1010" s="3" t="s">
        <v>111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446</v>
      </c>
      <c r="D1011" s="3"/>
      <c r="E1011" s="3" t="s">
        <v>446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202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446</v>
      </c>
      <c r="D1012" s="3"/>
      <c r="E1012" s="3" t="s">
        <v>446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114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446</v>
      </c>
      <c r="D1013" s="3"/>
      <c r="E1013" s="3" t="s">
        <v>446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448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446</v>
      </c>
      <c r="D1014" s="3"/>
      <c r="E1014" s="3" t="s">
        <v>446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116</v>
      </c>
      <c r="O1014" s="3"/>
      <c r="P1014" s="3"/>
      <c r="Q1014" s="3">
        <v>15.037000000000001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446</v>
      </c>
      <c r="D1015" s="3"/>
      <c r="E1015" s="3" t="s">
        <v>446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92.475999999999999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446</v>
      </c>
      <c r="D1016" s="3"/>
      <c r="E1016" s="3" t="s">
        <v>446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446</v>
      </c>
      <c r="D1017" s="3"/>
      <c r="E1017" s="3" t="s">
        <v>446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117</v>
      </c>
      <c r="O1017" s="3"/>
      <c r="P1017" s="3"/>
      <c r="Q1017" s="3">
        <v>0.13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446</v>
      </c>
      <c r="D1018" s="3"/>
      <c r="E1018" s="3" t="s">
        <v>446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118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446</v>
      </c>
      <c r="D1019" s="3"/>
      <c r="E1019" s="3" t="s">
        <v>446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446</v>
      </c>
      <c r="D1020" s="3"/>
      <c r="E1020" s="3" t="s">
        <v>446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446</v>
      </c>
      <c r="D1021" s="3"/>
      <c r="E1021" s="3" t="s">
        <v>446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108</v>
      </c>
      <c r="O1021" s="3"/>
      <c r="P1021" s="3"/>
      <c r="Q1021" s="3">
        <v>1.1890000000000001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446</v>
      </c>
      <c r="D1022" s="3"/>
      <c r="E1022" s="3" t="s">
        <v>446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449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446</v>
      </c>
      <c r="D1023" s="3"/>
      <c r="E1023" s="3" t="s">
        <v>446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450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446</v>
      </c>
      <c r="D1024" s="3"/>
      <c r="E1024" s="3" t="s">
        <v>446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528</v>
      </c>
      <c r="O1024" s="3"/>
      <c r="P1024" s="3"/>
      <c r="Q1024" s="3">
        <v>0.8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451</v>
      </c>
      <c r="D1025" s="3"/>
      <c r="E1025" s="3" t="s">
        <v>451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452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451</v>
      </c>
      <c r="D1026" s="3"/>
      <c r="E1026" s="3" t="s">
        <v>451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296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451</v>
      </c>
      <c r="D1027" s="3"/>
      <c r="E1027" s="3" t="s">
        <v>451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1.107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451</v>
      </c>
      <c r="D1028" s="3"/>
      <c r="E1028" s="3" t="s">
        <v>451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202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451</v>
      </c>
      <c r="D1029" s="3"/>
      <c r="E1029" s="3" t="s">
        <v>451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114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451</v>
      </c>
      <c r="D1030" s="3"/>
      <c r="E1030" s="3" t="s">
        <v>451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453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451</v>
      </c>
      <c r="D1031" s="3"/>
      <c r="E1031" s="3" t="s">
        <v>451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116</v>
      </c>
      <c r="O1031" s="3"/>
      <c r="P1031" s="3"/>
      <c r="Q1031" s="3">
        <v>15.646000000000001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451</v>
      </c>
      <c r="D1032" s="3"/>
      <c r="E1032" s="3" t="s">
        <v>451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96.224999999999994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451</v>
      </c>
      <c r="D1033" s="3"/>
      <c r="E1033" s="3" t="s">
        <v>451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451</v>
      </c>
      <c r="D1034" s="3"/>
      <c r="E1034" s="3" t="s">
        <v>451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117</v>
      </c>
      <c r="O1034" s="3"/>
      <c r="P1034" s="3"/>
      <c r="Q1034" s="3">
        <v>0.14000000000000001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451</v>
      </c>
      <c r="D1035" s="3"/>
      <c r="E1035" s="3" t="s">
        <v>451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118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451</v>
      </c>
      <c r="D1036" s="3"/>
      <c r="E1036" s="3" t="s">
        <v>451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451</v>
      </c>
      <c r="D1037" s="3"/>
      <c r="E1037" s="3" t="s">
        <v>451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451</v>
      </c>
      <c r="D1038" s="3"/>
      <c r="E1038" s="3" t="s">
        <v>451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108</v>
      </c>
      <c r="O1038" s="3"/>
      <c r="P1038" s="3"/>
      <c r="Q1038" s="3">
        <v>1.1890000000000001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451</v>
      </c>
      <c r="D1039" s="3"/>
      <c r="E1039" s="3" t="s">
        <v>451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454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451</v>
      </c>
      <c r="D1040" s="3"/>
      <c r="E1040" s="3" t="s">
        <v>451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455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451</v>
      </c>
      <c r="D1041" s="3"/>
      <c r="E1041" s="3" t="s">
        <v>451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528</v>
      </c>
      <c r="O1041" s="3"/>
      <c r="P1041" s="3"/>
      <c r="Q1041" s="3">
        <v>0.8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456</v>
      </c>
      <c r="D1042" s="3"/>
      <c r="E1042" s="3" t="s">
        <v>456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457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456</v>
      </c>
      <c r="D1043" s="3"/>
      <c r="E1043" s="3" t="s">
        <v>456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300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456</v>
      </c>
      <c r="D1044" s="3"/>
      <c r="E1044" s="3" t="s">
        <v>456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110</v>
      </c>
      <c r="O1044" s="3"/>
      <c r="P1044" s="3"/>
      <c r="Q1044" s="3">
        <v>0.46400000000000002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456</v>
      </c>
      <c r="D1045" s="3"/>
      <c r="E1045" s="3" t="s">
        <v>456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202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456</v>
      </c>
      <c r="D1046" s="3"/>
      <c r="E1046" s="3" t="s">
        <v>456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114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456</v>
      </c>
      <c r="D1047" s="3"/>
      <c r="E1047" s="3" t="s">
        <v>456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458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456</v>
      </c>
      <c r="D1048" s="3"/>
      <c r="E1048" s="3" t="s">
        <v>456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116</v>
      </c>
      <c r="O1048" s="3"/>
      <c r="P1048" s="3"/>
      <c r="Q1048" s="3">
        <v>11.582000000000001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456</v>
      </c>
      <c r="D1049" s="3"/>
      <c r="E1049" s="3" t="s">
        <v>456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71.231999999999999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456</v>
      </c>
      <c r="D1050" s="3"/>
      <c r="E1050" s="3" t="s">
        <v>456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456</v>
      </c>
      <c r="D1051" s="3"/>
      <c r="E1051" s="3" t="s">
        <v>456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117</v>
      </c>
      <c r="O1051" s="3"/>
      <c r="P1051" s="3"/>
      <c r="Q1051" s="3">
        <v>7.1999999999999995E-2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456</v>
      </c>
      <c r="D1052" s="3"/>
      <c r="E1052" s="3" t="s">
        <v>456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118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456</v>
      </c>
      <c r="D1053" s="3"/>
      <c r="E1053" s="3" t="s">
        <v>456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25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456</v>
      </c>
      <c r="D1054" s="3"/>
      <c r="E1054" s="3" t="s">
        <v>456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26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456</v>
      </c>
      <c r="D1055" s="3"/>
      <c r="E1055" s="3" t="s">
        <v>456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108</v>
      </c>
      <c r="O1055" s="3"/>
      <c r="P1055" s="3"/>
      <c r="Q1055" s="3">
        <v>1.216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456</v>
      </c>
      <c r="D1056" s="3"/>
      <c r="E1056" s="3" t="s">
        <v>456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459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456</v>
      </c>
      <c r="D1057" s="3"/>
      <c r="E1057" s="3" t="s">
        <v>456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460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456</v>
      </c>
      <c r="D1058" s="3"/>
      <c r="E1058" s="3" t="s">
        <v>456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526</v>
      </c>
      <c r="O1058" s="3"/>
      <c r="P1058" s="3"/>
      <c r="Q1058" s="3">
        <v>0.5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461</v>
      </c>
      <c r="D1059" s="3"/>
      <c r="E1059" s="3" t="s">
        <v>461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462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461</v>
      </c>
      <c r="D1060" s="3"/>
      <c r="E1060" s="3" t="s">
        <v>461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300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461</v>
      </c>
      <c r="D1061" s="3"/>
      <c r="E1061" s="3" t="s">
        <v>461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110</v>
      </c>
      <c r="O1061" s="3"/>
      <c r="P1061" s="3"/>
      <c r="Q1061" s="3">
        <v>0.56000000000000005</v>
      </c>
      <c r="R1061" s="3" t="s">
        <v>111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461</v>
      </c>
      <c r="D1062" s="3"/>
      <c r="E1062" s="3" t="s">
        <v>461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202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461</v>
      </c>
      <c r="D1063" s="3"/>
      <c r="E1063" s="3" t="s">
        <v>461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114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461</v>
      </c>
      <c r="D1064" s="3"/>
      <c r="E1064" s="3" t="s">
        <v>461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463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461</v>
      </c>
      <c r="D1065" s="3"/>
      <c r="E1065" s="3" t="s">
        <v>461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116</v>
      </c>
      <c r="O1065" s="3"/>
      <c r="P1065" s="3"/>
      <c r="Q1065" s="3">
        <v>12.192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461</v>
      </c>
      <c r="D1066" s="3"/>
      <c r="E1066" s="3" t="s">
        <v>461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74.980999999999995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461</v>
      </c>
      <c r="D1067" s="3"/>
      <c r="E1067" s="3" t="s">
        <v>461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24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461</v>
      </c>
      <c r="D1068" s="3"/>
      <c r="E1068" s="3" t="s">
        <v>461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117</v>
      </c>
      <c r="O1068" s="3"/>
      <c r="P1068" s="3"/>
      <c r="Q1068" s="3">
        <v>8.1000000000000003E-2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461</v>
      </c>
      <c r="D1069" s="3"/>
      <c r="E1069" s="3" t="s">
        <v>461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118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461</v>
      </c>
      <c r="D1070" s="3"/>
      <c r="E1070" s="3" t="s">
        <v>461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25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461</v>
      </c>
      <c r="D1071" s="3"/>
      <c r="E1071" s="3" t="s">
        <v>461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26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461</v>
      </c>
      <c r="D1072" s="3"/>
      <c r="E1072" s="3" t="s">
        <v>461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108</v>
      </c>
      <c r="O1072" s="3"/>
      <c r="P1072" s="3"/>
      <c r="Q1072" s="3">
        <v>1.216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461</v>
      </c>
      <c r="D1073" s="3"/>
      <c r="E1073" s="3" t="s">
        <v>461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464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461</v>
      </c>
      <c r="D1074" s="3"/>
      <c r="E1074" s="3" t="s">
        <v>461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465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461</v>
      </c>
      <c r="D1075" s="3"/>
      <c r="E1075" s="3" t="s">
        <v>461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526</v>
      </c>
      <c r="O1075" s="3"/>
      <c r="P1075" s="3"/>
      <c r="Q1075" s="3">
        <v>0.5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466</v>
      </c>
      <c r="D1076" s="3"/>
      <c r="E1076" s="3" t="s">
        <v>466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467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466</v>
      </c>
      <c r="D1077" s="3"/>
      <c r="E1077" s="3" t="s">
        <v>466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300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466</v>
      </c>
      <c r="D1078" s="3"/>
      <c r="E1078" s="3" t="s">
        <v>466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110</v>
      </c>
      <c r="O1078" s="3"/>
      <c r="P1078" s="3"/>
      <c r="Q1078" s="3">
        <v>0.65600000000000003</v>
      </c>
      <c r="R1078" s="3" t="s">
        <v>111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466</v>
      </c>
      <c r="D1079" s="3"/>
      <c r="E1079" s="3" t="s">
        <v>466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202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466</v>
      </c>
      <c r="D1080" s="3"/>
      <c r="E1080" s="3" t="s">
        <v>466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114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466</v>
      </c>
      <c r="D1081" s="3"/>
      <c r="E1081" s="3" t="s">
        <v>466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468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466</v>
      </c>
      <c r="D1082" s="3"/>
      <c r="E1082" s="3" t="s">
        <v>466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116</v>
      </c>
      <c r="O1082" s="3"/>
      <c r="P1082" s="3"/>
      <c r="Q1082" s="3">
        <v>12.802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466</v>
      </c>
      <c r="D1083" s="3"/>
      <c r="E1083" s="3" t="s">
        <v>466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78.73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466</v>
      </c>
      <c r="D1084" s="3"/>
      <c r="E1084" s="3" t="s">
        <v>466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24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466</v>
      </c>
      <c r="D1085" s="3"/>
      <c r="E1085" s="3" t="s">
        <v>466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117</v>
      </c>
      <c r="O1085" s="3"/>
      <c r="P1085" s="3"/>
      <c r="Q1085" s="3">
        <v>9.0999999999999998E-2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466</v>
      </c>
      <c r="D1086" s="3"/>
      <c r="E1086" s="3" t="s">
        <v>466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118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466</v>
      </c>
      <c r="D1087" s="3"/>
      <c r="E1087" s="3" t="s">
        <v>466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25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466</v>
      </c>
      <c r="D1088" s="3"/>
      <c r="E1088" s="3" t="s">
        <v>466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26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466</v>
      </c>
      <c r="D1089" s="3"/>
      <c r="E1089" s="3" t="s">
        <v>466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108</v>
      </c>
      <c r="O1089" s="3"/>
      <c r="P1089" s="3"/>
      <c r="Q1089" s="3">
        <v>1.216</v>
      </c>
      <c r="R1089" s="3" t="s">
        <v>14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466</v>
      </c>
      <c r="D1090" s="3"/>
      <c r="E1090" s="3" t="s">
        <v>466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469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466</v>
      </c>
      <c r="D1091" s="3"/>
      <c r="E1091" s="3" t="s">
        <v>466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470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466</v>
      </c>
      <c r="D1092" s="3"/>
      <c r="E1092" s="3" t="s">
        <v>466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527</v>
      </c>
      <c r="O1092" s="3"/>
      <c r="P1092" s="3"/>
      <c r="Q1092" s="3">
        <v>0.6</v>
      </c>
      <c r="R1092" s="3" t="s">
        <v>14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471</v>
      </c>
      <c r="D1093" s="3"/>
      <c r="E1093" s="3" t="s">
        <v>471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472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471</v>
      </c>
      <c r="D1094" s="3"/>
      <c r="E1094" s="3" t="s">
        <v>471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300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471</v>
      </c>
      <c r="D1095" s="3"/>
      <c r="E1095" s="3" t="s">
        <v>471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0.752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471</v>
      </c>
      <c r="D1096" s="3"/>
      <c r="E1096" s="3" t="s">
        <v>471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202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471</v>
      </c>
      <c r="D1097" s="3"/>
      <c r="E1097" s="3" t="s">
        <v>471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471</v>
      </c>
      <c r="D1098" s="3"/>
      <c r="E1098" s="3" t="s">
        <v>471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473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471</v>
      </c>
      <c r="D1099" s="3"/>
      <c r="E1099" s="3" t="s">
        <v>471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13.411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471</v>
      </c>
      <c r="D1100" s="3"/>
      <c r="E1100" s="3" t="s">
        <v>471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82.478999999999999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471</v>
      </c>
      <c r="D1101" s="3"/>
      <c r="E1101" s="3" t="s">
        <v>471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471</v>
      </c>
      <c r="D1102" s="3"/>
      <c r="E1102" s="3" t="s">
        <v>471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0.10100000000000001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471</v>
      </c>
      <c r="D1103" s="3"/>
      <c r="E1103" s="3" t="s">
        <v>471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471</v>
      </c>
      <c r="D1104" s="3"/>
      <c r="E1104" s="3" t="s">
        <v>471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471</v>
      </c>
      <c r="D1105" s="3"/>
      <c r="E1105" s="3" t="s">
        <v>471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471</v>
      </c>
      <c r="D1106" s="3"/>
      <c r="E1106" s="3" t="s">
        <v>471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1.216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471</v>
      </c>
      <c r="D1107" s="3"/>
      <c r="E1107" s="3" t="s">
        <v>471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474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471</v>
      </c>
      <c r="D1108" s="3"/>
      <c r="E1108" s="3" t="s">
        <v>471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475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471</v>
      </c>
      <c r="D1109" s="3"/>
      <c r="E1109" s="3" t="s">
        <v>471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527</v>
      </c>
      <c r="O1109" s="3"/>
      <c r="P1109" s="3"/>
      <c r="Q1109" s="3">
        <v>0.6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476</v>
      </c>
      <c r="D1110" s="3"/>
      <c r="E1110" s="3" t="s">
        <v>476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477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476</v>
      </c>
      <c r="D1111" s="3"/>
      <c r="E1111" s="3" t="s">
        <v>476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300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476</v>
      </c>
      <c r="D1112" s="3"/>
      <c r="E1112" s="3" t="s">
        <v>476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110</v>
      </c>
      <c r="O1112" s="3"/>
      <c r="P1112" s="3"/>
      <c r="Q1112" s="3">
        <v>0.94399999999999995</v>
      </c>
      <c r="R1112" s="3" t="s">
        <v>111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476</v>
      </c>
      <c r="D1113" s="3"/>
      <c r="E1113" s="3" t="s">
        <v>476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202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476</v>
      </c>
      <c r="D1114" s="3"/>
      <c r="E1114" s="3" t="s">
        <v>476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114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476</v>
      </c>
      <c r="D1115" s="3"/>
      <c r="E1115" s="3" t="s">
        <v>476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478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476</v>
      </c>
      <c r="D1116" s="3"/>
      <c r="E1116" s="3" t="s">
        <v>476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116</v>
      </c>
      <c r="O1116" s="3"/>
      <c r="P1116" s="3"/>
      <c r="Q1116" s="3">
        <v>14.63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476</v>
      </c>
      <c r="D1117" s="3"/>
      <c r="E1117" s="3" t="s">
        <v>476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89.977000000000004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476</v>
      </c>
      <c r="D1118" s="3"/>
      <c r="E1118" s="3" t="s">
        <v>476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24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476</v>
      </c>
      <c r="D1119" s="3"/>
      <c r="E1119" s="3" t="s">
        <v>476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117</v>
      </c>
      <c r="O1119" s="3"/>
      <c r="P1119" s="3"/>
      <c r="Q1119" s="3">
        <v>0.12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476</v>
      </c>
      <c r="D1120" s="3"/>
      <c r="E1120" s="3" t="s">
        <v>476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118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476</v>
      </c>
      <c r="D1121" s="3"/>
      <c r="E1121" s="3" t="s">
        <v>476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476</v>
      </c>
      <c r="D1122" s="3"/>
      <c r="E1122" s="3" t="s">
        <v>476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26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476</v>
      </c>
      <c r="D1123" s="3"/>
      <c r="E1123" s="3" t="s">
        <v>476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108</v>
      </c>
      <c r="O1123" s="3"/>
      <c r="P1123" s="3"/>
      <c r="Q1123" s="3">
        <v>1.216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476</v>
      </c>
      <c r="D1124" s="3"/>
      <c r="E1124" s="3" t="s">
        <v>476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479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476</v>
      </c>
      <c r="D1125" s="3"/>
      <c r="E1125" s="3" t="s">
        <v>476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480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476</v>
      </c>
      <c r="D1126" s="3"/>
      <c r="E1126" s="3" t="s">
        <v>476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527</v>
      </c>
      <c r="O1126" s="3"/>
      <c r="P1126" s="3"/>
      <c r="Q1126" s="3">
        <v>0.6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481</v>
      </c>
      <c r="D1127" s="3"/>
      <c r="E1127" s="3" t="s">
        <v>481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482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481</v>
      </c>
      <c r="D1128" s="3"/>
      <c r="E1128" s="3" t="s">
        <v>481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300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481</v>
      </c>
      <c r="D1129" s="3"/>
      <c r="E1129" s="3" t="s">
        <v>481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110</v>
      </c>
      <c r="O1129" s="3"/>
      <c r="P1129" s="3"/>
      <c r="Q1129" s="3">
        <v>1.04</v>
      </c>
      <c r="R1129" s="3" t="s">
        <v>111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481</v>
      </c>
      <c r="D1130" s="3"/>
      <c r="E1130" s="3" t="s">
        <v>481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202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481</v>
      </c>
      <c r="D1131" s="3"/>
      <c r="E1131" s="3" t="s">
        <v>481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114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481</v>
      </c>
      <c r="D1132" s="3"/>
      <c r="E1132" s="3" t="s">
        <v>481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483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481</v>
      </c>
      <c r="D1133" s="3"/>
      <c r="E1133" s="3" t="s">
        <v>481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116</v>
      </c>
      <c r="O1133" s="3"/>
      <c r="P1133" s="3"/>
      <c r="Q1133" s="3">
        <v>15.24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481</v>
      </c>
      <c r="D1134" s="3"/>
      <c r="E1134" s="3" t="s">
        <v>481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93.725999999999999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481</v>
      </c>
      <c r="D1135" s="3"/>
      <c r="E1135" s="3" t="s">
        <v>481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24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481</v>
      </c>
      <c r="D1136" s="3"/>
      <c r="E1136" s="3" t="s">
        <v>481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117</v>
      </c>
      <c r="O1136" s="3"/>
      <c r="P1136" s="3"/>
      <c r="Q1136" s="3">
        <v>0.13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481</v>
      </c>
      <c r="D1137" s="3"/>
      <c r="E1137" s="3" t="s">
        <v>481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118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481</v>
      </c>
      <c r="D1138" s="3"/>
      <c r="E1138" s="3" t="s">
        <v>481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25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481</v>
      </c>
      <c r="D1139" s="3"/>
      <c r="E1139" s="3" t="s">
        <v>481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26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481</v>
      </c>
      <c r="D1140" s="3"/>
      <c r="E1140" s="3" t="s">
        <v>481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108</v>
      </c>
      <c r="O1140" s="3"/>
      <c r="P1140" s="3"/>
      <c r="Q1140" s="3">
        <v>1.216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481</v>
      </c>
      <c r="D1141" s="3"/>
      <c r="E1141" s="3" t="s">
        <v>481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484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481</v>
      </c>
      <c r="D1142" s="3"/>
      <c r="E1142" s="3" t="s">
        <v>481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485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481</v>
      </c>
      <c r="D1143" s="3"/>
      <c r="E1143" s="3" t="s">
        <v>481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528</v>
      </c>
      <c r="O1143" s="3"/>
      <c r="P1143" s="3"/>
      <c r="Q1143" s="3">
        <v>0.8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486</v>
      </c>
      <c r="D1144" s="3"/>
      <c r="E1144" s="3" t="s">
        <v>486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487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486</v>
      </c>
      <c r="D1145" s="3"/>
      <c r="E1145" s="3" t="s">
        <v>486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300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486</v>
      </c>
      <c r="D1146" s="3"/>
      <c r="E1146" s="3" t="s">
        <v>486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110</v>
      </c>
      <c r="O1146" s="3"/>
      <c r="P1146" s="3"/>
      <c r="Q1146" s="3">
        <v>1.1359999999999999</v>
      </c>
      <c r="R1146" s="3" t="s">
        <v>111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486</v>
      </c>
      <c r="D1147" s="3"/>
      <c r="E1147" s="3" t="s">
        <v>486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202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486</v>
      </c>
      <c r="D1148" s="3"/>
      <c r="E1148" s="3" t="s">
        <v>486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114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486</v>
      </c>
      <c r="D1149" s="3"/>
      <c r="E1149" s="3" t="s">
        <v>486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488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486</v>
      </c>
      <c r="D1150" s="3"/>
      <c r="E1150" s="3" t="s">
        <v>486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116</v>
      </c>
      <c r="O1150" s="3"/>
      <c r="P1150" s="3"/>
      <c r="Q1150" s="3">
        <v>15.85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486</v>
      </c>
      <c r="D1151" s="3"/>
      <c r="E1151" s="3" t="s">
        <v>486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97.474999999999994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486</v>
      </c>
      <c r="D1152" s="3"/>
      <c r="E1152" s="3" t="s">
        <v>486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486</v>
      </c>
      <c r="D1153" s="3"/>
      <c r="E1153" s="3" t="s">
        <v>486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117</v>
      </c>
      <c r="O1153" s="3"/>
      <c r="P1153" s="3"/>
      <c r="Q1153" s="3">
        <v>0.14000000000000001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486</v>
      </c>
      <c r="D1154" s="3"/>
      <c r="E1154" s="3" t="s">
        <v>486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118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486</v>
      </c>
      <c r="D1155" s="3"/>
      <c r="E1155" s="3" t="s">
        <v>486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25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486</v>
      </c>
      <c r="D1156" s="3"/>
      <c r="E1156" s="3" t="s">
        <v>486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486</v>
      </c>
      <c r="D1157" s="3"/>
      <c r="E1157" s="3" t="s">
        <v>486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108</v>
      </c>
      <c r="O1157" s="3"/>
      <c r="P1157" s="3"/>
      <c r="Q1157" s="3">
        <v>1.216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486</v>
      </c>
      <c r="D1158" s="3"/>
      <c r="E1158" s="3" t="s">
        <v>486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489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18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486</v>
      </c>
      <c r="D1159" s="3"/>
      <c r="E1159" s="3" t="s">
        <v>486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490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486</v>
      </c>
      <c r="D1160" s="3"/>
      <c r="E1160" s="3" t="s">
        <v>486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528</v>
      </c>
      <c r="O1160" s="3"/>
      <c r="P1160" s="3"/>
      <c r="Q1160" s="3">
        <v>0.8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491</v>
      </c>
      <c r="D1161" s="3"/>
      <c r="E1161" s="3" t="s">
        <v>491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492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491</v>
      </c>
      <c r="D1162" s="3"/>
      <c r="E1162" s="3" t="s">
        <v>491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300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491</v>
      </c>
      <c r="D1163" s="3"/>
      <c r="E1163" s="3" t="s">
        <v>491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110</v>
      </c>
      <c r="O1163" s="3"/>
      <c r="P1163" s="3"/>
      <c r="Q1163" s="3">
        <v>0.48699999999999999</v>
      </c>
      <c r="R1163" s="3" t="s">
        <v>111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491</v>
      </c>
      <c r="D1164" s="3"/>
      <c r="E1164" s="3" t="s">
        <v>491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202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491</v>
      </c>
      <c r="D1165" s="3"/>
      <c r="E1165" s="3" t="s">
        <v>491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114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491</v>
      </c>
      <c r="D1166" s="3"/>
      <c r="E1166" s="3" t="s">
        <v>491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493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491</v>
      </c>
      <c r="D1167" s="3"/>
      <c r="E1167" s="3" t="s">
        <v>491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116</v>
      </c>
      <c r="O1167" s="3"/>
      <c r="P1167" s="3"/>
      <c r="Q1167" s="3">
        <v>11.989000000000001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491</v>
      </c>
      <c r="D1168" s="3"/>
      <c r="E1168" s="3" t="s">
        <v>491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73.730999999999995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491</v>
      </c>
      <c r="D1169" s="3"/>
      <c r="E1169" s="3" t="s">
        <v>491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24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491</v>
      </c>
      <c r="D1170" s="3"/>
      <c r="E1170" s="3" t="s">
        <v>491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117</v>
      </c>
      <c r="O1170" s="3"/>
      <c r="P1170" s="3"/>
      <c r="Q1170" s="3">
        <v>7.1999999999999995E-2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491</v>
      </c>
      <c r="D1171" s="3"/>
      <c r="E1171" s="3" t="s">
        <v>491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118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491</v>
      </c>
      <c r="D1172" s="3"/>
      <c r="E1172" s="3" t="s">
        <v>491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491</v>
      </c>
      <c r="D1173" s="3"/>
      <c r="E1173" s="3" t="s">
        <v>491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491</v>
      </c>
      <c r="D1174" s="3"/>
      <c r="E1174" s="3" t="s">
        <v>491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108</v>
      </c>
      <c r="O1174" s="3"/>
      <c r="P1174" s="3"/>
      <c r="Q1174" s="3">
        <v>1.27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491</v>
      </c>
      <c r="D1175" s="3"/>
      <c r="E1175" s="3" t="s">
        <v>491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494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491</v>
      </c>
      <c r="D1176" s="3"/>
      <c r="E1176" s="3" t="s">
        <v>491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495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491</v>
      </c>
      <c r="D1177" s="3"/>
      <c r="E1177" s="3" t="s">
        <v>491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526</v>
      </c>
      <c r="O1177" s="3"/>
      <c r="P1177" s="3"/>
      <c r="Q1177" s="3">
        <v>0.5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496</v>
      </c>
      <c r="D1178" s="3"/>
      <c r="E1178" s="3" t="s">
        <v>496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497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496</v>
      </c>
      <c r="D1179" s="3"/>
      <c r="E1179" s="3" t="s">
        <v>496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300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496</v>
      </c>
      <c r="D1180" s="3"/>
      <c r="E1180" s="3" t="s">
        <v>496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110</v>
      </c>
      <c r="O1180" s="3"/>
      <c r="P1180" s="3"/>
      <c r="Q1180" s="3">
        <v>0.58799999999999997</v>
      </c>
      <c r="R1180" s="3" t="s">
        <v>111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496</v>
      </c>
      <c r="D1181" s="3"/>
      <c r="E1181" s="3" t="s">
        <v>496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202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496</v>
      </c>
      <c r="D1182" s="3"/>
      <c r="E1182" s="3" t="s">
        <v>496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114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496</v>
      </c>
      <c r="D1183" s="3"/>
      <c r="E1183" s="3" t="s">
        <v>496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498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496</v>
      </c>
      <c r="D1184" s="3"/>
      <c r="E1184" s="3" t="s">
        <v>496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116</v>
      </c>
      <c r="O1184" s="3"/>
      <c r="P1184" s="3"/>
      <c r="Q1184" s="3">
        <v>12.598000000000001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496</v>
      </c>
      <c r="D1185" s="3"/>
      <c r="E1185" s="3" t="s">
        <v>496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77.48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496</v>
      </c>
      <c r="D1186" s="3"/>
      <c r="E1186" s="3" t="s">
        <v>496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496</v>
      </c>
      <c r="D1187" s="3"/>
      <c r="E1187" s="3" t="s">
        <v>496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117</v>
      </c>
      <c r="O1187" s="3"/>
      <c r="P1187" s="3"/>
      <c r="Q1187" s="3">
        <v>8.1000000000000003E-2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496</v>
      </c>
      <c r="D1188" s="3"/>
      <c r="E1188" s="3" t="s">
        <v>496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118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496</v>
      </c>
      <c r="D1189" s="3"/>
      <c r="E1189" s="3" t="s">
        <v>496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25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496</v>
      </c>
      <c r="D1190" s="3"/>
      <c r="E1190" s="3" t="s">
        <v>496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26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496</v>
      </c>
      <c r="D1191" s="3"/>
      <c r="E1191" s="3" t="s">
        <v>496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108</v>
      </c>
      <c r="O1191" s="3"/>
      <c r="P1191" s="3"/>
      <c r="Q1191" s="3">
        <v>1.27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496</v>
      </c>
      <c r="D1192" s="3"/>
      <c r="E1192" s="3" t="s">
        <v>496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499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496</v>
      </c>
      <c r="D1193" s="3"/>
      <c r="E1193" s="3" t="s">
        <v>496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500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496</v>
      </c>
      <c r="D1194" s="3"/>
      <c r="E1194" s="3" t="s">
        <v>496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526</v>
      </c>
      <c r="O1194" s="3"/>
      <c r="P1194" s="3"/>
      <c r="Q1194" s="3">
        <v>0.5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501</v>
      </c>
      <c r="D1195" s="3"/>
      <c r="E1195" s="3" t="s">
        <v>501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502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501</v>
      </c>
      <c r="D1196" s="3"/>
      <c r="E1196" s="3" t="s">
        <v>501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300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501</v>
      </c>
      <c r="D1197" s="3"/>
      <c r="E1197" s="3" t="s">
        <v>501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110</v>
      </c>
      <c r="O1197" s="3"/>
      <c r="P1197" s="3"/>
      <c r="Q1197" s="3">
        <v>0.68899999999999995</v>
      </c>
      <c r="R1197" s="3" t="s">
        <v>111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501</v>
      </c>
      <c r="D1198" s="3"/>
      <c r="E1198" s="3" t="s">
        <v>501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202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501</v>
      </c>
      <c r="D1199" s="3"/>
      <c r="E1199" s="3" t="s">
        <v>501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114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501</v>
      </c>
      <c r="D1200" s="3"/>
      <c r="E1200" s="3" t="s">
        <v>501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503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501</v>
      </c>
      <c r="D1201" s="3"/>
      <c r="E1201" s="3" t="s">
        <v>501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116</v>
      </c>
      <c r="O1201" s="3"/>
      <c r="P1201" s="3"/>
      <c r="Q1201" s="3">
        <v>13.208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501</v>
      </c>
      <c r="D1202" s="3"/>
      <c r="E1202" s="3" t="s">
        <v>501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81.228999999999999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501</v>
      </c>
      <c r="D1203" s="3"/>
      <c r="E1203" s="3" t="s">
        <v>501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24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501</v>
      </c>
      <c r="D1204" s="3"/>
      <c r="E1204" s="3" t="s">
        <v>501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117</v>
      </c>
      <c r="O1204" s="3"/>
      <c r="P1204" s="3"/>
      <c r="Q1204" s="3">
        <v>9.0999999999999998E-2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501</v>
      </c>
      <c r="D1205" s="3"/>
      <c r="E1205" s="3" t="s">
        <v>501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118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501</v>
      </c>
      <c r="D1206" s="3"/>
      <c r="E1206" s="3" t="s">
        <v>501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25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501</v>
      </c>
      <c r="D1207" s="3"/>
      <c r="E1207" s="3" t="s">
        <v>501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26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501</v>
      </c>
      <c r="D1208" s="3"/>
      <c r="E1208" s="3" t="s">
        <v>501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108</v>
      </c>
      <c r="O1208" s="3"/>
      <c r="P1208" s="3"/>
      <c r="Q1208" s="3">
        <v>1.27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501</v>
      </c>
      <c r="D1209" s="3"/>
      <c r="E1209" s="3" t="s">
        <v>501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504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501</v>
      </c>
      <c r="D1210" s="3"/>
      <c r="E1210" s="3" t="s">
        <v>501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505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501</v>
      </c>
      <c r="D1211" s="3"/>
      <c r="E1211" s="3" t="s">
        <v>501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527</v>
      </c>
      <c r="O1211" s="3"/>
      <c r="P1211" s="3"/>
      <c r="Q1211" s="3">
        <v>0.6</v>
      </c>
      <c r="R1211" s="3" t="s">
        <v>14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506</v>
      </c>
      <c r="D1212" s="3"/>
      <c r="E1212" s="3" t="s">
        <v>506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507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506</v>
      </c>
      <c r="D1213" s="3"/>
      <c r="E1213" s="3" t="s">
        <v>506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300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506</v>
      </c>
      <c r="D1214" s="3"/>
      <c r="E1214" s="3" t="s">
        <v>506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110</v>
      </c>
      <c r="O1214" s="3"/>
      <c r="P1214" s="3"/>
      <c r="Q1214" s="3">
        <v>0.79</v>
      </c>
      <c r="R1214" s="3" t="s">
        <v>111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506</v>
      </c>
      <c r="D1215" s="3"/>
      <c r="E1215" s="3" t="s">
        <v>506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202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506</v>
      </c>
      <c r="D1216" s="3"/>
      <c r="E1216" s="3" t="s">
        <v>506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114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506</v>
      </c>
      <c r="D1217" s="3"/>
      <c r="E1217" s="3" t="s">
        <v>506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508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506</v>
      </c>
      <c r="D1218" s="3"/>
      <c r="E1218" s="3" t="s">
        <v>506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116</v>
      </c>
      <c r="O1218" s="3"/>
      <c r="P1218" s="3"/>
      <c r="Q1218" s="3">
        <v>13.818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506</v>
      </c>
      <c r="D1219" s="3"/>
      <c r="E1219" s="3" t="s">
        <v>506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84.977999999999994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506</v>
      </c>
      <c r="D1220" s="3"/>
      <c r="E1220" s="3" t="s">
        <v>506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506</v>
      </c>
      <c r="D1221" s="3"/>
      <c r="E1221" s="3" t="s">
        <v>506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117</v>
      </c>
      <c r="O1221" s="3"/>
      <c r="P1221" s="3"/>
      <c r="Q1221" s="3">
        <v>0.10100000000000001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506</v>
      </c>
      <c r="D1222" s="3"/>
      <c r="E1222" s="3" t="s">
        <v>506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118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506</v>
      </c>
      <c r="D1223" s="3"/>
      <c r="E1223" s="3" t="s">
        <v>506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25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506</v>
      </c>
      <c r="D1224" s="3"/>
      <c r="E1224" s="3" t="s">
        <v>506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26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506</v>
      </c>
      <c r="D1225" s="3"/>
      <c r="E1225" s="3" t="s">
        <v>506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108</v>
      </c>
      <c r="O1225" s="3"/>
      <c r="P1225" s="3"/>
      <c r="Q1225" s="3">
        <v>1.27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506</v>
      </c>
      <c r="D1226" s="3"/>
      <c r="E1226" s="3" t="s">
        <v>506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509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506</v>
      </c>
      <c r="D1227" s="3"/>
      <c r="E1227" s="3" t="s">
        <v>506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510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506</v>
      </c>
      <c r="D1228" s="3"/>
      <c r="E1228" s="3" t="s">
        <v>506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527</v>
      </c>
      <c r="O1228" s="3"/>
      <c r="P1228" s="3"/>
      <c r="Q1228" s="3">
        <v>0.6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511</v>
      </c>
      <c r="D1229" s="3"/>
      <c r="E1229" s="3" t="s">
        <v>511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512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511</v>
      </c>
      <c r="D1230" s="3"/>
      <c r="E1230" s="3" t="s">
        <v>511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300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511</v>
      </c>
      <c r="D1231" s="3"/>
      <c r="E1231" s="3" t="s">
        <v>511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110</v>
      </c>
      <c r="O1231" s="3"/>
      <c r="P1231" s="3"/>
      <c r="Q1231" s="3">
        <v>0.99199999999999999</v>
      </c>
      <c r="R1231" s="3" t="s">
        <v>111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511</v>
      </c>
      <c r="D1232" s="3"/>
      <c r="E1232" s="3" t="s">
        <v>511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202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511</v>
      </c>
      <c r="D1233" s="3"/>
      <c r="E1233" s="3" t="s">
        <v>511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114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511</v>
      </c>
      <c r="D1234" s="3"/>
      <c r="E1234" s="3" t="s">
        <v>511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513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511</v>
      </c>
      <c r="D1235" s="3"/>
      <c r="E1235" s="3" t="s">
        <v>511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116</v>
      </c>
      <c r="O1235" s="3"/>
      <c r="P1235" s="3"/>
      <c r="Q1235" s="3">
        <v>15.037000000000001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511</v>
      </c>
      <c r="D1236" s="3"/>
      <c r="E1236" s="3" t="s">
        <v>511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92.475999999999999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511</v>
      </c>
      <c r="D1237" s="3"/>
      <c r="E1237" s="3" t="s">
        <v>511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24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511</v>
      </c>
      <c r="D1238" s="3"/>
      <c r="E1238" s="3" t="s">
        <v>511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117</v>
      </c>
      <c r="O1238" s="3"/>
      <c r="P1238" s="3"/>
      <c r="Q1238" s="3">
        <v>0.12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511</v>
      </c>
      <c r="D1239" s="3"/>
      <c r="E1239" s="3" t="s">
        <v>511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118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511</v>
      </c>
      <c r="D1240" s="3"/>
      <c r="E1240" s="3" t="s">
        <v>511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511</v>
      </c>
      <c r="D1241" s="3"/>
      <c r="E1241" s="3" t="s">
        <v>511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511</v>
      </c>
      <c r="D1242" s="3"/>
      <c r="E1242" s="3" t="s">
        <v>511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108</v>
      </c>
      <c r="O1242" s="3"/>
      <c r="P1242" s="3"/>
      <c r="Q1242" s="3">
        <v>1.27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511</v>
      </c>
      <c r="D1243" s="3"/>
      <c r="E1243" s="3" t="s">
        <v>511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514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511</v>
      </c>
      <c r="D1244" s="3"/>
      <c r="E1244" s="3" t="s">
        <v>511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515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511</v>
      </c>
      <c r="D1245" s="3"/>
      <c r="E1245" s="3" t="s">
        <v>511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527</v>
      </c>
      <c r="O1245" s="3"/>
      <c r="P1245" s="3"/>
      <c r="Q1245" s="3">
        <v>0.6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516</v>
      </c>
      <c r="D1246" s="3"/>
      <c r="E1246" s="3" t="s">
        <v>516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517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516</v>
      </c>
      <c r="D1247" s="3"/>
      <c r="E1247" s="3" t="s">
        <v>516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300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516</v>
      </c>
      <c r="D1248" s="3"/>
      <c r="E1248" s="3" t="s">
        <v>516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110</v>
      </c>
      <c r="O1248" s="3"/>
      <c r="P1248" s="3"/>
      <c r="Q1248" s="3">
        <v>1.0920000000000001</v>
      </c>
      <c r="R1248" s="3" t="s">
        <v>111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516</v>
      </c>
      <c r="D1249" s="3"/>
      <c r="E1249" s="3" t="s">
        <v>516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202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516</v>
      </c>
      <c r="D1250" s="3"/>
      <c r="E1250" s="3" t="s">
        <v>516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114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516</v>
      </c>
      <c r="D1251" s="3"/>
      <c r="E1251" s="3" t="s">
        <v>516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518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516</v>
      </c>
      <c r="D1252" s="3"/>
      <c r="E1252" s="3" t="s">
        <v>516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116</v>
      </c>
      <c r="O1252" s="3"/>
      <c r="P1252" s="3"/>
      <c r="Q1252" s="3">
        <v>15.646000000000001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516</v>
      </c>
      <c r="D1253" s="3"/>
      <c r="E1253" s="3" t="s">
        <v>516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96.224999999999994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516</v>
      </c>
      <c r="D1254" s="3"/>
      <c r="E1254" s="3" t="s">
        <v>516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24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516</v>
      </c>
      <c r="D1255" s="3"/>
      <c r="E1255" s="3" t="s">
        <v>516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117</v>
      </c>
      <c r="O1255" s="3"/>
      <c r="P1255" s="3"/>
      <c r="Q1255" s="3">
        <v>0.13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516</v>
      </c>
      <c r="D1256" s="3"/>
      <c r="E1256" s="3" t="s">
        <v>516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118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516</v>
      </c>
      <c r="D1257" s="3"/>
      <c r="E1257" s="3" t="s">
        <v>516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25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516</v>
      </c>
      <c r="D1258" s="3"/>
      <c r="E1258" s="3" t="s">
        <v>516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26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516</v>
      </c>
      <c r="D1259" s="3"/>
      <c r="E1259" s="3" t="s">
        <v>516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108</v>
      </c>
      <c r="O1259" s="3"/>
      <c r="P1259" s="3"/>
      <c r="Q1259" s="3">
        <v>1.27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516</v>
      </c>
      <c r="D1260" s="3"/>
      <c r="E1260" s="3" t="s">
        <v>516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519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516</v>
      </c>
      <c r="D1261" s="3"/>
      <c r="E1261" s="3" t="s">
        <v>516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520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18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516</v>
      </c>
      <c r="D1262" s="3"/>
      <c r="E1262" s="3" t="s">
        <v>516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528</v>
      </c>
      <c r="O1262" s="3"/>
      <c r="P1262" s="3"/>
      <c r="Q1262" s="3">
        <v>0.8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521</v>
      </c>
      <c r="D1263" s="3"/>
      <c r="E1263" s="3" t="s">
        <v>521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522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521</v>
      </c>
      <c r="D1264" s="3"/>
      <c r="E1264" s="3" t="s">
        <v>521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300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521</v>
      </c>
      <c r="D1265" s="3"/>
      <c r="E1265" s="3" t="s">
        <v>521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110</v>
      </c>
      <c r="O1265" s="3"/>
      <c r="P1265" s="3"/>
      <c r="Q1265" s="3">
        <v>1.1930000000000001</v>
      </c>
      <c r="R1265" s="3" t="s">
        <v>111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521</v>
      </c>
      <c r="D1266" s="3"/>
      <c r="E1266" s="3" t="s">
        <v>521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202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521</v>
      </c>
      <c r="D1267" s="3"/>
      <c r="E1267" s="3" t="s">
        <v>521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114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521</v>
      </c>
      <c r="D1268" s="3"/>
      <c r="E1268" s="3" t="s">
        <v>521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523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521</v>
      </c>
      <c r="D1269" s="3"/>
      <c r="E1269" s="3" t="s">
        <v>521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116</v>
      </c>
      <c r="O1269" s="3"/>
      <c r="P1269" s="3"/>
      <c r="Q1269" s="3">
        <v>16.256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521</v>
      </c>
      <c r="D1270" s="3"/>
      <c r="E1270" s="3" t="s">
        <v>521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99.974000000000004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521</v>
      </c>
      <c r="D1271" s="3"/>
      <c r="E1271" s="3" t="s">
        <v>521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24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521</v>
      </c>
      <c r="D1272" s="3"/>
      <c r="E1272" s="3" t="s">
        <v>521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117</v>
      </c>
      <c r="O1272" s="3"/>
      <c r="P1272" s="3"/>
      <c r="Q1272" s="3">
        <v>0.14000000000000001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521</v>
      </c>
      <c r="D1273" s="3"/>
      <c r="E1273" s="3" t="s">
        <v>521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118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521</v>
      </c>
      <c r="D1274" s="3"/>
      <c r="E1274" s="3" t="s">
        <v>521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25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521</v>
      </c>
      <c r="D1275" s="3"/>
      <c r="E1275" s="3" t="s">
        <v>521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521</v>
      </c>
      <c r="D1276" s="3"/>
      <c r="E1276" s="3" t="s">
        <v>521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108</v>
      </c>
      <c r="O1276" s="3"/>
      <c r="P1276" s="3"/>
      <c r="Q1276" s="3">
        <v>1.27</v>
      </c>
      <c r="R1276" s="3" t="s">
        <v>14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521</v>
      </c>
      <c r="D1277" s="3"/>
      <c r="E1277" s="3" t="s">
        <v>521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524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18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521</v>
      </c>
      <c r="D1278" s="3"/>
      <c r="E1278" s="3" t="s">
        <v>521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525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18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521</v>
      </c>
      <c r="D1279" s="3"/>
      <c r="E1279" s="3" t="s">
        <v>521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528</v>
      </c>
      <c r="O1279" s="3"/>
      <c r="P1279" s="3"/>
      <c r="Q1279" s="3">
        <v>0.8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2025-11-06T12:16:43Z</dcterms:modified>
</cp:coreProperties>
</file>