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24.10.2025 CRYSTAL FINAL\crytsal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3" i="13"/>
  <c r="G17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" i="13"/>
  <c r="G12" i="13" l="1"/>
  <c r="H12" i="13" s="1"/>
  <c r="E2" i="13" l="1"/>
  <c r="E20" i="13" l="1"/>
  <c r="G20" i="13" s="1"/>
  <c r="H20" i="13" s="1"/>
  <c r="E8" i="13" l="1"/>
  <c r="G9" i="13"/>
  <c r="E7" i="13" l="1"/>
  <c r="G4" i="13" l="1"/>
  <c r="H8" i="13"/>
  <c r="E19" i="13"/>
  <c r="G10" i="13"/>
  <c r="G13" i="13"/>
  <c r="H13" i="13" s="1"/>
  <c r="E18" i="13"/>
  <c r="E5" i="13"/>
  <c r="G3" i="13" l="1"/>
  <c r="G5" i="13" l="1"/>
  <c r="H19" i="13" l="1"/>
  <c r="H18" i="13"/>
  <c r="H17" i="13"/>
  <c r="H16" i="13"/>
  <c r="H15" i="13"/>
  <c r="H14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<sst xmlns="http://schemas.openxmlformats.org/spreadsheetml/2006/main" count="30136" uniqueCount="749">
  <si>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</si>
  <si>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</si>
  <si>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</si>
  <si>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</si>
  <si>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</si>
  <si>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</si>
  <si>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</si>
  <si>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</si>
  <si>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</si>
  <si>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</si>
  <si>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</si>
  <si>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</si>
  <si>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</si>
  <si>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</si>
  <si>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</si>
  <si>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</si>
  <si>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</si>
  <si>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</si>
  <si>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</si>
  <si>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</si>
  <si>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</si>
  <si>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</si>
  <si>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</si>
  <si>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</si>
  <si>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</si>
  <si>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</si>
  <si>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</si>
  <si>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</si>
  <si>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</si>
  <si>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</si>
  <si>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</si>
  <si>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</si>
  <si>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</si>
  <si>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</si>
  <si>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</si>
  <si>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</si>
  <si>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</si>
  <si>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</si>
  <si>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</si>
  <si>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</si>
  <si>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</si>
  <si>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</si>
  <si>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</si>
  <si>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</si>
  <si>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</si>
  <si>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</si>
  <si>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</si>
  <si>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</si>
  <si>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</si>
  <si>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</si>
  <si>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</si>
  <si>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</si>
  <si>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</si>
  <si>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</si>
  <si>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</si>
  <si>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</si>
  <si>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</si>
  <si>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</si>
  <si>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</si>
  <si>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</si>
  <si>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</si>
  <si>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</si>
  <si>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</si>
  <si>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</si>
  <si>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</si>
  <si>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</si>
  <si>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</si>
  <si>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</si>
  <si>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</si>
  <si>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</si>
  <si>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</si>
  <si>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</si>
  <si>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</si>
  <si>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</si>
  <si>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</si>
  <si>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</si>
  <si>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</si>
  <si>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</si>
  <si>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</si>
  <si>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</si>
  <si>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</si>
  <si>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</si>
  <si>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</si>
  <si>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</si>
  <si>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</si>
  <si>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</si>
  <si>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</si>
  <si>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</si>
  <si>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</si>
  <si>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</si>
  <si>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</si>
  <si>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</si>
  <si>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</si>
  <si>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</si>
  <si>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</si>
  <si>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</si>
  <si>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</si>
  <si>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</si>
  <si>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</si>
  <si>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</si>
  <si>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</si>
  <si>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</si>
  <si>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</si>
  <si>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</si>
  <si>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</si>
  <si>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</si>
  <si>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Quilt-Border</t>
  </si>
  <si>
    <t>Sheet Foam 2</t>
  </si>
  <si>
    <t>30</t>
  </si>
  <si>
    <t>36</t>
  </si>
  <si>
    <t>42</t>
  </si>
  <si>
    <t>48</t>
  </si>
  <si>
    <t>60</t>
  </si>
  <si>
    <t>66</t>
  </si>
  <si>
    <t>RMI-HCTNF-71.50X35.50.</t>
  </si>
  <si>
    <t>RMI-HCTNF-71.50X41.50.</t>
  </si>
  <si>
    <t>RMI-HCTNF-71.50X47.50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</si>
  <si>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</si>
  <si>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</si>
  <si>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</si>
  <si>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</si>
  <si>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</si>
  <si>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</si>
  <si>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</si>
  <si>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</si>
  <si>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</si>
  <si>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</si>
  <si>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</si>
  <si>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</t>
  </si>
  <si>
    <t>RMI-HCTNF-77.50X59.50.</t>
  </si>
  <si>
    <t>RMI-HCTNF-77.50X65.50.</t>
  </si>
  <si>
    <t>RMI-HCTNF-77.50X71.50.</t>
  </si>
  <si>
    <t>RMI-HCTNF-83.50X71.50.</t>
  </si>
  <si>
    <t>RMI-HCTNF-71.50X29.50.</t>
  </si>
  <si>
    <t>RMI-HCTNF-74.50X29.50.</t>
  </si>
  <si>
    <t>RMI-HCTNF-77.50X29.50.</t>
  </si>
  <si>
    <t>BG</t>
  </si>
  <si>
    <t>PW</t>
  </si>
  <si>
    <t>BG,PW</t>
  </si>
  <si>
    <t>SFG-RTC-CRY-BP</t>
  </si>
  <si>
    <t>RML-CS-CST-9.5"</t>
  </si>
  <si>
    <t>RML-CB-DRM-GOLD</t>
  </si>
  <si>
    <t>RML-EDTAPE-WHT-KNIT</t>
  </si>
  <si>
    <t>Sheet Foam 1</t>
  </si>
  <si>
    <t>RTGPCSBGBG72X33X06</t>
  </si>
  <si>
    <t>OERTCPK75MMBOXSR720X330X130</t>
  </si>
  <si>
    <t>SFG-RTC-CGP-QUILT-BG</t>
  </si>
  <si>
    <t>SFG-CRYBG-BOR-72X33X8</t>
  </si>
  <si>
    <t>RML-ITALINO-EDTAPE-BEIGE</t>
  </si>
  <si>
    <t>25D-HELIXA-FOAM-69X30X25MM</t>
  </si>
  <si>
    <t>18D-PU-FOAM-67X28X10MM</t>
  </si>
  <si>
    <t>SFG-CRYBLK-PT-CVR-72X33X8</t>
  </si>
  <si>
    <t>RTGPCSBGBG72X39X06</t>
  </si>
  <si>
    <t>OERTCPK75MMBOXSR720X390X130</t>
  </si>
  <si>
    <t>SFG-CRYBG-BOR-72X39X8</t>
  </si>
  <si>
    <t>25D-HELIXA-FOAM-69X36X25MM</t>
  </si>
  <si>
    <t>18D-PU-FOAM-67X34X10MM</t>
  </si>
  <si>
    <t>SFG-CRYBLK-PT-CVR-72X39X8</t>
  </si>
  <si>
    <t>RTGPCSBGBG72X45X06</t>
  </si>
  <si>
    <t>OERTCPK75MMBOXSR720X450X130</t>
  </si>
  <si>
    <t>SFG-CRYBG-BOR-72X45X8</t>
  </si>
  <si>
    <t>25D-HELIXA-FOAM-69X42X25MM</t>
  </si>
  <si>
    <t>18D-PU-FOAM-67X40X10MM</t>
  </si>
  <si>
    <t>SFG-CRYBLK-PT-CVR-72X45X8</t>
  </si>
  <si>
    <t>RTGPCSBGBG72X51X06</t>
  </si>
  <si>
    <t>OERTCPK75MMBOXSR720X510X130</t>
  </si>
  <si>
    <t>SFG-CRYBG-BOR-72X51X8</t>
  </si>
  <si>
    <t>25D-HELIXA-FOAM-69X48X25MM</t>
  </si>
  <si>
    <t>18D-PU-FOAM-67X46X10MM</t>
  </si>
  <si>
    <t>SFG-CRYBLK-PT-CVR-72X51X8</t>
  </si>
  <si>
    <t>RTGPCSBGBG72X54X06</t>
  </si>
  <si>
    <t>OERTCPK75MMBOXSR720X540X130</t>
  </si>
  <si>
    <t>SFG-CRYBG-BOR-72X54X8</t>
  </si>
  <si>
    <t>25D-HELIXA-FOAM-69X51X25MM</t>
  </si>
  <si>
    <t>18D-PU-FOAM-67X49X10MM</t>
  </si>
  <si>
    <t>SFG-CRYBLK-PT-CVR-72X54X8</t>
  </si>
  <si>
    <t>RTGPCSBGBG72X57X06</t>
  </si>
  <si>
    <t>OERTCPK75MMBOXSR720X570X130</t>
  </si>
  <si>
    <t>SFG-CRYBG-BOR-72X57X8</t>
  </si>
  <si>
    <t>25D-HELIXA-FOAM-69X54X25MM</t>
  </si>
  <si>
    <t>18D-PU-FOAM-67X52X10MM</t>
  </si>
  <si>
    <t>SFG-CRYBLK-PT-CVR-72X57X8</t>
  </si>
  <si>
    <t>RTGPCSBGBG72X63X06</t>
  </si>
  <si>
    <t>OERTCPK75MMBOXSR720X630X130</t>
  </si>
  <si>
    <t>SFG-CRYBG-BOR-72X63X8</t>
  </si>
  <si>
    <t>25D-HELIXA-FOAM-69X60X25MM</t>
  </si>
  <si>
    <t>18D-PU-FOAM-67X58X10MM</t>
  </si>
  <si>
    <t>SFG-CRYBLK-PT-CVR-72X63X8</t>
  </si>
  <si>
    <t>RTGPCSBGBG72X69X06</t>
  </si>
  <si>
    <t>OERTCPK75MMBOXSR720X690X130</t>
  </si>
  <si>
    <t>SFG-CRYBG-BOR-72X69X8</t>
  </si>
  <si>
    <t>25D-HELIXA-FOAM-69X66X25MM</t>
  </si>
  <si>
    <t>18D-PU-FOAM-67X64X10MM</t>
  </si>
  <si>
    <t>SFG-CRYBLK-PT-CVR-72X69X8</t>
  </si>
  <si>
    <t>RTGPCSBGBG75X33X06</t>
  </si>
  <si>
    <t>OERTCPK75MMBOXSR750X330X130</t>
  </si>
  <si>
    <t>SFG-CRYBG-BOR-75X33X8</t>
  </si>
  <si>
    <t>25D-HELIXA-FOAM-72X30X25MM</t>
  </si>
  <si>
    <t>18D-PU-FOAM-70X28X10MM</t>
  </si>
  <si>
    <t>SFG-CRYBLK-PT-CVR-75X33X8</t>
  </si>
  <si>
    <t>RTGPCSBGBG75X39X06</t>
  </si>
  <si>
    <t>OERTCPK75MMBOXSR750X390X130</t>
  </si>
  <si>
    <t>SFG-CRYBG-BOR-75X39X8</t>
  </si>
  <si>
    <t>25D-HELIXA-FOAM-72X36X25MM</t>
  </si>
  <si>
    <t>18D-PU-FOAM-70X34X10MM</t>
  </si>
  <si>
    <t>SFG-CRYBLK-PT-CVR-75X39X8</t>
  </si>
  <si>
    <t>RTGPCSBGBG75X45X06</t>
  </si>
  <si>
    <t>OERTCPK75MMBOXSR750X450X130</t>
  </si>
  <si>
    <t>SFG-CRYBG-BOR-75X45X8</t>
  </si>
  <si>
    <t>25D-HELIXA-FOAM-72X42X25MM</t>
  </si>
  <si>
    <t>18D-PU-FOAM-70X40X10MM</t>
  </si>
  <si>
    <t>SFG-CRYBLK-PT-CVR-75X45X8</t>
  </si>
  <si>
    <t>RTGPCSBGBG75X51X06</t>
  </si>
  <si>
    <t>OERTCPK75MMBOXSR750X510X130</t>
  </si>
  <si>
    <t>SFG-CRYBG-BOR-75X51X8</t>
  </si>
  <si>
    <t>25D-HELIXA-FOAM-72X48X25MM</t>
  </si>
  <si>
    <t>18D-PU-FOAM-70X46X10MM</t>
  </si>
  <si>
    <t>SFG-CRYBLK-PT-CVR-75X51X8</t>
  </si>
  <si>
    <t>RTGPCSBGBG75X54X06</t>
  </si>
  <si>
    <t>OERTCPK75MMBOXSR750X540X130</t>
  </si>
  <si>
    <t>SFG-CRYBG-BOR-75X54X8</t>
  </si>
  <si>
    <t>25D-HELIXA-FOAM-72X51X25MM</t>
  </si>
  <si>
    <t>18D-PU-FOAM-70X49X10MM</t>
  </si>
  <si>
    <t>SFG-CRYBLK-PT-CVR-75X54X8</t>
  </si>
  <si>
    <t>RTGPCSBGBG75X57X06</t>
  </si>
  <si>
    <t>OERTCPK75MMBOXSR750X570X130</t>
  </si>
  <si>
    <t>SFG-CRYBG-BOR-75X57X8</t>
  </si>
  <si>
    <t>25D-HELIXA-FOAM-72X54X25MM</t>
  </si>
  <si>
    <t>18D-PU-FOAM-70X52X10MM</t>
  </si>
  <si>
    <t>SFG-CRYBLK-PT-CVR-75X57X8</t>
  </si>
  <si>
    <t>RTGPCSBGBG75X63X06</t>
  </si>
  <si>
    <t>OERTCPK75MMBOXSR750X630X130</t>
  </si>
  <si>
    <t>SFG-CRYBG-BOR-75X63X8</t>
  </si>
  <si>
    <t>25D-HELIXA-FOAM-72X60X25MM</t>
  </si>
  <si>
    <t>18D-PU-FOAM-70X58X10MM</t>
  </si>
  <si>
    <t>SFG-CRYBLK-PT-CVR-75X63X8</t>
  </si>
  <si>
    <t>RTGPCSBGBG75X69X06</t>
  </si>
  <si>
    <t>OERTCPK75MMBOXSR750X690X130</t>
  </si>
  <si>
    <t>SFG-CRYBG-BOR-75X69X8</t>
  </si>
  <si>
    <t>25D-HELIXA-FOAM-72X66X25MM</t>
  </si>
  <si>
    <t>18D-PU-FOAM-70X64X10MM</t>
  </si>
  <si>
    <t>SFG-CRYBLK-PT-CVR-75X69X8</t>
  </si>
  <si>
    <t>RTGPCSBGBG78X33X06</t>
  </si>
  <si>
    <t>OERTCPK75MMBOXSR780X330X130</t>
  </si>
  <si>
    <t>SFG-CRYBG-BOR-78X33X8</t>
  </si>
  <si>
    <t>25D-HELIXA-FOAM-75X30X25MM</t>
  </si>
  <si>
    <t>18D-PU-FOAM-73X28X10MM</t>
  </si>
  <si>
    <t>SFG-CRYBLK-PT-CVR-78X33X8</t>
  </si>
  <si>
    <t>RTGPCSBGBG78X39X06</t>
  </si>
  <si>
    <t>OERTCPK75MMBOXSR780X390X130</t>
  </si>
  <si>
    <t>SFG-CRYBG-BOR-78X39X8</t>
  </si>
  <si>
    <t>25D-HELIXA-FOAM-75X36X25MM</t>
  </si>
  <si>
    <t>18D-PU-FOAM-73X34X10MM</t>
  </si>
  <si>
    <t>SFG-CRYBLK-PT-CVR-78X39X8</t>
  </si>
  <si>
    <t>RTGPCSBGBG78X45X06</t>
  </si>
  <si>
    <t>OERTCPK75MMBOXSR780X450X130</t>
  </si>
  <si>
    <t>SFG-CRYBG-BOR-78X45X8</t>
  </si>
  <si>
    <t>25D-HELIXA-FOAM-75X42X25MM</t>
  </si>
  <si>
    <t>18D-PU-FOAM-73X40X10MM</t>
  </si>
  <si>
    <t>SFG-CRYBLK-PT-CVR-78X45X8</t>
  </si>
  <si>
    <t>RTGPCSBGBG78X51X06</t>
  </si>
  <si>
    <t>OERTCPK75MMBOXSR780X510X130</t>
  </si>
  <si>
    <t>SFG-CRYBG-BOR-78X51X8</t>
  </si>
  <si>
    <t>25D-HELIXA-FOAM-75X48X25MM</t>
  </si>
  <si>
    <t>18D-PU-FOAM-73X46X10MM</t>
  </si>
  <si>
    <t>SFG-CRYBLK-PT-CVR-78X51X8</t>
  </si>
  <si>
    <t>RTGPCSBGBG78X54X06</t>
  </si>
  <si>
    <t>OERTCPK75MMBOXSR780X540X130</t>
  </si>
  <si>
    <t>SFG-CRYBG-BOR-78X54X8</t>
  </si>
  <si>
    <t>25D-HELIXA-FOAM-75X51X25MM</t>
  </si>
  <si>
    <t>18D-PU-FOAM-73X49X10MM</t>
  </si>
  <si>
    <t>SFG-CRYBLK-PT-CVR-78X54X8</t>
  </si>
  <si>
    <t>RTGPCSBGBG78X57X06</t>
  </si>
  <si>
    <t>OERTCPK75MMBOXSR780X570X130</t>
  </si>
  <si>
    <t>SFG-CRYBG-BOR-78X57X8</t>
  </si>
  <si>
    <t>25D-HELIXA-FOAM-75X54X25MM</t>
  </si>
  <si>
    <t>18D-PU-FOAM-73X52X10MM</t>
  </si>
  <si>
    <t>SFG-CRYBLK-PT-CVR-78X57X8</t>
  </si>
  <si>
    <t>RTGPCSBGBG78X63X06</t>
  </si>
  <si>
    <t>OERTCPK75MMBOXSR780X630X130</t>
  </si>
  <si>
    <t>SFG-CRYBG-BOR-78X63X8</t>
  </si>
  <si>
    <t>25D-HELIXA-FOAM-75X60X25MM</t>
  </si>
  <si>
    <t>18D-PU-FOAM-73X58X10MM</t>
  </si>
  <si>
    <t>SFG-CRYBLK-PT-CVR-78X63X8</t>
  </si>
  <si>
    <t>RTGPCSBGBG78X69X06</t>
  </si>
  <si>
    <t>OERTCPK75MMBOXSR780X690X130</t>
  </si>
  <si>
    <t>SFG-CRYBG-BOR-78X69X8</t>
  </si>
  <si>
    <t>25D-HELIXA-FOAM-75X66X25MM</t>
  </si>
  <si>
    <t>18D-PU-FOAM-73X64X10MM</t>
  </si>
  <si>
    <t>SFG-CRYBLK-PT-CVR-78X69X8</t>
  </si>
  <si>
    <t>RTGPCSBGBG80X33X06</t>
  </si>
  <si>
    <t>OERTCPK75MMBOXSR800X330X130</t>
  </si>
  <si>
    <t>SFG-CRYBG-BOR-80X33X8</t>
  </si>
  <si>
    <t>25D-HELIXA-FOAM-77X30X25MM</t>
  </si>
  <si>
    <t>18D-PU-FOAM-75X28X10MM</t>
  </si>
  <si>
    <t>SFG-CRYBLK-PT-CVR-80X33X8</t>
  </si>
  <si>
    <t>RTGPCSBGBG80X39X06</t>
  </si>
  <si>
    <t>OERTCPK75MMBOXSR800X390X130</t>
  </si>
  <si>
    <t>SFG-CRYBG-BOR-80X39X8</t>
  </si>
  <si>
    <t>25D-HELIXA-FOAM-77X36X25MM</t>
  </si>
  <si>
    <t>18D-PU-FOAM-75X34X10MM</t>
  </si>
  <si>
    <t>SFG-CRYBLK-PT-CVR-80X39X8</t>
  </si>
  <si>
    <t>RTGPCSBGBG80X45X06</t>
  </si>
  <si>
    <t>OERTCPK75MMBOXSR800X450X130</t>
  </si>
  <si>
    <t>SFG-CRYBG-BOR-80X45X8</t>
  </si>
  <si>
    <t>25D-HELIXA-FOAM-77X42X25MM</t>
  </si>
  <si>
    <t>18D-PU-FOAM-75X40X10MM</t>
  </si>
  <si>
    <t>SFG-CRYBLK-PT-CVR-80X45X8</t>
  </si>
  <si>
    <t>RTGPCSBGBG80X51X06</t>
  </si>
  <si>
    <t>OERTCPK75MMBOXSR800X510X130</t>
  </si>
  <si>
    <t>SFG-CRYBG-BOR-80X51X8</t>
  </si>
  <si>
    <t>25D-HELIXA-FOAM-77X48X25MM</t>
  </si>
  <si>
    <t>18D-PU-FOAM-75X46X10MM</t>
  </si>
  <si>
    <t>SFG-CRYBLK-PT-CVR-80X51X8</t>
  </si>
  <si>
    <t>RTGPCSBGBG80X54X06</t>
  </si>
  <si>
    <t>OERTCPK75MMBOXSR800X540X130</t>
  </si>
  <si>
    <t>SFG-CRYBG-BOR-80X54X8</t>
  </si>
  <si>
    <t>25D-HELIXA-FOAM-77X51X25MM</t>
  </si>
  <si>
    <t>18D-PU-FOAM-75X49X10MM</t>
  </si>
  <si>
    <t>SFG-CRYBLK-PT-CVR-80X54X8</t>
  </si>
  <si>
    <t>RTGPCSBGBG80X57X06</t>
  </si>
  <si>
    <t>OERTCPK75MMBOXSR800X570X130</t>
  </si>
  <si>
    <t>SFG-CRYBG-BOR-80X57X8</t>
  </si>
  <si>
    <t>25D-HELIXA-FOAM-77X54X25MM</t>
  </si>
  <si>
    <t>18D-PU-FOAM-75X52X10MM</t>
  </si>
  <si>
    <t>SFG-CRYBLK-PT-CVR-80X57X8</t>
  </si>
  <si>
    <t>RTGPCSBGBG80X63X06</t>
  </si>
  <si>
    <t>OERTCPK75MMBOXSR800X630X130</t>
  </si>
  <si>
    <t>SFG-CRYBG-BOR-80X63X8</t>
  </si>
  <si>
    <t>25D-HELIXA-FOAM-77X60X25MM</t>
  </si>
  <si>
    <t>18D-PU-FOAM-75X58X10MM</t>
  </si>
  <si>
    <t>SFG-CRYBLK-PT-CVR-80X63X8</t>
  </si>
  <si>
    <t>RTGPCSBGBG80X69X06</t>
  </si>
  <si>
    <t>OERTCPK75MMBOXSR800X690X130</t>
  </si>
  <si>
    <t>SFG-CRYBG-BOR-80X69X8</t>
  </si>
  <si>
    <t>25D-HELIXA-FOAM-77X66X25MM</t>
  </si>
  <si>
    <t>18D-PU-FOAM-75X64X10MM</t>
  </si>
  <si>
    <t>SFG-CRYBLK-PT-CVR-80X69X8</t>
  </si>
  <si>
    <t>RTGPCSBGBG84X33X06</t>
  </si>
  <si>
    <t>OERTCPK75MMBOXSR840X330X130</t>
  </si>
  <si>
    <t>SFG-CRYBG-BOR-84X33X8</t>
  </si>
  <si>
    <t>25D-HELIXA-FOAM-81X30X25MM</t>
  </si>
  <si>
    <t>18D-PU-FOAM-79X28X10MM</t>
  </si>
  <si>
    <t>SFG-CRYBLK-PT-CVR-84X33X8</t>
  </si>
  <si>
    <t>RTGPCSBGBG84X39X06</t>
  </si>
  <si>
    <t>OERTCPK75MMBOXSR840X390X130</t>
  </si>
  <si>
    <t>SFG-CRYBG-BOR-84X39X8</t>
  </si>
  <si>
    <t>25D-HELIXA-FOAM-81X36X25MM</t>
  </si>
  <si>
    <t>18D-PU-FOAM-79X34X10MM</t>
  </si>
  <si>
    <t>SFG-CRYBLK-PT-CVR-84X39X8</t>
  </si>
  <si>
    <t>RTGPCSBGBG84X45X06</t>
  </si>
  <si>
    <t>OERTCPK75MMBOXSR840X450X130</t>
  </si>
  <si>
    <t>SFG-CRYBG-BOR-84X45X8</t>
  </si>
  <si>
    <t>25D-HELIXA-FOAM-81X42X25MM</t>
  </si>
  <si>
    <t>18D-PU-FOAM-79X40X10MM</t>
  </si>
  <si>
    <t>SFG-CRYBLK-PT-CVR-84X45X8</t>
  </si>
  <si>
    <t>RTGPCSBGBG84X51X06</t>
  </si>
  <si>
    <t>OERTCPK75MMBOXSR840X510X130</t>
  </si>
  <si>
    <t>SFG-CRYBG-BOR-84X51X8</t>
  </si>
  <si>
    <t>25D-HELIXA-FOAM-81X48X25MM</t>
  </si>
  <si>
    <t>18D-PU-FOAM-79X46X10MM</t>
  </si>
  <si>
    <t>SFG-CRYBLK-PT-CVR-84X51X8</t>
  </si>
  <si>
    <t>RTGPCSBGBG84X54X06</t>
  </si>
  <si>
    <t>OERTCPK75MMBOXSR840X540X130</t>
  </si>
  <si>
    <t>SFG-CRYBG-BOR-84X54X8</t>
  </si>
  <si>
    <t>25D-HELIXA-FOAM-81X51X25MM</t>
  </si>
  <si>
    <t>18D-PU-FOAM-79X49X10MM</t>
  </si>
  <si>
    <t>SFG-CRYBLK-PT-CVR-84X54X8</t>
  </si>
  <si>
    <t>RTGPCSBGBG84X57X06</t>
  </si>
  <si>
    <t>OERTCPK75MMBOXSR840X570X130</t>
  </si>
  <si>
    <t>SFG-CRYBG-BOR-84X57X8</t>
  </si>
  <si>
    <t>25D-HELIXA-FOAM-81X54X25MM</t>
  </si>
  <si>
    <t>18D-PU-FOAM-79X52X10MM</t>
  </si>
  <si>
    <t>SFG-CRYBLK-PT-CVR-84X57X8</t>
  </si>
  <si>
    <t>RTGPCSBGBG84X63X06</t>
  </si>
  <si>
    <t>OERTCPK75MMBOXSR840X630X130</t>
  </si>
  <si>
    <t>SFG-CRYBG-BOR-84X63X8</t>
  </si>
  <si>
    <t>25D-HELIXA-FOAM-81X60X25MM</t>
  </si>
  <si>
    <t>18D-PU-FOAM-79X58X10MM</t>
  </si>
  <si>
    <t>SFG-CRYBLK-PT-CVR-84X63X8</t>
  </si>
  <si>
    <t>RTGPCSBGBG84X69X06</t>
  </si>
  <si>
    <t>OERTCPK75MMBOXSR840X690X130</t>
  </si>
  <si>
    <t>SFG-CRYBG-BOR-84X69X8</t>
  </si>
  <si>
    <t>25D-HELIXA-FOAM-81X66X25MM</t>
  </si>
  <si>
    <t>18D-PU-FOAM-79X64X10MM</t>
  </si>
  <si>
    <t>SFG-CRYBLK-PT-CVR-84X69X8</t>
  </si>
  <si>
    <t>RTGPCSBGBG72X30X06</t>
  </si>
  <si>
    <t>OERTCPK75MMBOXSR720X300X130</t>
  </si>
  <si>
    <t>SFG-CRYBG-BOR-72X30X8</t>
  </si>
  <si>
    <t>25D-HELIXA-FOAM-69X27X25MM</t>
  </si>
  <si>
    <t>18D-PU-FOAM-67X25X10MM</t>
  </si>
  <si>
    <t>SFG-CRYBLK-PT-CVR-72X30X8</t>
  </si>
  <si>
    <t>RTGPCSBGBG72X36X06</t>
  </si>
  <si>
    <t>OERTCPK75MMBOXSR720X360X130</t>
  </si>
  <si>
    <t>SFG-CRYBG-BOR-72X36X8</t>
  </si>
  <si>
    <t>25D-HELIXA-FOAM-69X33X25MM</t>
  </si>
  <si>
    <t>18D-PU-FOAM-67X31X10MM</t>
  </si>
  <si>
    <t>SFG-CRYBLK-PT-CVR-72X36X8</t>
  </si>
  <si>
    <t>RTGPCSBGBG72X42X06</t>
  </si>
  <si>
    <t>OERTCPK75MMBOXSR720X420X130</t>
  </si>
  <si>
    <t>SFG-CRYBG-BOR-72X42X8</t>
  </si>
  <si>
    <t>25D-HELIXA-FOAM-69X39X25MM</t>
  </si>
  <si>
    <t>18D-PU-FOAM-67X37X10MM</t>
  </si>
  <si>
    <t>SFG-CRYBLK-PT-CVR-72X42X8</t>
  </si>
  <si>
    <t>RTGPCSBGBG72X48X06</t>
  </si>
  <si>
    <t>OERTCPK75MMBOXSR720X480X130</t>
  </si>
  <si>
    <t>SFG-CRYBG-BOR-72X48X8</t>
  </si>
  <si>
    <t>25D-HELIXA-FOAM-69X45X25MM</t>
  </si>
  <si>
    <t>18D-PU-FOAM-67X43X10MM</t>
  </si>
  <si>
    <t>SFG-CRYBLK-PT-CVR-72X48X8</t>
  </si>
  <si>
    <t>RTGPCSBGBG72X60X06</t>
  </si>
  <si>
    <t>OERTCPK75MMBOXSR720X600X130</t>
  </si>
  <si>
    <t>SFG-CRYBG-BOR-72X60X8</t>
  </si>
  <si>
    <t>25D-HELIXA-FOAM-69X57X25MM</t>
  </si>
  <si>
    <t>18D-PU-FOAM-67X55X10MM</t>
  </si>
  <si>
    <t>SFG-CRYBLK-PT-CVR-72X60X8</t>
  </si>
  <si>
    <t>RTGPCSBGBG72X66X06</t>
  </si>
  <si>
    <t>OERTCPK75MMBOXSR720X660X130</t>
  </si>
  <si>
    <t>SFG-CRYBG-BOR-72X66X8</t>
  </si>
  <si>
    <t>25D-HELIXA-FOAM-69X63X25MM</t>
  </si>
  <si>
    <t>18D-PU-FOAM-67X61X10MM</t>
  </si>
  <si>
    <t>SFG-CRYBLK-PT-CVR-72X66X8</t>
  </si>
  <si>
    <t>RTGPCSBGBG72X72X06</t>
  </si>
  <si>
    <t>OERTCPK75MMBOXSR720X720X130</t>
  </si>
  <si>
    <t>SFG-CRYBG-BOR-72X72X8</t>
  </si>
  <si>
    <t>25D-HELIXA-FOAM-69X69X25MM</t>
  </si>
  <si>
    <t>18D-PU-FOAM-67X67X10MM</t>
  </si>
  <si>
    <t>SFG-CRYBLK-PT-CVR-72X72X8</t>
  </si>
  <si>
    <t>RTGPCSBGBG75X30X06</t>
  </si>
  <si>
    <t>OERTCPK75MMBOXSR750X300X130</t>
  </si>
  <si>
    <t>SFG-CRYBG-BOR-75X30X8</t>
  </si>
  <si>
    <t>25D-HELIXA-FOAM-72X27X25MM</t>
  </si>
  <si>
    <t>18D-PU-FOAM-70X25X10MM</t>
  </si>
  <si>
    <t>SFG-CRYBLK-PT-CVR-75X30X8</t>
  </si>
  <si>
    <t>RTGPCSBGBG75X36X06</t>
  </si>
  <si>
    <t>OERTCPK75MMBOXSR750X360X130</t>
  </si>
  <si>
    <t>SFG-CRYBG-BOR-75X36X8</t>
  </si>
  <si>
    <t>25D-HELIXA-FOAM-72X33X25MM</t>
  </si>
  <si>
    <t>18D-PU-FOAM-70X31X10MM</t>
  </si>
  <si>
    <t>SFG-CRYBLK-PT-CVR-75X36X8</t>
  </si>
  <si>
    <t>RTGPCSBGBG75X42X06</t>
  </si>
  <si>
    <t>OERTCPK75MMBOXSR750X420X130</t>
  </si>
  <si>
    <t>SFG-CRYBG-BOR-75X42X8</t>
  </si>
  <si>
    <t>25D-HELIXA-FOAM-72X39X25MM</t>
  </si>
  <si>
    <t>18D-PU-FOAM-70X37X10MM</t>
  </si>
  <si>
    <t>SFG-CRYBLK-PT-CVR-75X42X8</t>
  </si>
  <si>
    <t>RTGPCSBGBG75X48X06</t>
  </si>
  <si>
    <t>OERTCPK75MMBOXSR750X480X130</t>
  </si>
  <si>
    <t>SFG-CRYBG-BOR-75X48X8</t>
  </si>
  <si>
    <t>25D-HELIXA-FOAM-72X45X25MM</t>
  </si>
  <si>
    <t>18D-PU-FOAM-70X43X10MM</t>
  </si>
  <si>
    <t>SFG-CRYBLK-PT-CVR-75X48X8</t>
  </si>
  <si>
    <t>RTGPCSBGBG75X60X06</t>
  </si>
  <si>
    <t>OERTCPK75MMBOXSR750X600X130</t>
  </si>
  <si>
    <t>SFG-CRYBG-BOR-75X60X8</t>
  </si>
  <si>
    <t>25D-HELIXA-FOAM-72X57X25MM</t>
  </si>
  <si>
    <t>18D-PU-FOAM-70X55X10MM</t>
  </si>
  <si>
    <t>SFG-CRYBLK-PT-CVR-75X60X8</t>
  </si>
  <si>
    <t>RTGPCSBGBG75X66X06</t>
  </si>
  <si>
    <t>OERTCPK75MMBOXSR750X660X130</t>
  </si>
  <si>
    <t>SFG-CRYBG-BOR-75X66X8</t>
  </si>
  <si>
    <t>25D-HELIXA-FOAM-72X63X25MM</t>
  </si>
  <si>
    <t>18D-PU-FOAM-70X61X10MM</t>
  </si>
  <si>
    <t>SFG-CRYBLK-PT-CVR-75X66X8</t>
  </si>
  <si>
    <t>RTGPCSBGBG75X72X06</t>
  </si>
  <si>
    <t>OERTCPK75MMBOXSR750X720X130</t>
  </si>
  <si>
    <t>SFG-CRYBG-BOR-75X72X8</t>
  </si>
  <si>
    <t>25D-HELIXA-FOAM-72X69X25MM</t>
  </si>
  <si>
    <t>18D-PU-FOAM-70X67X10MM</t>
  </si>
  <si>
    <t>SFG-CRYBLK-PT-CVR-75X72X8</t>
  </si>
  <si>
    <t>RTGPCSBGBG78X30X06</t>
  </si>
  <si>
    <t>OERTCPK75MMBOXSR780X300X130</t>
  </si>
  <si>
    <t>SFG-CRYBG-BOR-78X30X8</t>
  </si>
  <si>
    <t>25D-HELIXA-FOAM-75X27X25MM</t>
  </si>
  <si>
    <t>18D-PU-FOAM-73X25X10MM</t>
  </si>
  <si>
    <t>SFG-CRYBLK-PT-CVR-78X30X8</t>
  </si>
  <si>
    <t>RTGPCSBGBG78X36X06</t>
  </si>
  <si>
    <t>OERTCPK75MMBOXSR780X360X130</t>
  </si>
  <si>
    <t>SFG-CRYBG-BOR-78X36X8</t>
  </si>
  <si>
    <t>25D-HELIXA-FOAM-75X33X25MM</t>
  </si>
  <si>
    <t>18D-PU-FOAM-73X31X10MM</t>
  </si>
  <si>
    <t>SFG-CRYBLK-PT-CVR-78X36X8</t>
  </si>
  <si>
    <t>RTGPCSBGBG78X42X06</t>
  </si>
  <si>
    <t>OERTCPK75MMBOXSR780X420X130</t>
  </si>
  <si>
    <t>SFG-CRYBG-BOR-78X42X8</t>
  </si>
  <si>
    <t>25D-HELIXA-FOAM-75X39X25MM</t>
  </si>
  <si>
    <t>18D-PU-FOAM-73X37X10MM</t>
  </si>
  <si>
    <t>SFG-CRYBLK-PT-CVR-78X42X8</t>
  </si>
  <si>
    <t>RTGPCSBGBG78X48X06</t>
  </si>
  <si>
    <t>OERTCPK75MMBOXSR780X480X130</t>
  </si>
  <si>
    <t>SFG-CRYBG-BOR-78X48X8</t>
  </si>
  <si>
    <t>25D-HELIXA-FOAM-75X45X25MM</t>
  </si>
  <si>
    <t>18D-PU-FOAM-73X43X10MM</t>
  </si>
  <si>
    <t>SFG-CRYBLK-PT-CVR-78X48X8</t>
  </si>
  <si>
    <t>RTGPCSBGBG78X60X06</t>
  </si>
  <si>
    <t>OERTCPK75MMBOXSR780X600X130</t>
  </si>
  <si>
    <t>SFG-CRYBG-BOR-78X60X8</t>
  </si>
  <si>
    <t>25D-HELIXA-FOAM-75X57X25MM</t>
  </si>
  <si>
    <t>18D-PU-FOAM-73X55X10MM</t>
  </si>
  <si>
    <t>SFG-CRYBLK-PT-CVR-78X60X8</t>
  </si>
  <si>
    <t>RTGPCSBGBG78X66X06</t>
  </si>
  <si>
    <t>OERTCPK75MMBOXSR780X660X130</t>
  </si>
  <si>
    <t>SFG-CRYBG-BOR-78X66X8</t>
  </si>
  <si>
    <t>25D-HELIXA-FOAM-75X63X25MM</t>
  </si>
  <si>
    <t>18D-PU-FOAM-73X61X10MM</t>
  </si>
  <si>
    <t>SFG-CRYBLK-PT-CVR-78X66X8</t>
  </si>
  <si>
    <t>RTGPCSBGBG78X72X06</t>
  </si>
  <si>
    <t>OERTCPK75MMBOXSR780X720X130</t>
  </si>
  <si>
    <t>SFG-CRYBG-BOR-78X72X8</t>
  </si>
  <si>
    <t>25D-HELIXA-FOAM-75X69X25MM</t>
  </si>
  <si>
    <t>18D-PU-FOAM-73X67X10MM</t>
  </si>
  <si>
    <t>SFG-CRYBLK-PT-CVR-78X72X8</t>
  </si>
  <si>
    <t>RTGPCSBGBG80X30X06</t>
  </si>
  <si>
    <t>OERTCPK75MMBOXSR800X300X130</t>
  </si>
  <si>
    <t>SFG-CRYBG-BOR-80X30X8</t>
  </si>
  <si>
    <t>25D-HELIXA-FOAM-77X27X25MM</t>
  </si>
  <si>
    <t>18D-PU-FOAM-75X25X10MM</t>
  </si>
  <si>
    <t>SFG-CRYBLK-PT-CVR-80X30X8</t>
  </si>
  <si>
    <t>RTGPCSBGBG80X36X06</t>
  </si>
  <si>
    <t>OERTCPK75MMBOXSR800X360X130</t>
  </si>
  <si>
    <t>SFG-CRYBG-BOR-80X36X8</t>
  </si>
  <si>
    <t>25D-HELIXA-FOAM-77X33X25MM</t>
  </si>
  <si>
    <t>18D-PU-FOAM-75X31X10MM</t>
  </si>
  <si>
    <t>SFG-CRYBLK-PT-CVR-80X36X8</t>
  </si>
  <si>
    <t>RTGPCSBGBG80X42X06</t>
  </si>
  <si>
    <t>OERTCPK75MMBOXSR800X420X130</t>
  </si>
  <si>
    <t>SFG-CRYBG-BOR-80X42X8</t>
  </si>
  <si>
    <t>25D-HELIXA-FOAM-77X39X25MM</t>
  </si>
  <si>
    <t>18D-PU-FOAM-75X37X10MM</t>
  </si>
  <si>
    <t>SFG-CRYBLK-PT-CVR-80X42X8</t>
  </si>
  <si>
    <t>RTGPCSBGBG80X48X06</t>
  </si>
  <si>
    <t>OERTCPK75MMBOXSR800X480X130</t>
  </si>
  <si>
    <t>SFG-CRYBG-BOR-80X48X8</t>
  </si>
  <si>
    <t>25D-HELIXA-FOAM-77X45X25MM</t>
  </si>
  <si>
    <t>18D-PU-FOAM-75X43X10MM</t>
  </si>
  <si>
    <t>SFG-CRYBLK-PT-CVR-80X48X8</t>
  </si>
  <si>
    <t>RTGPCSBGBG80X60X06</t>
  </si>
  <si>
    <t>OERTCPK75MMBOXSR800X600X130</t>
  </si>
  <si>
    <t>SFG-CRYBG-BOR-80X60X8</t>
  </si>
  <si>
    <t>25D-HELIXA-FOAM-77X57X25MM</t>
  </si>
  <si>
    <t>18D-PU-FOAM-75X55X10MM</t>
  </si>
  <si>
    <t>SFG-CRYBLK-PT-CVR-80X60X8</t>
  </si>
  <si>
    <t>RTGPCSBGBG80X66X06</t>
  </si>
  <si>
    <t>OERTCPK75MMBOXSR800X660X130</t>
  </si>
  <si>
    <t>SFG-CRYBG-BOR-80X66X8</t>
  </si>
  <si>
    <t>25D-HELIXA-FOAM-77X63X25MM</t>
  </si>
  <si>
    <t>18D-PU-FOAM-75X61X10MM</t>
  </si>
  <si>
    <t>SFG-CRYBLK-PT-CVR-80X66X8</t>
  </si>
  <si>
    <t>RTGPCSBGBG80X72X06</t>
  </si>
  <si>
    <t>OERTCPK75MMBOXSR800X720X130</t>
  </si>
  <si>
    <t>SFG-CRYBG-BOR-80X72X8</t>
  </si>
  <si>
    <t>25D-HELIXA-FOAM-77X69X25MM</t>
  </si>
  <si>
    <t>18D-PU-FOAM-75X67X10MM</t>
  </si>
  <si>
    <t>SFG-CRYBLK-PT-CVR-80X72X8</t>
  </si>
  <si>
    <t>RTGPCSBGBG84X30X06</t>
  </si>
  <si>
    <t>OERTCPK75MMBOXSR840X300X130</t>
  </si>
  <si>
    <t>SFG-CRYBG-BOR-84X30X8</t>
  </si>
  <si>
    <t>25D-HELIXA-FOAM-81X27X25MM</t>
  </si>
  <si>
    <t>18D-PU-FOAM-79X25X10MM</t>
  </si>
  <si>
    <t>SFG-CRYBLK-PT-CVR-84X30X8</t>
  </si>
  <si>
    <t>RTGPCSBGBG84X36X06</t>
  </si>
  <si>
    <t>OERTCPK75MMBOXSR840X360X130</t>
  </si>
  <si>
    <t>SFG-CRYBG-BOR-84X36X8</t>
  </si>
  <si>
    <t>25D-HELIXA-FOAM-81X33X25MM</t>
  </si>
  <si>
    <t>18D-PU-FOAM-79X31X10MM</t>
  </si>
  <si>
    <t>SFG-CRYBLK-PT-CVR-84X36X8</t>
  </si>
  <si>
    <t>RTGPCSBGBG84X42X06</t>
  </si>
  <si>
    <t>OERTCPK75MMBOXSR840X420X130</t>
  </si>
  <si>
    <t>SFG-CRYBG-BOR-84X42X8</t>
  </si>
  <si>
    <t>25D-HELIXA-FOAM-81X39X25MM</t>
  </si>
  <si>
    <t>18D-PU-FOAM-79X37X10MM</t>
  </si>
  <si>
    <t>SFG-CRYBLK-PT-CVR-84X42X8</t>
  </si>
  <si>
    <t>RTGPCSBGBG84X48X06</t>
  </si>
  <si>
    <t>OERTCPK75MMBOXSR840X480X130</t>
  </si>
  <si>
    <t>SFG-CRYBG-BOR-84X48X8</t>
  </si>
  <si>
    <t>25D-HELIXA-FOAM-81X45X25MM</t>
  </si>
  <si>
    <t>18D-PU-FOAM-79X43X10MM</t>
  </si>
  <si>
    <t>SFG-CRYBLK-PT-CVR-84X48X8</t>
  </si>
  <si>
    <t>RTGPCSBGBG84X60X06</t>
  </si>
  <si>
    <t>OERTCPK75MMBOXSR840X600X130</t>
  </si>
  <si>
    <t>SFG-CRYBG-BOR-84X60X8</t>
  </si>
  <si>
    <t>25D-HELIXA-FOAM-81X57X25MM</t>
  </si>
  <si>
    <t>18D-PU-FOAM-79X55X10MM</t>
  </si>
  <si>
    <t>SFG-CRYBLK-PT-CVR-84X60X8</t>
  </si>
  <si>
    <t>RTGPCSBGBG84X66X06</t>
  </si>
  <si>
    <t>OERTCPK75MMBOXSR840X660X130</t>
  </si>
  <si>
    <t>SFG-CRYBG-BOR-84X66X8</t>
  </si>
  <si>
    <t>25D-HELIXA-FOAM-81X63X25MM</t>
  </si>
  <si>
    <t>18D-PU-FOAM-79X61X10MM</t>
  </si>
  <si>
    <t>SFG-CRYBLK-PT-CVR-84X66X8</t>
  </si>
  <si>
    <t>RTGPCSBGBG84X72X06</t>
  </si>
  <si>
    <t>OERTCPK75MMBOXSR840X720X130</t>
  </si>
  <si>
    <t>SFG-CRYBG-BOR-84X72X8</t>
  </si>
  <si>
    <t>25D-HELIXA-FOAM-81X69X25MM</t>
  </si>
  <si>
    <t>18D-PU-FOAM-79X67X10MM</t>
  </si>
  <si>
    <t>SFG-CRYBLK-PT-CVR-84X72X8</t>
  </si>
  <si>
    <t>RTGPCSBGPW72X33X06</t>
  </si>
  <si>
    <t>SFG-RTC-CGP-QUILT-PW</t>
  </si>
  <si>
    <t>SFG-CRYPW-BOR-72X33X8</t>
  </si>
  <si>
    <t>RML-ITALINO-EDTAPE-WHT</t>
  </si>
  <si>
    <t>RTGPCSBGPW72X39X06</t>
  </si>
  <si>
    <t>SFG-CRYPW-BOR-72X39X8</t>
  </si>
  <si>
    <t>RTGPCSBGPW72X45X06</t>
  </si>
  <si>
    <t>SFG-CRYPW-BOR-72X45X8</t>
  </si>
  <si>
    <t>RTGPCSBGPW72X51X06</t>
  </si>
  <si>
    <t>SFG-CRYPW-BOR-72X51X8</t>
  </si>
  <si>
    <t>RTGPCSBGPW72X54X06</t>
  </si>
  <si>
    <t>SFG-CRYPW-BOR-72X54X8</t>
  </si>
  <si>
    <t>RTGPCSBGPW72X57X06</t>
  </si>
  <si>
    <t>SFG-CRYPW-BOR-72X57X8</t>
  </si>
  <si>
    <t>RTGPCSBGPW72X63X06</t>
  </si>
  <si>
    <t>SFG-CRYPW-BOR-72X63X8</t>
  </si>
  <si>
    <t>RTGPCSBGPW72X69X06</t>
  </si>
  <si>
    <t>SFG-CRYPW-BOR-72X69X8</t>
  </si>
  <si>
    <t>RTGPCSBGPW75X33X06</t>
  </si>
  <si>
    <t>SFG-CRYPW-BOR-75X33X8</t>
  </si>
  <si>
    <t>RTGPCSBGPW75X39X06</t>
  </si>
  <si>
    <t>SFG-CRYPW-BOR-75X39X8</t>
  </si>
  <si>
    <t>RTGPCSBGPW75X45X06</t>
  </si>
  <si>
    <t>SFG-CRYPW-BOR-75X45X8</t>
  </si>
  <si>
    <t>RTGPCSBGPW75X51X06</t>
  </si>
  <si>
    <t>SFG-CRYPW-BOR-75X51X8</t>
  </si>
  <si>
    <t>RTGPCSBGPW75X54X06</t>
  </si>
  <si>
    <t>SFG-CRYPW-BOR-75X54X8</t>
  </si>
  <si>
    <t>RTGPCSBGPW75X57X06</t>
  </si>
  <si>
    <t>SFG-CRYPW-BOR-75X57X8</t>
  </si>
  <si>
    <t>RTGPCSBGPW75X63X06</t>
  </si>
  <si>
    <t>SFG-CRYPW-BOR-75X63X8</t>
  </si>
  <si>
    <t>RTGPCSBGPW75X69X06</t>
  </si>
  <si>
    <t>SFG-CRYPW-BOR-75X69X8</t>
  </si>
  <si>
    <t>RTGPCSBGPW78X33X06</t>
  </si>
  <si>
    <t>SFG-CRYPW-BOR-78X33X8</t>
  </si>
  <si>
    <t>RTGPCSBGPW78X39X06</t>
  </si>
  <si>
    <t>SFG-CRYPW-BOR-78X39X8</t>
  </si>
  <si>
    <t>RTGPCSBGPW78X45X06</t>
  </si>
  <si>
    <t>SFG-CRYPW-BOR-78X45X8</t>
  </si>
  <si>
    <t>RTGPCSBGPW78X51X06</t>
  </si>
  <si>
    <t>SFG-CRYPW-BOR-78X51X8</t>
  </si>
  <si>
    <t>RTGPCSBGPW78X54X06</t>
  </si>
  <si>
    <t>SFG-CRYPW-BOR-78X54X8</t>
  </si>
  <si>
    <t>RTGPCSBGPW78X57X06</t>
  </si>
  <si>
    <t>SFG-CRYPW-BOR-78X57X8</t>
  </si>
  <si>
    <t>RTGPCSBGPW78X63X06</t>
  </si>
  <si>
    <t>SFG-CRYPW-BOR-78X63X8</t>
  </si>
  <si>
    <t>RTGPCSBGPW78X69X06</t>
  </si>
  <si>
    <t>SFG-CRYPW-BOR-78X69X8</t>
  </si>
  <si>
    <t>RTGPCSBGPW80X33X06</t>
  </si>
  <si>
    <t>SFG-CRYPW-BOR-80X33X8</t>
  </si>
  <si>
    <t>RTGPCSBGPW80X39X06</t>
  </si>
  <si>
    <t>SFG-CRYPW-BOR-80X39X8</t>
  </si>
  <si>
    <t>RTGPCSBGPW80X45X06</t>
  </si>
  <si>
    <t>SFG-CRYPW-BOR-80X45X8</t>
  </si>
  <si>
    <t>RTGPCSBGPW80X51X06</t>
  </si>
  <si>
    <t>SFG-CRYPW-BOR-80X51X8</t>
  </si>
  <si>
    <t>RTGPCSBGPW80X54X06</t>
  </si>
  <si>
    <t>SFG-CRYPW-BOR-80X54X8</t>
  </si>
  <si>
    <t>RTGPCSBGPW80X57X06</t>
  </si>
  <si>
    <t>SFG-CRYPW-BOR-80X57X8</t>
  </si>
  <si>
    <t>RTGPCSBGPW80X63X06</t>
  </si>
  <si>
    <t>SFG-CRYPW-BOR-80X63X8</t>
  </si>
  <si>
    <t>RTGPCSBGPW80X69X06</t>
  </si>
  <si>
    <t>SFG-CRYPW-BOR-80X69X8</t>
  </si>
  <si>
    <t>RTGPCSBGPW84X33X06</t>
  </si>
  <si>
    <t>SFG-CRYPW-BOR-84X33X8</t>
  </si>
  <si>
    <t>RTGPCSBGPW84X39X06</t>
  </si>
  <si>
    <t>SFG-CRYPW-BOR-84X39X8</t>
  </si>
  <si>
    <t>RTGPCSBGPW84X45X06</t>
  </si>
  <si>
    <t>SFG-CRYPW-BOR-84X45X8</t>
  </si>
  <si>
    <t>RTGPCSBGPW84X51X06</t>
  </si>
  <si>
    <t>SFG-CRYPW-BOR-84X51X8</t>
  </si>
  <si>
    <t>RTGPCSBGPW84X54X06</t>
  </si>
  <si>
    <t>SFG-CRYPW-BOR-84X54X8</t>
  </si>
  <si>
    <t>RTGPCSBGPW84X57X06</t>
  </si>
  <si>
    <t>SFG-CRYPW-BOR-84X57X8</t>
  </si>
  <si>
    <t>RTGPCSBGPW84X63X06</t>
  </si>
  <si>
    <t>SFG-CRYPW-BOR-84X63X8</t>
  </si>
  <si>
    <t>RTGPCSBGPW84X69X06</t>
  </si>
  <si>
    <t>SFG-CRYPW-BOR-84X69X8</t>
  </si>
  <si>
    <t>RTGPCSBGPW72X30X06</t>
  </si>
  <si>
    <t>SFG-CRYPW-BOR-72X30X8</t>
  </si>
  <si>
    <t>RTGPCSBGPW72X36X06</t>
  </si>
  <si>
    <t>SFG-CRYPW-BOR-72X36X8</t>
  </si>
  <si>
    <t>RTGPCSBGPW72X42X06</t>
  </si>
  <si>
    <t>SFG-CRYPW-BOR-72X42X8</t>
  </si>
  <si>
    <t>RTGPCSBGPW72X48X06</t>
  </si>
  <si>
    <t>SFG-CRYPW-BOR-72X48X8</t>
  </si>
  <si>
    <t>RTGPCSBGPW72X60X06</t>
  </si>
  <si>
    <t>SFG-CRYPW-BOR-72X60X8</t>
  </si>
  <si>
    <t>RTGPCSBGPW72X66X06</t>
  </si>
  <si>
    <t>SFG-CRYPW-BOR-72X66X8</t>
  </si>
  <si>
    <t>RTGPCSBGPW72X72X06</t>
  </si>
  <si>
    <t>SFG-CRYPW-BOR-72X72X8</t>
  </si>
  <si>
    <t>RTGPCSBGPW75X30X06</t>
  </si>
  <si>
    <t>SFG-CRYPW-BOR-75X30X8</t>
  </si>
  <si>
    <t>RTGPCSBGPW75X36X06</t>
  </si>
  <si>
    <t>SFG-CRYPW-BOR-75X36X8</t>
  </si>
  <si>
    <t>RTGPCSBGPW75X42X06</t>
  </si>
  <si>
    <t>SFG-CRYPW-BOR-75X42X8</t>
  </si>
  <si>
    <t>RTGPCSBGPW75X48X06</t>
  </si>
  <si>
    <t>SFG-CRYPW-BOR-75X48X8</t>
  </si>
  <si>
    <t>RTGPCSBGPW75X60X06</t>
  </si>
  <si>
    <t>SFG-CRYPW-BOR-75X60X8</t>
  </si>
  <si>
    <t>RTGPCSBGPW75X66X06</t>
  </si>
  <si>
    <t>SFG-CRYPW-BOR-75X66X8</t>
  </si>
  <si>
    <t>RTGPCSBGPW75X72X06</t>
  </si>
  <si>
    <t>SFG-CRYPW-BOR-75X72X8</t>
  </si>
  <si>
    <t>RTGPCSBGPW78X30X06</t>
  </si>
  <si>
    <t>SFG-CRYPW-BOR-78X30X8</t>
  </si>
  <si>
    <t>RTGPCSBGPW78X36X06</t>
  </si>
  <si>
    <t>SFG-CRYPW-BOR-78X36X8</t>
  </si>
  <si>
    <t>RTGPCSBGPW78X42X06</t>
  </si>
  <si>
    <t>SFG-CRYPW-BOR-78X42X8</t>
  </si>
  <si>
    <t>RTGPCSBGPW78X48X06</t>
  </si>
  <si>
    <t>SFG-CRYPW-BOR-78X48X8</t>
  </si>
  <si>
    <t>RTGPCSBGPW78X60X06</t>
  </si>
  <si>
    <t>SFG-CRYPW-BOR-78X60X8</t>
  </si>
  <si>
    <t>RTGPCSBGPW78X66X06</t>
  </si>
  <si>
    <t>SFG-CRYPW-BOR-78X66X8</t>
  </si>
  <si>
    <t>RTGPCSBGPW78X72X06</t>
  </si>
  <si>
    <t>SFG-CRYPW-BOR-78X72X8</t>
  </si>
  <si>
    <t>RTGPCSBGPW80X30X06</t>
  </si>
  <si>
    <t>SFG-CRYPW-BOR-80X30X8</t>
  </si>
  <si>
    <t>RTGPCSBGPW80X36X06</t>
  </si>
  <si>
    <t>SFG-CRYPW-BOR-80X36X8</t>
  </si>
  <si>
    <t>RTGPCSBGPW80X42X06</t>
  </si>
  <si>
    <t>SFG-CRYPW-BOR-80X42X8</t>
  </si>
  <si>
    <t>RTGPCSBGPW80X48X06</t>
  </si>
  <si>
    <t>SFG-CRYPW-BOR-80X48X8</t>
  </si>
  <si>
    <t>RTGPCSBGPW80X60X06</t>
  </si>
  <si>
    <t>SFG-CRYPW-BOR-80X60X8</t>
  </si>
  <si>
    <t>RTGPCSBGPW80X66X06</t>
  </si>
  <si>
    <t>SFG-CRYPW-BOR-80X66X8</t>
  </si>
  <si>
    <t>RTGPCSBGPW80X72X06</t>
  </si>
  <si>
    <t>SFG-CRYPW-BOR-80X72X8</t>
  </si>
  <si>
    <t>RTGPCSBGPW84X30X06</t>
  </si>
  <si>
    <t>SFG-CRYPW-BOR-84X30X8</t>
  </si>
  <si>
    <t>RTGPCSBGPW84X36X06</t>
  </si>
  <si>
    <t>SFG-CRYPW-BOR-84X36X8</t>
  </si>
  <si>
    <t>RTGPCSBGPW84X42X06</t>
  </si>
  <si>
    <t>SFG-CRYPW-BOR-84X42X8</t>
  </si>
  <si>
    <t>RTGPCSBGPW84X48X06</t>
  </si>
  <si>
    <t>SFG-CRYPW-BOR-84X48X8</t>
  </si>
  <si>
    <t>RTGPCSBGPW84X60X06</t>
  </si>
  <si>
    <t>SFG-CRYPW-BOR-84X60X8</t>
  </si>
  <si>
    <t>RTGPCSBGPW84X66X06</t>
  </si>
  <si>
    <t>SFG-CRYPW-BOR-84X66X8</t>
  </si>
  <si>
    <t>RTGPCSBGPW84X72X06</t>
  </si>
  <si>
    <t>SFG-CRYPW-BOR-84X72X8</t>
  </si>
  <si>
    <t>RMI-PVC-50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</si>
</sst>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1" sqref="E21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4.85546875" style="11" bestFit="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"RTGPCS"&amp;IF($N$2="BG","BG",IF($N$2="PW","PW","PW"))&amp;$K$2&amp;"X"&amp;$L$2&amp;"X08"&amp;"-ECOM"</f>
        <v>RTGPCSBG75X36X08-ECOM</v>
      </c>
      <c r="E2" s="55" t="str">
        <f>"OERTCPK40MMBOXSR"&amp;(K2-0.5)&amp;"0"&amp;"X"&amp;(L2-0.5)&amp;"0"&amp;IF(M2=8,"X130")</f>
        <v>OERTCPK40MMBOXSR74.50X35.50X130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75</v>
      </c>
      <c r="L2" s="6">
        <v>36</v>
      </c>
      <c r="M2" s="26">
        <v>8</v>
      </c>
      <c r="N2" s="6" t="s">
        <v>136</v>
      </c>
      <c r="P2" s="4">
        <v>8</v>
      </c>
      <c r="R2" s="25" t="s">
        <v>94</v>
      </c>
      <c r="S2" s="25" t="s">
        <v>108</v>
      </c>
      <c r="T2" s="24">
        <v>8</v>
      </c>
      <c r="U2" s="25" t="s">
        <v>136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20" si="1">"RTGPCS"&amp;IF($N$2="BG","BG",IF($N$2="PW","PW","PW"))&amp;$K$2&amp;"X"&amp;$L$2&amp;"X08"&amp;"-ECOM"</f>
        <v>RTGPCSBG75X36X08-ECOM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28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32" t="s">
        <v>15</v>
      </c>
      <c r="J3" s="5"/>
      <c r="K3" s="12"/>
      <c r="L3" s="12"/>
      <c r="M3" s="12"/>
      <c r="N3" s="12"/>
      <c r="O3" s="4"/>
      <c r="P3" s="13" t="s">
        <v>138</v>
      </c>
      <c r="R3" s="52" t="s">
        <v>94</v>
      </c>
      <c r="S3" s="52" t="s">
        <v>109</v>
      </c>
      <c r="T3" s="24">
        <v>8</v>
      </c>
      <c r="U3" s="25" t="s">
        <v>136</v>
      </c>
    </row>
    <row r="4" spans="1:21" x14ac:dyDescent="0.25">
      <c r="A4" s="30">
        <v>3</v>
      </c>
      <c r="B4" s="36" t="s">
        <v>101</v>
      </c>
      <c r="C4" s="34" t="s">
        <v>16</v>
      </c>
      <c r="D4" s="7" t="str">
        <f t="shared" si="1"/>
        <v>RTGPCSBG75X36X08-ECOM</v>
      </c>
      <c r="E4" s="37" t="s">
        <v>102</v>
      </c>
      <c r="F4" s="28" t="s">
        <v>103</v>
      </c>
      <c r="G4" s="45">
        <f>((K2-1)*(L2-1)/144)*0.00729*5</f>
        <v>0.65559374999999986</v>
      </c>
      <c r="H4" s="10">
        <f t="shared" ref="H4:H7" si="2">ROUND(G4,3)</f>
        <v>0.65600000000000003</v>
      </c>
      <c r="I4" s="32" t="s">
        <v>15</v>
      </c>
      <c r="J4" s="8"/>
      <c r="O4" s="13"/>
      <c r="R4" s="25" t="s">
        <v>94</v>
      </c>
      <c r="S4" s="25" t="s">
        <v>110</v>
      </c>
      <c r="T4" s="24">
        <v>8</v>
      </c>
      <c r="U4" s="25" t="s">
        <v>136</v>
      </c>
    </row>
    <row r="5" spans="1:21" x14ac:dyDescent="0.25">
      <c r="A5" s="30">
        <v>4</v>
      </c>
      <c r="B5" s="31" t="s">
        <v>19</v>
      </c>
      <c r="C5" s="34" t="s">
        <v>104</v>
      </c>
      <c r="D5" s="7" t="str">
        <f t="shared" si="1"/>
        <v>RTGPCSBG75X36X08-ECOM</v>
      </c>
      <c r="E5" s="40" t="str">
        <f>+IF(N2="BG","SFG-RTC-CGP-QUILT-BG","SFG-RTC-CGP-QUILT-PW")</f>
        <v>SFG-RTC-CGP-QUILT-BG</v>
      </c>
      <c r="F5" s="28" t="s">
        <v>11</v>
      </c>
      <c r="G5" s="46">
        <f>IF(K2&lt;=78,(L2+1),(K2+1))*0.0254</f>
        <v>0.93979999999999997</v>
      </c>
      <c r="H5" s="10">
        <f t="shared" si="2"/>
        <v>0.94</v>
      </c>
      <c r="I5" s="33" t="s">
        <v>18</v>
      </c>
      <c r="J5" s="8"/>
      <c r="O5" s="13"/>
      <c r="R5" s="25" t="s">
        <v>94</v>
      </c>
      <c r="S5" s="25" t="s">
        <v>111</v>
      </c>
      <c r="T5" s="24">
        <v>8</v>
      </c>
      <c r="U5" s="25" t="s">
        <v>136</v>
      </c>
    </row>
    <row r="6" spans="1:21" x14ac:dyDescent="0.25">
      <c r="A6" s="30">
        <v>5</v>
      </c>
      <c r="B6" s="31" t="s">
        <v>19</v>
      </c>
      <c r="C6" s="34" t="s">
        <v>105</v>
      </c>
      <c r="D6" s="7" t="str">
        <f t="shared" si="1"/>
        <v>RTGPCSBG75X36X08-ECOM</v>
      </c>
      <c r="E6" s="40" t="s">
        <v>139</v>
      </c>
      <c r="F6" s="32" t="s">
        <v>17</v>
      </c>
      <c r="G6" s="46">
        <f>IF(K2&lt;=78,(L2+1),(K2+1))*0.0254</f>
        <v>0.93979999999999997</v>
      </c>
      <c r="H6" s="10">
        <f t="shared" si="2"/>
        <v>0.94</v>
      </c>
      <c r="I6" s="33" t="s">
        <v>18</v>
      </c>
      <c r="J6" s="8"/>
      <c r="R6" s="25" t="s">
        <v>94</v>
      </c>
      <c r="S6" s="25" t="s">
        <v>112</v>
      </c>
      <c r="T6" s="24">
        <v>8</v>
      </c>
      <c r="U6" s="25" t="s">
        <v>136</v>
      </c>
    </row>
    <row r="7" spans="1:21" x14ac:dyDescent="0.25">
      <c r="A7" s="30">
        <v>6</v>
      </c>
      <c r="B7" s="31" t="s">
        <v>19</v>
      </c>
      <c r="C7" s="34" t="s">
        <v>106</v>
      </c>
      <c r="D7" s="7" t="str">
        <f t="shared" si="1"/>
        <v>RTGPCSBG75X36X08-ECOM</v>
      </c>
      <c r="E7" s="54" t="str">
        <f>"SFG-CRY"&amp;IF(N2="BG","BG",IF(N2="PW","PW",0))&amp;"-BOR-"&amp;K2&amp;"X"&amp;L2&amp;"X8"</f>
        <v>SFG-CRYBG-BOR-75X36X8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5" t="s">
        <v>94</v>
      </c>
      <c r="S7" s="25" t="s">
        <v>113</v>
      </c>
      <c r="T7" s="24">
        <v>8</v>
      </c>
      <c r="U7" s="25" t="s">
        <v>136</v>
      </c>
    </row>
    <row r="8" spans="1:21" x14ac:dyDescent="0.25">
      <c r="A8" s="30">
        <v>7</v>
      </c>
      <c r="B8" s="31" t="s">
        <v>19</v>
      </c>
      <c r="C8" s="34" t="s">
        <v>106</v>
      </c>
      <c r="D8" s="7" t="str">
        <f t="shared" si="1"/>
        <v>RTGPCSBG75X36X08-ECOM</v>
      </c>
      <c r="E8" s="35" t="str">
        <f>"SFG-CRYBLK-PT-CVR-"&amp;K2&amp;"X"&amp;L2</f>
        <v>SFG-CRYBLK-PT-CVR-75X36</v>
      </c>
      <c r="F8" s="32" t="s">
        <v>11</v>
      </c>
      <c r="G8" s="47">
        <v>1</v>
      </c>
      <c r="H8" s="10">
        <f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5" t="s">
        <v>94</v>
      </c>
      <c r="S8" s="25" t="s">
        <v>94</v>
      </c>
      <c r="T8" s="24">
        <v>8</v>
      </c>
      <c r="U8" s="25" t="s">
        <v>136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RTGPCSBG75X36X08-ECOM</v>
      </c>
      <c r="E9" s="53" t="str">
        <f>+IF(N2="BG","RML-ITALIANO-EDTAPE-BEIGE","RML-ITALIANO-EDTAPE-WHT")</f>
        <v>RML-ITALIANO-EDTAPE-BEIGE</v>
      </c>
      <c r="F9" s="32" t="s">
        <v>17</v>
      </c>
      <c r="G9" s="47">
        <f>(K2+L2+4)*2*0.0254*3</f>
        <v>17.526</v>
      </c>
      <c r="H9" s="10">
        <f t="shared" ref="H9:H11" si="3">ROUND(G9,3)</f>
        <v>17.526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5" t="s">
        <v>95</v>
      </c>
      <c r="S9" s="25" t="s">
        <v>108</v>
      </c>
      <c r="T9" s="24">
        <v>8</v>
      </c>
      <c r="U9" s="25" t="s">
        <v>136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RTGPCSBG75X36X08-ECOM</v>
      </c>
      <c r="E10" s="53" t="s">
        <v>20</v>
      </c>
      <c r="F10" s="32" t="s">
        <v>17</v>
      </c>
      <c r="G10" s="47">
        <f>(K2+L2+4)*2*0.0254*(4.73+1.42)*4</f>
        <v>143.7132</v>
      </c>
      <c r="H10" s="10">
        <f t="shared" si="3"/>
        <v>143.71299999999999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5" t="s">
        <v>95</v>
      </c>
      <c r="S10" s="25" t="s">
        <v>109</v>
      </c>
      <c r="T10" s="24">
        <v>8</v>
      </c>
      <c r="U10" s="25" t="s">
        <v>136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RTGPCSBG75X36X08-ECOM</v>
      </c>
      <c r="E11" s="38" t="s">
        <v>24</v>
      </c>
      <c r="F11" s="32" t="s">
        <v>11</v>
      </c>
      <c r="G11" s="47">
        <v>1</v>
      </c>
      <c r="H11" s="10">
        <f t="shared" si="3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5" t="s">
        <v>95</v>
      </c>
      <c r="S11" s="25" t="s">
        <v>110</v>
      </c>
      <c r="T11" s="24">
        <v>8</v>
      </c>
      <c r="U11" s="25" t="s">
        <v>136</v>
      </c>
    </row>
    <row r="12" spans="1:21" x14ac:dyDescent="0.25">
      <c r="A12" s="30">
        <v>11</v>
      </c>
      <c r="B12" s="31" t="s">
        <v>21</v>
      </c>
      <c r="C12" s="34" t="s">
        <v>22</v>
      </c>
      <c r="D12" s="7" t="str">
        <f t="shared" si="1"/>
        <v>RTGPCSBG75X36X08-ECOM</v>
      </c>
      <c r="E12" s="53" t="s">
        <v>20</v>
      </c>
      <c r="F12" s="32" t="s">
        <v>17</v>
      </c>
      <c r="G12" s="47">
        <f>(K2+L2+4)*2*0.0254*(4.73+1.42)</f>
        <v>35.9283</v>
      </c>
      <c r="H12" s="57">
        <f t="shared" ref="H12" si="4">ROUND(G12,3)</f>
        <v>35.927999999999997</v>
      </c>
      <c r="I12" s="33" t="s">
        <v>15</v>
      </c>
      <c r="J12" s="8"/>
      <c r="K12" s="13"/>
      <c r="L12" s="13"/>
      <c r="M12" s="13"/>
      <c r="N12" s="13"/>
      <c r="O12" s="13"/>
      <c r="P12" s="13"/>
      <c r="Q12" s="13"/>
      <c r="R12" s="25" t="s">
        <v>95</v>
      </c>
      <c r="S12" s="25" t="s">
        <v>111</v>
      </c>
      <c r="T12" s="24">
        <v>8</v>
      </c>
      <c r="U12" s="25" t="s">
        <v>136</v>
      </c>
    </row>
    <row r="13" spans="1:21" x14ac:dyDescent="0.25">
      <c r="A13" s="30">
        <v>12</v>
      </c>
      <c r="B13" s="31" t="s">
        <v>21</v>
      </c>
      <c r="C13" s="34" t="s">
        <v>22</v>
      </c>
      <c r="D13" s="7" t="str">
        <f t="shared" si="1"/>
        <v>RTGPCSBG75X36X08-ECOM</v>
      </c>
      <c r="E13" s="53" t="s">
        <v>142</v>
      </c>
      <c r="F13" s="32" t="s">
        <v>11</v>
      </c>
      <c r="G13" s="47">
        <f>(K2+L2+4)*2*0.0254</f>
        <v>5.8419999999999996</v>
      </c>
      <c r="H13" s="10">
        <f>ROUND(G13,3)</f>
        <v>5.8419999999999996</v>
      </c>
      <c r="I13" s="32" t="s">
        <v>15</v>
      </c>
      <c r="J13" s="8"/>
      <c r="K13" s="14"/>
      <c r="R13" s="25" t="s">
        <v>95</v>
      </c>
      <c r="S13" s="25" t="s">
        <v>112</v>
      </c>
      <c r="T13" s="24">
        <v>8</v>
      </c>
      <c r="U13" s="25" t="s">
        <v>136</v>
      </c>
    </row>
    <row r="14" spans="1:21" x14ac:dyDescent="0.25">
      <c r="A14" s="30">
        <v>14</v>
      </c>
      <c r="B14" s="31" t="s">
        <v>23</v>
      </c>
      <c r="C14" s="34" t="s">
        <v>23</v>
      </c>
      <c r="D14" s="7" t="str">
        <f t="shared" si="1"/>
        <v>RTGPCSBG75X36X08-ECOM</v>
      </c>
      <c r="E14" s="53" t="s">
        <v>140</v>
      </c>
      <c r="F14" s="32" t="s">
        <v>11</v>
      </c>
      <c r="G14" s="47">
        <v>4</v>
      </c>
      <c r="H14" s="10">
        <f t="shared" ref="H14:H19" si="5">ROUND(G14,3)</f>
        <v>4</v>
      </c>
      <c r="I14" s="32" t="s">
        <v>15</v>
      </c>
      <c r="J14" s="8"/>
      <c r="M14" s="14"/>
      <c r="O14" s="14"/>
      <c r="R14" s="25" t="s">
        <v>95</v>
      </c>
      <c r="S14" s="25" t="s">
        <v>113</v>
      </c>
      <c r="T14" s="24">
        <v>8</v>
      </c>
      <c r="U14" s="25" t="s">
        <v>136</v>
      </c>
    </row>
    <row r="15" spans="1:21" x14ac:dyDescent="0.25">
      <c r="A15" s="30">
        <v>15</v>
      </c>
      <c r="B15" s="31" t="s">
        <v>23</v>
      </c>
      <c r="C15" s="34" t="s">
        <v>23</v>
      </c>
      <c r="D15" s="7" t="str">
        <f t="shared" si="1"/>
        <v>RTGPCSBG75X36X08-ECOM</v>
      </c>
      <c r="E15" s="34" t="s">
        <v>25</v>
      </c>
      <c r="F15" s="32" t="s">
        <v>11</v>
      </c>
      <c r="G15" s="47">
        <v>1</v>
      </c>
      <c r="H15" s="10">
        <f t="shared" si="5"/>
        <v>1</v>
      </c>
      <c r="I15" s="32" t="s">
        <v>15</v>
      </c>
      <c r="J15" s="8"/>
      <c r="N15"/>
      <c r="O15"/>
      <c r="R15" s="25" t="s">
        <v>95</v>
      </c>
      <c r="S15" s="25" t="s">
        <v>94</v>
      </c>
      <c r="T15" s="24">
        <v>8</v>
      </c>
      <c r="U15" s="25" t="s">
        <v>136</v>
      </c>
    </row>
    <row r="16" spans="1:21" x14ac:dyDescent="0.25">
      <c r="A16" s="30">
        <v>16</v>
      </c>
      <c r="B16" s="31" t="s">
        <v>23</v>
      </c>
      <c r="C16" s="34" t="s">
        <v>23</v>
      </c>
      <c r="D16" s="7" t="str">
        <f t="shared" si="1"/>
        <v>RTGPCSBG75X36X08-ECOM</v>
      </c>
      <c r="E16" s="34" t="s">
        <v>26</v>
      </c>
      <c r="F16" s="32" t="s">
        <v>11</v>
      </c>
      <c r="G16" s="47">
        <v>1</v>
      </c>
      <c r="H16" s="10">
        <f t="shared" si="5"/>
        <v>1</v>
      </c>
      <c r="I16" s="32" t="s">
        <v>15</v>
      </c>
      <c r="J16" s="8"/>
      <c r="M16" s="14"/>
      <c r="N16"/>
      <c r="O16"/>
      <c r="R16" s="25" t="s">
        <v>96</v>
      </c>
      <c r="S16" s="25" t="s">
        <v>108</v>
      </c>
      <c r="T16" s="24">
        <v>8</v>
      </c>
      <c r="U16" s="25" t="s">
        <v>136</v>
      </c>
    </row>
    <row r="17" spans="1:21" x14ac:dyDescent="0.25">
      <c r="A17" s="30">
        <v>17</v>
      </c>
      <c r="B17" s="31" t="s">
        <v>23</v>
      </c>
      <c r="C17" s="34" t="s">
        <v>23</v>
      </c>
      <c r="D17" s="7" t="str">
        <f t="shared" si="1"/>
        <v>RTGPCSBG75X36X08-ECOM</v>
      </c>
      <c r="E17" s="29" t="s">
        <v>748</v>
      </c>
      <c r="F17" s="28" t="s">
        <v>14</v>
      </c>
      <c r="G17" s="45">
        <f>(IF(K2&gt;76,(K2*2)+(M2*2),(L2*2)+(M2*2))+4)*89.5*0.0254*0.0254*0.00005*1300</f>
        <v>0.34529608359999991</v>
      </c>
      <c r="H17" s="10">
        <f t="shared" si="5"/>
        <v>0.34499999999999997</v>
      </c>
      <c r="I17" s="32" t="s">
        <v>15</v>
      </c>
      <c r="J17" s="8"/>
      <c r="N17"/>
      <c r="O17"/>
      <c r="R17" s="25" t="s">
        <v>96</v>
      </c>
      <c r="S17" s="25" t="s">
        <v>109</v>
      </c>
      <c r="T17" s="24">
        <v>8</v>
      </c>
      <c r="U17" s="25" t="s">
        <v>136</v>
      </c>
    </row>
    <row r="18" spans="1:21" x14ac:dyDescent="0.25">
      <c r="A18" s="30">
        <v>18</v>
      </c>
      <c r="B18" s="31" t="s">
        <v>99</v>
      </c>
      <c r="C18" s="29" t="s">
        <v>143</v>
      </c>
      <c r="D18" s="7" t="str">
        <f t="shared" si="1"/>
        <v>RTGPCSBG75X36X08-ECOM</v>
      </c>
      <c r="E18" s="35" t="str">
        <f>"25D-HELIXA-FOAM-"&amp;(K2-3)&amp;"X"&amp;(L2-3)&amp;"X"&amp;"25MM"</f>
        <v>25D-HELIXA-FOAM-72X33X25MM</v>
      </c>
      <c r="F18" s="32" t="s">
        <v>11</v>
      </c>
      <c r="G18" s="47">
        <v>1</v>
      </c>
      <c r="H18" s="10">
        <f t="shared" si="5"/>
        <v>1</v>
      </c>
      <c r="I18" s="33" t="s">
        <v>18</v>
      </c>
      <c r="J18" s="8"/>
      <c r="N18"/>
      <c r="O18"/>
      <c r="R18" s="25" t="s">
        <v>96</v>
      </c>
      <c r="S18" s="25" t="s">
        <v>110</v>
      </c>
      <c r="T18" s="24">
        <v>8</v>
      </c>
      <c r="U18" s="25" t="s">
        <v>136</v>
      </c>
    </row>
    <row r="19" spans="1:21" x14ac:dyDescent="0.25">
      <c r="A19" s="30">
        <v>19</v>
      </c>
      <c r="B19" s="31" t="s">
        <v>99</v>
      </c>
      <c r="C19" s="34" t="s">
        <v>107</v>
      </c>
      <c r="D19" s="7" t="str">
        <f t="shared" si="1"/>
        <v>RTGPCSBG75X36X08-ECOM</v>
      </c>
      <c r="E19" s="35" t="str">
        <f>"18D-PU-FOAM-"&amp;(K2-5)&amp;"X"&amp;(L2-5)&amp;"X"&amp;"10MM"</f>
        <v>18D-PU-FOAM-70X31X10MM</v>
      </c>
      <c r="F19" s="32" t="s">
        <v>11</v>
      </c>
      <c r="G19" s="47">
        <v>1</v>
      </c>
      <c r="H19" s="10">
        <f t="shared" si="5"/>
        <v>1</v>
      </c>
      <c r="I19" s="33" t="s">
        <v>18</v>
      </c>
      <c r="J19" s="8"/>
      <c r="N19"/>
      <c r="O19"/>
      <c r="R19" s="25" t="s">
        <v>96</v>
      </c>
      <c r="S19" s="25" t="s">
        <v>111</v>
      </c>
      <c r="T19" s="24">
        <v>8</v>
      </c>
      <c r="U19" s="25" t="s">
        <v>136</v>
      </c>
    </row>
    <row r="20" spans="1:21" x14ac:dyDescent="0.25">
      <c r="A20" s="30">
        <v>20</v>
      </c>
      <c r="B20" s="31" t="s">
        <v>23</v>
      </c>
      <c r="C20" s="34" t="s">
        <v>23</v>
      </c>
      <c r="D20" s="7" t="str">
        <f t="shared" si="1"/>
        <v>RTGPCSBG75X36X08-ECOM</v>
      </c>
      <c r="E20" s="3" t="str">
        <f>+(IF(L2&lt;=36,IF(M2=6,"RML-VIR-HDPE-92X46",IF(M2=8,"RML-VIR-HDPE-92X46",IF(M2=10,"RML-VIR-HDPE-92X56"))),IF(L2&lt;=48,IF(M2=6,"RML-VIR-HDPE-92X56",IF(M2=8,"RML-VIR-HDPE-92X70",IF(M2=10,"RML-VIR-HDPE-92X70"))),IF(L2&lt;=60,IF(M2=6,"RML-VIR-HDPE-92X70",IF(M2=8,"RML-VIR-HDPE-92X70",IF(M2=10,"RML-VIR-HDPE-92X82"))),IF(L2&lt;=72,IF(M2=6,"RML-VIR-HDPE-92X82",IF(M2=8,"RML-VIR-HDPE-92X82",IF(M2=10,"RML-VIR-HDPE-100X100"))))))))</f>
        <v>RML-VIR-HDPE-92X46</v>
      </c>
      <c r="F20" s="32" t="s">
        <v>14</v>
      </c>
      <c r="G20" s="56" t="str">
        <f>+IF(E20="RML-VIR-HDPE-92X46","0.5",IF(E20="RML-VIR-HDPE-92X56","0.6",IF(E20="RML-VIR-HDPE-92X70","0.6",IF(E20="RML-VIR-HDPE-92X82","0.8",IF(E20="RML-VIR-HDPE-100X100","1.1",0)))))</f>
        <v>0.5</v>
      </c>
      <c r="H20" s="57">
        <f>ROUND(G20,3)</f>
        <v>0.5</v>
      </c>
      <c r="I20" s="33" t="s">
        <v>15</v>
      </c>
      <c r="J20" s="8"/>
      <c r="N20" s="23"/>
      <c r="O20"/>
      <c r="R20" s="25" t="s">
        <v>96</v>
      </c>
      <c r="S20" s="25" t="s">
        <v>112</v>
      </c>
      <c r="T20" s="24">
        <v>8</v>
      </c>
      <c r="U20" s="25" t="s">
        <v>136</v>
      </c>
    </row>
    <row r="21" spans="1:21" x14ac:dyDescent="0.25">
      <c r="J21" s="8"/>
      <c r="N21"/>
      <c r="O21"/>
      <c r="R21" s="25" t="s">
        <v>96</v>
      </c>
      <c r="S21" s="25" t="s">
        <v>113</v>
      </c>
      <c r="T21" s="24">
        <v>8</v>
      </c>
      <c r="U21" s="25" t="s">
        <v>136</v>
      </c>
    </row>
    <row r="22" spans="1:21" x14ac:dyDescent="0.25">
      <c r="J22" s="8"/>
      <c r="N22"/>
      <c r="O22"/>
      <c r="R22" s="25" t="s">
        <v>96</v>
      </c>
      <c r="S22" s="25" t="s">
        <v>94</v>
      </c>
      <c r="T22" s="24">
        <v>8</v>
      </c>
      <c r="U22" s="25" t="s">
        <v>136</v>
      </c>
    </row>
    <row r="23" spans="1:21" x14ac:dyDescent="0.25">
      <c r="E23" s="39"/>
      <c r="J23" s="9"/>
      <c r="K23" s="13"/>
      <c r="L23" s="13"/>
      <c r="M23" s="13"/>
      <c r="N23"/>
      <c r="O23"/>
      <c r="P23" s="13"/>
      <c r="Q23" s="13"/>
      <c r="R23" s="25" t="s">
        <v>97</v>
      </c>
      <c r="S23" s="25" t="s">
        <v>108</v>
      </c>
      <c r="T23" s="24">
        <v>8</v>
      </c>
      <c r="U23" s="25" t="s">
        <v>136</v>
      </c>
    </row>
    <row r="24" spans="1:21" x14ac:dyDescent="0.25">
      <c r="E24" s="39"/>
      <c r="J24" s="9"/>
      <c r="K24" s="13"/>
      <c r="L24" s="13"/>
      <c r="M24" s="13"/>
      <c r="N24" s="23"/>
      <c r="O24"/>
      <c r="P24" s="13"/>
      <c r="Q24" s="13"/>
      <c r="R24" s="25" t="s">
        <v>97</v>
      </c>
      <c r="S24" s="25" t="s">
        <v>109</v>
      </c>
      <c r="T24" s="24">
        <v>8</v>
      </c>
      <c r="U24" s="25" t="s">
        <v>136</v>
      </c>
    </row>
    <row r="25" spans="1:21" x14ac:dyDescent="0.25">
      <c r="N25"/>
      <c r="O25"/>
      <c r="R25" s="25" t="s">
        <v>97</v>
      </c>
      <c r="S25" s="25" t="s">
        <v>110</v>
      </c>
      <c r="T25" s="24">
        <v>8</v>
      </c>
      <c r="U25" s="25" t="s">
        <v>136</v>
      </c>
    </row>
    <row r="26" spans="1:21" x14ac:dyDescent="0.25">
      <c r="G26" s="49"/>
      <c r="I26" s="14"/>
      <c r="N26"/>
      <c r="O26"/>
      <c r="R26" s="25" t="s">
        <v>97</v>
      </c>
      <c r="S26" s="25" t="s">
        <v>111</v>
      </c>
      <c r="T26" s="24">
        <v>8</v>
      </c>
      <c r="U26" s="25" t="s">
        <v>136</v>
      </c>
    </row>
    <row r="27" spans="1:21" x14ac:dyDescent="0.25">
      <c r="E27" s="14"/>
      <c r="I27" s="14"/>
      <c r="N27"/>
      <c r="O27"/>
      <c r="R27" s="25" t="s">
        <v>97</v>
      </c>
      <c r="S27" s="25" t="s">
        <v>112</v>
      </c>
      <c r="T27" s="24">
        <v>8</v>
      </c>
      <c r="U27" s="25" t="s">
        <v>136</v>
      </c>
    </row>
    <row r="28" spans="1:21" x14ac:dyDescent="0.25">
      <c r="E28" s="14"/>
      <c r="M28" s="14"/>
      <c r="N28"/>
      <c r="O28"/>
      <c r="R28" s="25" t="s">
        <v>97</v>
      </c>
      <c r="S28" s="25" t="s">
        <v>113</v>
      </c>
      <c r="T28" s="24">
        <v>8</v>
      </c>
      <c r="U28" s="25" t="s">
        <v>136</v>
      </c>
    </row>
    <row r="29" spans="1:21" x14ac:dyDescent="0.25">
      <c r="H29" s="14"/>
      <c r="N29"/>
      <c r="O29"/>
      <c r="R29" s="25" t="s">
        <v>97</v>
      </c>
      <c r="S29" s="25" t="s">
        <v>94</v>
      </c>
      <c r="T29" s="24">
        <v>8</v>
      </c>
      <c r="U29" s="25" t="s">
        <v>136</v>
      </c>
    </row>
    <row r="30" spans="1:21" x14ac:dyDescent="0.25">
      <c r="N30"/>
      <c r="O30"/>
      <c r="R30" s="25" t="s">
        <v>98</v>
      </c>
      <c r="S30" s="25" t="s">
        <v>108</v>
      </c>
      <c r="T30" s="24">
        <v>8</v>
      </c>
      <c r="U30" s="25" t="s">
        <v>136</v>
      </c>
    </row>
    <row r="31" spans="1:21" x14ac:dyDescent="0.25">
      <c r="N31"/>
      <c r="O31"/>
      <c r="R31" s="25" t="s">
        <v>98</v>
      </c>
      <c r="S31" s="25" t="s">
        <v>109</v>
      </c>
      <c r="T31" s="24">
        <v>8</v>
      </c>
      <c r="U31" s="25" t="s">
        <v>136</v>
      </c>
    </row>
    <row r="32" spans="1:21" x14ac:dyDescent="0.25">
      <c r="N32"/>
      <c r="O32"/>
      <c r="R32" s="25" t="s">
        <v>98</v>
      </c>
      <c r="S32" s="25" t="s">
        <v>110</v>
      </c>
      <c r="T32" s="24">
        <v>8</v>
      </c>
      <c r="U32" s="25" t="s">
        <v>136</v>
      </c>
    </row>
    <row r="33" spans="14:21" x14ac:dyDescent="0.25">
      <c r="N33"/>
      <c r="O33"/>
      <c r="R33" s="25" t="s">
        <v>98</v>
      </c>
      <c r="S33" s="25" t="s">
        <v>111</v>
      </c>
      <c r="T33" s="24">
        <v>8</v>
      </c>
      <c r="U33" s="25" t="s">
        <v>136</v>
      </c>
    </row>
    <row r="34" spans="14:21" x14ac:dyDescent="0.25">
      <c r="N34"/>
      <c r="O34"/>
      <c r="R34" s="25" t="s">
        <v>98</v>
      </c>
      <c r="S34" s="25" t="s">
        <v>112</v>
      </c>
      <c r="T34" s="24">
        <v>8</v>
      </c>
      <c r="U34" s="25" t="s">
        <v>136</v>
      </c>
    </row>
    <row r="35" spans="14:21" x14ac:dyDescent="0.25">
      <c r="N35"/>
      <c r="O35"/>
      <c r="R35" s="25" t="s">
        <v>98</v>
      </c>
      <c r="S35" s="25" t="s">
        <v>113</v>
      </c>
      <c r="T35" s="24">
        <v>8</v>
      </c>
      <c r="U35" s="25" t="s">
        <v>136</v>
      </c>
    </row>
    <row r="36" spans="14:21" x14ac:dyDescent="0.25">
      <c r="N36"/>
      <c r="O36"/>
      <c r="R36" s="25" t="s">
        <v>98</v>
      </c>
      <c r="S36" s="25" t="s">
        <v>94</v>
      </c>
      <c r="T36" s="24">
        <v>8</v>
      </c>
      <c r="U36" s="25" t="s">
        <v>136</v>
      </c>
    </row>
    <row r="37" spans="14:21" x14ac:dyDescent="0.25">
      <c r="N37"/>
      <c r="O37"/>
      <c r="R37" s="25" t="s">
        <v>94</v>
      </c>
      <c r="S37" s="25" t="s">
        <v>108</v>
      </c>
      <c r="T37" s="24">
        <v>8</v>
      </c>
      <c r="U37" s="25" t="s">
        <v>137</v>
      </c>
    </row>
    <row r="38" spans="14:21" x14ac:dyDescent="0.25">
      <c r="N38"/>
      <c r="O38"/>
      <c r="R38" s="52" t="s">
        <v>94</v>
      </c>
      <c r="S38" s="52" t="s">
        <v>109</v>
      </c>
      <c r="T38" s="24">
        <v>8</v>
      </c>
      <c r="U38" s="25" t="s">
        <v>137</v>
      </c>
    </row>
    <row r="39" spans="14:21" x14ac:dyDescent="0.25">
      <c r="N39"/>
      <c r="O39"/>
      <c r="R39" s="25" t="s">
        <v>94</v>
      </c>
      <c r="S39" s="25" t="s">
        <v>110</v>
      </c>
      <c r="T39" s="24">
        <v>8</v>
      </c>
      <c r="U39" s="25" t="s">
        <v>137</v>
      </c>
    </row>
    <row r="40" spans="14:21" x14ac:dyDescent="0.25">
      <c r="N40"/>
      <c r="O40"/>
      <c r="R40" s="25" t="s">
        <v>94</v>
      </c>
      <c r="S40" s="25" t="s">
        <v>111</v>
      </c>
      <c r="T40" s="24">
        <v>8</v>
      </c>
      <c r="U40" s="25" t="s">
        <v>137</v>
      </c>
    </row>
    <row r="41" spans="14:21" x14ac:dyDescent="0.25">
      <c r="N41"/>
      <c r="O41"/>
      <c r="R41" s="25" t="s">
        <v>94</v>
      </c>
      <c r="S41" s="25" t="s">
        <v>112</v>
      </c>
      <c r="T41" s="24">
        <v>8</v>
      </c>
      <c r="U41" s="25" t="s">
        <v>137</v>
      </c>
    </row>
    <row r="42" spans="14:21" x14ac:dyDescent="0.25">
      <c r="N42"/>
      <c r="O42"/>
      <c r="R42" s="25" t="s">
        <v>94</v>
      </c>
      <c r="S42" s="25" t="s">
        <v>113</v>
      </c>
      <c r="T42" s="24">
        <v>8</v>
      </c>
      <c r="U42" s="25" t="s">
        <v>137</v>
      </c>
    </row>
    <row r="43" spans="14:21" x14ac:dyDescent="0.25">
      <c r="N43"/>
      <c r="O43"/>
      <c r="R43" s="25" t="s">
        <v>94</v>
      </c>
      <c r="S43" s="25" t="s">
        <v>94</v>
      </c>
      <c r="T43" s="24">
        <v>8</v>
      </c>
      <c r="U43" s="25" t="s">
        <v>137</v>
      </c>
    </row>
    <row r="44" spans="14:21" x14ac:dyDescent="0.25">
      <c r="N44"/>
      <c r="O44"/>
      <c r="R44" s="25" t="s">
        <v>95</v>
      </c>
      <c r="S44" s="25" t="s">
        <v>108</v>
      </c>
      <c r="T44" s="24">
        <v>8</v>
      </c>
      <c r="U44" s="25" t="s">
        <v>137</v>
      </c>
    </row>
    <row r="45" spans="14:21" x14ac:dyDescent="0.25">
      <c r="N45"/>
      <c r="O45"/>
      <c r="R45" s="25" t="s">
        <v>95</v>
      </c>
      <c r="S45" s="25" t="s">
        <v>109</v>
      </c>
      <c r="T45" s="24">
        <v>8</v>
      </c>
      <c r="U45" s="25" t="s">
        <v>137</v>
      </c>
    </row>
    <row r="46" spans="14:21" x14ac:dyDescent="0.25">
      <c r="N46"/>
      <c r="O46"/>
      <c r="R46" s="25" t="s">
        <v>95</v>
      </c>
      <c r="S46" s="25" t="s">
        <v>110</v>
      </c>
      <c r="T46" s="24">
        <v>8</v>
      </c>
      <c r="U46" s="25" t="s">
        <v>137</v>
      </c>
    </row>
    <row r="47" spans="14:21" x14ac:dyDescent="0.25">
      <c r="N47"/>
      <c r="O47"/>
      <c r="R47" s="25" t="s">
        <v>95</v>
      </c>
      <c r="S47" s="25" t="s">
        <v>111</v>
      </c>
      <c r="T47" s="24">
        <v>8</v>
      </c>
      <c r="U47" s="25" t="s">
        <v>137</v>
      </c>
    </row>
    <row r="48" spans="14:21" x14ac:dyDescent="0.25">
      <c r="N48"/>
      <c r="O48"/>
      <c r="R48" s="25" t="s">
        <v>95</v>
      </c>
      <c r="S48" s="25" t="s">
        <v>112</v>
      </c>
      <c r="T48" s="24">
        <v>8</v>
      </c>
      <c r="U48" s="25" t="s">
        <v>137</v>
      </c>
    </row>
    <row r="49" spans="14:21" x14ac:dyDescent="0.25">
      <c r="N49"/>
      <c r="O49"/>
      <c r="R49" s="25" t="s">
        <v>95</v>
      </c>
      <c r="S49" s="25" t="s">
        <v>113</v>
      </c>
      <c r="T49" s="24">
        <v>8</v>
      </c>
      <c r="U49" s="25" t="s">
        <v>137</v>
      </c>
    </row>
    <row r="50" spans="14:21" x14ac:dyDescent="0.25">
      <c r="R50" s="25" t="s">
        <v>95</v>
      </c>
      <c r="S50" s="25" t="s">
        <v>94</v>
      </c>
      <c r="T50" s="24">
        <v>8</v>
      </c>
      <c r="U50" s="25" t="s">
        <v>137</v>
      </c>
    </row>
    <row r="51" spans="14:21" x14ac:dyDescent="0.25">
      <c r="R51" s="25" t="s">
        <v>96</v>
      </c>
      <c r="S51" s="25" t="s">
        <v>108</v>
      </c>
      <c r="T51" s="24">
        <v>8</v>
      </c>
      <c r="U51" s="25" t="s">
        <v>137</v>
      </c>
    </row>
    <row r="52" spans="14:21" x14ac:dyDescent="0.25">
      <c r="R52" s="25" t="s">
        <v>96</v>
      </c>
      <c r="S52" s="25" t="s">
        <v>109</v>
      </c>
      <c r="T52" s="24">
        <v>8</v>
      </c>
      <c r="U52" s="25" t="s">
        <v>137</v>
      </c>
    </row>
    <row r="53" spans="14:21" x14ac:dyDescent="0.25">
      <c r="R53" s="25" t="s">
        <v>96</v>
      </c>
      <c r="S53" s="25" t="s">
        <v>110</v>
      </c>
      <c r="T53" s="24">
        <v>8</v>
      </c>
      <c r="U53" s="25" t="s">
        <v>137</v>
      </c>
    </row>
    <row r="54" spans="14:21" x14ac:dyDescent="0.25">
      <c r="R54" s="25" t="s">
        <v>96</v>
      </c>
      <c r="S54" s="25" t="s">
        <v>111</v>
      </c>
      <c r="T54" s="24">
        <v>8</v>
      </c>
      <c r="U54" s="25" t="s">
        <v>137</v>
      </c>
    </row>
    <row r="55" spans="14:21" x14ac:dyDescent="0.25">
      <c r="R55" s="25" t="s">
        <v>96</v>
      </c>
      <c r="S55" s="25" t="s">
        <v>112</v>
      </c>
      <c r="T55" s="24">
        <v>8</v>
      </c>
      <c r="U55" s="25" t="s">
        <v>137</v>
      </c>
    </row>
    <row r="56" spans="14:21" x14ac:dyDescent="0.25">
      <c r="R56" s="25" t="s">
        <v>96</v>
      </c>
      <c r="S56" s="25" t="s">
        <v>113</v>
      </c>
      <c r="T56" s="24">
        <v>8</v>
      </c>
      <c r="U56" s="25" t="s">
        <v>137</v>
      </c>
    </row>
    <row r="57" spans="14:21" x14ac:dyDescent="0.25">
      <c r="R57" s="25" t="s">
        <v>96</v>
      </c>
      <c r="S57" s="25" t="s">
        <v>94</v>
      </c>
      <c r="T57" s="24">
        <v>8</v>
      </c>
      <c r="U57" s="25" t="s">
        <v>137</v>
      </c>
    </row>
    <row r="58" spans="14:21" x14ac:dyDescent="0.25">
      <c r="R58" s="25" t="s">
        <v>97</v>
      </c>
      <c r="S58" s="25" t="s">
        <v>108</v>
      </c>
      <c r="T58" s="24">
        <v>8</v>
      </c>
      <c r="U58" s="25" t="s">
        <v>137</v>
      </c>
    </row>
    <row r="59" spans="14:21" x14ac:dyDescent="0.25">
      <c r="R59" s="25" t="s">
        <v>97</v>
      </c>
      <c r="S59" s="25" t="s">
        <v>109</v>
      </c>
      <c r="T59" s="24">
        <v>8</v>
      </c>
      <c r="U59" s="25" t="s">
        <v>137</v>
      </c>
    </row>
    <row r="60" spans="14:21" x14ac:dyDescent="0.25">
      <c r="R60" s="25" t="s">
        <v>97</v>
      </c>
      <c r="S60" s="25" t="s">
        <v>110</v>
      </c>
      <c r="T60" s="24">
        <v>8</v>
      </c>
      <c r="U60" s="25" t="s">
        <v>137</v>
      </c>
    </row>
    <row r="61" spans="14:21" x14ac:dyDescent="0.25">
      <c r="R61" s="25" t="s">
        <v>97</v>
      </c>
      <c r="S61" s="25" t="s">
        <v>111</v>
      </c>
      <c r="T61" s="24">
        <v>8</v>
      </c>
      <c r="U61" s="25" t="s">
        <v>137</v>
      </c>
    </row>
    <row r="62" spans="14:21" x14ac:dyDescent="0.25">
      <c r="R62" s="25" t="s">
        <v>97</v>
      </c>
      <c r="S62" s="25" t="s">
        <v>112</v>
      </c>
      <c r="T62" s="24">
        <v>8</v>
      </c>
      <c r="U62" s="25" t="s">
        <v>137</v>
      </c>
    </row>
    <row r="63" spans="14:21" x14ac:dyDescent="0.25">
      <c r="R63" s="25" t="s">
        <v>97</v>
      </c>
      <c r="S63" s="25" t="s">
        <v>113</v>
      </c>
      <c r="T63" s="24">
        <v>8</v>
      </c>
      <c r="U63" s="25" t="s">
        <v>137</v>
      </c>
    </row>
    <row r="64" spans="14:21" x14ac:dyDescent="0.25">
      <c r="R64" s="25" t="s">
        <v>97</v>
      </c>
      <c r="S64" s="25" t="s">
        <v>94</v>
      </c>
      <c r="T64" s="24">
        <v>8</v>
      </c>
      <c r="U64" s="25" t="s">
        <v>137</v>
      </c>
    </row>
    <row r="65" spans="18:21" x14ac:dyDescent="0.25">
      <c r="R65" s="25" t="s">
        <v>98</v>
      </c>
      <c r="S65" s="25" t="s">
        <v>108</v>
      </c>
      <c r="T65" s="24">
        <v>8</v>
      </c>
      <c r="U65" s="25" t="s">
        <v>137</v>
      </c>
    </row>
    <row r="66" spans="18:21" x14ac:dyDescent="0.25">
      <c r="R66" s="25" t="s">
        <v>98</v>
      </c>
      <c r="S66" s="25" t="s">
        <v>109</v>
      </c>
      <c r="T66" s="24">
        <v>8</v>
      </c>
      <c r="U66" s="25" t="s">
        <v>137</v>
      </c>
    </row>
    <row r="67" spans="18:21" x14ac:dyDescent="0.25">
      <c r="R67" s="25" t="s">
        <v>98</v>
      </c>
      <c r="S67" s="25" t="s">
        <v>110</v>
      </c>
      <c r="T67" s="24">
        <v>8</v>
      </c>
      <c r="U67" s="25" t="s">
        <v>137</v>
      </c>
    </row>
    <row r="68" spans="18:21" x14ac:dyDescent="0.25">
      <c r="R68" s="25" t="s">
        <v>98</v>
      </c>
      <c r="S68" s="25" t="s">
        <v>111</v>
      </c>
      <c r="T68" s="24">
        <v>8</v>
      </c>
      <c r="U68" s="25" t="s">
        <v>137</v>
      </c>
    </row>
    <row r="69" spans="18:21" x14ac:dyDescent="0.25">
      <c r="R69" s="25" t="s">
        <v>98</v>
      </c>
      <c r="S69" s="25" t="s">
        <v>112</v>
      </c>
      <c r="T69" s="24">
        <v>8</v>
      </c>
      <c r="U69" s="25" t="s">
        <v>137</v>
      </c>
    </row>
    <row r="70" spans="18:21" x14ac:dyDescent="0.25">
      <c r="R70" s="25" t="s">
        <v>98</v>
      </c>
      <c r="S70" s="25" t="s">
        <v>113</v>
      </c>
      <c r="T70" s="24">
        <v>8</v>
      </c>
      <c r="U70" s="25" t="s">
        <v>137</v>
      </c>
    </row>
    <row r="71" spans="18:21" x14ac:dyDescent="0.25">
      <c r="R71" s="25" t="s">
        <v>98</v>
      </c>
      <c r="S71" s="25" t="s">
        <v>94</v>
      </c>
      <c r="T71" s="24">
        <v>8</v>
      </c>
      <c r="U71" s="25" t="s">
        <v>137</v>
      </c>
    </row>
    <row r="72" spans="18:21" x14ac:dyDescent="0.25">
      <c r="U72" s="25"/>
    </row>
    <row r="73" spans="18:21" x14ac:dyDescent="0.25">
      <c r="U73" s="25"/>
    </row>
    <row r="74" spans="18:21" x14ac:dyDescent="0.25">
      <c r="U74" s="25"/>
    </row>
    <row r="75" spans="18:21" x14ac:dyDescent="0.25">
      <c r="U75" s="25"/>
    </row>
    <row r="76" spans="18:21" x14ac:dyDescent="0.25"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144</v>
      </c>
      <c r="C2">
        <v>10</v>
      </c>
      <c r="D2" t="s">
        <v>145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144</v>
      </c>
      <c r="C3">
        <v>20</v>
      </c>
      <c r="D3" t="s">
        <v>114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144</v>
      </c>
      <c r="C4">
        <v>30</v>
      </c>
      <c r="D4" t="s">
        <v>102</v>
      </c>
      <c r="E4" t="s">
        <v>103</v>
      </c>
      <c r="F4">
        <v>0.57499999999999996</v>
      </c>
      <c r="G4" t="s">
        <v>15</v>
      </c>
    </row>
    <row r="5" spans="1:7" x14ac:dyDescent="0.25">
      <c r="A5">
        <v>1</v>
      </c>
      <c r="B5" t="s">
        <v>144</v>
      </c>
      <c r="C5">
        <v>40</v>
      </c>
      <c r="D5" t="s">
        <v>146</v>
      </c>
      <c r="E5" t="s">
        <v>11</v>
      </c>
      <c r="F5">
        <v>0.86399999999999999</v>
      </c>
      <c r="G5" t="s">
        <v>18</v>
      </c>
    </row>
    <row r="6" spans="1:7" x14ac:dyDescent="0.25">
      <c r="A6">
        <v>1</v>
      </c>
      <c r="B6" t="s">
        <v>144</v>
      </c>
      <c r="C6">
        <v>50</v>
      </c>
      <c r="D6" t="s">
        <v>139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144</v>
      </c>
      <c r="C7">
        <v>60</v>
      </c>
      <c r="D7" t="s">
        <v>147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144</v>
      </c>
      <c r="C8">
        <v>70</v>
      </c>
      <c r="D8" t="s">
        <v>148</v>
      </c>
      <c r="E8" t="s">
        <v>17</v>
      </c>
      <c r="F8">
        <v>16.611999999999998</v>
      </c>
      <c r="G8" t="s">
        <v>15</v>
      </c>
    </row>
    <row r="9" spans="1:7" x14ac:dyDescent="0.25">
      <c r="A9">
        <v>1</v>
      </c>
      <c r="B9" t="s">
        <v>144</v>
      </c>
      <c r="C9">
        <v>80</v>
      </c>
      <c r="D9" t="s">
        <v>20</v>
      </c>
      <c r="E9" t="s">
        <v>17</v>
      </c>
      <c r="F9">
        <v>136.215</v>
      </c>
      <c r="G9" t="s">
        <v>15</v>
      </c>
    </row>
    <row r="10" spans="1:7" x14ac:dyDescent="0.25">
      <c r="A10">
        <v>1</v>
      </c>
      <c r="B10" t="s">
        <v>144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144</v>
      </c>
      <c r="C11">
        <v>100</v>
      </c>
      <c r="D11" t="s">
        <v>141</v>
      </c>
      <c r="E11" t="s">
        <v>14</v>
      </c>
      <c r="F11">
        <v>8.1000000000000003E-2</v>
      </c>
      <c r="G11" t="s">
        <v>15</v>
      </c>
    </row>
    <row r="12" spans="1:7" x14ac:dyDescent="0.25">
      <c r="A12">
        <v>1</v>
      </c>
      <c r="B12" t="s">
        <v>144</v>
      </c>
      <c r="C12">
        <v>110</v>
      </c>
      <c r="D12" t="s">
        <v>140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144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144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144</v>
      </c>
      <c r="C15">
        <v>140</v>
      </c>
      <c r="D15" t="s">
        <v>100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144</v>
      </c>
      <c r="C16">
        <v>150</v>
      </c>
      <c r="D16" t="s">
        <v>149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144</v>
      </c>
      <c r="C17">
        <v>160</v>
      </c>
      <c r="D17" t="s">
        <v>150</v>
      </c>
      <c r="E17" t="s">
        <v>11</v>
      </c>
      <c r="F17">
        <v>1</v>
      </c>
      <c r="G17" t="s">
        <v>18</v>
      </c>
    </row>
    <row r="18" spans="1:7" x14ac:dyDescent="0.25">
      <c r="A18">
        <v>1</v>
      </c>
      <c r="B18" t="s">
        <v>144</v>
      </c>
      <c r="C18">
        <v>170</v>
      </c>
      <c r="D18" t="s">
        <v>142</v>
      </c>
      <c r="E18" t="s">
        <v>11</v>
      </c>
      <c r="F18">
        <v>5.5369999999999999</v>
      </c>
      <c r="G18" t="s">
        <v>15</v>
      </c>
    </row>
    <row r="19" spans="1:7" x14ac:dyDescent="0.25">
      <c r="A19">
        <v>1</v>
      </c>
      <c r="B19" t="s">
        <v>144</v>
      </c>
      <c r="C19">
        <v>180</v>
      </c>
      <c r="D19" t="s">
        <v>151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152</v>
      </c>
      <c r="C20">
        <v>10</v>
      </c>
      <c r="D20" t="s">
        <v>153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152</v>
      </c>
      <c r="C21">
        <v>20</v>
      </c>
      <c r="D21" t="s">
        <v>115</v>
      </c>
      <c r="E21" t="s">
        <v>14</v>
      </c>
      <c r="F21">
        <v>2.68</v>
      </c>
      <c r="G21" t="s">
        <v>15</v>
      </c>
    </row>
    <row r="22" spans="1:7" x14ac:dyDescent="0.25">
      <c r="A22">
        <v>2</v>
      </c>
      <c r="B22" t="s">
        <v>152</v>
      </c>
      <c r="C22">
        <v>30</v>
      </c>
      <c r="D22" t="s">
        <v>102</v>
      </c>
      <c r="E22" t="s">
        <v>103</v>
      </c>
      <c r="F22">
        <v>0.68300000000000005</v>
      </c>
      <c r="G22" t="s">
        <v>15</v>
      </c>
    </row>
    <row r="23" spans="1:7" x14ac:dyDescent="0.25">
      <c r="A23">
        <v>2</v>
      </c>
      <c r="B23" t="s">
        <v>152</v>
      </c>
      <c r="C23">
        <v>40</v>
      </c>
      <c r="D23" t="s">
        <v>146</v>
      </c>
      <c r="E23" t="s">
        <v>11</v>
      </c>
      <c r="F23">
        <v>1.016</v>
      </c>
      <c r="G23" t="s">
        <v>18</v>
      </c>
    </row>
    <row r="24" spans="1:7" x14ac:dyDescent="0.25">
      <c r="A24">
        <v>2</v>
      </c>
      <c r="B24" t="s">
        <v>152</v>
      </c>
      <c r="C24">
        <v>50</v>
      </c>
      <c r="D24" t="s">
        <v>139</v>
      </c>
      <c r="E24" t="s">
        <v>17</v>
      </c>
      <c r="F24">
        <v>1.016</v>
      </c>
      <c r="G24" t="s">
        <v>18</v>
      </c>
    </row>
    <row r="25" spans="1:7" x14ac:dyDescent="0.25">
      <c r="A25">
        <v>2</v>
      </c>
      <c r="B25" t="s">
        <v>152</v>
      </c>
      <c r="C25">
        <v>60</v>
      </c>
      <c r="D25" t="s">
        <v>154</v>
      </c>
      <c r="E25" t="s">
        <v>11</v>
      </c>
      <c r="F25">
        <v>1</v>
      </c>
      <c r="G25" t="s">
        <v>18</v>
      </c>
    </row>
    <row r="26" spans="1:7" x14ac:dyDescent="0.25">
      <c r="A26">
        <v>2</v>
      </c>
      <c r="B26" t="s">
        <v>152</v>
      </c>
      <c r="C26">
        <v>70</v>
      </c>
      <c r="D26" t="s">
        <v>148</v>
      </c>
      <c r="E26" t="s">
        <v>17</v>
      </c>
      <c r="F26">
        <v>17.526</v>
      </c>
      <c r="G26" t="s">
        <v>15</v>
      </c>
    </row>
    <row r="27" spans="1:7" x14ac:dyDescent="0.25">
      <c r="A27">
        <v>2</v>
      </c>
      <c r="B27" t="s">
        <v>152</v>
      </c>
      <c r="C27">
        <v>80</v>
      </c>
      <c r="D27" t="s">
        <v>20</v>
      </c>
      <c r="E27" t="s">
        <v>17</v>
      </c>
      <c r="F27">
        <v>143.71299999999999</v>
      </c>
      <c r="G27" t="s">
        <v>15</v>
      </c>
    </row>
    <row r="28" spans="1:7" x14ac:dyDescent="0.25">
      <c r="A28">
        <v>2</v>
      </c>
      <c r="B28" t="s">
        <v>152</v>
      </c>
      <c r="C28">
        <v>90</v>
      </c>
      <c r="D28" t="s">
        <v>24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152</v>
      </c>
      <c r="C29">
        <v>100</v>
      </c>
      <c r="D29" t="s">
        <v>141</v>
      </c>
      <c r="E29" t="s">
        <v>14</v>
      </c>
      <c r="F29">
        <v>9.1999999999999998E-2</v>
      </c>
      <c r="G29" t="s">
        <v>15</v>
      </c>
    </row>
    <row r="30" spans="1:7" x14ac:dyDescent="0.25">
      <c r="A30">
        <v>2</v>
      </c>
      <c r="B30" t="s">
        <v>152</v>
      </c>
      <c r="C30">
        <v>110</v>
      </c>
      <c r="D30" t="s">
        <v>140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152</v>
      </c>
      <c r="C31">
        <v>120</v>
      </c>
      <c r="D31" t="s">
        <v>25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152</v>
      </c>
      <c r="C32">
        <v>130</v>
      </c>
      <c r="D32" t="s">
        <v>26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152</v>
      </c>
      <c r="C33">
        <v>140</v>
      </c>
      <c r="D33" t="s">
        <v>100</v>
      </c>
      <c r="E33" t="s">
        <v>14</v>
      </c>
      <c r="F33">
        <v>0.66200000000000003</v>
      </c>
      <c r="G33" t="s">
        <v>15</v>
      </c>
    </row>
    <row r="34" spans="1:7" x14ac:dyDescent="0.25">
      <c r="A34">
        <v>2</v>
      </c>
      <c r="B34" t="s">
        <v>152</v>
      </c>
      <c r="C34">
        <v>150</v>
      </c>
      <c r="D34" t="s">
        <v>155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152</v>
      </c>
      <c r="C35">
        <v>160</v>
      </c>
      <c r="D35" t="s">
        <v>156</v>
      </c>
      <c r="E35" t="s">
        <v>11</v>
      </c>
      <c r="F35">
        <v>1</v>
      </c>
      <c r="G35" t="s">
        <v>18</v>
      </c>
    </row>
    <row r="36" spans="1:7" x14ac:dyDescent="0.25">
      <c r="A36">
        <v>2</v>
      </c>
      <c r="B36" t="s">
        <v>152</v>
      </c>
      <c r="C36">
        <v>170</v>
      </c>
      <c r="D36" t="s">
        <v>142</v>
      </c>
      <c r="E36" t="s">
        <v>11</v>
      </c>
      <c r="F36">
        <v>5.8419999999999996</v>
      </c>
      <c r="G36" t="s">
        <v>15</v>
      </c>
    </row>
    <row r="37" spans="1:7" x14ac:dyDescent="0.25">
      <c r="A37">
        <v>2</v>
      </c>
      <c r="B37" t="s">
        <v>152</v>
      </c>
      <c r="C37">
        <v>180</v>
      </c>
      <c r="D37" t="s">
        <v>157</v>
      </c>
      <c r="E37" t="s">
        <v>11</v>
      </c>
      <c r="F37">
        <v>1</v>
      </c>
      <c r="G37" t="s">
        <v>18</v>
      </c>
    </row>
    <row r="38" spans="1:7" x14ac:dyDescent="0.25">
      <c r="A38">
        <v>3</v>
      </c>
      <c r="B38" t="s">
        <v>158</v>
      </c>
      <c r="C38">
        <v>10</v>
      </c>
      <c r="D38" t="s">
        <v>159</v>
      </c>
      <c r="E38" t="s">
        <v>11</v>
      </c>
      <c r="F38">
        <v>1</v>
      </c>
      <c r="G38" t="s">
        <v>18</v>
      </c>
    </row>
    <row r="39" spans="1:7" x14ac:dyDescent="0.25">
      <c r="A39">
        <v>3</v>
      </c>
      <c r="B39" t="s">
        <v>158</v>
      </c>
      <c r="C39">
        <v>20</v>
      </c>
      <c r="D39" t="s">
        <v>116</v>
      </c>
      <c r="E39" t="s">
        <v>14</v>
      </c>
      <c r="F39">
        <v>3.0680000000000001</v>
      </c>
      <c r="G39" t="s">
        <v>15</v>
      </c>
    </row>
    <row r="40" spans="1:7" x14ac:dyDescent="0.25">
      <c r="A40">
        <v>3</v>
      </c>
      <c r="B40" t="s">
        <v>158</v>
      </c>
      <c r="C40">
        <v>30</v>
      </c>
      <c r="D40" t="s">
        <v>102</v>
      </c>
      <c r="E40" t="s">
        <v>103</v>
      </c>
      <c r="F40">
        <v>0.79100000000000004</v>
      </c>
      <c r="G40" t="s">
        <v>15</v>
      </c>
    </row>
    <row r="41" spans="1:7" x14ac:dyDescent="0.25">
      <c r="A41">
        <v>3</v>
      </c>
      <c r="B41" t="s">
        <v>158</v>
      </c>
      <c r="C41">
        <v>40</v>
      </c>
      <c r="D41" t="s">
        <v>146</v>
      </c>
      <c r="E41" t="s">
        <v>11</v>
      </c>
      <c r="F41">
        <v>1.1679999999999999</v>
      </c>
      <c r="G41" t="s">
        <v>18</v>
      </c>
    </row>
    <row r="42" spans="1:7" x14ac:dyDescent="0.25">
      <c r="A42">
        <v>3</v>
      </c>
      <c r="B42" t="s">
        <v>158</v>
      </c>
      <c r="C42">
        <v>50</v>
      </c>
      <c r="D42" t="s">
        <v>139</v>
      </c>
      <c r="E42" t="s">
        <v>17</v>
      </c>
      <c r="F42">
        <v>1.1679999999999999</v>
      </c>
      <c r="G42" t="s">
        <v>18</v>
      </c>
    </row>
    <row r="43" spans="1:7" x14ac:dyDescent="0.25">
      <c r="A43">
        <v>3</v>
      </c>
      <c r="B43" t="s">
        <v>158</v>
      </c>
      <c r="C43">
        <v>60</v>
      </c>
      <c r="D43" t="s">
        <v>160</v>
      </c>
      <c r="E43" t="s">
        <v>11</v>
      </c>
      <c r="F43">
        <v>1</v>
      </c>
      <c r="G43" t="s">
        <v>18</v>
      </c>
    </row>
    <row r="44" spans="1:7" x14ac:dyDescent="0.25">
      <c r="A44">
        <v>3</v>
      </c>
      <c r="B44" t="s">
        <v>158</v>
      </c>
      <c r="C44">
        <v>70</v>
      </c>
      <c r="D44" t="s">
        <v>148</v>
      </c>
      <c r="E44" t="s">
        <v>17</v>
      </c>
      <c r="F44">
        <v>18.440000000000001</v>
      </c>
      <c r="G44" t="s">
        <v>15</v>
      </c>
    </row>
    <row r="45" spans="1:7" x14ac:dyDescent="0.25">
      <c r="A45">
        <v>3</v>
      </c>
      <c r="B45" t="s">
        <v>158</v>
      </c>
      <c r="C45">
        <v>80</v>
      </c>
      <c r="D45" t="s">
        <v>20</v>
      </c>
      <c r="E45" t="s">
        <v>17</v>
      </c>
      <c r="F45">
        <v>151.21100000000001</v>
      </c>
      <c r="G45" t="s">
        <v>15</v>
      </c>
    </row>
    <row r="46" spans="1:7" x14ac:dyDescent="0.25">
      <c r="A46">
        <v>3</v>
      </c>
      <c r="B46" t="s">
        <v>158</v>
      </c>
      <c r="C46">
        <v>90</v>
      </c>
      <c r="D46" t="s">
        <v>24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158</v>
      </c>
      <c r="C47">
        <v>100</v>
      </c>
      <c r="D47" t="s">
        <v>141</v>
      </c>
      <c r="E47" t="s">
        <v>14</v>
      </c>
      <c r="F47">
        <v>0.10199999999999999</v>
      </c>
      <c r="G47" t="s">
        <v>15</v>
      </c>
    </row>
    <row r="48" spans="1:7" x14ac:dyDescent="0.25">
      <c r="A48">
        <v>3</v>
      </c>
      <c r="B48" t="s">
        <v>158</v>
      </c>
      <c r="C48">
        <v>110</v>
      </c>
      <c r="D48" t="s">
        <v>140</v>
      </c>
      <c r="E48" t="s">
        <v>11</v>
      </c>
      <c r="F48">
        <v>4</v>
      </c>
      <c r="G48" t="s">
        <v>15</v>
      </c>
    </row>
    <row r="49" spans="1:7" x14ac:dyDescent="0.25">
      <c r="A49">
        <v>3</v>
      </c>
      <c r="B49" t="s">
        <v>158</v>
      </c>
      <c r="C49">
        <v>120</v>
      </c>
      <c r="D49" t="s">
        <v>25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158</v>
      </c>
      <c r="C50">
        <v>130</v>
      </c>
      <c r="D50" t="s">
        <v>26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158</v>
      </c>
      <c r="C51">
        <v>140</v>
      </c>
      <c r="D51" t="s">
        <v>100</v>
      </c>
      <c r="E51" t="s">
        <v>14</v>
      </c>
      <c r="F51">
        <v>0.74299999999999999</v>
      </c>
      <c r="G51" t="s">
        <v>15</v>
      </c>
    </row>
    <row r="52" spans="1:7" x14ac:dyDescent="0.25">
      <c r="A52">
        <v>3</v>
      </c>
      <c r="B52" t="s">
        <v>158</v>
      </c>
      <c r="C52">
        <v>150</v>
      </c>
      <c r="D52" t="s">
        <v>161</v>
      </c>
      <c r="E52" t="s">
        <v>11</v>
      </c>
      <c r="F52">
        <v>1</v>
      </c>
      <c r="G52" t="s">
        <v>18</v>
      </c>
    </row>
    <row r="53" spans="1:7" x14ac:dyDescent="0.25">
      <c r="A53">
        <v>3</v>
      </c>
      <c r="B53" t="s">
        <v>158</v>
      </c>
      <c r="C53">
        <v>160</v>
      </c>
      <c r="D53" t="s">
        <v>162</v>
      </c>
      <c r="E53" t="s">
        <v>11</v>
      </c>
      <c r="F53">
        <v>1</v>
      </c>
      <c r="G53" t="s">
        <v>18</v>
      </c>
    </row>
    <row r="54" spans="1:7" x14ac:dyDescent="0.25">
      <c r="A54">
        <v>3</v>
      </c>
      <c r="B54" t="s">
        <v>158</v>
      </c>
      <c r="C54">
        <v>170</v>
      </c>
      <c r="D54" t="s">
        <v>142</v>
      </c>
      <c r="E54" t="s">
        <v>11</v>
      </c>
      <c r="F54">
        <v>6.1470000000000002</v>
      </c>
      <c r="G54" t="s">
        <v>15</v>
      </c>
    </row>
    <row r="55" spans="1:7" x14ac:dyDescent="0.25">
      <c r="A55">
        <v>3</v>
      </c>
      <c r="B55" t="s">
        <v>158</v>
      </c>
      <c r="C55">
        <v>180</v>
      </c>
      <c r="D55" t="s">
        <v>163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164</v>
      </c>
      <c r="C56">
        <v>10</v>
      </c>
      <c r="D56" t="s">
        <v>165</v>
      </c>
      <c r="E56" t="s">
        <v>11</v>
      </c>
      <c r="F56">
        <v>1</v>
      </c>
      <c r="G56" t="s">
        <v>18</v>
      </c>
    </row>
    <row r="57" spans="1:7" x14ac:dyDescent="0.25">
      <c r="A57">
        <v>4</v>
      </c>
      <c r="B57" t="s">
        <v>164</v>
      </c>
      <c r="C57">
        <v>20</v>
      </c>
      <c r="D57" t="s">
        <v>117</v>
      </c>
      <c r="E57" t="s">
        <v>14</v>
      </c>
      <c r="F57">
        <v>3.843</v>
      </c>
      <c r="G57" t="s">
        <v>15</v>
      </c>
    </row>
    <row r="58" spans="1:7" x14ac:dyDescent="0.25">
      <c r="A58">
        <v>4</v>
      </c>
      <c r="B58" t="s">
        <v>164</v>
      </c>
      <c r="C58">
        <v>30</v>
      </c>
      <c r="D58" t="s">
        <v>102</v>
      </c>
      <c r="E58" t="s">
        <v>103</v>
      </c>
      <c r="F58">
        <v>0.89900000000000002</v>
      </c>
      <c r="G58" t="s">
        <v>15</v>
      </c>
    </row>
    <row r="59" spans="1:7" x14ac:dyDescent="0.25">
      <c r="A59">
        <v>4</v>
      </c>
      <c r="B59" t="s">
        <v>164</v>
      </c>
      <c r="C59">
        <v>40</v>
      </c>
      <c r="D59" t="s">
        <v>146</v>
      </c>
      <c r="E59" t="s">
        <v>11</v>
      </c>
      <c r="F59">
        <v>1.321</v>
      </c>
      <c r="G59" t="s">
        <v>18</v>
      </c>
    </row>
    <row r="60" spans="1:7" x14ac:dyDescent="0.25">
      <c r="A60">
        <v>4</v>
      </c>
      <c r="B60" t="s">
        <v>164</v>
      </c>
      <c r="C60">
        <v>50</v>
      </c>
      <c r="D60" t="s">
        <v>139</v>
      </c>
      <c r="E60" t="s">
        <v>17</v>
      </c>
      <c r="F60">
        <v>1.321</v>
      </c>
      <c r="G60" t="s">
        <v>18</v>
      </c>
    </row>
    <row r="61" spans="1:7" x14ac:dyDescent="0.25">
      <c r="A61">
        <v>4</v>
      </c>
      <c r="B61" t="s">
        <v>164</v>
      </c>
      <c r="C61">
        <v>60</v>
      </c>
      <c r="D61" t="s">
        <v>166</v>
      </c>
      <c r="E61" t="s">
        <v>11</v>
      </c>
      <c r="F61">
        <v>1</v>
      </c>
      <c r="G61" t="s">
        <v>18</v>
      </c>
    </row>
    <row r="62" spans="1:7" x14ac:dyDescent="0.25">
      <c r="A62">
        <v>4</v>
      </c>
      <c r="B62" t="s">
        <v>164</v>
      </c>
      <c r="C62">
        <v>70</v>
      </c>
      <c r="D62" t="s">
        <v>148</v>
      </c>
      <c r="E62" t="s">
        <v>17</v>
      </c>
      <c r="F62">
        <v>19.355</v>
      </c>
      <c r="G62" t="s">
        <v>15</v>
      </c>
    </row>
    <row r="63" spans="1:7" x14ac:dyDescent="0.25">
      <c r="A63">
        <v>4</v>
      </c>
      <c r="B63" t="s">
        <v>164</v>
      </c>
      <c r="C63">
        <v>80</v>
      </c>
      <c r="D63" t="s">
        <v>20</v>
      </c>
      <c r="E63" t="s">
        <v>17</v>
      </c>
      <c r="F63">
        <v>158.709</v>
      </c>
      <c r="G63" t="s">
        <v>15</v>
      </c>
    </row>
    <row r="64" spans="1:7" x14ac:dyDescent="0.25">
      <c r="A64">
        <v>4</v>
      </c>
      <c r="B64" t="s">
        <v>164</v>
      </c>
      <c r="C64">
        <v>90</v>
      </c>
      <c r="D64" t="s">
        <v>24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164</v>
      </c>
      <c r="C65">
        <v>100</v>
      </c>
      <c r="D65" t="s">
        <v>141</v>
      </c>
      <c r="E65" t="s">
        <v>14</v>
      </c>
      <c r="F65">
        <v>0.112</v>
      </c>
      <c r="G65" t="s">
        <v>15</v>
      </c>
    </row>
    <row r="66" spans="1:7" x14ac:dyDescent="0.25">
      <c r="A66">
        <v>4</v>
      </c>
      <c r="B66" t="s">
        <v>164</v>
      </c>
      <c r="C66">
        <v>110</v>
      </c>
      <c r="D66" t="s">
        <v>140</v>
      </c>
      <c r="E66" t="s">
        <v>11</v>
      </c>
      <c r="F66">
        <v>4</v>
      </c>
      <c r="G66" t="s">
        <v>15</v>
      </c>
    </row>
    <row r="67" spans="1:7" x14ac:dyDescent="0.25">
      <c r="A67">
        <v>4</v>
      </c>
      <c r="B67" t="s">
        <v>164</v>
      </c>
      <c r="C67">
        <v>120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164</v>
      </c>
      <c r="C68">
        <v>130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4</v>
      </c>
      <c r="B69" t="s">
        <v>164</v>
      </c>
      <c r="C69">
        <v>140</v>
      </c>
      <c r="D69" t="s">
        <v>100</v>
      </c>
      <c r="E69" t="s">
        <v>14</v>
      </c>
      <c r="F69">
        <v>0.82399999999999995</v>
      </c>
      <c r="G69" t="s">
        <v>15</v>
      </c>
    </row>
    <row r="70" spans="1:7" x14ac:dyDescent="0.25">
      <c r="A70">
        <v>4</v>
      </c>
      <c r="B70" t="s">
        <v>164</v>
      </c>
      <c r="C70">
        <v>150</v>
      </c>
      <c r="D70" t="s">
        <v>167</v>
      </c>
      <c r="E70" t="s">
        <v>11</v>
      </c>
      <c r="F70">
        <v>1</v>
      </c>
      <c r="G70" t="s">
        <v>18</v>
      </c>
    </row>
    <row r="71" spans="1:7" x14ac:dyDescent="0.25">
      <c r="A71">
        <v>4</v>
      </c>
      <c r="B71" t="s">
        <v>164</v>
      </c>
      <c r="C71">
        <v>160</v>
      </c>
      <c r="D71" t="s">
        <v>168</v>
      </c>
      <c r="E71" t="s">
        <v>11</v>
      </c>
      <c r="F71">
        <v>1</v>
      </c>
      <c r="G71" t="s">
        <v>18</v>
      </c>
    </row>
    <row r="72" spans="1:7" x14ac:dyDescent="0.25">
      <c r="A72">
        <v>4</v>
      </c>
      <c r="B72" t="s">
        <v>164</v>
      </c>
      <c r="C72">
        <v>170</v>
      </c>
      <c r="D72" t="s">
        <v>142</v>
      </c>
      <c r="E72" t="s">
        <v>11</v>
      </c>
      <c r="F72">
        <v>6.452</v>
      </c>
      <c r="G72" t="s">
        <v>15</v>
      </c>
    </row>
    <row r="73" spans="1:7" x14ac:dyDescent="0.25">
      <c r="A73">
        <v>4</v>
      </c>
      <c r="B73" t="s">
        <v>164</v>
      </c>
      <c r="C73">
        <v>180</v>
      </c>
      <c r="D73" t="s">
        <v>169</v>
      </c>
      <c r="E73" t="s">
        <v>11</v>
      </c>
      <c r="F73">
        <v>1</v>
      </c>
      <c r="G73" t="s">
        <v>18</v>
      </c>
    </row>
    <row r="74" spans="1:7" x14ac:dyDescent="0.25">
      <c r="A74">
        <v>5</v>
      </c>
      <c r="B74" t="s">
        <v>170</v>
      </c>
      <c r="C74">
        <v>10</v>
      </c>
      <c r="D74" t="s">
        <v>171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170</v>
      </c>
      <c r="C75">
        <v>20</v>
      </c>
      <c r="D75" t="s">
        <v>117</v>
      </c>
      <c r="E75" t="s">
        <v>14</v>
      </c>
      <c r="F75">
        <v>3.843</v>
      </c>
      <c r="G75" t="s">
        <v>15</v>
      </c>
    </row>
    <row r="76" spans="1:7" x14ac:dyDescent="0.25">
      <c r="A76">
        <v>5</v>
      </c>
      <c r="B76" t="s">
        <v>170</v>
      </c>
      <c r="C76">
        <v>30</v>
      </c>
      <c r="D76" t="s">
        <v>102</v>
      </c>
      <c r="E76" t="s">
        <v>103</v>
      </c>
      <c r="F76">
        <v>0.95299999999999996</v>
      </c>
      <c r="G76" t="s">
        <v>15</v>
      </c>
    </row>
    <row r="77" spans="1:7" x14ac:dyDescent="0.25">
      <c r="A77">
        <v>5</v>
      </c>
      <c r="B77" t="s">
        <v>170</v>
      </c>
      <c r="C77">
        <v>40</v>
      </c>
      <c r="D77" t="s">
        <v>146</v>
      </c>
      <c r="E77" t="s">
        <v>11</v>
      </c>
      <c r="F77">
        <v>1.397</v>
      </c>
      <c r="G77" t="s">
        <v>18</v>
      </c>
    </row>
    <row r="78" spans="1:7" x14ac:dyDescent="0.25">
      <c r="A78">
        <v>5</v>
      </c>
      <c r="B78" t="s">
        <v>170</v>
      </c>
      <c r="C78">
        <v>50</v>
      </c>
      <c r="D78" t="s">
        <v>139</v>
      </c>
      <c r="E78" t="s">
        <v>17</v>
      </c>
      <c r="F78">
        <v>1.397</v>
      </c>
      <c r="G78" t="s">
        <v>18</v>
      </c>
    </row>
    <row r="79" spans="1:7" x14ac:dyDescent="0.25">
      <c r="A79">
        <v>5</v>
      </c>
      <c r="B79" t="s">
        <v>170</v>
      </c>
      <c r="C79">
        <v>60</v>
      </c>
      <c r="D79" t="s">
        <v>172</v>
      </c>
      <c r="E79" t="s">
        <v>11</v>
      </c>
      <c r="F79">
        <v>1</v>
      </c>
      <c r="G79" t="s">
        <v>18</v>
      </c>
    </row>
    <row r="80" spans="1:7" x14ac:dyDescent="0.25">
      <c r="A80">
        <v>5</v>
      </c>
      <c r="B80" t="s">
        <v>170</v>
      </c>
      <c r="C80">
        <v>70</v>
      </c>
      <c r="D80" t="s">
        <v>148</v>
      </c>
      <c r="E80" t="s">
        <v>17</v>
      </c>
      <c r="F80">
        <v>19.812000000000001</v>
      </c>
      <c r="G80" t="s">
        <v>15</v>
      </c>
    </row>
    <row r="81" spans="1:7" x14ac:dyDescent="0.25">
      <c r="A81">
        <v>5</v>
      </c>
      <c r="B81" t="s">
        <v>170</v>
      </c>
      <c r="C81">
        <v>80</v>
      </c>
      <c r="D81" t="s">
        <v>20</v>
      </c>
      <c r="E81" t="s">
        <v>17</v>
      </c>
      <c r="F81">
        <v>162.458</v>
      </c>
      <c r="G81" t="s">
        <v>15</v>
      </c>
    </row>
    <row r="82" spans="1:7" x14ac:dyDescent="0.25">
      <c r="A82">
        <v>5</v>
      </c>
      <c r="B82" t="s">
        <v>170</v>
      </c>
      <c r="C82">
        <v>90</v>
      </c>
      <c r="D82" t="s">
        <v>24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170</v>
      </c>
      <c r="C83">
        <v>100</v>
      </c>
      <c r="D83" t="s">
        <v>141</v>
      </c>
      <c r="E83" t="s">
        <v>14</v>
      </c>
      <c r="F83">
        <v>0.11700000000000001</v>
      </c>
      <c r="G83" t="s">
        <v>15</v>
      </c>
    </row>
    <row r="84" spans="1:7" x14ac:dyDescent="0.25">
      <c r="A84">
        <v>5</v>
      </c>
      <c r="B84" t="s">
        <v>170</v>
      </c>
      <c r="C84">
        <v>110</v>
      </c>
      <c r="D84" t="s">
        <v>140</v>
      </c>
      <c r="E84" t="s">
        <v>11</v>
      </c>
      <c r="F84">
        <v>4</v>
      </c>
      <c r="G84" t="s">
        <v>15</v>
      </c>
    </row>
    <row r="85" spans="1:7" x14ac:dyDescent="0.25">
      <c r="A85">
        <v>5</v>
      </c>
      <c r="B85" t="s">
        <v>170</v>
      </c>
      <c r="C85">
        <v>120</v>
      </c>
      <c r="D85" t="s">
        <v>25</v>
      </c>
      <c r="E85" t="s">
        <v>11</v>
      </c>
      <c r="F85">
        <v>1</v>
      </c>
      <c r="G85" t="s">
        <v>15</v>
      </c>
    </row>
    <row r="86" spans="1:7" x14ac:dyDescent="0.25">
      <c r="A86">
        <v>5</v>
      </c>
      <c r="B86" t="s">
        <v>170</v>
      </c>
      <c r="C86">
        <v>130</v>
      </c>
      <c r="D86" t="s">
        <v>26</v>
      </c>
      <c r="E86" t="s">
        <v>11</v>
      </c>
      <c r="F86">
        <v>1</v>
      </c>
      <c r="G86" t="s">
        <v>15</v>
      </c>
    </row>
    <row r="87" spans="1:7" x14ac:dyDescent="0.25">
      <c r="A87">
        <v>5</v>
      </c>
      <c r="B87" t="s">
        <v>170</v>
      </c>
      <c r="C87">
        <v>140</v>
      </c>
      <c r="D87" t="s">
        <v>100</v>
      </c>
      <c r="E87" t="s">
        <v>14</v>
      </c>
      <c r="F87">
        <v>0.86499999999999999</v>
      </c>
      <c r="G87" t="s">
        <v>15</v>
      </c>
    </row>
    <row r="88" spans="1:7" x14ac:dyDescent="0.25">
      <c r="A88">
        <v>5</v>
      </c>
      <c r="B88" t="s">
        <v>170</v>
      </c>
      <c r="C88">
        <v>150</v>
      </c>
      <c r="D88" t="s">
        <v>173</v>
      </c>
      <c r="E88" t="s">
        <v>11</v>
      </c>
      <c r="F88">
        <v>1</v>
      </c>
      <c r="G88" t="s">
        <v>18</v>
      </c>
    </row>
    <row r="89" spans="1:7" x14ac:dyDescent="0.25">
      <c r="A89">
        <v>5</v>
      </c>
      <c r="B89" t="s">
        <v>170</v>
      </c>
      <c r="C89">
        <v>160</v>
      </c>
      <c r="D89" t="s">
        <v>174</v>
      </c>
      <c r="E89" t="s">
        <v>11</v>
      </c>
      <c r="F89">
        <v>1</v>
      </c>
      <c r="G89" t="s">
        <v>18</v>
      </c>
    </row>
    <row r="90" spans="1:7" x14ac:dyDescent="0.25">
      <c r="A90">
        <v>5</v>
      </c>
      <c r="B90" t="s">
        <v>170</v>
      </c>
      <c r="C90">
        <v>170</v>
      </c>
      <c r="D90" t="s">
        <v>142</v>
      </c>
      <c r="E90" t="s">
        <v>11</v>
      </c>
      <c r="F90">
        <v>6.6040000000000001</v>
      </c>
      <c r="G90" t="s">
        <v>15</v>
      </c>
    </row>
    <row r="91" spans="1:7" x14ac:dyDescent="0.25">
      <c r="A91">
        <v>5</v>
      </c>
      <c r="B91" t="s">
        <v>170</v>
      </c>
      <c r="C91">
        <v>180</v>
      </c>
      <c r="D91" t="s">
        <v>175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176</v>
      </c>
      <c r="C92">
        <v>10</v>
      </c>
      <c r="D92" t="s">
        <v>177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176</v>
      </c>
      <c r="C93">
        <v>20</v>
      </c>
      <c r="D93" t="s">
        <v>117</v>
      </c>
      <c r="E93" t="s">
        <v>14</v>
      </c>
      <c r="F93">
        <v>3.843</v>
      </c>
      <c r="G93" t="s">
        <v>15</v>
      </c>
    </row>
    <row r="94" spans="1:7" x14ac:dyDescent="0.25">
      <c r="A94">
        <v>6</v>
      </c>
      <c r="B94" t="s">
        <v>176</v>
      </c>
      <c r="C94">
        <v>30</v>
      </c>
      <c r="D94" t="s">
        <v>102</v>
      </c>
      <c r="E94" t="s">
        <v>103</v>
      </c>
      <c r="F94">
        <v>1.006</v>
      </c>
      <c r="G94" t="s">
        <v>15</v>
      </c>
    </row>
    <row r="95" spans="1:7" x14ac:dyDescent="0.25">
      <c r="A95">
        <v>6</v>
      </c>
      <c r="B95" t="s">
        <v>176</v>
      </c>
      <c r="C95">
        <v>40</v>
      </c>
      <c r="D95" t="s">
        <v>146</v>
      </c>
      <c r="E95" t="s">
        <v>11</v>
      </c>
      <c r="F95">
        <v>1.4730000000000001</v>
      </c>
      <c r="G95" t="s">
        <v>18</v>
      </c>
    </row>
    <row r="96" spans="1:7" x14ac:dyDescent="0.25">
      <c r="A96">
        <v>6</v>
      </c>
      <c r="B96" t="s">
        <v>176</v>
      </c>
      <c r="C96">
        <v>50</v>
      </c>
      <c r="D96" t="s">
        <v>139</v>
      </c>
      <c r="E96" t="s">
        <v>17</v>
      </c>
      <c r="F96">
        <v>1.4730000000000001</v>
      </c>
      <c r="G96" t="s">
        <v>18</v>
      </c>
    </row>
    <row r="97" spans="1:7" x14ac:dyDescent="0.25">
      <c r="A97">
        <v>6</v>
      </c>
      <c r="B97" t="s">
        <v>176</v>
      </c>
      <c r="C97">
        <v>60</v>
      </c>
      <c r="D97" t="s">
        <v>178</v>
      </c>
      <c r="E97" t="s">
        <v>11</v>
      </c>
      <c r="F97">
        <v>1</v>
      </c>
      <c r="G97" t="s">
        <v>18</v>
      </c>
    </row>
    <row r="98" spans="1:7" x14ac:dyDescent="0.25">
      <c r="A98">
        <v>6</v>
      </c>
      <c r="B98" t="s">
        <v>176</v>
      </c>
      <c r="C98">
        <v>70</v>
      </c>
      <c r="D98" t="s">
        <v>148</v>
      </c>
      <c r="E98" t="s">
        <v>17</v>
      </c>
      <c r="F98">
        <v>20.268999999999998</v>
      </c>
      <c r="G98" t="s">
        <v>15</v>
      </c>
    </row>
    <row r="99" spans="1:7" x14ac:dyDescent="0.25">
      <c r="A99">
        <v>6</v>
      </c>
      <c r="B99" t="s">
        <v>176</v>
      </c>
      <c r="C99">
        <v>80</v>
      </c>
      <c r="D99" t="s">
        <v>20</v>
      </c>
      <c r="E99" t="s">
        <v>17</v>
      </c>
      <c r="F99">
        <v>166.20699999999999</v>
      </c>
      <c r="G99" t="s">
        <v>15</v>
      </c>
    </row>
    <row r="100" spans="1:7" x14ac:dyDescent="0.25">
      <c r="A100">
        <v>6</v>
      </c>
      <c r="B100" t="s">
        <v>176</v>
      </c>
      <c r="C100">
        <v>90</v>
      </c>
      <c r="D100" t="s">
        <v>24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176</v>
      </c>
      <c r="C101">
        <v>100</v>
      </c>
      <c r="D101" t="s">
        <v>141</v>
      </c>
      <c r="E101" t="s">
        <v>14</v>
      </c>
      <c r="F101">
        <v>0.123</v>
      </c>
      <c r="G101" t="s">
        <v>15</v>
      </c>
    </row>
    <row r="102" spans="1:7" x14ac:dyDescent="0.25">
      <c r="A102">
        <v>6</v>
      </c>
      <c r="B102" t="s">
        <v>176</v>
      </c>
      <c r="C102">
        <v>110</v>
      </c>
      <c r="D102" t="s">
        <v>140</v>
      </c>
      <c r="E102" t="s">
        <v>11</v>
      </c>
      <c r="F102">
        <v>4</v>
      </c>
      <c r="G102" t="s">
        <v>15</v>
      </c>
    </row>
    <row r="103" spans="1:7" x14ac:dyDescent="0.25">
      <c r="A103">
        <v>6</v>
      </c>
      <c r="B103" t="s">
        <v>176</v>
      </c>
      <c r="C103">
        <v>120</v>
      </c>
      <c r="D103" t="s">
        <v>25</v>
      </c>
      <c r="E103" t="s">
        <v>11</v>
      </c>
      <c r="F103">
        <v>1</v>
      </c>
      <c r="G103" t="s">
        <v>15</v>
      </c>
    </row>
    <row r="104" spans="1:7" x14ac:dyDescent="0.25">
      <c r="A104">
        <v>6</v>
      </c>
      <c r="B104" t="s">
        <v>176</v>
      </c>
      <c r="C104">
        <v>130</v>
      </c>
      <c r="D104" t="s">
        <v>26</v>
      </c>
      <c r="E104" t="s">
        <v>11</v>
      </c>
      <c r="F104">
        <v>1</v>
      </c>
      <c r="G104" t="s">
        <v>15</v>
      </c>
    </row>
    <row r="105" spans="1:7" x14ac:dyDescent="0.25">
      <c r="A105">
        <v>6</v>
      </c>
      <c r="B105" t="s">
        <v>176</v>
      </c>
      <c r="C105">
        <v>140</v>
      </c>
      <c r="D105" t="s">
        <v>100</v>
      </c>
      <c r="E105" t="s">
        <v>14</v>
      </c>
      <c r="F105">
        <v>0.90500000000000003</v>
      </c>
      <c r="G105" t="s">
        <v>15</v>
      </c>
    </row>
    <row r="106" spans="1:7" x14ac:dyDescent="0.25">
      <c r="A106">
        <v>6</v>
      </c>
      <c r="B106" t="s">
        <v>176</v>
      </c>
      <c r="C106">
        <v>150</v>
      </c>
      <c r="D106" t="s">
        <v>179</v>
      </c>
      <c r="E106" t="s">
        <v>11</v>
      </c>
      <c r="F106">
        <v>1</v>
      </c>
      <c r="G106" t="s">
        <v>18</v>
      </c>
    </row>
    <row r="107" spans="1:7" x14ac:dyDescent="0.25">
      <c r="A107">
        <v>6</v>
      </c>
      <c r="B107" t="s">
        <v>176</v>
      </c>
      <c r="C107">
        <v>160</v>
      </c>
      <c r="D107" t="s">
        <v>180</v>
      </c>
      <c r="E107" t="s">
        <v>11</v>
      </c>
      <c r="F107">
        <v>1</v>
      </c>
      <c r="G107" t="s">
        <v>18</v>
      </c>
    </row>
    <row r="108" spans="1:7" x14ac:dyDescent="0.25">
      <c r="A108">
        <v>6</v>
      </c>
      <c r="B108" t="s">
        <v>176</v>
      </c>
      <c r="C108">
        <v>170</v>
      </c>
      <c r="D108" t="s">
        <v>142</v>
      </c>
      <c r="E108" t="s">
        <v>11</v>
      </c>
      <c r="F108">
        <v>6.7560000000000002</v>
      </c>
      <c r="G108" t="s">
        <v>15</v>
      </c>
    </row>
    <row r="109" spans="1:7" x14ac:dyDescent="0.25">
      <c r="A109">
        <v>6</v>
      </c>
      <c r="B109" t="s">
        <v>176</v>
      </c>
      <c r="C109">
        <v>180</v>
      </c>
      <c r="D109" t="s">
        <v>181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182</v>
      </c>
      <c r="C110">
        <v>10</v>
      </c>
      <c r="D110" t="s">
        <v>183</v>
      </c>
      <c r="E110" t="s">
        <v>11</v>
      </c>
      <c r="F110">
        <v>1</v>
      </c>
      <c r="G110" t="s">
        <v>18</v>
      </c>
    </row>
    <row r="111" spans="1:7" x14ac:dyDescent="0.25">
      <c r="A111">
        <v>7</v>
      </c>
      <c r="B111" t="s">
        <v>182</v>
      </c>
      <c r="C111">
        <v>20</v>
      </c>
      <c r="D111" t="s">
        <v>118</v>
      </c>
      <c r="E111" t="s">
        <v>14</v>
      </c>
      <c r="F111">
        <v>4.2300000000000004</v>
      </c>
      <c r="G111" t="s">
        <v>15</v>
      </c>
    </row>
    <row r="112" spans="1:7" x14ac:dyDescent="0.25">
      <c r="A112">
        <v>7</v>
      </c>
      <c r="B112" t="s">
        <v>182</v>
      </c>
      <c r="C112">
        <v>30</v>
      </c>
      <c r="D112" t="s">
        <v>102</v>
      </c>
      <c r="E112" t="s">
        <v>103</v>
      </c>
      <c r="F112">
        <v>1.1140000000000001</v>
      </c>
      <c r="G112" t="s">
        <v>15</v>
      </c>
    </row>
    <row r="113" spans="1:7" x14ac:dyDescent="0.25">
      <c r="A113">
        <v>7</v>
      </c>
      <c r="B113" t="s">
        <v>182</v>
      </c>
      <c r="C113">
        <v>40</v>
      </c>
      <c r="D113" t="s">
        <v>146</v>
      </c>
      <c r="E113" t="s">
        <v>11</v>
      </c>
      <c r="F113">
        <v>1.6259999999999999</v>
      </c>
      <c r="G113" t="s">
        <v>18</v>
      </c>
    </row>
    <row r="114" spans="1:7" x14ac:dyDescent="0.25">
      <c r="A114">
        <v>7</v>
      </c>
      <c r="B114" t="s">
        <v>182</v>
      </c>
      <c r="C114">
        <v>50</v>
      </c>
      <c r="D114" t="s">
        <v>139</v>
      </c>
      <c r="E114" t="s">
        <v>17</v>
      </c>
      <c r="F114">
        <v>1.6259999999999999</v>
      </c>
      <c r="G114" t="s">
        <v>18</v>
      </c>
    </row>
    <row r="115" spans="1:7" x14ac:dyDescent="0.25">
      <c r="A115">
        <v>7</v>
      </c>
      <c r="B115" t="s">
        <v>182</v>
      </c>
      <c r="C115">
        <v>60</v>
      </c>
      <c r="D115" t="s">
        <v>184</v>
      </c>
      <c r="E115" t="s">
        <v>11</v>
      </c>
      <c r="F115">
        <v>1</v>
      </c>
      <c r="G115" t="s">
        <v>18</v>
      </c>
    </row>
    <row r="116" spans="1:7" x14ac:dyDescent="0.25">
      <c r="A116">
        <v>7</v>
      </c>
      <c r="B116" t="s">
        <v>182</v>
      </c>
      <c r="C116">
        <v>70</v>
      </c>
      <c r="D116" t="s">
        <v>148</v>
      </c>
      <c r="E116" t="s">
        <v>17</v>
      </c>
      <c r="F116">
        <v>21.184000000000001</v>
      </c>
      <c r="G116" t="s">
        <v>15</v>
      </c>
    </row>
    <row r="117" spans="1:7" x14ac:dyDescent="0.25">
      <c r="A117">
        <v>7</v>
      </c>
      <c r="B117" t="s">
        <v>182</v>
      </c>
      <c r="C117">
        <v>80</v>
      </c>
      <c r="D117" t="s">
        <v>20</v>
      </c>
      <c r="E117" t="s">
        <v>17</v>
      </c>
      <c r="F117">
        <v>173.70599999999999</v>
      </c>
      <c r="G117" t="s">
        <v>15</v>
      </c>
    </row>
    <row r="118" spans="1:7" x14ac:dyDescent="0.25">
      <c r="A118">
        <v>7</v>
      </c>
      <c r="B118" t="s">
        <v>182</v>
      </c>
      <c r="C118">
        <v>90</v>
      </c>
      <c r="D118" t="s">
        <v>24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182</v>
      </c>
      <c r="C119">
        <v>100</v>
      </c>
      <c r="D119" t="s">
        <v>141</v>
      </c>
      <c r="E119" t="s">
        <v>14</v>
      </c>
      <c r="F119">
        <v>0.13300000000000001</v>
      </c>
      <c r="G119" t="s">
        <v>15</v>
      </c>
    </row>
    <row r="120" spans="1:7" x14ac:dyDescent="0.25">
      <c r="A120">
        <v>7</v>
      </c>
      <c r="B120" t="s">
        <v>182</v>
      </c>
      <c r="C120">
        <v>110</v>
      </c>
      <c r="D120" t="s">
        <v>140</v>
      </c>
      <c r="E120" t="s">
        <v>11</v>
      </c>
      <c r="F120">
        <v>4</v>
      </c>
      <c r="G120" t="s">
        <v>15</v>
      </c>
    </row>
    <row r="121" spans="1:7" x14ac:dyDescent="0.25">
      <c r="A121">
        <v>7</v>
      </c>
      <c r="B121" t="s">
        <v>182</v>
      </c>
      <c r="C121">
        <v>120</v>
      </c>
      <c r="D121" t="s">
        <v>25</v>
      </c>
      <c r="E121" t="s">
        <v>11</v>
      </c>
      <c r="F121">
        <v>1</v>
      </c>
      <c r="G121" t="s">
        <v>15</v>
      </c>
    </row>
    <row r="122" spans="1:7" x14ac:dyDescent="0.25">
      <c r="A122">
        <v>7</v>
      </c>
      <c r="B122" t="s">
        <v>182</v>
      </c>
      <c r="C122">
        <v>130</v>
      </c>
      <c r="D122" t="s">
        <v>26</v>
      </c>
      <c r="E122" t="s">
        <v>11</v>
      </c>
      <c r="F122">
        <v>1</v>
      </c>
      <c r="G122" t="s">
        <v>15</v>
      </c>
    </row>
    <row r="123" spans="1:7" x14ac:dyDescent="0.25">
      <c r="A123">
        <v>7</v>
      </c>
      <c r="B123" t="s">
        <v>182</v>
      </c>
      <c r="C123">
        <v>140</v>
      </c>
      <c r="D123" t="s">
        <v>100</v>
      </c>
      <c r="E123" t="s">
        <v>14</v>
      </c>
      <c r="F123">
        <v>0.98599999999999999</v>
      </c>
      <c r="G123" t="s">
        <v>15</v>
      </c>
    </row>
    <row r="124" spans="1:7" x14ac:dyDescent="0.25">
      <c r="A124">
        <v>7</v>
      </c>
      <c r="B124" t="s">
        <v>182</v>
      </c>
      <c r="C124">
        <v>150</v>
      </c>
      <c r="D124" t="s">
        <v>185</v>
      </c>
      <c r="E124" t="s">
        <v>11</v>
      </c>
      <c r="F124">
        <v>1</v>
      </c>
      <c r="G124" t="s">
        <v>18</v>
      </c>
    </row>
    <row r="125" spans="1:7" x14ac:dyDescent="0.25">
      <c r="A125">
        <v>7</v>
      </c>
      <c r="B125" t="s">
        <v>182</v>
      </c>
      <c r="C125">
        <v>160</v>
      </c>
      <c r="D125" t="s">
        <v>186</v>
      </c>
      <c r="E125" t="s">
        <v>11</v>
      </c>
      <c r="F125">
        <v>1</v>
      </c>
      <c r="G125" t="s">
        <v>18</v>
      </c>
    </row>
    <row r="126" spans="1:7" x14ac:dyDescent="0.25">
      <c r="A126">
        <v>7</v>
      </c>
      <c r="B126" t="s">
        <v>182</v>
      </c>
      <c r="C126">
        <v>170</v>
      </c>
      <c r="D126" t="s">
        <v>142</v>
      </c>
      <c r="E126" t="s">
        <v>11</v>
      </c>
      <c r="F126">
        <v>7.0609999999999999</v>
      </c>
      <c r="G126" t="s">
        <v>15</v>
      </c>
    </row>
    <row r="127" spans="1:7" x14ac:dyDescent="0.25">
      <c r="A127">
        <v>7</v>
      </c>
      <c r="B127" t="s">
        <v>182</v>
      </c>
      <c r="C127">
        <v>180</v>
      </c>
      <c r="D127" t="s">
        <v>187</v>
      </c>
      <c r="E127" t="s">
        <v>11</v>
      </c>
      <c r="F127">
        <v>1</v>
      </c>
      <c r="G127" t="s">
        <v>18</v>
      </c>
    </row>
    <row r="128" spans="1:7" x14ac:dyDescent="0.25">
      <c r="A128">
        <v>8</v>
      </c>
      <c r="B128" t="s">
        <v>188</v>
      </c>
      <c r="C128">
        <v>10</v>
      </c>
      <c r="D128" t="s">
        <v>189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188</v>
      </c>
      <c r="C129">
        <v>20</v>
      </c>
      <c r="D129" t="s">
        <v>119</v>
      </c>
      <c r="E129" t="s">
        <v>14</v>
      </c>
      <c r="F129">
        <v>4.6180000000000003</v>
      </c>
      <c r="G129" t="s">
        <v>15</v>
      </c>
    </row>
    <row r="130" spans="1:7" x14ac:dyDescent="0.25">
      <c r="A130">
        <v>8</v>
      </c>
      <c r="B130" t="s">
        <v>188</v>
      </c>
      <c r="C130">
        <v>30</v>
      </c>
      <c r="D130" t="s">
        <v>102</v>
      </c>
      <c r="E130" t="s">
        <v>103</v>
      </c>
      <c r="F130">
        <v>1.222</v>
      </c>
      <c r="G130" t="s">
        <v>15</v>
      </c>
    </row>
    <row r="131" spans="1:7" x14ac:dyDescent="0.25">
      <c r="A131">
        <v>8</v>
      </c>
      <c r="B131" t="s">
        <v>188</v>
      </c>
      <c r="C131">
        <v>40</v>
      </c>
      <c r="D131" t="s">
        <v>146</v>
      </c>
      <c r="E131" t="s">
        <v>11</v>
      </c>
      <c r="F131">
        <v>1.778</v>
      </c>
      <c r="G131" t="s">
        <v>18</v>
      </c>
    </row>
    <row r="132" spans="1:7" x14ac:dyDescent="0.25">
      <c r="A132">
        <v>8</v>
      </c>
      <c r="B132" t="s">
        <v>188</v>
      </c>
      <c r="C132">
        <v>50</v>
      </c>
      <c r="D132" t="s">
        <v>139</v>
      </c>
      <c r="E132" t="s">
        <v>17</v>
      </c>
      <c r="F132">
        <v>1.778</v>
      </c>
      <c r="G132" t="s">
        <v>18</v>
      </c>
    </row>
    <row r="133" spans="1:7" x14ac:dyDescent="0.25">
      <c r="A133">
        <v>8</v>
      </c>
      <c r="B133" t="s">
        <v>188</v>
      </c>
      <c r="C133">
        <v>60</v>
      </c>
      <c r="D133" t="s">
        <v>190</v>
      </c>
      <c r="E133" t="s">
        <v>11</v>
      </c>
      <c r="F133">
        <v>1</v>
      </c>
      <c r="G133" t="s">
        <v>18</v>
      </c>
    </row>
    <row r="134" spans="1:7" x14ac:dyDescent="0.25">
      <c r="A134">
        <v>8</v>
      </c>
      <c r="B134" t="s">
        <v>188</v>
      </c>
      <c r="C134">
        <v>70</v>
      </c>
      <c r="D134" t="s">
        <v>148</v>
      </c>
      <c r="E134" t="s">
        <v>17</v>
      </c>
      <c r="F134">
        <v>22.097999999999999</v>
      </c>
      <c r="G134" t="s">
        <v>15</v>
      </c>
    </row>
    <row r="135" spans="1:7" x14ac:dyDescent="0.25">
      <c r="A135">
        <v>8</v>
      </c>
      <c r="B135" t="s">
        <v>188</v>
      </c>
      <c r="C135">
        <v>80</v>
      </c>
      <c r="D135" t="s">
        <v>20</v>
      </c>
      <c r="E135" t="s">
        <v>17</v>
      </c>
      <c r="F135">
        <v>181.20400000000001</v>
      </c>
      <c r="G135" t="s">
        <v>15</v>
      </c>
    </row>
    <row r="136" spans="1:7" x14ac:dyDescent="0.25">
      <c r="A136">
        <v>8</v>
      </c>
      <c r="B136" t="s">
        <v>188</v>
      </c>
      <c r="C136">
        <v>90</v>
      </c>
      <c r="D136" t="s">
        <v>24</v>
      </c>
      <c r="E136" t="s">
        <v>11</v>
      </c>
      <c r="F136">
        <v>1</v>
      </c>
      <c r="G136" t="s">
        <v>15</v>
      </c>
    </row>
    <row r="137" spans="1:7" x14ac:dyDescent="0.25">
      <c r="A137">
        <v>8</v>
      </c>
      <c r="B137" t="s">
        <v>188</v>
      </c>
      <c r="C137">
        <v>100</v>
      </c>
      <c r="D137" t="s">
        <v>141</v>
      </c>
      <c r="E137" t="s">
        <v>14</v>
      </c>
      <c r="F137">
        <v>0.14299999999999999</v>
      </c>
      <c r="G137" t="s">
        <v>15</v>
      </c>
    </row>
    <row r="138" spans="1:7" x14ac:dyDescent="0.25">
      <c r="A138">
        <v>8</v>
      </c>
      <c r="B138" t="s">
        <v>188</v>
      </c>
      <c r="C138">
        <v>110</v>
      </c>
      <c r="D138" t="s">
        <v>140</v>
      </c>
      <c r="E138" t="s">
        <v>11</v>
      </c>
      <c r="F138">
        <v>4</v>
      </c>
      <c r="G138" t="s">
        <v>15</v>
      </c>
    </row>
    <row r="139" spans="1:7" x14ac:dyDescent="0.25">
      <c r="A139">
        <v>8</v>
      </c>
      <c r="B139" t="s">
        <v>188</v>
      </c>
      <c r="C139">
        <v>120</v>
      </c>
      <c r="D139" t="s">
        <v>25</v>
      </c>
      <c r="E139" t="s">
        <v>11</v>
      </c>
      <c r="F139">
        <v>1</v>
      </c>
      <c r="G139" t="s">
        <v>15</v>
      </c>
    </row>
    <row r="140" spans="1:7" x14ac:dyDescent="0.25">
      <c r="A140">
        <v>8</v>
      </c>
      <c r="B140" t="s">
        <v>188</v>
      </c>
      <c r="C140">
        <v>130</v>
      </c>
      <c r="D140" t="s">
        <v>26</v>
      </c>
      <c r="E140" t="s">
        <v>11</v>
      </c>
      <c r="F140">
        <v>1</v>
      </c>
      <c r="G140" t="s">
        <v>15</v>
      </c>
    </row>
    <row r="141" spans="1:7" x14ac:dyDescent="0.25">
      <c r="A141">
        <v>8</v>
      </c>
      <c r="B141" t="s">
        <v>188</v>
      </c>
      <c r="C141">
        <v>140</v>
      </c>
      <c r="D141" t="s">
        <v>100</v>
      </c>
      <c r="E141" t="s">
        <v>14</v>
      </c>
      <c r="F141">
        <v>1.0669999999999999</v>
      </c>
      <c r="G141" t="s">
        <v>15</v>
      </c>
    </row>
    <row r="142" spans="1:7" x14ac:dyDescent="0.25">
      <c r="A142">
        <v>8</v>
      </c>
      <c r="B142" t="s">
        <v>188</v>
      </c>
      <c r="C142">
        <v>150</v>
      </c>
      <c r="D142" t="s">
        <v>191</v>
      </c>
      <c r="E142" t="s">
        <v>11</v>
      </c>
      <c r="F142">
        <v>1</v>
      </c>
      <c r="G142" t="s">
        <v>18</v>
      </c>
    </row>
    <row r="143" spans="1:7" x14ac:dyDescent="0.25">
      <c r="A143">
        <v>8</v>
      </c>
      <c r="B143" t="s">
        <v>188</v>
      </c>
      <c r="C143">
        <v>160</v>
      </c>
      <c r="D143" t="s">
        <v>192</v>
      </c>
      <c r="E143" t="s">
        <v>11</v>
      </c>
      <c r="F143">
        <v>1</v>
      </c>
      <c r="G143" t="s">
        <v>18</v>
      </c>
    </row>
    <row r="144" spans="1:7" x14ac:dyDescent="0.25">
      <c r="A144">
        <v>8</v>
      </c>
      <c r="B144" t="s">
        <v>188</v>
      </c>
      <c r="C144">
        <v>170</v>
      </c>
      <c r="D144" t="s">
        <v>142</v>
      </c>
      <c r="E144" t="s">
        <v>11</v>
      </c>
      <c r="F144">
        <v>7.3659999999999997</v>
      </c>
      <c r="G144" t="s">
        <v>15</v>
      </c>
    </row>
    <row r="145" spans="1:7" x14ac:dyDescent="0.25">
      <c r="A145">
        <v>8</v>
      </c>
      <c r="B145" t="s">
        <v>188</v>
      </c>
      <c r="C145">
        <v>180</v>
      </c>
      <c r="D145" t="s">
        <v>193</v>
      </c>
      <c r="E145" t="s">
        <v>11</v>
      </c>
      <c r="F145">
        <v>1</v>
      </c>
      <c r="G145" t="s">
        <v>18</v>
      </c>
    </row>
    <row r="146" spans="1:7" x14ac:dyDescent="0.25">
      <c r="A146">
        <v>9</v>
      </c>
      <c r="B146" t="s">
        <v>194</v>
      </c>
      <c r="C146">
        <v>10</v>
      </c>
      <c r="D146" t="s">
        <v>195</v>
      </c>
      <c r="E146" t="s">
        <v>11</v>
      </c>
      <c r="F146">
        <v>1</v>
      </c>
      <c r="G146" t="s">
        <v>18</v>
      </c>
    </row>
    <row r="147" spans="1:7" x14ac:dyDescent="0.25">
      <c r="A147">
        <v>9</v>
      </c>
      <c r="B147" t="s">
        <v>194</v>
      </c>
      <c r="C147">
        <v>20</v>
      </c>
      <c r="D147" t="s">
        <v>120</v>
      </c>
      <c r="E147" t="s">
        <v>14</v>
      </c>
      <c r="F147">
        <v>2.3889999999999998</v>
      </c>
      <c r="G147" t="s">
        <v>15</v>
      </c>
    </row>
    <row r="148" spans="1:7" x14ac:dyDescent="0.25">
      <c r="A148">
        <v>9</v>
      </c>
      <c r="B148" t="s">
        <v>194</v>
      </c>
      <c r="C148">
        <v>30</v>
      </c>
      <c r="D148" t="s">
        <v>102</v>
      </c>
      <c r="E148" t="s">
        <v>103</v>
      </c>
      <c r="F148">
        <v>0.59899999999999998</v>
      </c>
      <c r="G148" t="s">
        <v>15</v>
      </c>
    </row>
    <row r="149" spans="1:7" x14ac:dyDescent="0.25">
      <c r="A149">
        <v>9</v>
      </c>
      <c r="B149" t="s">
        <v>194</v>
      </c>
      <c r="C149">
        <v>40</v>
      </c>
      <c r="D149" t="s">
        <v>146</v>
      </c>
      <c r="E149" t="s">
        <v>11</v>
      </c>
      <c r="F149">
        <v>0.86399999999999999</v>
      </c>
      <c r="G149" t="s">
        <v>18</v>
      </c>
    </row>
    <row r="150" spans="1:7" x14ac:dyDescent="0.25">
      <c r="A150">
        <v>9</v>
      </c>
      <c r="B150" t="s">
        <v>194</v>
      </c>
      <c r="C150">
        <v>50</v>
      </c>
      <c r="D150" t="s">
        <v>139</v>
      </c>
      <c r="E150" t="s">
        <v>17</v>
      </c>
      <c r="F150">
        <v>0.86399999999999999</v>
      </c>
      <c r="G150" t="s">
        <v>18</v>
      </c>
    </row>
    <row r="151" spans="1:7" x14ac:dyDescent="0.25">
      <c r="A151">
        <v>9</v>
      </c>
      <c r="B151" t="s">
        <v>194</v>
      </c>
      <c r="C151">
        <v>60</v>
      </c>
      <c r="D151" t="s">
        <v>196</v>
      </c>
      <c r="E151" t="s">
        <v>11</v>
      </c>
      <c r="F151">
        <v>1</v>
      </c>
      <c r="G151" t="s">
        <v>18</v>
      </c>
    </row>
    <row r="152" spans="1:7" x14ac:dyDescent="0.25">
      <c r="A152">
        <v>9</v>
      </c>
      <c r="B152" t="s">
        <v>194</v>
      </c>
      <c r="C152">
        <v>70</v>
      </c>
      <c r="D152" t="s">
        <v>148</v>
      </c>
      <c r="E152" t="s">
        <v>17</v>
      </c>
      <c r="F152">
        <v>17.068999999999999</v>
      </c>
      <c r="G152" t="s">
        <v>15</v>
      </c>
    </row>
    <row r="153" spans="1:7" x14ac:dyDescent="0.25">
      <c r="A153">
        <v>9</v>
      </c>
      <c r="B153" t="s">
        <v>194</v>
      </c>
      <c r="C153">
        <v>80</v>
      </c>
      <c r="D153" t="s">
        <v>20</v>
      </c>
      <c r="E153" t="s">
        <v>17</v>
      </c>
      <c r="F153">
        <v>139.964</v>
      </c>
      <c r="G153" t="s">
        <v>15</v>
      </c>
    </row>
    <row r="154" spans="1:7" x14ac:dyDescent="0.25">
      <c r="A154">
        <v>9</v>
      </c>
      <c r="B154" t="s">
        <v>194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9</v>
      </c>
      <c r="B155" t="s">
        <v>194</v>
      </c>
      <c r="C155">
        <v>100</v>
      </c>
      <c r="D155" t="s">
        <v>141</v>
      </c>
      <c r="E155" t="s">
        <v>14</v>
      </c>
      <c r="F155">
        <v>8.1000000000000003E-2</v>
      </c>
      <c r="G155" t="s">
        <v>15</v>
      </c>
    </row>
    <row r="156" spans="1:7" x14ac:dyDescent="0.25">
      <c r="A156">
        <v>9</v>
      </c>
      <c r="B156" t="s">
        <v>194</v>
      </c>
      <c r="C156">
        <v>110</v>
      </c>
      <c r="D156" t="s">
        <v>140</v>
      </c>
      <c r="E156" t="s">
        <v>11</v>
      </c>
      <c r="F156">
        <v>4</v>
      </c>
      <c r="G156" t="s">
        <v>15</v>
      </c>
    </row>
    <row r="157" spans="1:7" x14ac:dyDescent="0.25">
      <c r="A157">
        <v>9</v>
      </c>
      <c r="B157" t="s">
        <v>194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9</v>
      </c>
      <c r="B158" t="s">
        <v>194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9</v>
      </c>
      <c r="B159" t="s">
        <v>194</v>
      </c>
      <c r="C159">
        <v>140</v>
      </c>
      <c r="D159" t="s">
        <v>100</v>
      </c>
      <c r="E159" t="s">
        <v>14</v>
      </c>
      <c r="F159">
        <v>0.58099999999999996</v>
      </c>
      <c r="G159" t="s">
        <v>15</v>
      </c>
    </row>
    <row r="160" spans="1:7" x14ac:dyDescent="0.25">
      <c r="A160">
        <v>9</v>
      </c>
      <c r="B160" t="s">
        <v>194</v>
      </c>
      <c r="C160">
        <v>150</v>
      </c>
      <c r="D160" t="s">
        <v>197</v>
      </c>
      <c r="E160" t="s">
        <v>11</v>
      </c>
      <c r="F160">
        <v>1</v>
      </c>
      <c r="G160" t="s">
        <v>18</v>
      </c>
    </row>
    <row r="161" spans="1:7" x14ac:dyDescent="0.25">
      <c r="A161">
        <v>9</v>
      </c>
      <c r="B161" t="s">
        <v>194</v>
      </c>
      <c r="C161">
        <v>160</v>
      </c>
      <c r="D161" t="s">
        <v>198</v>
      </c>
      <c r="E161" t="s">
        <v>11</v>
      </c>
      <c r="F161">
        <v>1</v>
      </c>
      <c r="G161" t="s">
        <v>18</v>
      </c>
    </row>
    <row r="162" spans="1:7" x14ac:dyDescent="0.25">
      <c r="A162">
        <v>9</v>
      </c>
      <c r="B162" t="s">
        <v>194</v>
      </c>
      <c r="C162">
        <v>170</v>
      </c>
      <c r="D162" t="s">
        <v>142</v>
      </c>
      <c r="E162" t="s">
        <v>11</v>
      </c>
      <c r="F162">
        <v>5.69</v>
      </c>
      <c r="G162" t="s">
        <v>15</v>
      </c>
    </row>
    <row r="163" spans="1:7" x14ac:dyDescent="0.25">
      <c r="A163">
        <v>9</v>
      </c>
      <c r="B163" t="s">
        <v>194</v>
      </c>
      <c r="C163">
        <v>180</v>
      </c>
      <c r="D163" t="s">
        <v>199</v>
      </c>
      <c r="E163" t="s">
        <v>11</v>
      </c>
      <c r="F163">
        <v>1</v>
      </c>
      <c r="G163" t="s">
        <v>18</v>
      </c>
    </row>
    <row r="164" spans="1:7" x14ac:dyDescent="0.25">
      <c r="A164">
        <v>10</v>
      </c>
      <c r="B164" t="s">
        <v>200</v>
      </c>
      <c r="C164">
        <v>10</v>
      </c>
      <c r="D164" t="s">
        <v>201</v>
      </c>
      <c r="E164" t="s">
        <v>11</v>
      </c>
      <c r="F164">
        <v>1</v>
      </c>
      <c r="G164" t="s">
        <v>18</v>
      </c>
    </row>
    <row r="165" spans="1:7" x14ac:dyDescent="0.25">
      <c r="A165">
        <v>10</v>
      </c>
      <c r="B165" t="s">
        <v>200</v>
      </c>
      <c r="C165">
        <v>20</v>
      </c>
      <c r="D165" t="s">
        <v>121</v>
      </c>
      <c r="E165" t="s">
        <v>14</v>
      </c>
      <c r="F165">
        <v>2.7930000000000001</v>
      </c>
      <c r="G165" t="s">
        <v>15</v>
      </c>
    </row>
    <row r="166" spans="1:7" x14ac:dyDescent="0.25">
      <c r="A166">
        <v>10</v>
      </c>
      <c r="B166" t="s">
        <v>200</v>
      </c>
      <c r="C166">
        <v>30</v>
      </c>
      <c r="D166" t="s">
        <v>102</v>
      </c>
      <c r="E166" t="s">
        <v>103</v>
      </c>
      <c r="F166">
        <v>0.71199999999999997</v>
      </c>
      <c r="G166" t="s">
        <v>15</v>
      </c>
    </row>
    <row r="167" spans="1:7" x14ac:dyDescent="0.25">
      <c r="A167">
        <v>10</v>
      </c>
      <c r="B167" t="s">
        <v>200</v>
      </c>
      <c r="C167">
        <v>40</v>
      </c>
      <c r="D167" t="s">
        <v>146</v>
      </c>
      <c r="E167" t="s">
        <v>11</v>
      </c>
      <c r="F167">
        <v>1.016</v>
      </c>
      <c r="G167" t="s">
        <v>18</v>
      </c>
    </row>
    <row r="168" spans="1:7" x14ac:dyDescent="0.25">
      <c r="A168">
        <v>10</v>
      </c>
      <c r="B168" t="s">
        <v>200</v>
      </c>
      <c r="C168">
        <v>50</v>
      </c>
      <c r="D168" t="s">
        <v>139</v>
      </c>
      <c r="E168" t="s">
        <v>17</v>
      </c>
      <c r="F168">
        <v>1.016</v>
      </c>
      <c r="G168" t="s">
        <v>18</v>
      </c>
    </row>
    <row r="169" spans="1:7" x14ac:dyDescent="0.25">
      <c r="A169">
        <v>10</v>
      </c>
      <c r="B169" t="s">
        <v>200</v>
      </c>
      <c r="C169">
        <v>60</v>
      </c>
      <c r="D169" t="s">
        <v>202</v>
      </c>
      <c r="E169" t="s">
        <v>11</v>
      </c>
      <c r="F169">
        <v>1</v>
      </c>
      <c r="G169" t="s">
        <v>18</v>
      </c>
    </row>
    <row r="170" spans="1:7" x14ac:dyDescent="0.25">
      <c r="A170">
        <v>10</v>
      </c>
      <c r="B170" t="s">
        <v>200</v>
      </c>
      <c r="C170">
        <v>70</v>
      </c>
      <c r="D170" t="s">
        <v>148</v>
      </c>
      <c r="E170" t="s">
        <v>17</v>
      </c>
      <c r="F170">
        <v>17.983000000000001</v>
      </c>
      <c r="G170" t="s">
        <v>15</v>
      </c>
    </row>
    <row r="171" spans="1:7" x14ac:dyDescent="0.25">
      <c r="A171">
        <v>10</v>
      </c>
      <c r="B171" t="s">
        <v>200</v>
      </c>
      <c r="C171">
        <v>80</v>
      </c>
      <c r="D171" t="s">
        <v>20</v>
      </c>
      <c r="E171" t="s">
        <v>17</v>
      </c>
      <c r="F171">
        <v>147.46199999999999</v>
      </c>
      <c r="G171" t="s">
        <v>15</v>
      </c>
    </row>
    <row r="172" spans="1:7" x14ac:dyDescent="0.25">
      <c r="A172">
        <v>10</v>
      </c>
      <c r="B172" t="s">
        <v>200</v>
      </c>
      <c r="C172">
        <v>90</v>
      </c>
      <c r="D172" t="s">
        <v>24</v>
      </c>
      <c r="E172" t="s">
        <v>11</v>
      </c>
      <c r="F172">
        <v>1</v>
      </c>
      <c r="G172" t="s">
        <v>15</v>
      </c>
    </row>
    <row r="173" spans="1:7" x14ac:dyDescent="0.25">
      <c r="A173">
        <v>10</v>
      </c>
      <c r="B173" t="s">
        <v>200</v>
      </c>
      <c r="C173">
        <v>100</v>
      </c>
      <c r="D173" t="s">
        <v>141</v>
      </c>
      <c r="E173" t="s">
        <v>14</v>
      </c>
      <c r="F173">
        <v>9.1999999999999998E-2</v>
      </c>
      <c r="G173" t="s">
        <v>15</v>
      </c>
    </row>
    <row r="174" spans="1:7" x14ac:dyDescent="0.25">
      <c r="A174">
        <v>10</v>
      </c>
      <c r="B174" t="s">
        <v>200</v>
      </c>
      <c r="C174">
        <v>110</v>
      </c>
      <c r="D174" t="s">
        <v>140</v>
      </c>
      <c r="E174" t="s">
        <v>11</v>
      </c>
      <c r="F174">
        <v>4</v>
      </c>
      <c r="G174" t="s">
        <v>15</v>
      </c>
    </row>
    <row r="175" spans="1:7" x14ac:dyDescent="0.25">
      <c r="A175">
        <v>10</v>
      </c>
      <c r="B175" t="s">
        <v>200</v>
      </c>
      <c r="C175">
        <v>120</v>
      </c>
      <c r="D175" t="s">
        <v>25</v>
      </c>
      <c r="E175" t="s">
        <v>11</v>
      </c>
      <c r="F175">
        <v>1</v>
      </c>
      <c r="G175" t="s">
        <v>15</v>
      </c>
    </row>
    <row r="176" spans="1:7" x14ac:dyDescent="0.25">
      <c r="A176">
        <v>10</v>
      </c>
      <c r="B176" t="s">
        <v>200</v>
      </c>
      <c r="C176">
        <v>130</v>
      </c>
      <c r="D176" t="s">
        <v>26</v>
      </c>
      <c r="E176" t="s">
        <v>11</v>
      </c>
      <c r="F176">
        <v>1</v>
      </c>
      <c r="G176" t="s">
        <v>15</v>
      </c>
    </row>
    <row r="177" spans="1:7" x14ac:dyDescent="0.25">
      <c r="A177">
        <v>10</v>
      </c>
      <c r="B177" t="s">
        <v>200</v>
      </c>
      <c r="C177">
        <v>140</v>
      </c>
      <c r="D177" t="s">
        <v>100</v>
      </c>
      <c r="E177" t="s">
        <v>14</v>
      </c>
      <c r="F177">
        <v>0.66200000000000003</v>
      </c>
      <c r="G177" t="s">
        <v>15</v>
      </c>
    </row>
    <row r="178" spans="1:7" x14ac:dyDescent="0.25">
      <c r="A178">
        <v>10</v>
      </c>
      <c r="B178" t="s">
        <v>200</v>
      </c>
      <c r="C178">
        <v>150</v>
      </c>
      <c r="D178" t="s">
        <v>203</v>
      </c>
      <c r="E178" t="s">
        <v>11</v>
      </c>
      <c r="F178">
        <v>1</v>
      </c>
      <c r="G178" t="s">
        <v>18</v>
      </c>
    </row>
    <row r="179" spans="1:7" x14ac:dyDescent="0.25">
      <c r="A179">
        <v>10</v>
      </c>
      <c r="B179" t="s">
        <v>200</v>
      </c>
      <c r="C179">
        <v>160</v>
      </c>
      <c r="D179" t="s">
        <v>204</v>
      </c>
      <c r="E179" t="s">
        <v>11</v>
      </c>
      <c r="F179">
        <v>1</v>
      </c>
      <c r="G179" t="s">
        <v>18</v>
      </c>
    </row>
    <row r="180" spans="1:7" x14ac:dyDescent="0.25">
      <c r="A180">
        <v>10</v>
      </c>
      <c r="B180" t="s">
        <v>200</v>
      </c>
      <c r="C180">
        <v>170</v>
      </c>
      <c r="D180" t="s">
        <v>142</v>
      </c>
      <c r="E180" t="s">
        <v>11</v>
      </c>
      <c r="F180">
        <v>5.9939999999999998</v>
      </c>
      <c r="G180" t="s">
        <v>15</v>
      </c>
    </row>
    <row r="181" spans="1:7" x14ac:dyDescent="0.25">
      <c r="A181">
        <v>10</v>
      </c>
      <c r="B181" t="s">
        <v>200</v>
      </c>
      <c r="C181">
        <v>180</v>
      </c>
      <c r="D181" t="s">
        <v>205</v>
      </c>
      <c r="E181" t="s">
        <v>11</v>
      </c>
      <c r="F181">
        <v>1</v>
      </c>
      <c r="G181" t="s">
        <v>18</v>
      </c>
    </row>
    <row r="182" spans="1:7" x14ac:dyDescent="0.25">
      <c r="A182">
        <v>11</v>
      </c>
      <c r="B182" t="s">
        <v>206</v>
      </c>
      <c r="C182">
        <v>10</v>
      </c>
      <c r="D182" t="s">
        <v>207</v>
      </c>
      <c r="E182" t="s">
        <v>11</v>
      </c>
      <c r="F182">
        <v>1</v>
      </c>
      <c r="G182" t="s">
        <v>18</v>
      </c>
    </row>
    <row r="183" spans="1:7" x14ac:dyDescent="0.25">
      <c r="A183">
        <v>11</v>
      </c>
      <c r="B183" t="s">
        <v>206</v>
      </c>
      <c r="C183">
        <v>20</v>
      </c>
      <c r="D183" t="s">
        <v>122</v>
      </c>
      <c r="E183" t="s">
        <v>14</v>
      </c>
      <c r="F183">
        <v>3.1960000000000002</v>
      </c>
      <c r="G183" t="s">
        <v>15</v>
      </c>
    </row>
    <row r="184" spans="1:7" x14ac:dyDescent="0.25">
      <c r="A184">
        <v>11</v>
      </c>
      <c r="B184" t="s">
        <v>206</v>
      </c>
      <c r="C184">
        <v>30</v>
      </c>
      <c r="D184" t="s">
        <v>102</v>
      </c>
      <c r="E184" t="s">
        <v>103</v>
      </c>
      <c r="F184">
        <v>0.82399999999999995</v>
      </c>
      <c r="G184" t="s">
        <v>15</v>
      </c>
    </row>
    <row r="185" spans="1:7" x14ac:dyDescent="0.25">
      <c r="A185">
        <v>11</v>
      </c>
      <c r="B185" t="s">
        <v>206</v>
      </c>
      <c r="C185">
        <v>40</v>
      </c>
      <c r="D185" t="s">
        <v>146</v>
      </c>
      <c r="E185" t="s">
        <v>11</v>
      </c>
      <c r="F185">
        <v>1.1679999999999999</v>
      </c>
      <c r="G185" t="s">
        <v>18</v>
      </c>
    </row>
    <row r="186" spans="1:7" x14ac:dyDescent="0.25">
      <c r="A186">
        <v>11</v>
      </c>
      <c r="B186" t="s">
        <v>206</v>
      </c>
      <c r="C186">
        <v>50</v>
      </c>
      <c r="D186" t="s">
        <v>139</v>
      </c>
      <c r="E186" t="s">
        <v>17</v>
      </c>
      <c r="F186">
        <v>1.1679999999999999</v>
      </c>
      <c r="G186" t="s">
        <v>18</v>
      </c>
    </row>
    <row r="187" spans="1:7" x14ac:dyDescent="0.25">
      <c r="A187">
        <v>11</v>
      </c>
      <c r="B187" t="s">
        <v>206</v>
      </c>
      <c r="C187">
        <v>60</v>
      </c>
      <c r="D187" t="s">
        <v>208</v>
      </c>
      <c r="E187" t="s">
        <v>11</v>
      </c>
      <c r="F187">
        <v>1</v>
      </c>
      <c r="G187" t="s">
        <v>18</v>
      </c>
    </row>
    <row r="188" spans="1:7" x14ac:dyDescent="0.25">
      <c r="A188">
        <v>11</v>
      </c>
      <c r="B188" t="s">
        <v>206</v>
      </c>
      <c r="C188">
        <v>70</v>
      </c>
      <c r="D188" t="s">
        <v>148</v>
      </c>
      <c r="E188" t="s">
        <v>17</v>
      </c>
      <c r="F188">
        <v>18.898</v>
      </c>
      <c r="G188" t="s">
        <v>15</v>
      </c>
    </row>
    <row r="189" spans="1:7" x14ac:dyDescent="0.25">
      <c r="A189">
        <v>11</v>
      </c>
      <c r="B189" t="s">
        <v>206</v>
      </c>
      <c r="C189">
        <v>80</v>
      </c>
      <c r="D189" t="s">
        <v>20</v>
      </c>
      <c r="E189" t="s">
        <v>17</v>
      </c>
      <c r="F189">
        <v>154.96</v>
      </c>
      <c r="G189" t="s">
        <v>15</v>
      </c>
    </row>
    <row r="190" spans="1:7" x14ac:dyDescent="0.25">
      <c r="A190">
        <v>11</v>
      </c>
      <c r="B190" t="s">
        <v>206</v>
      </c>
      <c r="C190">
        <v>90</v>
      </c>
      <c r="D190" t="s">
        <v>24</v>
      </c>
      <c r="E190" t="s">
        <v>11</v>
      </c>
      <c r="F190">
        <v>1</v>
      </c>
      <c r="G190" t="s">
        <v>15</v>
      </c>
    </row>
    <row r="191" spans="1:7" x14ac:dyDescent="0.25">
      <c r="A191">
        <v>11</v>
      </c>
      <c r="B191" t="s">
        <v>206</v>
      </c>
      <c r="C191">
        <v>100</v>
      </c>
      <c r="D191" t="s">
        <v>141</v>
      </c>
      <c r="E191" t="s">
        <v>14</v>
      </c>
      <c r="F191">
        <v>0.10199999999999999</v>
      </c>
      <c r="G191" t="s">
        <v>15</v>
      </c>
    </row>
    <row r="192" spans="1:7" x14ac:dyDescent="0.25">
      <c r="A192">
        <v>11</v>
      </c>
      <c r="B192" t="s">
        <v>206</v>
      </c>
      <c r="C192">
        <v>110</v>
      </c>
      <c r="D192" t="s">
        <v>140</v>
      </c>
      <c r="E192" t="s">
        <v>11</v>
      </c>
      <c r="F192">
        <v>4</v>
      </c>
      <c r="G192" t="s">
        <v>15</v>
      </c>
    </row>
    <row r="193" spans="1:7" x14ac:dyDescent="0.25">
      <c r="A193">
        <v>11</v>
      </c>
      <c r="B193" t="s">
        <v>206</v>
      </c>
      <c r="C193">
        <v>120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11</v>
      </c>
      <c r="B194" t="s">
        <v>206</v>
      </c>
      <c r="C194">
        <v>130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11</v>
      </c>
      <c r="B195" t="s">
        <v>206</v>
      </c>
      <c r="C195">
        <v>140</v>
      </c>
      <c r="D195" t="s">
        <v>100</v>
      </c>
      <c r="E195" t="s">
        <v>14</v>
      </c>
      <c r="F195">
        <v>0.74299999999999999</v>
      </c>
      <c r="G195" t="s">
        <v>15</v>
      </c>
    </row>
    <row r="196" spans="1:7" x14ac:dyDescent="0.25">
      <c r="A196">
        <v>11</v>
      </c>
      <c r="B196" t="s">
        <v>206</v>
      </c>
      <c r="C196">
        <v>150</v>
      </c>
      <c r="D196" t="s">
        <v>209</v>
      </c>
      <c r="E196" t="s">
        <v>11</v>
      </c>
      <c r="F196">
        <v>1</v>
      </c>
      <c r="G196" t="s">
        <v>18</v>
      </c>
    </row>
    <row r="197" spans="1:7" x14ac:dyDescent="0.25">
      <c r="A197">
        <v>11</v>
      </c>
      <c r="B197" t="s">
        <v>206</v>
      </c>
      <c r="C197">
        <v>160</v>
      </c>
      <c r="D197" t="s">
        <v>210</v>
      </c>
      <c r="E197" t="s">
        <v>11</v>
      </c>
      <c r="F197">
        <v>1</v>
      </c>
      <c r="G197" t="s">
        <v>18</v>
      </c>
    </row>
    <row r="198" spans="1:7" x14ac:dyDescent="0.25">
      <c r="A198">
        <v>11</v>
      </c>
      <c r="B198" t="s">
        <v>206</v>
      </c>
      <c r="C198">
        <v>170</v>
      </c>
      <c r="D198" t="s">
        <v>142</v>
      </c>
      <c r="E198" t="s">
        <v>11</v>
      </c>
      <c r="F198">
        <v>6.2990000000000004</v>
      </c>
      <c r="G198" t="s">
        <v>15</v>
      </c>
    </row>
    <row r="199" spans="1:7" x14ac:dyDescent="0.25">
      <c r="A199">
        <v>11</v>
      </c>
      <c r="B199" t="s">
        <v>206</v>
      </c>
      <c r="C199">
        <v>180</v>
      </c>
      <c r="D199" t="s">
        <v>211</v>
      </c>
      <c r="E199" t="s">
        <v>11</v>
      </c>
      <c r="F199">
        <v>1</v>
      </c>
      <c r="G199" t="s">
        <v>18</v>
      </c>
    </row>
    <row r="200" spans="1:7" x14ac:dyDescent="0.25">
      <c r="A200">
        <v>12</v>
      </c>
      <c r="B200" t="s">
        <v>212</v>
      </c>
      <c r="C200">
        <v>10</v>
      </c>
      <c r="D200" t="s">
        <v>213</v>
      </c>
      <c r="E200" t="s">
        <v>11</v>
      </c>
      <c r="F200">
        <v>1</v>
      </c>
      <c r="G200" t="s">
        <v>18</v>
      </c>
    </row>
    <row r="201" spans="1:7" x14ac:dyDescent="0.25">
      <c r="A201">
        <v>12</v>
      </c>
      <c r="B201" t="s">
        <v>212</v>
      </c>
      <c r="C201">
        <v>20</v>
      </c>
      <c r="D201" t="s">
        <v>123</v>
      </c>
      <c r="E201" t="s">
        <v>14</v>
      </c>
      <c r="F201">
        <v>4.0039999999999996</v>
      </c>
      <c r="G201" t="s">
        <v>15</v>
      </c>
    </row>
    <row r="202" spans="1:7" x14ac:dyDescent="0.25">
      <c r="A202">
        <v>12</v>
      </c>
      <c r="B202" t="s">
        <v>212</v>
      </c>
      <c r="C202">
        <v>30</v>
      </c>
      <c r="D202" t="s">
        <v>102</v>
      </c>
      <c r="E202" t="s">
        <v>103</v>
      </c>
      <c r="F202">
        <v>0.93700000000000006</v>
      </c>
      <c r="G202" t="s">
        <v>15</v>
      </c>
    </row>
    <row r="203" spans="1:7" x14ac:dyDescent="0.25">
      <c r="A203">
        <v>12</v>
      </c>
      <c r="B203" t="s">
        <v>212</v>
      </c>
      <c r="C203">
        <v>40</v>
      </c>
      <c r="D203" t="s">
        <v>146</v>
      </c>
      <c r="E203" t="s">
        <v>11</v>
      </c>
      <c r="F203">
        <v>1.321</v>
      </c>
      <c r="G203" t="s">
        <v>18</v>
      </c>
    </row>
    <row r="204" spans="1:7" x14ac:dyDescent="0.25">
      <c r="A204">
        <v>12</v>
      </c>
      <c r="B204" t="s">
        <v>212</v>
      </c>
      <c r="C204">
        <v>50</v>
      </c>
      <c r="D204" t="s">
        <v>139</v>
      </c>
      <c r="E204" t="s">
        <v>17</v>
      </c>
      <c r="F204">
        <v>1.321</v>
      </c>
      <c r="G204" t="s">
        <v>18</v>
      </c>
    </row>
    <row r="205" spans="1:7" x14ac:dyDescent="0.25">
      <c r="A205">
        <v>12</v>
      </c>
      <c r="B205" t="s">
        <v>212</v>
      </c>
      <c r="C205">
        <v>60</v>
      </c>
      <c r="D205" t="s">
        <v>214</v>
      </c>
      <c r="E205" t="s">
        <v>11</v>
      </c>
      <c r="F205">
        <v>1</v>
      </c>
      <c r="G205" t="s">
        <v>18</v>
      </c>
    </row>
    <row r="206" spans="1:7" x14ac:dyDescent="0.25">
      <c r="A206">
        <v>12</v>
      </c>
      <c r="B206" t="s">
        <v>212</v>
      </c>
      <c r="C206">
        <v>70</v>
      </c>
      <c r="D206" t="s">
        <v>148</v>
      </c>
      <c r="E206" t="s">
        <v>17</v>
      </c>
      <c r="F206">
        <v>19.812000000000001</v>
      </c>
      <c r="G206" t="s">
        <v>15</v>
      </c>
    </row>
    <row r="207" spans="1:7" x14ac:dyDescent="0.25">
      <c r="A207">
        <v>12</v>
      </c>
      <c r="B207" t="s">
        <v>212</v>
      </c>
      <c r="C207">
        <v>80</v>
      </c>
      <c r="D207" t="s">
        <v>20</v>
      </c>
      <c r="E207" t="s">
        <v>17</v>
      </c>
      <c r="F207">
        <v>162.458</v>
      </c>
      <c r="G207" t="s">
        <v>15</v>
      </c>
    </row>
    <row r="208" spans="1:7" x14ac:dyDescent="0.25">
      <c r="A208">
        <v>12</v>
      </c>
      <c r="B208" t="s">
        <v>212</v>
      </c>
      <c r="C208">
        <v>90</v>
      </c>
      <c r="D208" t="s">
        <v>24</v>
      </c>
      <c r="E208" t="s">
        <v>11</v>
      </c>
      <c r="F208">
        <v>1</v>
      </c>
      <c r="G208" t="s">
        <v>15</v>
      </c>
    </row>
    <row r="209" spans="1:7" x14ac:dyDescent="0.25">
      <c r="A209">
        <v>12</v>
      </c>
      <c r="B209" t="s">
        <v>212</v>
      </c>
      <c r="C209">
        <v>100</v>
      </c>
      <c r="D209" t="s">
        <v>141</v>
      </c>
      <c r="E209" t="s">
        <v>14</v>
      </c>
      <c r="F209">
        <v>0.112</v>
      </c>
      <c r="G209" t="s">
        <v>15</v>
      </c>
    </row>
    <row r="210" spans="1:7" x14ac:dyDescent="0.25">
      <c r="A210">
        <v>12</v>
      </c>
      <c r="B210" t="s">
        <v>212</v>
      </c>
      <c r="C210">
        <v>110</v>
      </c>
      <c r="D210" t="s">
        <v>140</v>
      </c>
      <c r="E210" t="s">
        <v>11</v>
      </c>
      <c r="F210">
        <v>4</v>
      </c>
      <c r="G210" t="s">
        <v>15</v>
      </c>
    </row>
    <row r="211" spans="1:7" x14ac:dyDescent="0.25">
      <c r="A211">
        <v>12</v>
      </c>
      <c r="B211" t="s">
        <v>212</v>
      </c>
      <c r="C211">
        <v>120</v>
      </c>
      <c r="D211" t="s">
        <v>25</v>
      </c>
      <c r="E211" t="s">
        <v>11</v>
      </c>
      <c r="F211">
        <v>1</v>
      </c>
      <c r="G211" t="s">
        <v>15</v>
      </c>
    </row>
    <row r="212" spans="1:7" x14ac:dyDescent="0.25">
      <c r="A212">
        <v>12</v>
      </c>
      <c r="B212" t="s">
        <v>212</v>
      </c>
      <c r="C212">
        <v>130</v>
      </c>
      <c r="D212" t="s">
        <v>26</v>
      </c>
      <c r="E212" t="s">
        <v>11</v>
      </c>
      <c r="F212">
        <v>1</v>
      </c>
      <c r="G212" t="s">
        <v>15</v>
      </c>
    </row>
    <row r="213" spans="1:7" x14ac:dyDescent="0.25">
      <c r="A213">
        <v>12</v>
      </c>
      <c r="B213" t="s">
        <v>212</v>
      </c>
      <c r="C213">
        <v>140</v>
      </c>
      <c r="D213" t="s">
        <v>100</v>
      </c>
      <c r="E213" t="s">
        <v>14</v>
      </c>
      <c r="F213">
        <v>0.82399999999999995</v>
      </c>
      <c r="G213" t="s">
        <v>15</v>
      </c>
    </row>
    <row r="214" spans="1:7" x14ac:dyDescent="0.25">
      <c r="A214">
        <v>12</v>
      </c>
      <c r="B214" t="s">
        <v>212</v>
      </c>
      <c r="C214">
        <v>150</v>
      </c>
      <c r="D214" t="s">
        <v>215</v>
      </c>
      <c r="E214" t="s">
        <v>11</v>
      </c>
      <c r="F214">
        <v>1</v>
      </c>
      <c r="G214" t="s">
        <v>18</v>
      </c>
    </row>
    <row r="215" spans="1:7" x14ac:dyDescent="0.25">
      <c r="A215">
        <v>12</v>
      </c>
      <c r="B215" t="s">
        <v>212</v>
      </c>
      <c r="C215">
        <v>160</v>
      </c>
      <c r="D215" t="s">
        <v>216</v>
      </c>
      <c r="E215" t="s">
        <v>11</v>
      </c>
      <c r="F215">
        <v>1</v>
      </c>
      <c r="G215" t="s">
        <v>18</v>
      </c>
    </row>
    <row r="216" spans="1:7" x14ac:dyDescent="0.25">
      <c r="A216">
        <v>12</v>
      </c>
      <c r="B216" t="s">
        <v>212</v>
      </c>
      <c r="C216">
        <v>170</v>
      </c>
      <c r="D216" t="s">
        <v>142</v>
      </c>
      <c r="E216" t="s">
        <v>11</v>
      </c>
      <c r="F216">
        <v>6.6040000000000001</v>
      </c>
      <c r="G216" t="s">
        <v>15</v>
      </c>
    </row>
    <row r="217" spans="1:7" x14ac:dyDescent="0.25">
      <c r="A217">
        <v>12</v>
      </c>
      <c r="B217" t="s">
        <v>212</v>
      </c>
      <c r="C217">
        <v>180</v>
      </c>
      <c r="D217" t="s">
        <v>217</v>
      </c>
      <c r="E217" t="s">
        <v>11</v>
      </c>
      <c r="F217">
        <v>1</v>
      </c>
      <c r="G217" t="s">
        <v>18</v>
      </c>
    </row>
    <row r="218" spans="1:7" x14ac:dyDescent="0.25">
      <c r="A218">
        <v>13</v>
      </c>
      <c r="B218" t="s">
        <v>218</v>
      </c>
      <c r="C218">
        <v>10</v>
      </c>
      <c r="D218" t="s">
        <v>219</v>
      </c>
      <c r="E218" t="s">
        <v>11</v>
      </c>
      <c r="F218">
        <v>1</v>
      </c>
      <c r="G218" t="s">
        <v>18</v>
      </c>
    </row>
    <row r="219" spans="1:7" x14ac:dyDescent="0.25">
      <c r="A219">
        <v>13</v>
      </c>
      <c r="B219" t="s">
        <v>218</v>
      </c>
      <c r="C219">
        <v>20</v>
      </c>
      <c r="D219" t="s">
        <v>123</v>
      </c>
      <c r="E219" t="s">
        <v>14</v>
      </c>
      <c r="F219">
        <v>4.0039999999999996</v>
      </c>
      <c r="G219" t="s">
        <v>15</v>
      </c>
    </row>
    <row r="220" spans="1:7" x14ac:dyDescent="0.25">
      <c r="A220">
        <v>13</v>
      </c>
      <c r="B220" t="s">
        <v>218</v>
      </c>
      <c r="C220">
        <v>30</v>
      </c>
      <c r="D220" t="s">
        <v>102</v>
      </c>
      <c r="E220" t="s">
        <v>103</v>
      </c>
      <c r="F220">
        <v>0.99299999999999999</v>
      </c>
      <c r="G220" t="s">
        <v>15</v>
      </c>
    </row>
    <row r="221" spans="1:7" x14ac:dyDescent="0.25">
      <c r="A221">
        <v>13</v>
      </c>
      <c r="B221" t="s">
        <v>218</v>
      </c>
      <c r="C221">
        <v>40</v>
      </c>
      <c r="D221" t="s">
        <v>146</v>
      </c>
      <c r="E221" t="s">
        <v>11</v>
      </c>
      <c r="F221">
        <v>1.397</v>
      </c>
      <c r="G221" t="s">
        <v>18</v>
      </c>
    </row>
    <row r="222" spans="1:7" x14ac:dyDescent="0.25">
      <c r="A222">
        <v>13</v>
      </c>
      <c r="B222" t="s">
        <v>218</v>
      </c>
      <c r="C222">
        <v>50</v>
      </c>
      <c r="D222" t="s">
        <v>139</v>
      </c>
      <c r="E222" t="s">
        <v>17</v>
      </c>
      <c r="F222">
        <v>1.397</v>
      </c>
      <c r="G222" t="s">
        <v>18</v>
      </c>
    </row>
    <row r="223" spans="1:7" x14ac:dyDescent="0.25">
      <c r="A223">
        <v>13</v>
      </c>
      <c r="B223" t="s">
        <v>218</v>
      </c>
      <c r="C223">
        <v>60</v>
      </c>
      <c r="D223" t="s">
        <v>220</v>
      </c>
      <c r="E223" t="s">
        <v>11</v>
      </c>
      <c r="F223">
        <v>1</v>
      </c>
      <c r="G223" t="s">
        <v>18</v>
      </c>
    </row>
    <row r="224" spans="1:7" x14ac:dyDescent="0.25">
      <c r="A224">
        <v>13</v>
      </c>
      <c r="B224" t="s">
        <v>218</v>
      </c>
      <c r="C224">
        <v>70</v>
      </c>
      <c r="D224" t="s">
        <v>148</v>
      </c>
      <c r="E224" t="s">
        <v>17</v>
      </c>
      <c r="F224">
        <v>20.268999999999998</v>
      </c>
      <c r="G224" t="s">
        <v>15</v>
      </c>
    </row>
    <row r="225" spans="1:7" x14ac:dyDescent="0.25">
      <c r="A225">
        <v>13</v>
      </c>
      <c r="B225" t="s">
        <v>218</v>
      </c>
      <c r="C225">
        <v>80</v>
      </c>
      <c r="D225" t="s">
        <v>20</v>
      </c>
      <c r="E225" t="s">
        <v>17</v>
      </c>
      <c r="F225">
        <v>166.20699999999999</v>
      </c>
      <c r="G225" t="s">
        <v>15</v>
      </c>
    </row>
    <row r="226" spans="1:7" x14ac:dyDescent="0.25">
      <c r="A226">
        <v>13</v>
      </c>
      <c r="B226" t="s">
        <v>218</v>
      </c>
      <c r="C226">
        <v>90</v>
      </c>
      <c r="D226" t="s">
        <v>24</v>
      </c>
      <c r="E226" t="s">
        <v>11</v>
      </c>
      <c r="F226">
        <v>1</v>
      </c>
      <c r="G226" t="s">
        <v>15</v>
      </c>
    </row>
    <row r="227" spans="1:7" x14ac:dyDescent="0.25">
      <c r="A227">
        <v>13</v>
      </c>
      <c r="B227" t="s">
        <v>218</v>
      </c>
      <c r="C227">
        <v>100</v>
      </c>
      <c r="D227" t="s">
        <v>141</v>
      </c>
      <c r="E227" t="s">
        <v>14</v>
      </c>
      <c r="F227">
        <v>0.11700000000000001</v>
      </c>
      <c r="G227" t="s">
        <v>15</v>
      </c>
    </row>
    <row r="228" spans="1:7" x14ac:dyDescent="0.25">
      <c r="A228">
        <v>13</v>
      </c>
      <c r="B228" t="s">
        <v>218</v>
      </c>
      <c r="C228">
        <v>110</v>
      </c>
      <c r="D228" t="s">
        <v>140</v>
      </c>
      <c r="E228" t="s">
        <v>11</v>
      </c>
      <c r="F228">
        <v>4</v>
      </c>
      <c r="G228" t="s">
        <v>15</v>
      </c>
    </row>
    <row r="229" spans="1:7" x14ac:dyDescent="0.25">
      <c r="A229">
        <v>13</v>
      </c>
      <c r="B229" t="s">
        <v>218</v>
      </c>
      <c r="C229">
        <v>120</v>
      </c>
      <c r="D229" t="s">
        <v>25</v>
      </c>
      <c r="E229" t="s">
        <v>11</v>
      </c>
      <c r="F229">
        <v>1</v>
      </c>
      <c r="G229" t="s">
        <v>15</v>
      </c>
    </row>
    <row r="230" spans="1:7" x14ac:dyDescent="0.25">
      <c r="A230">
        <v>13</v>
      </c>
      <c r="B230" t="s">
        <v>218</v>
      </c>
      <c r="C230">
        <v>130</v>
      </c>
      <c r="D230" t="s">
        <v>26</v>
      </c>
      <c r="E230" t="s">
        <v>11</v>
      </c>
      <c r="F230">
        <v>1</v>
      </c>
      <c r="G230" t="s">
        <v>15</v>
      </c>
    </row>
    <row r="231" spans="1:7" x14ac:dyDescent="0.25">
      <c r="A231">
        <v>13</v>
      </c>
      <c r="B231" t="s">
        <v>218</v>
      </c>
      <c r="C231">
        <v>140</v>
      </c>
      <c r="D231" t="s">
        <v>100</v>
      </c>
      <c r="E231" t="s">
        <v>14</v>
      </c>
      <c r="F231">
        <v>0.86499999999999999</v>
      </c>
      <c r="G231" t="s">
        <v>15</v>
      </c>
    </row>
    <row r="232" spans="1:7" x14ac:dyDescent="0.25">
      <c r="A232">
        <v>13</v>
      </c>
      <c r="B232" t="s">
        <v>218</v>
      </c>
      <c r="C232">
        <v>150</v>
      </c>
      <c r="D232" t="s">
        <v>221</v>
      </c>
      <c r="E232" t="s">
        <v>11</v>
      </c>
      <c r="F232">
        <v>1</v>
      </c>
      <c r="G232" t="s">
        <v>18</v>
      </c>
    </row>
    <row r="233" spans="1:7" x14ac:dyDescent="0.25">
      <c r="A233">
        <v>13</v>
      </c>
      <c r="B233" t="s">
        <v>218</v>
      </c>
      <c r="C233">
        <v>160</v>
      </c>
      <c r="D233" t="s">
        <v>222</v>
      </c>
      <c r="E233" t="s">
        <v>11</v>
      </c>
      <c r="F233">
        <v>1</v>
      </c>
      <c r="G233" t="s">
        <v>18</v>
      </c>
    </row>
    <row r="234" spans="1:7" x14ac:dyDescent="0.25">
      <c r="A234">
        <v>13</v>
      </c>
      <c r="B234" t="s">
        <v>218</v>
      </c>
      <c r="C234">
        <v>170</v>
      </c>
      <c r="D234" t="s">
        <v>142</v>
      </c>
      <c r="E234" t="s">
        <v>11</v>
      </c>
      <c r="F234">
        <v>6.7560000000000002</v>
      </c>
      <c r="G234" t="s">
        <v>15</v>
      </c>
    </row>
    <row r="235" spans="1:7" x14ac:dyDescent="0.25">
      <c r="A235">
        <v>13</v>
      </c>
      <c r="B235" t="s">
        <v>218</v>
      </c>
      <c r="C235">
        <v>180</v>
      </c>
      <c r="D235" t="s">
        <v>223</v>
      </c>
      <c r="E235" t="s">
        <v>11</v>
      </c>
      <c r="F235">
        <v>1</v>
      </c>
      <c r="G235" t="s">
        <v>18</v>
      </c>
    </row>
    <row r="236" spans="1:7" x14ac:dyDescent="0.25">
      <c r="A236">
        <v>14</v>
      </c>
      <c r="B236" t="s">
        <v>224</v>
      </c>
      <c r="C236">
        <v>10</v>
      </c>
      <c r="D236" t="s">
        <v>225</v>
      </c>
      <c r="E236" t="s">
        <v>11</v>
      </c>
      <c r="F236">
        <v>1</v>
      </c>
      <c r="G236" t="s">
        <v>18</v>
      </c>
    </row>
    <row r="237" spans="1:7" x14ac:dyDescent="0.25">
      <c r="A237">
        <v>14</v>
      </c>
      <c r="B237" t="s">
        <v>224</v>
      </c>
      <c r="C237">
        <v>20</v>
      </c>
      <c r="D237" t="s">
        <v>123</v>
      </c>
      <c r="E237" t="s">
        <v>14</v>
      </c>
      <c r="F237">
        <v>4.0039999999999996</v>
      </c>
      <c r="G237" t="s">
        <v>15</v>
      </c>
    </row>
    <row r="238" spans="1:7" x14ac:dyDescent="0.25">
      <c r="A238">
        <v>14</v>
      </c>
      <c r="B238" t="s">
        <v>224</v>
      </c>
      <c r="C238">
        <v>30</v>
      </c>
      <c r="D238" t="s">
        <v>102</v>
      </c>
      <c r="E238" t="s">
        <v>103</v>
      </c>
      <c r="F238">
        <v>1.0489999999999999</v>
      </c>
      <c r="G238" t="s">
        <v>15</v>
      </c>
    </row>
    <row r="239" spans="1:7" x14ac:dyDescent="0.25">
      <c r="A239">
        <v>14</v>
      </c>
      <c r="B239" t="s">
        <v>224</v>
      </c>
      <c r="C239">
        <v>40</v>
      </c>
      <c r="D239" t="s">
        <v>146</v>
      </c>
      <c r="E239" t="s">
        <v>11</v>
      </c>
      <c r="F239">
        <v>1.4730000000000001</v>
      </c>
      <c r="G239" t="s">
        <v>18</v>
      </c>
    </row>
    <row r="240" spans="1:7" x14ac:dyDescent="0.25">
      <c r="A240">
        <v>14</v>
      </c>
      <c r="B240" t="s">
        <v>224</v>
      </c>
      <c r="C240">
        <v>50</v>
      </c>
      <c r="D240" t="s">
        <v>139</v>
      </c>
      <c r="E240" t="s">
        <v>17</v>
      </c>
      <c r="F240">
        <v>1.4730000000000001</v>
      </c>
      <c r="G240" t="s">
        <v>18</v>
      </c>
    </row>
    <row r="241" spans="1:7" x14ac:dyDescent="0.25">
      <c r="A241">
        <v>14</v>
      </c>
      <c r="B241" t="s">
        <v>224</v>
      </c>
      <c r="C241">
        <v>60</v>
      </c>
      <c r="D241" t="s">
        <v>226</v>
      </c>
      <c r="E241" t="s">
        <v>11</v>
      </c>
      <c r="F241">
        <v>1</v>
      </c>
      <c r="G241" t="s">
        <v>18</v>
      </c>
    </row>
    <row r="242" spans="1:7" x14ac:dyDescent="0.25">
      <c r="A242">
        <v>14</v>
      </c>
      <c r="B242" t="s">
        <v>224</v>
      </c>
      <c r="C242">
        <v>70</v>
      </c>
      <c r="D242" t="s">
        <v>148</v>
      </c>
      <c r="E242" t="s">
        <v>17</v>
      </c>
      <c r="F242">
        <v>20.725999999999999</v>
      </c>
      <c r="G242" t="s">
        <v>15</v>
      </c>
    </row>
    <row r="243" spans="1:7" x14ac:dyDescent="0.25">
      <c r="A243">
        <v>14</v>
      </c>
      <c r="B243" t="s">
        <v>224</v>
      </c>
      <c r="C243">
        <v>80</v>
      </c>
      <c r="D243" t="s">
        <v>20</v>
      </c>
      <c r="E243" t="s">
        <v>17</v>
      </c>
      <c r="F243">
        <v>169.95599999999999</v>
      </c>
      <c r="G243" t="s">
        <v>15</v>
      </c>
    </row>
    <row r="244" spans="1:7" x14ac:dyDescent="0.25">
      <c r="A244">
        <v>14</v>
      </c>
      <c r="B244" t="s">
        <v>224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14</v>
      </c>
      <c r="B245" t="s">
        <v>224</v>
      </c>
      <c r="C245">
        <v>100</v>
      </c>
      <c r="D245" t="s">
        <v>141</v>
      </c>
      <c r="E245" t="s">
        <v>14</v>
      </c>
      <c r="F245">
        <v>0.123</v>
      </c>
      <c r="G245" t="s">
        <v>15</v>
      </c>
    </row>
    <row r="246" spans="1:7" x14ac:dyDescent="0.25">
      <c r="A246">
        <v>14</v>
      </c>
      <c r="B246" t="s">
        <v>224</v>
      </c>
      <c r="C246">
        <v>110</v>
      </c>
      <c r="D246" t="s">
        <v>140</v>
      </c>
      <c r="E246" t="s">
        <v>11</v>
      </c>
      <c r="F246">
        <v>4</v>
      </c>
      <c r="G246" t="s">
        <v>15</v>
      </c>
    </row>
    <row r="247" spans="1:7" x14ac:dyDescent="0.25">
      <c r="A247">
        <v>14</v>
      </c>
      <c r="B247" t="s">
        <v>224</v>
      </c>
      <c r="C247">
        <v>120</v>
      </c>
      <c r="D247" t="s">
        <v>25</v>
      </c>
      <c r="E247" t="s">
        <v>11</v>
      </c>
      <c r="F247">
        <v>1</v>
      </c>
      <c r="G247" t="s">
        <v>15</v>
      </c>
    </row>
    <row r="248" spans="1:7" x14ac:dyDescent="0.25">
      <c r="A248">
        <v>14</v>
      </c>
      <c r="B248" t="s">
        <v>224</v>
      </c>
      <c r="C248">
        <v>130</v>
      </c>
      <c r="D248" t="s">
        <v>26</v>
      </c>
      <c r="E248" t="s">
        <v>11</v>
      </c>
      <c r="F248">
        <v>1</v>
      </c>
      <c r="G248" t="s">
        <v>15</v>
      </c>
    </row>
    <row r="249" spans="1:7" x14ac:dyDescent="0.25">
      <c r="A249">
        <v>14</v>
      </c>
      <c r="B249" t="s">
        <v>224</v>
      </c>
      <c r="C249">
        <v>140</v>
      </c>
      <c r="D249" t="s">
        <v>100</v>
      </c>
      <c r="E249" t="s">
        <v>14</v>
      </c>
      <c r="F249">
        <v>0.90500000000000003</v>
      </c>
      <c r="G249" t="s">
        <v>15</v>
      </c>
    </row>
    <row r="250" spans="1:7" x14ac:dyDescent="0.25">
      <c r="A250">
        <v>14</v>
      </c>
      <c r="B250" t="s">
        <v>224</v>
      </c>
      <c r="C250">
        <v>150</v>
      </c>
      <c r="D250" t="s">
        <v>227</v>
      </c>
      <c r="E250" t="s">
        <v>11</v>
      </c>
      <c r="F250">
        <v>1</v>
      </c>
      <c r="G250" t="s">
        <v>18</v>
      </c>
    </row>
    <row r="251" spans="1:7" x14ac:dyDescent="0.25">
      <c r="A251">
        <v>14</v>
      </c>
      <c r="B251" t="s">
        <v>224</v>
      </c>
      <c r="C251">
        <v>160</v>
      </c>
      <c r="D251" t="s">
        <v>228</v>
      </c>
      <c r="E251" t="s">
        <v>11</v>
      </c>
      <c r="F251">
        <v>1</v>
      </c>
      <c r="G251" t="s">
        <v>18</v>
      </c>
    </row>
    <row r="252" spans="1:7" x14ac:dyDescent="0.25">
      <c r="A252">
        <v>14</v>
      </c>
      <c r="B252" t="s">
        <v>224</v>
      </c>
      <c r="C252">
        <v>170</v>
      </c>
      <c r="D252" t="s">
        <v>142</v>
      </c>
      <c r="E252" t="s">
        <v>11</v>
      </c>
      <c r="F252">
        <v>6.9089999999999998</v>
      </c>
      <c r="G252" t="s">
        <v>15</v>
      </c>
    </row>
    <row r="253" spans="1:7" x14ac:dyDescent="0.25">
      <c r="A253">
        <v>14</v>
      </c>
      <c r="B253" t="s">
        <v>224</v>
      </c>
      <c r="C253">
        <v>180</v>
      </c>
      <c r="D253" t="s">
        <v>229</v>
      </c>
      <c r="E253" t="s">
        <v>11</v>
      </c>
      <c r="F253">
        <v>1</v>
      </c>
      <c r="G253" t="s">
        <v>18</v>
      </c>
    </row>
    <row r="254" spans="1:7" x14ac:dyDescent="0.25">
      <c r="A254">
        <v>15</v>
      </c>
      <c r="B254" t="s">
        <v>230</v>
      </c>
      <c r="C254">
        <v>10</v>
      </c>
      <c r="D254" t="s">
        <v>231</v>
      </c>
      <c r="E254" t="s">
        <v>11</v>
      </c>
      <c r="F254">
        <v>1</v>
      </c>
      <c r="G254" t="s">
        <v>18</v>
      </c>
    </row>
    <row r="255" spans="1:7" x14ac:dyDescent="0.25">
      <c r="A255">
        <v>15</v>
      </c>
      <c r="B255" t="s">
        <v>230</v>
      </c>
      <c r="C255">
        <v>20</v>
      </c>
      <c r="D255" t="s">
        <v>124</v>
      </c>
      <c r="E255" t="s">
        <v>14</v>
      </c>
      <c r="F255">
        <v>4.4080000000000004</v>
      </c>
      <c r="G255" t="s">
        <v>15</v>
      </c>
    </row>
    <row r="256" spans="1:7" x14ac:dyDescent="0.25">
      <c r="A256">
        <v>15</v>
      </c>
      <c r="B256" t="s">
        <v>230</v>
      </c>
      <c r="C256">
        <v>30</v>
      </c>
      <c r="D256" t="s">
        <v>102</v>
      </c>
      <c r="E256" t="s">
        <v>103</v>
      </c>
      <c r="F256">
        <v>1.161</v>
      </c>
      <c r="G256" t="s">
        <v>15</v>
      </c>
    </row>
    <row r="257" spans="1:7" x14ac:dyDescent="0.25">
      <c r="A257">
        <v>15</v>
      </c>
      <c r="B257" t="s">
        <v>230</v>
      </c>
      <c r="C257">
        <v>40</v>
      </c>
      <c r="D257" t="s">
        <v>146</v>
      </c>
      <c r="E257" t="s">
        <v>11</v>
      </c>
      <c r="F257">
        <v>1.6259999999999999</v>
      </c>
      <c r="G257" t="s">
        <v>18</v>
      </c>
    </row>
    <row r="258" spans="1:7" x14ac:dyDescent="0.25">
      <c r="A258">
        <v>15</v>
      </c>
      <c r="B258" t="s">
        <v>230</v>
      </c>
      <c r="C258">
        <v>50</v>
      </c>
      <c r="D258" t="s">
        <v>139</v>
      </c>
      <c r="E258" t="s">
        <v>17</v>
      </c>
      <c r="F258">
        <v>1.6259999999999999</v>
      </c>
      <c r="G258" t="s">
        <v>18</v>
      </c>
    </row>
    <row r="259" spans="1:7" x14ac:dyDescent="0.25">
      <c r="A259">
        <v>15</v>
      </c>
      <c r="B259" t="s">
        <v>230</v>
      </c>
      <c r="C259">
        <v>60</v>
      </c>
      <c r="D259" t="s">
        <v>232</v>
      </c>
      <c r="E259" t="s">
        <v>11</v>
      </c>
      <c r="F259">
        <v>1</v>
      </c>
      <c r="G259" t="s">
        <v>18</v>
      </c>
    </row>
    <row r="260" spans="1:7" x14ac:dyDescent="0.25">
      <c r="A260">
        <v>15</v>
      </c>
      <c r="B260" t="s">
        <v>230</v>
      </c>
      <c r="C260">
        <v>70</v>
      </c>
      <c r="D260" t="s">
        <v>148</v>
      </c>
      <c r="E260" t="s">
        <v>17</v>
      </c>
      <c r="F260">
        <v>21.640999999999998</v>
      </c>
      <c r="G260" t="s">
        <v>15</v>
      </c>
    </row>
    <row r="261" spans="1:7" x14ac:dyDescent="0.25">
      <c r="A261">
        <v>15</v>
      </c>
      <c r="B261" t="s">
        <v>230</v>
      </c>
      <c r="C261">
        <v>80</v>
      </c>
      <c r="D261" t="s">
        <v>20</v>
      </c>
      <c r="E261" t="s">
        <v>17</v>
      </c>
      <c r="F261">
        <v>177.45500000000001</v>
      </c>
      <c r="G261" t="s">
        <v>15</v>
      </c>
    </row>
    <row r="262" spans="1:7" x14ac:dyDescent="0.25">
      <c r="A262">
        <v>15</v>
      </c>
      <c r="B262" t="s">
        <v>230</v>
      </c>
      <c r="C262">
        <v>90</v>
      </c>
      <c r="D262" t="s">
        <v>24</v>
      </c>
      <c r="E262" t="s">
        <v>11</v>
      </c>
      <c r="F262">
        <v>1</v>
      </c>
      <c r="G262" t="s">
        <v>15</v>
      </c>
    </row>
    <row r="263" spans="1:7" x14ac:dyDescent="0.25">
      <c r="A263">
        <v>15</v>
      </c>
      <c r="B263" t="s">
        <v>230</v>
      </c>
      <c r="C263">
        <v>100</v>
      </c>
      <c r="D263" t="s">
        <v>141</v>
      </c>
      <c r="E263" t="s">
        <v>14</v>
      </c>
      <c r="F263">
        <v>0.13300000000000001</v>
      </c>
      <c r="G263" t="s">
        <v>15</v>
      </c>
    </row>
    <row r="264" spans="1:7" x14ac:dyDescent="0.25">
      <c r="A264">
        <v>15</v>
      </c>
      <c r="B264" t="s">
        <v>230</v>
      </c>
      <c r="C264">
        <v>110</v>
      </c>
      <c r="D264" t="s">
        <v>140</v>
      </c>
      <c r="E264" t="s">
        <v>11</v>
      </c>
      <c r="F264">
        <v>4</v>
      </c>
      <c r="G264" t="s">
        <v>15</v>
      </c>
    </row>
    <row r="265" spans="1:7" x14ac:dyDescent="0.25">
      <c r="A265">
        <v>15</v>
      </c>
      <c r="B265" t="s">
        <v>230</v>
      </c>
      <c r="C265">
        <v>120</v>
      </c>
      <c r="D265" t="s">
        <v>25</v>
      </c>
      <c r="E265" t="s">
        <v>11</v>
      </c>
      <c r="F265">
        <v>1</v>
      </c>
      <c r="G265" t="s">
        <v>15</v>
      </c>
    </row>
    <row r="266" spans="1:7" x14ac:dyDescent="0.25">
      <c r="A266">
        <v>15</v>
      </c>
      <c r="B266" t="s">
        <v>230</v>
      </c>
      <c r="C266">
        <v>130</v>
      </c>
      <c r="D266" t="s">
        <v>26</v>
      </c>
      <c r="E266" t="s">
        <v>11</v>
      </c>
      <c r="F266">
        <v>1</v>
      </c>
      <c r="G266" t="s">
        <v>15</v>
      </c>
    </row>
    <row r="267" spans="1:7" x14ac:dyDescent="0.25">
      <c r="A267">
        <v>15</v>
      </c>
      <c r="B267" t="s">
        <v>230</v>
      </c>
      <c r="C267">
        <v>140</v>
      </c>
      <c r="D267" t="s">
        <v>100</v>
      </c>
      <c r="E267" t="s">
        <v>14</v>
      </c>
      <c r="F267">
        <v>0.98599999999999999</v>
      </c>
      <c r="G267" t="s">
        <v>15</v>
      </c>
    </row>
    <row r="268" spans="1:7" x14ac:dyDescent="0.25">
      <c r="A268">
        <v>15</v>
      </c>
      <c r="B268" t="s">
        <v>230</v>
      </c>
      <c r="C268">
        <v>150</v>
      </c>
      <c r="D268" t="s">
        <v>233</v>
      </c>
      <c r="E268" t="s">
        <v>11</v>
      </c>
      <c r="F268">
        <v>1</v>
      </c>
      <c r="G268" t="s">
        <v>18</v>
      </c>
    </row>
    <row r="269" spans="1:7" x14ac:dyDescent="0.25">
      <c r="A269">
        <v>15</v>
      </c>
      <c r="B269" t="s">
        <v>230</v>
      </c>
      <c r="C269">
        <v>160</v>
      </c>
      <c r="D269" t="s">
        <v>234</v>
      </c>
      <c r="E269" t="s">
        <v>11</v>
      </c>
      <c r="F269">
        <v>1</v>
      </c>
      <c r="G269" t="s">
        <v>18</v>
      </c>
    </row>
    <row r="270" spans="1:7" x14ac:dyDescent="0.25">
      <c r="A270">
        <v>15</v>
      </c>
      <c r="B270" t="s">
        <v>230</v>
      </c>
      <c r="C270">
        <v>170</v>
      </c>
      <c r="D270" t="s">
        <v>142</v>
      </c>
      <c r="E270" t="s">
        <v>11</v>
      </c>
      <c r="F270">
        <v>7.2140000000000004</v>
      </c>
      <c r="G270" t="s">
        <v>15</v>
      </c>
    </row>
    <row r="271" spans="1:7" x14ac:dyDescent="0.25">
      <c r="A271">
        <v>15</v>
      </c>
      <c r="B271" t="s">
        <v>230</v>
      </c>
      <c r="C271">
        <v>180</v>
      </c>
      <c r="D271" t="s">
        <v>235</v>
      </c>
      <c r="E271" t="s">
        <v>11</v>
      </c>
      <c r="F271">
        <v>1</v>
      </c>
      <c r="G271" t="s">
        <v>18</v>
      </c>
    </row>
    <row r="272" spans="1:7" x14ac:dyDescent="0.25">
      <c r="A272">
        <v>16</v>
      </c>
      <c r="B272" t="s">
        <v>236</v>
      </c>
      <c r="C272">
        <v>10</v>
      </c>
      <c r="D272" t="s">
        <v>237</v>
      </c>
      <c r="E272" t="s">
        <v>11</v>
      </c>
      <c r="F272">
        <v>1</v>
      </c>
      <c r="G272" t="s">
        <v>18</v>
      </c>
    </row>
    <row r="273" spans="1:7" x14ac:dyDescent="0.25">
      <c r="A273">
        <v>16</v>
      </c>
      <c r="B273" t="s">
        <v>236</v>
      </c>
      <c r="C273">
        <v>20</v>
      </c>
      <c r="D273" t="s">
        <v>125</v>
      </c>
      <c r="E273" t="s">
        <v>14</v>
      </c>
      <c r="F273">
        <v>4.8109999999999999</v>
      </c>
      <c r="G273" t="s">
        <v>15</v>
      </c>
    </row>
    <row r="274" spans="1:7" x14ac:dyDescent="0.25">
      <c r="A274">
        <v>16</v>
      </c>
      <c r="B274" t="s">
        <v>236</v>
      </c>
      <c r="C274">
        <v>30</v>
      </c>
      <c r="D274" t="s">
        <v>102</v>
      </c>
      <c r="E274" t="s">
        <v>103</v>
      </c>
      <c r="F274">
        <v>1.274</v>
      </c>
      <c r="G274" t="s">
        <v>15</v>
      </c>
    </row>
    <row r="275" spans="1:7" x14ac:dyDescent="0.25">
      <c r="A275">
        <v>16</v>
      </c>
      <c r="B275" t="s">
        <v>236</v>
      </c>
      <c r="C275">
        <v>40</v>
      </c>
      <c r="D275" t="s">
        <v>146</v>
      </c>
      <c r="E275" t="s">
        <v>11</v>
      </c>
      <c r="F275">
        <v>1.778</v>
      </c>
      <c r="G275" t="s">
        <v>18</v>
      </c>
    </row>
    <row r="276" spans="1:7" x14ac:dyDescent="0.25">
      <c r="A276">
        <v>16</v>
      </c>
      <c r="B276" t="s">
        <v>236</v>
      </c>
      <c r="C276">
        <v>50</v>
      </c>
      <c r="D276" t="s">
        <v>139</v>
      </c>
      <c r="E276" t="s">
        <v>17</v>
      </c>
      <c r="F276">
        <v>1.778</v>
      </c>
      <c r="G276" t="s">
        <v>18</v>
      </c>
    </row>
    <row r="277" spans="1:7" x14ac:dyDescent="0.25">
      <c r="A277">
        <v>16</v>
      </c>
      <c r="B277" t="s">
        <v>236</v>
      </c>
      <c r="C277">
        <v>60</v>
      </c>
      <c r="D277" t="s">
        <v>238</v>
      </c>
      <c r="E277" t="s">
        <v>11</v>
      </c>
      <c r="F277">
        <v>1</v>
      </c>
      <c r="G277" t="s">
        <v>18</v>
      </c>
    </row>
    <row r="278" spans="1:7" x14ac:dyDescent="0.25">
      <c r="A278">
        <v>16</v>
      </c>
      <c r="B278" t="s">
        <v>236</v>
      </c>
      <c r="C278">
        <v>70</v>
      </c>
      <c r="D278" t="s">
        <v>148</v>
      </c>
      <c r="E278" t="s">
        <v>17</v>
      </c>
      <c r="F278">
        <v>22.555</v>
      </c>
      <c r="G278" t="s">
        <v>15</v>
      </c>
    </row>
    <row r="279" spans="1:7" x14ac:dyDescent="0.25">
      <c r="A279">
        <v>16</v>
      </c>
      <c r="B279" t="s">
        <v>236</v>
      </c>
      <c r="C279">
        <v>80</v>
      </c>
      <c r="D279" t="s">
        <v>20</v>
      </c>
      <c r="E279" t="s">
        <v>17</v>
      </c>
      <c r="F279">
        <v>184.953</v>
      </c>
      <c r="G279" t="s">
        <v>15</v>
      </c>
    </row>
    <row r="280" spans="1:7" x14ac:dyDescent="0.25">
      <c r="A280">
        <v>16</v>
      </c>
      <c r="B280" t="s">
        <v>236</v>
      </c>
      <c r="C280">
        <v>90</v>
      </c>
      <c r="D280" t="s">
        <v>24</v>
      </c>
      <c r="E280" t="s">
        <v>11</v>
      </c>
      <c r="F280">
        <v>1</v>
      </c>
      <c r="G280" t="s">
        <v>15</v>
      </c>
    </row>
    <row r="281" spans="1:7" x14ac:dyDescent="0.25">
      <c r="A281">
        <v>16</v>
      </c>
      <c r="B281" t="s">
        <v>236</v>
      </c>
      <c r="C281">
        <v>100</v>
      </c>
      <c r="D281" t="s">
        <v>141</v>
      </c>
      <c r="E281" t="s">
        <v>14</v>
      </c>
      <c r="F281">
        <v>0.14299999999999999</v>
      </c>
      <c r="G281" t="s">
        <v>15</v>
      </c>
    </row>
    <row r="282" spans="1:7" x14ac:dyDescent="0.25">
      <c r="A282">
        <v>16</v>
      </c>
      <c r="B282" t="s">
        <v>236</v>
      </c>
      <c r="C282">
        <v>110</v>
      </c>
      <c r="D282" t="s">
        <v>140</v>
      </c>
      <c r="E282" t="s">
        <v>11</v>
      </c>
      <c r="F282">
        <v>4</v>
      </c>
      <c r="G282" t="s">
        <v>15</v>
      </c>
    </row>
    <row r="283" spans="1:7" x14ac:dyDescent="0.25">
      <c r="A283">
        <v>16</v>
      </c>
      <c r="B283" t="s">
        <v>236</v>
      </c>
      <c r="C283">
        <v>120</v>
      </c>
      <c r="D283" t="s">
        <v>25</v>
      </c>
      <c r="E283" t="s">
        <v>11</v>
      </c>
      <c r="F283">
        <v>1</v>
      </c>
      <c r="G283" t="s">
        <v>15</v>
      </c>
    </row>
    <row r="284" spans="1:7" x14ac:dyDescent="0.25">
      <c r="A284">
        <v>16</v>
      </c>
      <c r="B284" t="s">
        <v>236</v>
      </c>
      <c r="C284">
        <v>130</v>
      </c>
      <c r="D284" t="s">
        <v>26</v>
      </c>
      <c r="E284" t="s">
        <v>11</v>
      </c>
      <c r="F284">
        <v>1</v>
      </c>
      <c r="G284" t="s">
        <v>15</v>
      </c>
    </row>
    <row r="285" spans="1:7" x14ac:dyDescent="0.25">
      <c r="A285">
        <v>16</v>
      </c>
      <c r="B285" t="s">
        <v>236</v>
      </c>
      <c r="C285">
        <v>140</v>
      </c>
      <c r="D285" t="s">
        <v>100</v>
      </c>
      <c r="E285" t="s">
        <v>14</v>
      </c>
      <c r="F285">
        <v>1.0669999999999999</v>
      </c>
      <c r="G285" t="s">
        <v>15</v>
      </c>
    </row>
    <row r="286" spans="1:7" x14ac:dyDescent="0.25">
      <c r="A286">
        <v>16</v>
      </c>
      <c r="B286" t="s">
        <v>236</v>
      </c>
      <c r="C286">
        <v>150</v>
      </c>
      <c r="D286" t="s">
        <v>239</v>
      </c>
      <c r="E286" t="s">
        <v>11</v>
      </c>
      <c r="F286">
        <v>1</v>
      </c>
      <c r="G286" t="s">
        <v>18</v>
      </c>
    </row>
    <row r="287" spans="1:7" x14ac:dyDescent="0.25">
      <c r="A287">
        <v>16</v>
      </c>
      <c r="B287" t="s">
        <v>236</v>
      </c>
      <c r="C287">
        <v>160</v>
      </c>
      <c r="D287" t="s">
        <v>240</v>
      </c>
      <c r="E287" t="s">
        <v>11</v>
      </c>
      <c r="F287">
        <v>1</v>
      </c>
      <c r="G287" t="s">
        <v>18</v>
      </c>
    </row>
    <row r="288" spans="1:7" x14ac:dyDescent="0.25">
      <c r="A288">
        <v>16</v>
      </c>
      <c r="B288" t="s">
        <v>236</v>
      </c>
      <c r="C288">
        <v>170</v>
      </c>
      <c r="D288" t="s">
        <v>142</v>
      </c>
      <c r="E288" t="s">
        <v>11</v>
      </c>
      <c r="F288">
        <v>7.5179999999999998</v>
      </c>
      <c r="G288" t="s">
        <v>15</v>
      </c>
    </row>
    <row r="289" spans="1:7" x14ac:dyDescent="0.25">
      <c r="A289">
        <v>16</v>
      </c>
      <c r="B289" t="s">
        <v>236</v>
      </c>
      <c r="C289">
        <v>180</v>
      </c>
      <c r="D289" t="s">
        <v>241</v>
      </c>
      <c r="E289" t="s">
        <v>11</v>
      </c>
      <c r="F289">
        <v>1</v>
      </c>
      <c r="G289" t="s">
        <v>18</v>
      </c>
    </row>
    <row r="290" spans="1:7" x14ac:dyDescent="0.25">
      <c r="A290">
        <v>17</v>
      </c>
      <c r="B290" t="s">
        <v>242</v>
      </c>
      <c r="C290">
        <v>10</v>
      </c>
      <c r="D290" t="s">
        <v>243</v>
      </c>
      <c r="E290" t="s">
        <v>11</v>
      </c>
      <c r="F290">
        <v>1</v>
      </c>
      <c r="G290" t="s">
        <v>18</v>
      </c>
    </row>
    <row r="291" spans="1:7" x14ac:dyDescent="0.25">
      <c r="A291">
        <v>17</v>
      </c>
      <c r="B291" t="s">
        <v>242</v>
      </c>
      <c r="C291">
        <v>20</v>
      </c>
      <c r="D291" t="s">
        <v>126</v>
      </c>
      <c r="E291" t="s">
        <v>14</v>
      </c>
      <c r="F291">
        <v>2.4849999999999999</v>
      </c>
      <c r="G291" t="s">
        <v>15</v>
      </c>
    </row>
    <row r="292" spans="1:7" x14ac:dyDescent="0.25">
      <c r="A292">
        <v>17</v>
      </c>
      <c r="B292" t="s">
        <v>242</v>
      </c>
      <c r="C292">
        <v>30</v>
      </c>
      <c r="D292" t="s">
        <v>102</v>
      </c>
      <c r="E292" t="s">
        <v>103</v>
      </c>
      <c r="F292">
        <v>0.624</v>
      </c>
      <c r="G292" t="s">
        <v>15</v>
      </c>
    </row>
    <row r="293" spans="1:7" x14ac:dyDescent="0.25">
      <c r="A293">
        <v>17</v>
      </c>
      <c r="B293" t="s">
        <v>242</v>
      </c>
      <c r="C293">
        <v>40</v>
      </c>
      <c r="D293" t="s">
        <v>146</v>
      </c>
      <c r="E293" t="s">
        <v>11</v>
      </c>
      <c r="F293">
        <v>0.86399999999999999</v>
      </c>
      <c r="G293" t="s">
        <v>18</v>
      </c>
    </row>
    <row r="294" spans="1:7" x14ac:dyDescent="0.25">
      <c r="A294">
        <v>17</v>
      </c>
      <c r="B294" t="s">
        <v>242</v>
      </c>
      <c r="C294">
        <v>50</v>
      </c>
      <c r="D294" t="s">
        <v>139</v>
      </c>
      <c r="E294" t="s">
        <v>17</v>
      </c>
      <c r="F294">
        <v>0.86399999999999999</v>
      </c>
      <c r="G294" t="s">
        <v>18</v>
      </c>
    </row>
    <row r="295" spans="1:7" x14ac:dyDescent="0.25">
      <c r="A295">
        <v>17</v>
      </c>
      <c r="B295" t="s">
        <v>242</v>
      </c>
      <c r="C295">
        <v>60</v>
      </c>
      <c r="D295" t="s">
        <v>244</v>
      </c>
      <c r="E295" t="s">
        <v>11</v>
      </c>
      <c r="F295">
        <v>1</v>
      </c>
      <c r="G295" t="s">
        <v>18</v>
      </c>
    </row>
    <row r="296" spans="1:7" x14ac:dyDescent="0.25">
      <c r="A296">
        <v>17</v>
      </c>
      <c r="B296" t="s">
        <v>242</v>
      </c>
      <c r="C296">
        <v>70</v>
      </c>
      <c r="D296" t="s">
        <v>148</v>
      </c>
      <c r="E296" t="s">
        <v>17</v>
      </c>
      <c r="F296">
        <v>17.526</v>
      </c>
      <c r="G296" t="s">
        <v>15</v>
      </c>
    </row>
    <row r="297" spans="1:7" x14ac:dyDescent="0.25">
      <c r="A297">
        <v>17</v>
      </c>
      <c r="B297" t="s">
        <v>242</v>
      </c>
      <c r="C297">
        <v>80</v>
      </c>
      <c r="D297" t="s">
        <v>20</v>
      </c>
      <c r="E297" t="s">
        <v>17</v>
      </c>
      <c r="F297">
        <v>143.71299999999999</v>
      </c>
      <c r="G297" t="s">
        <v>15</v>
      </c>
    </row>
    <row r="298" spans="1:7" x14ac:dyDescent="0.25">
      <c r="A298">
        <v>17</v>
      </c>
      <c r="B298" t="s">
        <v>242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17</v>
      </c>
      <c r="B299" t="s">
        <v>242</v>
      </c>
      <c r="C299">
        <v>100</v>
      </c>
      <c r="D299" t="s">
        <v>141</v>
      </c>
      <c r="E299" t="s">
        <v>14</v>
      </c>
      <c r="F299">
        <v>8.1000000000000003E-2</v>
      </c>
      <c r="G299" t="s">
        <v>15</v>
      </c>
    </row>
    <row r="300" spans="1:7" x14ac:dyDescent="0.25">
      <c r="A300">
        <v>17</v>
      </c>
      <c r="B300" t="s">
        <v>242</v>
      </c>
      <c r="C300">
        <v>110</v>
      </c>
      <c r="D300" t="s">
        <v>140</v>
      </c>
      <c r="E300" t="s">
        <v>11</v>
      </c>
      <c r="F300">
        <v>4</v>
      </c>
      <c r="G300" t="s">
        <v>15</v>
      </c>
    </row>
    <row r="301" spans="1:7" x14ac:dyDescent="0.25">
      <c r="A301">
        <v>17</v>
      </c>
      <c r="B301" t="s">
        <v>242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17</v>
      </c>
      <c r="B302" t="s">
        <v>242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17</v>
      </c>
      <c r="B303" t="s">
        <v>242</v>
      </c>
      <c r="C303">
        <v>140</v>
      </c>
      <c r="D303" t="s">
        <v>100</v>
      </c>
      <c r="E303" t="s">
        <v>14</v>
      </c>
      <c r="F303">
        <v>1.1890000000000001</v>
      </c>
      <c r="G303" t="s">
        <v>15</v>
      </c>
    </row>
    <row r="304" spans="1:7" x14ac:dyDescent="0.25">
      <c r="A304">
        <v>17</v>
      </c>
      <c r="B304" t="s">
        <v>242</v>
      </c>
      <c r="C304">
        <v>150</v>
      </c>
      <c r="D304" t="s">
        <v>245</v>
      </c>
      <c r="E304" t="s">
        <v>11</v>
      </c>
      <c r="F304">
        <v>1</v>
      </c>
      <c r="G304" t="s">
        <v>18</v>
      </c>
    </row>
    <row r="305" spans="1:7" x14ac:dyDescent="0.25">
      <c r="A305">
        <v>17</v>
      </c>
      <c r="B305" t="s">
        <v>242</v>
      </c>
      <c r="C305">
        <v>160</v>
      </c>
      <c r="D305" t="s">
        <v>246</v>
      </c>
      <c r="E305" t="s">
        <v>11</v>
      </c>
      <c r="F305">
        <v>1</v>
      </c>
      <c r="G305" t="s">
        <v>18</v>
      </c>
    </row>
    <row r="306" spans="1:7" x14ac:dyDescent="0.25">
      <c r="A306">
        <v>17</v>
      </c>
      <c r="B306" t="s">
        <v>242</v>
      </c>
      <c r="C306">
        <v>170</v>
      </c>
      <c r="D306" t="s">
        <v>142</v>
      </c>
      <c r="E306" t="s">
        <v>11</v>
      </c>
      <c r="F306">
        <v>5.8419999999999996</v>
      </c>
      <c r="G306" t="s">
        <v>15</v>
      </c>
    </row>
    <row r="307" spans="1:7" x14ac:dyDescent="0.25">
      <c r="A307">
        <v>17</v>
      </c>
      <c r="B307" t="s">
        <v>242</v>
      </c>
      <c r="C307">
        <v>180</v>
      </c>
      <c r="D307" t="s">
        <v>247</v>
      </c>
      <c r="E307" t="s">
        <v>11</v>
      </c>
      <c r="F307">
        <v>1</v>
      </c>
      <c r="G307" t="s">
        <v>18</v>
      </c>
    </row>
    <row r="308" spans="1:7" x14ac:dyDescent="0.25">
      <c r="A308">
        <v>18</v>
      </c>
      <c r="B308" t="s">
        <v>248</v>
      </c>
      <c r="C308">
        <v>10</v>
      </c>
      <c r="D308" t="s">
        <v>249</v>
      </c>
      <c r="E308" t="s">
        <v>11</v>
      </c>
      <c r="F308">
        <v>1</v>
      </c>
      <c r="G308" t="s">
        <v>18</v>
      </c>
    </row>
    <row r="309" spans="1:7" x14ac:dyDescent="0.25">
      <c r="A309">
        <v>18</v>
      </c>
      <c r="B309" t="s">
        <v>248</v>
      </c>
      <c r="C309">
        <v>20</v>
      </c>
      <c r="D309" t="s">
        <v>127</v>
      </c>
      <c r="E309" t="s">
        <v>14</v>
      </c>
      <c r="F309">
        <v>2.9049999999999998</v>
      </c>
      <c r="G309" t="s">
        <v>15</v>
      </c>
    </row>
    <row r="310" spans="1:7" x14ac:dyDescent="0.25">
      <c r="A310">
        <v>18</v>
      </c>
      <c r="B310" t="s">
        <v>248</v>
      </c>
      <c r="C310">
        <v>30</v>
      </c>
      <c r="D310" t="s">
        <v>102</v>
      </c>
      <c r="E310" t="s">
        <v>103</v>
      </c>
      <c r="F310">
        <v>0.74099999999999999</v>
      </c>
      <c r="G310" t="s">
        <v>15</v>
      </c>
    </row>
    <row r="311" spans="1:7" x14ac:dyDescent="0.25">
      <c r="A311">
        <v>18</v>
      </c>
      <c r="B311" t="s">
        <v>248</v>
      </c>
      <c r="C311">
        <v>40</v>
      </c>
      <c r="D311" t="s">
        <v>146</v>
      </c>
      <c r="E311" t="s">
        <v>11</v>
      </c>
      <c r="F311">
        <v>1.016</v>
      </c>
      <c r="G311" t="s">
        <v>18</v>
      </c>
    </row>
    <row r="312" spans="1:7" x14ac:dyDescent="0.25">
      <c r="A312">
        <v>18</v>
      </c>
      <c r="B312" t="s">
        <v>248</v>
      </c>
      <c r="C312">
        <v>50</v>
      </c>
      <c r="D312" t="s">
        <v>139</v>
      </c>
      <c r="E312" t="s">
        <v>17</v>
      </c>
      <c r="F312">
        <v>1.016</v>
      </c>
      <c r="G312" t="s">
        <v>18</v>
      </c>
    </row>
    <row r="313" spans="1:7" x14ac:dyDescent="0.25">
      <c r="A313">
        <v>18</v>
      </c>
      <c r="B313" t="s">
        <v>248</v>
      </c>
      <c r="C313">
        <v>60</v>
      </c>
      <c r="D313" t="s">
        <v>250</v>
      </c>
      <c r="E313" t="s">
        <v>11</v>
      </c>
      <c r="F313">
        <v>1</v>
      </c>
      <c r="G313" t="s">
        <v>18</v>
      </c>
    </row>
    <row r="314" spans="1:7" x14ac:dyDescent="0.25">
      <c r="A314">
        <v>18</v>
      </c>
      <c r="B314" t="s">
        <v>248</v>
      </c>
      <c r="C314">
        <v>70</v>
      </c>
      <c r="D314" t="s">
        <v>148</v>
      </c>
      <c r="E314" t="s">
        <v>17</v>
      </c>
      <c r="F314">
        <v>18.440000000000001</v>
      </c>
      <c r="G314" t="s">
        <v>15</v>
      </c>
    </row>
    <row r="315" spans="1:7" x14ac:dyDescent="0.25">
      <c r="A315">
        <v>18</v>
      </c>
      <c r="B315" t="s">
        <v>248</v>
      </c>
      <c r="C315">
        <v>80</v>
      </c>
      <c r="D315" t="s">
        <v>20</v>
      </c>
      <c r="E315" t="s">
        <v>17</v>
      </c>
      <c r="F315">
        <v>151.21100000000001</v>
      </c>
      <c r="G315" t="s">
        <v>15</v>
      </c>
    </row>
    <row r="316" spans="1:7" x14ac:dyDescent="0.25">
      <c r="A316">
        <v>18</v>
      </c>
      <c r="B316" t="s">
        <v>248</v>
      </c>
      <c r="C316">
        <v>90</v>
      </c>
      <c r="D316" t="s">
        <v>24</v>
      </c>
      <c r="E316" t="s">
        <v>11</v>
      </c>
      <c r="F316">
        <v>1</v>
      </c>
      <c r="G316" t="s">
        <v>15</v>
      </c>
    </row>
    <row r="317" spans="1:7" x14ac:dyDescent="0.25">
      <c r="A317">
        <v>18</v>
      </c>
      <c r="B317" t="s">
        <v>248</v>
      </c>
      <c r="C317">
        <v>100</v>
      </c>
      <c r="D317" t="s">
        <v>141</v>
      </c>
      <c r="E317" t="s">
        <v>14</v>
      </c>
      <c r="F317">
        <v>9.1999999999999998E-2</v>
      </c>
      <c r="G317" t="s">
        <v>15</v>
      </c>
    </row>
    <row r="318" spans="1:7" x14ac:dyDescent="0.25">
      <c r="A318">
        <v>18</v>
      </c>
      <c r="B318" t="s">
        <v>248</v>
      </c>
      <c r="C318">
        <v>110</v>
      </c>
      <c r="D318" t="s">
        <v>140</v>
      </c>
      <c r="E318" t="s">
        <v>11</v>
      </c>
      <c r="F318">
        <v>4</v>
      </c>
      <c r="G318" t="s">
        <v>15</v>
      </c>
    </row>
    <row r="319" spans="1:7" x14ac:dyDescent="0.25">
      <c r="A319">
        <v>18</v>
      </c>
      <c r="B319" t="s">
        <v>248</v>
      </c>
      <c r="C319">
        <v>120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18</v>
      </c>
      <c r="B320" t="s">
        <v>248</v>
      </c>
      <c r="C320">
        <v>130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18</v>
      </c>
      <c r="B321" t="s">
        <v>248</v>
      </c>
      <c r="C321">
        <v>140</v>
      </c>
      <c r="D321" t="s">
        <v>100</v>
      </c>
      <c r="E321" t="s">
        <v>14</v>
      </c>
      <c r="F321">
        <v>1.1890000000000001</v>
      </c>
      <c r="G321" t="s">
        <v>15</v>
      </c>
    </row>
    <row r="322" spans="1:7" x14ac:dyDescent="0.25">
      <c r="A322">
        <v>18</v>
      </c>
      <c r="B322" t="s">
        <v>248</v>
      </c>
      <c r="C322">
        <v>150</v>
      </c>
      <c r="D322" t="s">
        <v>251</v>
      </c>
      <c r="E322" t="s">
        <v>11</v>
      </c>
      <c r="F322">
        <v>1</v>
      </c>
      <c r="G322" t="s">
        <v>18</v>
      </c>
    </row>
    <row r="323" spans="1:7" x14ac:dyDescent="0.25">
      <c r="A323">
        <v>18</v>
      </c>
      <c r="B323" t="s">
        <v>248</v>
      </c>
      <c r="C323">
        <v>160</v>
      </c>
      <c r="D323" t="s">
        <v>252</v>
      </c>
      <c r="E323" t="s">
        <v>11</v>
      </c>
      <c r="F323">
        <v>1</v>
      </c>
      <c r="G323" t="s">
        <v>18</v>
      </c>
    </row>
    <row r="324" spans="1:7" x14ac:dyDescent="0.25">
      <c r="A324">
        <v>18</v>
      </c>
      <c r="B324" t="s">
        <v>248</v>
      </c>
      <c r="C324">
        <v>170</v>
      </c>
      <c r="D324" t="s">
        <v>142</v>
      </c>
      <c r="E324" t="s">
        <v>11</v>
      </c>
      <c r="F324">
        <v>6.1470000000000002</v>
      </c>
      <c r="G324" t="s">
        <v>15</v>
      </c>
    </row>
    <row r="325" spans="1:7" x14ac:dyDescent="0.25">
      <c r="A325">
        <v>18</v>
      </c>
      <c r="B325" t="s">
        <v>248</v>
      </c>
      <c r="C325">
        <v>180</v>
      </c>
      <c r="D325" t="s">
        <v>253</v>
      </c>
      <c r="E325" t="s">
        <v>11</v>
      </c>
      <c r="F325">
        <v>1</v>
      </c>
      <c r="G325" t="s">
        <v>18</v>
      </c>
    </row>
    <row r="326" spans="1:7" x14ac:dyDescent="0.25">
      <c r="A326">
        <v>19</v>
      </c>
      <c r="B326" t="s">
        <v>254</v>
      </c>
      <c r="C326">
        <v>10</v>
      </c>
      <c r="D326" t="s">
        <v>255</v>
      </c>
      <c r="E326" t="s">
        <v>11</v>
      </c>
      <c r="F326">
        <v>1</v>
      </c>
      <c r="G326" t="s">
        <v>18</v>
      </c>
    </row>
    <row r="327" spans="1:7" x14ac:dyDescent="0.25">
      <c r="A327">
        <v>19</v>
      </c>
      <c r="B327" t="s">
        <v>254</v>
      </c>
      <c r="C327">
        <v>20</v>
      </c>
      <c r="D327" t="s">
        <v>128</v>
      </c>
      <c r="E327" t="s">
        <v>14</v>
      </c>
      <c r="F327">
        <v>3.3250000000000002</v>
      </c>
      <c r="G327" t="s">
        <v>15</v>
      </c>
    </row>
    <row r="328" spans="1:7" x14ac:dyDescent="0.25">
      <c r="A328">
        <v>19</v>
      </c>
      <c r="B328" t="s">
        <v>254</v>
      </c>
      <c r="C328">
        <v>30</v>
      </c>
      <c r="D328" t="s">
        <v>102</v>
      </c>
      <c r="E328" t="s">
        <v>103</v>
      </c>
      <c r="F328">
        <v>0.85799999999999998</v>
      </c>
      <c r="G328" t="s">
        <v>15</v>
      </c>
    </row>
    <row r="329" spans="1:7" x14ac:dyDescent="0.25">
      <c r="A329">
        <v>19</v>
      </c>
      <c r="B329" t="s">
        <v>254</v>
      </c>
      <c r="C329">
        <v>40</v>
      </c>
      <c r="D329" t="s">
        <v>146</v>
      </c>
      <c r="E329" t="s">
        <v>11</v>
      </c>
      <c r="F329">
        <v>1.1679999999999999</v>
      </c>
      <c r="G329" t="s">
        <v>18</v>
      </c>
    </row>
    <row r="330" spans="1:7" x14ac:dyDescent="0.25">
      <c r="A330">
        <v>19</v>
      </c>
      <c r="B330" t="s">
        <v>254</v>
      </c>
      <c r="C330">
        <v>50</v>
      </c>
      <c r="D330" t="s">
        <v>139</v>
      </c>
      <c r="E330" t="s">
        <v>17</v>
      </c>
      <c r="F330">
        <v>1.1679999999999999</v>
      </c>
      <c r="G330" t="s">
        <v>18</v>
      </c>
    </row>
    <row r="331" spans="1:7" x14ac:dyDescent="0.25">
      <c r="A331">
        <v>19</v>
      </c>
      <c r="B331" t="s">
        <v>254</v>
      </c>
      <c r="C331">
        <v>60</v>
      </c>
      <c r="D331" t="s">
        <v>256</v>
      </c>
      <c r="E331" t="s">
        <v>11</v>
      </c>
      <c r="F331">
        <v>1</v>
      </c>
      <c r="G331" t="s">
        <v>18</v>
      </c>
    </row>
    <row r="332" spans="1:7" x14ac:dyDescent="0.25">
      <c r="A332">
        <v>19</v>
      </c>
      <c r="B332" t="s">
        <v>254</v>
      </c>
      <c r="C332">
        <v>70</v>
      </c>
      <c r="D332" t="s">
        <v>148</v>
      </c>
      <c r="E332" t="s">
        <v>17</v>
      </c>
      <c r="F332">
        <v>19.355</v>
      </c>
      <c r="G332" t="s">
        <v>15</v>
      </c>
    </row>
    <row r="333" spans="1:7" x14ac:dyDescent="0.25">
      <c r="A333">
        <v>19</v>
      </c>
      <c r="B333" t="s">
        <v>254</v>
      </c>
      <c r="C333">
        <v>80</v>
      </c>
      <c r="D333" t="s">
        <v>20</v>
      </c>
      <c r="E333" t="s">
        <v>17</v>
      </c>
      <c r="F333">
        <v>158.709</v>
      </c>
      <c r="G333" t="s">
        <v>15</v>
      </c>
    </row>
    <row r="334" spans="1:7" x14ac:dyDescent="0.25">
      <c r="A334">
        <v>19</v>
      </c>
      <c r="B334" t="s">
        <v>254</v>
      </c>
      <c r="C334">
        <v>90</v>
      </c>
      <c r="D334" t="s">
        <v>24</v>
      </c>
      <c r="E334" t="s">
        <v>11</v>
      </c>
      <c r="F334">
        <v>1</v>
      </c>
      <c r="G334" t="s">
        <v>15</v>
      </c>
    </row>
    <row r="335" spans="1:7" x14ac:dyDescent="0.25">
      <c r="A335">
        <v>19</v>
      </c>
      <c r="B335" t="s">
        <v>254</v>
      </c>
      <c r="C335">
        <v>100</v>
      </c>
      <c r="D335" t="s">
        <v>141</v>
      </c>
      <c r="E335" t="s">
        <v>14</v>
      </c>
      <c r="F335">
        <v>0.10199999999999999</v>
      </c>
      <c r="G335" t="s">
        <v>15</v>
      </c>
    </row>
    <row r="336" spans="1:7" x14ac:dyDescent="0.25">
      <c r="A336">
        <v>19</v>
      </c>
      <c r="B336" t="s">
        <v>254</v>
      </c>
      <c r="C336">
        <v>110</v>
      </c>
      <c r="D336" t="s">
        <v>140</v>
      </c>
      <c r="E336" t="s">
        <v>11</v>
      </c>
      <c r="F336">
        <v>4</v>
      </c>
      <c r="G336" t="s">
        <v>15</v>
      </c>
    </row>
    <row r="337" spans="1:7" x14ac:dyDescent="0.25">
      <c r="A337">
        <v>19</v>
      </c>
      <c r="B337" t="s">
        <v>254</v>
      </c>
      <c r="C337">
        <v>120</v>
      </c>
      <c r="D337" t="s">
        <v>25</v>
      </c>
      <c r="E337" t="s">
        <v>11</v>
      </c>
      <c r="F337">
        <v>1</v>
      </c>
      <c r="G337" t="s">
        <v>15</v>
      </c>
    </row>
    <row r="338" spans="1:7" x14ac:dyDescent="0.25">
      <c r="A338">
        <v>19</v>
      </c>
      <c r="B338" t="s">
        <v>254</v>
      </c>
      <c r="C338">
        <v>130</v>
      </c>
      <c r="D338" t="s">
        <v>26</v>
      </c>
      <c r="E338" t="s">
        <v>11</v>
      </c>
      <c r="F338">
        <v>1</v>
      </c>
      <c r="G338" t="s">
        <v>15</v>
      </c>
    </row>
    <row r="339" spans="1:7" x14ac:dyDescent="0.25">
      <c r="A339">
        <v>19</v>
      </c>
      <c r="B339" t="s">
        <v>254</v>
      </c>
      <c r="C339">
        <v>140</v>
      </c>
      <c r="D339" t="s">
        <v>100</v>
      </c>
      <c r="E339" t="s">
        <v>14</v>
      </c>
      <c r="F339">
        <v>1.1890000000000001</v>
      </c>
      <c r="G339" t="s">
        <v>15</v>
      </c>
    </row>
    <row r="340" spans="1:7" x14ac:dyDescent="0.25">
      <c r="A340">
        <v>19</v>
      </c>
      <c r="B340" t="s">
        <v>254</v>
      </c>
      <c r="C340">
        <v>150</v>
      </c>
      <c r="D340" t="s">
        <v>257</v>
      </c>
      <c r="E340" t="s">
        <v>11</v>
      </c>
      <c r="F340">
        <v>1</v>
      </c>
      <c r="G340" t="s">
        <v>18</v>
      </c>
    </row>
    <row r="341" spans="1:7" x14ac:dyDescent="0.25">
      <c r="A341">
        <v>19</v>
      </c>
      <c r="B341" t="s">
        <v>254</v>
      </c>
      <c r="C341">
        <v>160</v>
      </c>
      <c r="D341" t="s">
        <v>258</v>
      </c>
      <c r="E341" t="s">
        <v>11</v>
      </c>
      <c r="F341">
        <v>1</v>
      </c>
      <c r="G341" t="s">
        <v>18</v>
      </c>
    </row>
    <row r="342" spans="1:7" x14ac:dyDescent="0.25">
      <c r="A342">
        <v>19</v>
      </c>
      <c r="B342" t="s">
        <v>254</v>
      </c>
      <c r="C342">
        <v>170</v>
      </c>
      <c r="D342" t="s">
        <v>142</v>
      </c>
      <c r="E342" t="s">
        <v>11</v>
      </c>
      <c r="F342">
        <v>6.452</v>
      </c>
      <c r="G342" t="s">
        <v>15</v>
      </c>
    </row>
    <row r="343" spans="1:7" x14ac:dyDescent="0.25">
      <c r="A343">
        <v>19</v>
      </c>
      <c r="B343" t="s">
        <v>254</v>
      </c>
      <c r="C343">
        <v>180</v>
      </c>
      <c r="D343" t="s">
        <v>259</v>
      </c>
      <c r="E343" t="s">
        <v>11</v>
      </c>
      <c r="F343">
        <v>1</v>
      </c>
      <c r="G343" t="s">
        <v>18</v>
      </c>
    </row>
    <row r="344" spans="1:7" x14ac:dyDescent="0.25">
      <c r="A344">
        <v>20</v>
      </c>
      <c r="B344" t="s">
        <v>260</v>
      </c>
      <c r="C344">
        <v>10</v>
      </c>
      <c r="D344" t="s">
        <v>261</v>
      </c>
      <c r="E344" t="s">
        <v>11</v>
      </c>
      <c r="F344">
        <v>1</v>
      </c>
      <c r="G344" t="s">
        <v>18</v>
      </c>
    </row>
    <row r="345" spans="1:7" x14ac:dyDescent="0.25">
      <c r="A345">
        <v>20</v>
      </c>
      <c r="B345" t="s">
        <v>260</v>
      </c>
      <c r="C345">
        <v>20</v>
      </c>
      <c r="D345" t="s">
        <v>129</v>
      </c>
      <c r="E345" t="s">
        <v>14</v>
      </c>
      <c r="F345">
        <v>4.165</v>
      </c>
      <c r="G345" t="s">
        <v>15</v>
      </c>
    </row>
    <row r="346" spans="1:7" x14ac:dyDescent="0.25">
      <c r="A346">
        <v>20</v>
      </c>
      <c r="B346" t="s">
        <v>260</v>
      </c>
      <c r="C346">
        <v>30</v>
      </c>
      <c r="D346" t="s">
        <v>102</v>
      </c>
      <c r="E346" t="s">
        <v>103</v>
      </c>
      <c r="F346">
        <v>0.97499999999999998</v>
      </c>
      <c r="G346" t="s">
        <v>15</v>
      </c>
    </row>
    <row r="347" spans="1:7" x14ac:dyDescent="0.25">
      <c r="A347">
        <v>20</v>
      </c>
      <c r="B347" t="s">
        <v>260</v>
      </c>
      <c r="C347">
        <v>40</v>
      </c>
      <c r="D347" t="s">
        <v>146</v>
      </c>
      <c r="E347" t="s">
        <v>11</v>
      </c>
      <c r="F347">
        <v>1.321</v>
      </c>
      <c r="G347" t="s">
        <v>18</v>
      </c>
    </row>
    <row r="348" spans="1:7" x14ac:dyDescent="0.25">
      <c r="A348">
        <v>20</v>
      </c>
      <c r="B348" t="s">
        <v>260</v>
      </c>
      <c r="C348">
        <v>50</v>
      </c>
      <c r="D348" t="s">
        <v>139</v>
      </c>
      <c r="E348" t="s">
        <v>17</v>
      </c>
      <c r="F348">
        <v>1.321</v>
      </c>
      <c r="G348" t="s">
        <v>18</v>
      </c>
    </row>
    <row r="349" spans="1:7" x14ac:dyDescent="0.25">
      <c r="A349">
        <v>20</v>
      </c>
      <c r="B349" t="s">
        <v>260</v>
      </c>
      <c r="C349">
        <v>60</v>
      </c>
      <c r="D349" t="s">
        <v>262</v>
      </c>
      <c r="E349" t="s">
        <v>11</v>
      </c>
      <c r="F349">
        <v>1</v>
      </c>
      <c r="G349" t="s">
        <v>18</v>
      </c>
    </row>
    <row r="350" spans="1:7" x14ac:dyDescent="0.25">
      <c r="A350">
        <v>20</v>
      </c>
      <c r="B350" t="s">
        <v>260</v>
      </c>
      <c r="C350">
        <v>70</v>
      </c>
      <c r="D350" t="s">
        <v>148</v>
      </c>
      <c r="E350" t="s">
        <v>17</v>
      </c>
      <c r="F350">
        <v>20.268999999999998</v>
      </c>
      <c r="G350" t="s">
        <v>15</v>
      </c>
    </row>
    <row r="351" spans="1:7" x14ac:dyDescent="0.25">
      <c r="A351">
        <v>20</v>
      </c>
      <c r="B351" t="s">
        <v>260</v>
      </c>
      <c r="C351">
        <v>80</v>
      </c>
      <c r="D351" t="s">
        <v>20</v>
      </c>
      <c r="E351" t="s">
        <v>17</v>
      </c>
      <c r="F351">
        <v>166.20699999999999</v>
      </c>
      <c r="G351" t="s">
        <v>15</v>
      </c>
    </row>
    <row r="352" spans="1:7" x14ac:dyDescent="0.25">
      <c r="A352">
        <v>20</v>
      </c>
      <c r="B352" t="s">
        <v>260</v>
      </c>
      <c r="C352">
        <v>90</v>
      </c>
      <c r="D352" t="s">
        <v>24</v>
      </c>
      <c r="E352" t="s">
        <v>11</v>
      </c>
      <c r="F352">
        <v>1</v>
      </c>
      <c r="G352" t="s">
        <v>15</v>
      </c>
    </row>
    <row r="353" spans="1:7" x14ac:dyDescent="0.25">
      <c r="A353">
        <v>20</v>
      </c>
      <c r="B353" t="s">
        <v>260</v>
      </c>
      <c r="C353">
        <v>100</v>
      </c>
      <c r="D353" t="s">
        <v>141</v>
      </c>
      <c r="E353" t="s">
        <v>14</v>
      </c>
      <c r="F353">
        <v>0.112</v>
      </c>
      <c r="G353" t="s">
        <v>15</v>
      </c>
    </row>
    <row r="354" spans="1:7" x14ac:dyDescent="0.25">
      <c r="A354">
        <v>20</v>
      </c>
      <c r="B354" t="s">
        <v>260</v>
      </c>
      <c r="C354">
        <v>110</v>
      </c>
      <c r="D354" t="s">
        <v>140</v>
      </c>
      <c r="E354" t="s">
        <v>11</v>
      </c>
      <c r="F354">
        <v>4</v>
      </c>
      <c r="G354" t="s">
        <v>15</v>
      </c>
    </row>
    <row r="355" spans="1:7" x14ac:dyDescent="0.25">
      <c r="A355">
        <v>20</v>
      </c>
      <c r="B355" t="s">
        <v>260</v>
      </c>
      <c r="C355">
        <v>120</v>
      </c>
      <c r="D355" t="s">
        <v>25</v>
      </c>
      <c r="E355" t="s">
        <v>11</v>
      </c>
      <c r="F355">
        <v>1</v>
      </c>
      <c r="G355" t="s">
        <v>15</v>
      </c>
    </row>
    <row r="356" spans="1:7" x14ac:dyDescent="0.25">
      <c r="A356">
        <v>20</v>
      </c>
      <c r="B356" t="s">
        <v>260</v>
      </c>
      <c r="C356">
        <v>130</v>
      </c>
      <c r="D356" t="s">
        <v>26</v>
      </c>
      <c r="E356" t="s">
        <v>11</v>
      </c>
      <c r="F356">
        <v>1</v>
      </c>
      <c r="G356" t="s">
        <v>15</v>
      </c>
    </row>
    <row r="357" spans="1:7" x14ac:dyDescent="0.25">
      <c r="A357">
        <v>20</v>
      </c>
      <c r="B357" t="s">
        <v>260</v>
      </c>
      <c r="C357">
        <v>140</v>
      </c>
      <c r="D357" t="s">
        <v>100</v>
      </c>
      <c r="E357" t="s">
        <v>14</v>
      </c>
      <c r="F357">
        <v>1.1890000000000001</v>
      </c>
      <c r="G357" t="s">
        <v>15</v>
      </c>
    </row>
    <row r="358" spans="1:7" x14ac:dyDescent="0.25">
      <c r="A358">
        <v>20</v>
      </c>
      <c r="B358" t="s">
        <v>260</v>
      </c>
      <c r="C358">
        <v>150</v>
      </c>
      <c r="D358" t="s">
        <v>263</v>
      </c>
      <c r="E358" t="s">
        <v>11</v>
      </c>
      <c r="F358">
        <v>1</v>
      </c>
      <c r="G358" t="s">
        <v>18</v>
      </c>
    </row>
    <row r="359" spans="1:7" x14ac:dyDescent="0.25">
      <c r="A359">
        <v>20</v>
      </c>
      <c r="B359" t="s">
        <v>260</v>
      </c>
      <c r="C359">
        <v>160</v>
      </c>
      <c r="D359" t="s">
        <v>264</v>
      </c>
      <c r="E359" t="s">
        <v>11</v>
      </c>
      <c r="F359">
        <v>1</v>
      </c>
      <c r="G359" t="s">
        <v>18</v>
      </c>
    </row>
    <row r="360" spans="1:7" x14ac:dyDescent="0.25">
      <c r="A360">
        <v>20</v>
      </c>
      <c r="B360" t="s">
        <v>260</v>
      </c>
      <c r="C360">
        <v>170</v>
      </c>
      <c r="D360" t="s">
        <v>142</v>
      </c>
      <c r="E360" t="s">
        <v>11</v>
      </c>
      <c r="F360">
        <v>6.7560000000000002</v>
      </c>
      <c r="G360" t="s">
        <v>15</v>
      </c>
    </row>
    <row r="361" spans="1:7" x14ac:dyDescent="0.25">
      <c r="A361">
        <v>20</v>
      </c>
      <c r="B361" t="s">
        <v>260</v>
      </c>
      <c r="C361">
        <v>180</v>
      </c>
      <c r="D361" t="s">
        <v>265</v>
      </c>
      <c r="E361" t="s">
        <v>11</v>
      </c>
      <c r="F361">
        <v>1</v>
      </c>
      <c r="G361" t="s">
        <v>18</v>
      </c>
    </row>
    <row r="362" spans="1:7" x14ac:dyDescent="0.25">
      <c r="A362">
        <v>21</v>
      </c>
      <c r="B362" t="s">
        <v>266</v>
      </c>
      <c r="C362">
        <v>10</v>
      </c>
      <c r="D362" t="s">
        <v>267</v>
      </c>
      <c r="E362" t="s">
        <v>11</v>
      </c>
      <c r="F362">
        <v>1</v>
      </c>
      <c r="G362" t="s">
        <v>18</v>
      </c>
    </row>
    <row r="363" spans="1:7" x14ac:dyDescent="0.25">
      <c r="A363">
        <v>21</v>
      </c>
      <c r="B363" t="s">
        <v>266</v>
      </c>
      <c r="C363">
        <v>20</v>
      </c>
      <c r="D363" t="s">
        <v>129</v>
      </c>
      <c r="E363" t="s">
        <v>14</v>
      </c>
      <c r="F363">
        <v>4.165</v>
      </c>
      <c r="G363" t="s">
        <v>15</v>
      </c>
    </row>
    <row r="364" spans="1:7" x14ac:dyDescent="0.25">
      <c r="A364">
        <v>21</v>
      </c>
      <c r="B364" t="s">
        <v>266</v>
      </c>
      <c r="C364">
        <v>30</v>
      </c>
      <c r="D364" t="s">
        <v>102</v>
      </c>
      <c r="E364" t="s">
        <v>103</v>
      </c>
      <c r="F364">
        <v>1.0329999999999999</v>
      </c>
      <c r="G364" t="s">
        <v>15</v>
      </c>
    </row>
    <row r="365" spans="1:7" x14ac:dyDescent="0.25">
      <c r="A365">
        <v>21</v>
      </c>
      <c r="B365" t="s">
        <v>266</v>
      </c>
      <c r="C365">
        <v>40</v>
      </c>
      <c r="D365" t="s">
        <v>146</v>
      </c>
      <c r="E365" t="s">
        <v>11</v>
      </c>
      <c r="F365">
        <v>1.397</v>
      </c>
      <c r="G365" t="s">
        <v>18</v>
      </c>
    </row>
    <row r="366" spans="1:7" x14ac:dyDescent="0.25">
      <c r="A366">
        <v>21</v>
      </c>
      <c r="B366" t="s">
        <v>266</v>
      </c>
      <c r="C366">
        <v>50</v>
      </c>
      <c r="D366" t="s">
        <v>139</v>
      </c>
      <c r="E366" t="s">
        <v>17</v>
      </c>
      <c r="F366">
        <v>1.397</v>
      </c>
      <c r="G366" t="s">
        <v>18</v>
      </c>
    </row>
    <row r="367" spans="1:7" x14ac:dyDescent="0.25">
      <c r="A367">
        <v>21</v>
      </c>
      <c r="B367" t="s">
        <v>266</v>
      </c>
      <c r="C367">
        <v>60</v>
      </c>
      <c r="D367" t="s">
        <v>268</v>
      </c>
      <c r="E367" t="s">
        <v>11</v>
      </c>
      <c r="F367">
        <v>1</v>
      </c>
      <c r="G367" t="s">
        <v>18</v>
      </c>
    </row>
    <row r="368" spans="1:7" x14ac:dyDescent="0.25">
      <c r="A368">
        <v>21</v>
      </c>
      <c r="B368" t="s">
        <v>266</v>
      </c>
      <c r="C368">
        <v>70</v>
      </c>
      <c r="D368" t="s">
        <v>148</v>
      </c>
      <c r="E368" t="s">
        <v>17</v>
      </c>
      <c r="F368">
        <v>20.725999999999999</v>
      </c>
      <c r="G368" t="s">
        <v>15</v>
      </c>
    </row>
    <row r="369" spans="1:7" x14ac:dyDescent="0.25">
      <c r="A369">
        <v>21</v>
      </c>
      <c r="B369" t="s">
        <v>266</v>
      </c>
      <c r="C369">
        <v>80</v>
      </c>
      <c r="D369" t="s">
        <v>20</v>
      </c>
      <c r="E369" t="s">
        <v>17</v>
      </c>
      <c r="F369">
        <v>169.95599999999999</v>
      </c>
      <c r="G369" t="s">
        <v>15</v>
      </c>
    </row>
    <row r="370" spans="1:7" x14ac:dyDescent="0.25">
      <c r="A370">
        <v>21</v>
      </c>
      <c r="B370" t="s">
        <v>266</v>
      </c>
      <c r="C370">
        <v>90</v>
      </c>
      <c r="D370" t="s">
        <v>24</v>
      </c>
      <c r="E370" t="s">
        <v>11</v>
      </c>
      <c r="F370">
        <v>1</v>
      </c>
      <c r="G370" t="s">
        <v>15</v>
      </c>
    </row>
    <row r="371" spans="1:7" x14ac:dyDescent="0.25">
      <c r="A371">
        <v>21</v>
      </c>
      <c r="B371" t="s">
        <v>266</v>
      </c>
      <c r="C371">
        <v>100</v>
      </c>
      <c r="D371" t="s">
        <v>141</v>
      </c>
      <c r="E371" t="s">
        <v>14</v>
      </c>
      <c r="F371">
        <v>0.11700000000000001</v>
      </c>
      <c r="G371" t="s">
        <v>15</v>
      </c>
    </row>
    <row r="372" spans="1:7" x14ac:dyDescent="0.25">
      <c r="A372">
        <v>21</v>
      </c>
      <c r="B372" t="s">
        <v>266</v>
      </c>
      <c r="C372">
        <v>110</v>
      </c>
      <c r="D372" t="s">
        <v>140</v>
      </c>
      <c r="E372" t="s">
        <v>11</v>
      </c>
      <c r="F372">
        <v>4</v>
      </c>
      <c r="G372" t="s">
        <v>15</v>
      </c>
    </row>
    <row r="373" spans="1:7" x14ac:dyDescent="0.25">
      <c r="A373">
        <v>21</v>
      </c>
      <c r="B373" t="s">
        <v>266</v>
      </c>
      <c r="C373">
        <v>120</v>
      </c>
      <c r="D373" t="s">
        <v>25</v>
      </c>
      <c r="E373" t="s">
        <v>11</v>
      </c>
      <c r="F373">
        <v>1</v>
      </c>
      <c r="G373" t="s">
        <v>15</v>
      </c>
    </row>
    <row r="374" spans="1:7" x14ac:dyDescent="0.25">
      <c r="A374">
        <v>21</v>
      </c>
      <c r="B374" t="s">
        <v>266</v>
      </c>
      <c r="C374">
        <v>130</v>
      </c>
      <c r="D374" t="s">
        <v>26</v>
      </c>
      <c r="E374" t="s">
        <v>11</v>
      </c>
      <c r="F374">
        <v>1</v>
      </c>
      <c r="G374" t="s">
        <v>15</v>
      </c>
    </row>
    <row r="375" spans="1:7" x14ac:dyDescent="0.25">
      <c r="A375">
        <v>21</v>
      </c>
      <c r="B375" t="s">
        <v>266</v>
      </c>
      <c r="C375">
        <v>140</v>
      </c>
      <c r="D375" t="s">
        <v>100</v>
      </c>
      <c r="E375" t="s">
        <v>14</v>
      </c>
      <c r="F375">
        <v>1.1890000000000001</v>
      </c>
      <c r="G375" t="s">
        <v>15</v>
      </c>
    </row>
    <row r="376" spans="1:7" x14ac:dyDescent="0.25">
      <c r="A376">
        <v>21</v>
      </c>
      <c r="B376" t="s">
        <v>266</v>
      </c>
      <c r="C376">
        <v>150</v>
      </c>
      <c r="D376" t="s">
        <v>269</v>
      </c>
      <c r="E376" t="s">
        <v>11</v>
      </c>
      <c r="F376">
        <v>1</v>
      </c>
      <c r="G376" t="s">
        <v>18</v>
      </c>
    </row>
    <row r="377" spans="1:7" x14ac:dyDescent="0.25">
      <c r="A377">
        <v>21</v>
      </c>
      <c r="B377" t="s">
        <v>266</v>
      </c>
      <c r="C377">
        <v>160</v>
      </c>
      <c r="D377" t="s">
        <v>270</v>
      </c>
      <c r="E377" t="s">
        <v>11</v>
      </c>
      <c r="F377">
        <v>1</v>
      </c>
      <c r="G377" t="s">
        <v>18</v>
      </c>
    </row>
    <row r="378" spans="1:7" x14ac:dyDescent="0.25">
      <c r="A378">
        <v>21</v>
      </c>
      <c r="B378" t="s">
        <v>266</v>
      </c>
      <c r="C378">
        <v>170</v>
      </c>
      <c r="D378" t="s">
        <v>142</v>
      </c>
      <c r="E378" t="s">
        <v>11</v>
      </c>
      <c r="F378">
        <v>6.9089999999999998</v>
      </c>
      <c r="G378" t="s">
        <v>15</v>
      </c>
    </row>
    <row r="379" spans="1:7" x14ac:dyDescent="0.25">
      <c r="A379">
        <v>21</v>
      </c>
      <c r="B379" t="s">
        <v>266</v>
      </c>
      <c r="C379">
        <v>180</v>
      </c>
      <c r="D379" t="s">
        <v>271</v>
      </c>
      <c r="E379" t="s">
        <v>11</v>
      </c>
      <c r="F379">
        <v>1</v>
      </c>
      <c r="G379" t="s">
        <v>18</v>
      </c>
    </row>
    <row r="380" spans="1:7" x14ac:dyDescent="0.25">
      <c r="A380">
        <v>22</v>
      </c>
      <c r="B380" t="s">
        <v>272</v>
      </c>
      <c r="C380">
        <v>10</v>
      </c>
      <c r="D380" t="s">
        <v>273</v>
      </c>
      <c r="E380" t="s">
        <v>11</v>
      </c>
      <c r="F380">
        <v>1</v>
      </c>
      <c r="G380" t="s">
        <v>18</v>
      </c>
    </row>
    <row r="381" spans="1:7" x14ac:dyDescent="0.25">
      <c r="A381">
        <v>22</v>
      </c>
      <c r="B381" t="s">
        <v>272</v>
      </c>
      <c r="C381">
        <v>20</v>
      </c>
      <c r="D381" t="s">
        <v>129</v>
      </c>
      <c r="E381" t="s">
        <v>14</v>
      </c>
      <c r="F381">
        <v>4.165</v>
      </c>
      <c r="G381" t="s">
        <v>15</v>
      </c>
    </row>
    <row r="382" spans="1:7" x14ac:dyDescent="0.25">
      <c r="A382">
        <v>22</v>
      </c>
      <c r="B382" t="s">
        <v>272</v>
      </c>
      <c r="C382">
        <v>30</v>
      </c>
      <c r="D382" t="s">
        <v>102</v>
      </c>
      <c r="E382" t="s">
        <v>103</v>
      </c>
      <c r="F382">
        <v>1.091</v>
      </c>
      <c r="G382" t="s">
        <v>15</v>
      </c>
    </row>
    <row r="383" spans="1:7" x14ac:dyDescent="0.25">
      <c r="A383">
        <v>22</v>
      </c>
      <c r="B383" t="s">
        <v>272</v>
      </c>
      <c r="C383">
        <v>40</v>
      </c>
      <c r="D383" t="s">
        <v>146</v>
      </c>
      <c r="E383" t="s">
        <v>11</v>
      </c>
      <c r="F383">
        <v>1.4730000000000001</v>
      </c>
      <c r="G383" t="s">
        <v>18</v>
      </c>
    </row>
    <row r="384" spans="1:7" x14ac:dyDescent="0.25">
      <c r="A384">
        <v>22</v>
      </c>
      <c r="B384" t="s">
        <v>272</v>
      </c>
      <c r="C384">
        <v>50</v>
      </c>
      <c r="D384" t="s">
        <v>139</v>
      </c>
      <c r="E384" t="s">
        <v>17</v>
      </c>
      <c r="F384">
        <v>1.4730000000000001</v>
      </c>
      <c r="G384" t="s">
        <v>18</v>
      </c>
    </row>
    <row r="385" spans="1:7" x14ac:dyDescent="0.25">
      <c r="A385">
        <v>22</v>
      </c>
      <c r="B385" t="s">
        <v>272</v>
      </c>
      <c r="C385">
        <v>60</v>
      </c>
      <c r="D385" t="s">
        <v>274</v>
      </c>
      <c r="E385" t="s">
        <v>11</v>
      </c>
      <c r="F385">
        <v>1</v>
      </c>
      <c r="G385" t="s">
        <v>18</v>
      </c>
    </row>
    <row r="386" spans="1:7" x14ac:dyDescent="0.25">
      <c r="A386">
        <v>22</v>
      </c>
      <c r="B386" t="s">
        <v>272</v>
      </c>
      <c r="C386">
        <v>70</v>
      </c>
      <c r="D386" t="s">
        <v>148</v>
      </c>
      <c r="E386" t="s">
        <v>17</v>
      </c>
      <c r="F386">
        <v>21.184000000000001</v>
      </c>
      <c r="G386" t="s">
        <v>15</v>
      </c>
    </row>
    <row r="387" spans="1:7" x14ac:dyDescent="0.25">
      <c r="A387">
        <v>22</v>
      </c>
      <c r="B387" t="s">
        <v>272</v>
      </c>
      <c r="C387">
        <v>80</v>
      </c>
      <c r="D387" t="s">
        <v>20</v>
      </c>
      <c r="E387" t="s">
        <v>17</v>
      </c>
      <c r="F387">
        <v>173.70599999999999</v>
      </c>
      <c r="G387" t="s">
        <v>15</v>
      </c>
    </row>
    <row r="388" spans="1:7" x14ac:dyDescent="0.25">
      <c r="A388">
        <v>22</v>
      </c>
      <c r="B388" t="s">
        <v>272</v>
      </c>
      <c r="C388">
        <v>90</v>
      </c>
      <c r="D388" t="s">
        <v>24</v>
      </c>
      <c r="E388" t="s">
        <v>11</v>
      </c>
      <c r="F388">
        <v>1</v>
      </c>
      <c r="G388" t="s">
        <v>15</v>
      </c>
    </row>
    <row r="389" spans="1:7" x14ac:dyDescent="0.25">
      <c r="A389">
        <v>22</v>
      </c>
      <c r="B389" t="s">
        <v>272</v>
      </c>
      <c r="C389">
        <v>100</v>
      </c>
      <c r="D389" t="s">
        <v>141</v>
      </c>
      <c r="E389" t="s">
        <v>14</v>
      </c>
      <c r="F389">
        <v>0.123</v>
      </c>
      <c r="G389" t="s">
        <v>15</v>
      </c>
    </row>
    <row r="390" spans="1:7" x14ac:dyDescent="0.25">
      <c r="A390">
        <v>22</v>
      </c>
      <c r="B390" t="s">
        <v>272</v>
      </c>
      <c r="C390">
        <v>110</v>
      </c>
      <c r="D390" t="s">
        <v>140</v>
      </c>
      <c r="E390" t="s">
        <v>11</v>
      </c>
      <c r="F390">
        <v>4</v>
      </c>
      <c r="G390" t="s">
        <v>15</v>
      </c>
    </row>
    <row r="391" spans="1:7" x14ac:dyDescent="0.25">
      <c r="A391">
        <v>22</v>
      </c>
      <c r="B391" t="s">
        <v>272</v>
      </c>
      <c r="C391">
        <v>120</v>
      </c>
      <c r="D391" t="s">
        <v>25</v>
      </c>
      <c r="E391" t="s">
        <v>11</v>
      </c>
      <c r="F391">
        <v>1</v>
      </c>
      <c r="G391" t="s">
        <v>15</v>
      </c>
    </row>
    <row r="392" spans="1:7" x14ac:dyDescent="0.25">
      <c r="A392">
        <v>22</v>
      </c>
      <c r="B392" t="s">
        <v>272</v>
      </c>
      <c r="C392">
        <v>130</v>
      </c>
      <c r="D392" t="s">
        <v>26</v>
      </c>
      <c r="E392" t="s">
        <v>11</v>
      </c>
      <c r="F392">
        <v>1</v>
      </c>
      <c r="G392" t="s">
        <v>15</v>
      </c>
    </row>
    <row r="393" spans="1:7" x14ac:dyDescent="0.25">
      <c r="A393">
        <v>22</v>
      </c>
      <c r="B393" t="s">
        <v>272</v>
      </c>
      <c r="C393">
        <v>140</v>
      </c>
      <c r="D393" t="s">
        <v>100</v>
      </c>
      <c r="E393" t="s">
        <v>14</v>
      </c>
      <c r="F393">
        <v>1.1890000000000001</v>
      </c>
      <c r="G393" t="s">
        <v>15</v>
      </c>
    </row>
    <row r="394" spans="1:7" x14ac:dyDescent="0.25">
      <c r="A394">
        <v>22</v>
      </c>
      <c r="B394" t="s">
        <v>272</v>
      </c>
      <c r="C394">
        <v>150</v>
      </c>
      <c r="D394" t="s">
        <v>275</v>
      </c>
      <c r="E394" t="s">
        <v>11</v>
      </c>
      <c r="F394">
        <v>1</v>
      </c>
      <c r="G394" t="s">
        <v>18</v>
      </c>
    </row>
    <row r="395" spans="1:7" x14ac:dyDescent="0.25">
      <c r="A395">
        <v>22</v>
      </c>
      <c r="B395" t="s">
        <v>272</v>
      </c>
      <c r="C395">
        <v>160</v>
      </c>
      <c r="D395" t="s">
        <v>276</v>
      </c>
      <c r="E395" t="s">
        <v>11</v>
      </c>
      <c r="F395">
        <v>1</v>
      </c>
      <c r="G395" t="s">
        <v>18</v>
      </c>
    </row>
    <row r="396" spans="1:7" x14ac:dyDescent="0.25">
      <c r="A396">
        <v>22</v>
      </c>
      <c r="B396" t="s">
        <v>272</v>
      </c>
      <c r="C396">
        <v>170</v>
      </c>
      <c r="D396" t="s">
        <v>142</v>
      </c>
      <c r="E396" t="s">
        <v>11</v>
      </c>
      <c r="F396">
        <v>7.0609999999999999</v>
      </c>
      <c r="G396" t="s">
        <v>15</v>
      </c>
    </row>
    <row r="397" spans="1:7" x14ac:dyDescent="0.25">
      <c r="A397">
        <v>22</v>
      </c>
      <c r="B397" t="s">
        <v>272</v>
      </c>
      <c r="C397">
        <v>180</v>
      </c>
      <c r="D397" t="s">
        <v>277</v>
      </c>
      <c r="E397" t="s">
        <v>11</v>
      </c>
      <c r="F397">
        <v>1</v>
      </c>
      <c r="G397" t="s">
        <v>18</v>
      </c>
    </row>
    <row r="398" spans="1:7" x14ac:dyDescent="0.25">
      <c r="A398">
        <v>23</v>
      </c>
      <c r="B398" t="s">
        <v>278</v>
      </c>
      <c r="C398">
        <v>10</v>
      </c>
      <c r="D398" t="s">
        <v>279</v>
      </c>
      <c r="E398" t="s">
        <v>11</v>
      </c>
      <c r="F398">
        <v>1</v>
      </c>
      <c r="G398" t="s">
        <v>18</v>
      </c>
    </row>
    <row r="399" spans="1:7" x14ac:dyDescent="0.25">
      <c r="A399">
        <v>23</v>
      </c>
      <c r="B399" t="s">
        <v>278</v>
      </c>
      <c r="C399">
        <v>20</v>
      </c>
      <c r="D399" t="s">
        <v>130</v>
      </c>
      <c r="E399" t="s">
        <v>14</v>
      </c>
      <c r="F399">
        <v>4.585</v>
      </c>
      <c r="G399" t="s">
        <v>15</v>
      </c>
    </row>
    <row r="400" spans="1:7" x14ac:dyDescent="0.25">
      <c r="A400">
        <v>23</v>
      </c>
      <c r="B400" t="s">
        <v>278</v>
      </c>
      <c r="C400">
        <v>30</v>
      </c>
      <c r="D400" t="s">
        <v>102</v>
      </c>
      <c r="E400" t="s">
        <v>103</v>
      </c>
      <c r="F400">
        <v>1.208</v>
      </c>
      <c r="G400" t="s">
        <v>15</v>
      </c>
    </row>
    <row r="401" spans="1:7" x14ac:dyDescent="0.25">
      <c r="A401">
        <v>23</v>
      </c>
      <c r="B401" t="s">
        <v>278</v>
      </c>
      <c r="C401">
        <v>40</v>
      </c>
      <c r="D401" t="s">
        <v>146</v>
      </c>
      <c r="E401" t="s">
        <v>11</v>
      </c>
      <c r="F401">
        <v>1.6259999999999999</v>
      </c>
      <c r="G401" t="s">
        <v>18</v>
      </c>
    </row>
    <row r="402" spans="1:7" x14ac:dyDescent="0.25">
      <c r="A402">
        <v>23</v>
      </c>
      <c r="B402" t="s">
        <v>278</v>
      </c>
      <c r="C402">
        <v>50</v>
      </c>
      <c r="D402" t="s">
        <v>139</v>
      </c>
      <c r="E402" t="s">
        <v>17</v>
      </c>
      <c r="F402">
        <v>1.6259999999999999</v>
      </c>
      <c r="G402" t="s">
        <v>18</v>
      </c>
    </row>
    <row r="403" spans="1:7" x14ac:dyDescent="0.25">
      <c r="A403">
        <v>23</v>
      </c>
      <c r="B403" t="s">
        <v>278</v>
      </c>
      <c r="C403">
        <v>60</v>
      </c>
      <c r="D403" t="s">
        <v>280</v>
      </c>
      <c r="E403" t="s">
        <v>11</v>
      </c>
      <c r="F403">
        <v>1</v>
      </c>
      <c r="G403" t="s">
        <v>18</v>
      </c>
    </row>
    <row r="404" spans="1:7" x14ac:dyDescent="0.25">
      <c r="A404">
        <v>23</v>
      </c>
      <c r="B404" t="s">
        <v>278</v>
      </c>
      <c r="C404">
        <v>70</v>
      </c>
      <c r="D404" t="s">
        <v>148</v>
      </c>
      <c r="E404" t="s">
        <v>17</v>
      </c>
      <c r="F404">
        <v>22.097999999999999</v>
      </c>
      <c r="G404" t="s">
        <v>15</v>
      </c>
    </row>
    <row r="405" spans="1:7" x14ac:dyDescent="0.25">
      <c r="A405">
        <v>23</v>
      </c>
      <c r="B405" t="s">
        <v>278</v>
      </c>
      <c r="C405">
        <v>80</v>
      </c>
      <c r="D405" t="s">
        <v>20</v>
      </c>
      <c r="E405" t="s">
        <v>17</v>
      </c>
      <c r="F405">
        <v>181.20400000000001</v>
      </c>
      <c r="G405" t="s">
        <v>15</v>
      </c>
    </row>
    <row r="406" spans="1:7" x14ac:dyDescent="0.25">
      <c r="A406">
        <v>23</v>
      </c>
      <c r="B406" t="s">
        <v>278</v>
      </c>
      <c r="C406">
        <v>90</v>
      </c>
      <c r="D406" t="s">
        <v>24</v>
      </c>
      <c r="E406" t="s">
        <v>11</v>
      </c>
      <c r="F406">
        <v>1</v>
      </c>
      <c r="G406" t="s">
        <v>15</v>
      </c>
    </row>
    <row r="407" spans="1:7" x14ac:dyDescent="0.25">
      <c r="A407">
        <v>23</v>
      </c>
      <c r="B407" t="s">
        <v>278</v>
      </c>
      <c r="C407">
        <v>100</v>
      </c>
      <c r="D407" t="s">
        <v>141</v>
      </c>
      <c r="E407" t="s">
        <v>14</v>
      </c>
      <c r="F407">
        <v>0.13300000000000001</v>
      </c>
      <c r="G407" t="s">
        <v>15</v>
      </c>
    </row>
    <row r="408" spans="1:7" x14ac:dyDescent="0.25">
      <c r="A408">
        <v>23</v>
      </c>
      <c r="B408" t="s">
        <v>278</v>
      </c>
      <c r="C408">
        <v>110</v>
      </c>
      <c r="D408" t="s">
        <v>140</v>
      </c>
      <c r="E408" t="s">
        <v>11</v>
      </c>
      <c r="F408">
        <v>4</v>
      </c>
      <c r="G408" t="s">
        <v>15</v>
      </c>
    </row>
    <row r="409" spans="1:7" x14ac:dyDescent="0.25">
      <c r="A409">
        <v>23</v>
      </c>
      <c r="B409" t="s">
        <v>278</v>
      </c>
      <c r="C409">
        <v>120</v>
      </c>
      <c r="D409" t="s">
        <v>25</v>
      </c>
      <c r="E409" t="s">
        <v>11</v>
      </c>
      <c r="F409">
        <v>1</v>
      </c>
      <c r="G409" t="s">
        <v>15</v>
      </c>
    </row>
    <row r="410" spans="1:7" x14ac:dyDescent="0.25">
      <c r="A410">
        <v>23</v>
      </c>
      <c r="B410" t="s">
        <v>278</v>
      </c>
      <c r="C410">
        <v>130</v>
      </c>
      <c r="D410" t="s">
        <v>26</v>
      </c>
      <c r="E410" t="s">
        <v>11</v>
      </c>
      <c r="F410">
        <v>1</v>
      </c>
      <c r="G410" t="s">
        <v>15</v>
      </c>
    </row>
    <row r="411" spans="1:7" x14ac:dyDescent="0.25">
      <c r="A411">
        <v>23</v>
      </c>
      <c r="B411" t="s">
        <v>278</v>
      </c>
      <c r="C411">
        <v>140</v>
      </c>
      <c r="D411" t="s">
        <v>100</v>
      </c>
      <c r="E411" t="s">
        <v>14</v>
      </c>
      <c r="F411">
        <v>1.1890000000000001</v>
      </c>
      <c r="G411" t="s">
        <v>15</v>
      </c>
    </row>
    <row r="412" spans="1:7" x14ac:dyDescent="0.25">
      <c r="A412">
        <v>23</v>
      </c>
      <c r="B412" t="s">
        <v>278</v>
      </c>
      <c r="C412">
        <v>150</v>
      </c>
      <c r="D412" t="s">
        <v>281</v>
      </c>
      <c r="E412" t="s">
        <v>11</v>
      </c>
      <c r="F412">
        <v>1</v>
      </c>
      <c r="G412" t="s">
        <v>18</v>
      </c>
    </row>
    <row r="413" spans="1:7" x14ac:dyDescent="0.25">
      <c r="A413">
        <v>23</v>
      </c>
      <c r="B413" t="s">
        <v>278</v>
      </c>
      <c r="C413">
        <v>160</v>
      </c>
      <c r="D413" t="s">
        <v>282</v>
      </c>
      <c r="E413" t="s">
        <v>11</v>
      </c>
      <c r="F413">
        <v>1</v>
      </c>
      <c r="G413" t="s">
        <v>18</v>
      </c>
    </row>
    <row r="414" spans="1:7" x14ac:dyDescent="0.25">
      <c r="A414">
        <v>23</v>
      </c>
      <c r="B414" t="s">
        <v>278</v>
      </c>
      <c r="C414">
        <v>170</v>
      </c>
      <c r="D414" t="s">
        <v>142</v>
      </c>
      <c r="E414" t="s">
        <v>11</v>
      </c>
      <c r="F414">
        <v>7.3659999999999997</v>
      </c>
      <c r="G414" t="s">
        <v>15</v>
      </c>
    </row>
    <row r="415" spans="1:7" x14ac:dyDescent="0.25">
      <c r="A415">
        <v>23</v>
      </c>
      <c r="B415" t="s">
        <v>278</v>
      </c>
      <c r="C415">
        <v>180</v>
      </c>
      <c r="D415" t="s">
        <v>283</v>
      </c>
      <c r="E415" t="s">
        <v>11</v>
      </c>
      <c r="F415">
        <v>1</v>
      </c>
      <c r="G415" t="s">
        <v>18</v>
      </c>
    </row>
    <row r="416" spans="1:7" x14ac:dyDescent="0.25">
      <c r="A416">
        <v>24</v>
      </c>
      <c r="B416" t="s">
        <v>284</v>
      </c>
      <c r="C416">
        <v>10</v>
      </c>
      <c r="D416" t="s">
        <v>285</v>
      </c>
      <c r="E416" t="s">
        <v>11</v>
      </c>
      <c r="F416">
        <v>1</v>
      </c>
      <c r="G416" t="s">
        <v>18</v>
      </c>
    </row>
    <row r="417" spans="1:7" x14ac:dyDescent="0.25">
      <c r="A417">
        <v>24</v>
      </c>
      <c r="B417" t="s">
        <v>284</v>
      </c>
      <c r="C417">
        <v>20</v>
      </c>
      <c r="D417" t="s">
        <v>131</v>
      </c>
      <c r="E417" t="s">
        <v>14</v>
      </c>
      <c r="F417">
        <v>5.0049999999999999</v>
      </c>
      <c r="G417" t="s">
        <v>15</v>
      </c>
    </row>
    <row r="418" spans="1:7" x14ac:dyDescent="0.25">
      <c r="A418">
        <v>24</v>
      </c>
      <c r="B418" t="s">
        <v>284</v>
      </c>
      <c r="C418">
        <v>30</v>
      </c>
      <c r="D418" t="s">
        <v>102</v>
      </c>
      <c r="E418" t="s">
        <v>103</v>
      </c>
      <c r="F418">
        <v>1.325</v>
      </c>
      <c r="G418" t="s">
        <v>15</v>
      </c>
    </row>
    <row r="419" spans="1:7" x14ac:dyDescent="0.25">
      <c r="A419">
        <v>24</v>
      </c>
      <c r="B419" t="s">
        <v>284</v>
      </c>
      <c r="C419">
        <v>40</v>
      </c>
      <c r="D419" t="s">
        <v>146</v>
      </c>
      <c r="E419" t="s">
        <v>11</v>
      </c>
      <c r="F419">
        <v>1.778</v>
      </c>
      <c r="G419" t="s">
        <v>18</v>
      </c>
    </row>
    <row r="420" spans="1:7" x14ac:dyDescent="0.25">
      <c r="A420">
        <v>24</v>
      </c>
      <c r="B420" t="s">
        <v>284</v>
      </c>
      <c r="C420">
        <v>50</v>
      </c>
      <c r="D420" t="s">
        <v>139</v>
      </c>
      <c r="E420" t="s">
        <v>17</v>
      </c>
      <c r="F420">
        <v>1.778</v>
      </c>
      <c r="G420" t="s">
        <v>18</v>
      </c>
    </row>
    <row r="421" spans="1:7" x14ac:dyDescent="0.25">
      <c r="A421">
        <v>24</v>
      </c>
      <c r="B421" t="s">
        <v>284</v>
      </c>
      <c r="C421">
        <v>60</v>
      </c>
      <c r="D421" t="s">
        <v>286</v>
      </c>
      <c r="E421" t="s">
        <v>11</v>
      </c>
      <c r="F421">
        <v>1</v>
      </c>
      <c r="G421" t="s">
        <v>18</v>
      </c>
    </row>
    <row r="422" spans="1:7" x14ac:dyDescent="0.25">
      <c r="A422">
        <v>24</v>
      </c>
      <c r="B422" t="s">
        <v>284</v>
      </c>
      <c r="C422">
        <v>70</v>
      </c>
      <c r="D422" t="s">
        <v>148</v>
      </c>
      <c r="E422" t="s">
        <v>17</v>
      </c>
      <c r="F422">
        <v>23.012</v>
      </c>
      <c r="G422" t="s">
        <v>15</v>
      </c>
    </row>
    <row r="423" spans="1:7" x14ac:dyDescent="0.25">
      <c r="A423">
        <v>24</v>
      </c>
      <c r="B423" t="s">
        <v>284</v>
      </c>
      <c r="C423">
        <v>80</v>
      </c>
      <c r="D423" t="s">
        <v>20</v>
      </c>
      <c r="E423" t="s">
        <v>17</v>
      </c>
      <c r="F423">
        <v>188.702</v>
      </c>
      <c r="G423" t="s">
        <v>15</v>
      </c>
    </row>
    <row r="424" spans="1:7" x14ac:dyDescent="0.25">
      <c r="A424">
        <v>24</v>
      </c>
      <c r="B424" t="s">
        <v>284</v>
      </c>
      <c r="C424">
        <v>90</v>
      </c>
      <c r="D424" t="s">
        <v>24</v>
      </c>
      <c r="E424" t="s">
        <v>11</v>
      </c>
      <c r="F424">
        <v>1</v>
      </c>
      <c r="G424" t="s">
        <v>15</v>
      </c>
    </row>
    <row r="425" spans="1:7" x14ac:dyDescent="0.25">
      <c r="A425">
        <v>24</v>
      </c>
      <c r="B425" t="s">
        <v>284</v>
      </c>
      <c r="C425">
        <v>100</v>
      </c>
      <c r="D425" t="s">
        <v>141</v>
      </c>
      <c r="E425" t="s">
        <v>14</v>
      </c>
      <c r="F425">
        <v>0.14299999999999999</v>
      </c>
      <c r="G425" t="s">
        <v>15</v>
      </c>
    </row>
    <row r="426" spans="1:7" x14ac:dyDescent="0.25">
      <c r="A426">
        <v>24</v>
      </c>
      <c r="B426" t="s">
        <v>284</v>
      </c>
      <c r="C426">
        <v>110</v>
      </c>
      <c r="D426" t="s">
        <v>140</v>
      </c>
      <c r="E426" t="s">
        <v>11</v>
      </c>
      <c r="F426">
        <v>4</v>
      </c>
      <c r="G426" t="s">
        <v>15</v>
      </c>
    </row>
    <row r="427" spans="1:7" x14ac:dyDescent="0.25">
      <c r="A427">
        <v>24</v>
      </c>
      <c r="B427" t="s">
        <v>284</v>
      </c>
      <c r="C427">
        <v>120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24</v>
      </c>
      <c r="B428" t="s">
        <v>284</v>
      </c>
      <c r="C428">
        <v>130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24</v>
      </c>
      <c r="B429" t="s">
        <v>284</v>
      </c>
      <c r="C429">
        <v>140</v>
      </c>
      <c r="D429" t="s">
        <v>100</v>
      </c>
      <c r="E429" t="s">
        <v>14</v>
      </c>
      <c r="F429">
        <v>1.1890000000000001</v>
      </c>
      <c r="G429" t="s">
        <v>15</v>
      </c>
    </row>
    <row r="430" spans="1:7" x14ac:dyDescent="0.25">
      <c r="A430">
        <v>24</v>
      </c>
      <c r="B430" t="s">
        <v>284</v>
      </c>
      <c r="C430">
        <v>150</v>
      </c>
      <c r="D430" t="s">
        <v>287</v>
      </c>
      <c r="E430" t="s">
        <v>11</v>
      </c>
      <c r="F430">
        <v>1</v>
      </c>
      <c r="G430" t="s">
        <v>18</v>
      </c>
    </row>
    <row r="431" spans="1:7" x14ac:dyDescent="0.25">
      <c r="A431">
        <v>24</v>
      </c>
      <c r="B431" t="s">
        <v>284</v>
      </c>
      <c r="C431">
        <v>160</v>
      </c>
      <c r="D431" t="s">
        <v>288</v>
      </c>
      <c r="E431" t="s">
        <v>11</v>
      </c>
      <c r="F431">
        <v>1</v>
      </c>
      <c r="G431" t="s">
        <v>18</v>
      </c>
    </row>
    <row r="432" spans="1:7" x14ac:dyDescent="0.25">
      <c r="A432">
        <v>24</v>
      </c>
      <c r="B432" t="s">
        <v>284</v>
      </c>
      <c r="C432">
        <v>170</v>
      </c>
      <c r="D432" t="s">
        <v>142</v>
      </c>
      <c r="E432" t="s">
        <v>11</v>
      </c>
      <c r="F432">
        <v>7.6710000000000003</v>
      </c>
      <c r="G432" t="s">
        <v>15</v>
      </c>
    </row>
    <row r="433" spans="1:7" x14ac:dyDescent="0.25">
      <c r="A433">
        <v>24</v>
      </c>
      <c r="B433" t="s">
        <v>284</v>
      </c>
      <c r="C433">
        <v>180</v>
      </c>
      <c r="D433" t="s">
        <v>289</v>
      </c>
      <c r="E433" t="s">
        <v>11</v>
      </c>
      <c r="F433">
        <v>1</v>
      </c>
      <c r="G433" t="s">
        <v>18</v>
      </c>
    </row>
    <row r="434" spans="1:7" x14ac:dyDescent="0.25">
      <c r="A434">
        <v>25</v>
      </c>
      <c r="B434" t="s">
        <v>290</v>
      </c>
      <c r="C434">
        <v>10</v>
      </c>
      <c r="D434" t="s">
        <v>291</v>
      </c>
      <c r="E434" t="s">
        <v>11</v>
      </c>
      <c r="F434">
        <v>1</v>
      </c>
      <c r="G434" t="s">
        <v>18</v>
      </c>
    </row>
    <row r="435" spans="1:7" x14ac:dyDescent="0.25">
      <c r="A435">
        <v>25</v>
      </c>
      <c r="B435" t="s">
        <v>290</v>
      </c>
      <c r="C435">
        <v>20</v>
      </c>
      <c r="D435" t="s">
        <v>132</v>
      </c>
      <c r="E435" t="s">
        <v>14</v>
      </c>
      <c r="F435">
        <v>2.5489999999999999</v>
      </c>
      <c r="G435" t="s">
        <v>15</v>
      </c>
    </row>
    <row r="436" spans="1:7" x14ac:dyDescent="0.25">
      <c r="A436">
        <v>25</v>
      </c>
      <c r="B436" t="s">
        <v>290</v>
      </c>
      <c r="C436">
        <v>30</v>
      </c>
      <c r="D436" t="s">
        <v>102</v>
      </c>
      <c r="E436" t="s">
        <v>103</v>
      </c>
      <c r="F436">
        <v>0.64</v>
      </c>
      <c r="G436" t="s">
        <v>15</v>
      </c>
    </row>
    <row r="437" spans="1:7" x14ac:dyDescent="0.25">
      <c r="A437">
        <v>25</v>
      </c>
      <c r="B437" t="s">
        <v>290</v>
      </c>
      <c r="C437">
        <v>40</v>
      </c>
      <c r="D437" t="s">
        <v>146</v>
      </c>
      <c r="E437" t="s">
        <v>11</v>
      </c>
      <c r="F437">
        <v>2.0569999999999999</v>
      </c>
      <c r="G437" t="s">
        <v>18</v>
      </c>
    </row>
    <row r="438" spans="1:7" x14ac:dyDescent="0.25">
      <c r="A438">
        <v>25</v>
      </c>
      <c r="B438" t="s">
        <v>290</v>
      </c>
      <c r="C438">
        <v>50</v>
      </c>
      <c r="D438" t="s">
        <v>139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25</v>
      </c>
      <c r="B439" t="s">
        <v>290</v>
      </c>
      <c r="C439">
        <v>60</v>
      </c>
      <c r="D439" t="s">
        <v>292</v>
      </c>
      <c r="E439" t="s">
        <v>11</v>
      </c>
      <c r="F439">
        <v>1</v>
      </c>
      <c r="G439" t="s">
        <v>18</v>
      </c>
    </row>
    <row r="440" spans="1:7" x14ac:dyDescent="0.25">
      <c r="A440">
        <v>25</v>
      </c>
      <c r="B440" t="s">
        <v>290</v>
      </c>
      <c r="C440">
        <v>70</v>
      </c>
      <c r="D440" t="s">
        <v>148</v>
      </c>
      <c r="E440" t="s">
        <v>17</v>
      </c>
      <c r="F440">
        <v>17.831</v>
      </c>
      <c r="G440" t="s">
        <v>15</v>
      </c>
    </row>
    <row r="441" spans="1:7" x14ac:dyDescent="0.25">
      <c r="A441">
        <v>25</v>
      </c>
      <c r="B441" t="s">
        <v>290</v>
      </c>
      <c r="C441">
        <v>80</v>
      </c>
      <c r="D441" t="s">
        <v>20</v>
      </c>
      <c r="E441" t="s">
        <v>17</v>
      </c>
      <c r="F441">
        <v>146.21299999999999</v>
      </c>
      <c r="G441" t="s">
        <v>15</v>
      </c>
    </row>
    <row r="442" spans="1:7" x14ac:dyDescent="0.25">
      <c r="A442">
        <v>25</v>
      </c>
      <c r="B442" t="s">
        <v>290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25</v>
      </c>
      <c r="B443" t="s">
        <v>290</v>
      </c>
      <c r="C443">
        <v>100</v>
      </c>
      <c r="D443" t="s">
        <v>141</v>
      </c>
      <c r="E443" t="s">
        <v>14</v>
      </c>
      <c r="F443">
        <v>8.1000000000000003E-2</v>
      </c>
      <c r="G443" t="s">
        <v>15</v>
      </c>
    </row>
    <row r="444" spans="1:7" x14ac:dyDescent="0.25">
      <c r="A444">
        <v>25</v>
      </c>
      <c r="B444" t="s">
        <v>290</v>
      </c>
      <c r="C444">
        <v>110</v>
      </c>
      <c r="D444" t="s">
        <v>140</v>
      </c>
      <c r="E444" t="s">
        <v>11</v>
      </c>
      <c r="F444">
        <v>4</v>
      </c>
      <c r="G444" t="s">
        <v>15</v>
      </c>
    </row>
    <row r="445" spans="1:7" x14ac:dyDescent="0.25">
      <c r="A445">
        <v>25</v>
      </c>
      <c r="B445" t="s">
        <v>290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25</v>
      </c>
      <c r="B446" t="s">
        <v>290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25</v>
      </c>
      <c r="B447" t="s">
        <v>290</v>
      </c>
      <c r="C447">
        <v>140</v>
      </c>
      <c r="D447" t="s">
        <v>100</v>
      </c>
      <c r="E447" t="s">
        <v>14</v>
      </c>
      <c r="F447">
        <v>1.216</v>
      </c>
      <c r="G447" t="s">
        <v>15</v>
      </c>
    </row>
    <row r="448" spans="1:7" x14ac:dyDescent="0.25">
      <c r="A448">
        <v>25</v>
      </c>
      <c r="B448" t="s">
        <v>290</v>
      </c>
      <c r="C448">
        <v>150</v>
      </c>
      <c r="D448" t="s">
        <v>293</v>
      </c>
      <c r="E448" t="s">
        <v>11</v>
      </c>
      <c r="F448">
        <v>1</v>
      </c>
      <c r="G448" t="s">
        <v>18</v>
      </c>
    </row>
    <row r="449" spans="1:7" x14ac:dyDescent="0.25">
      <c r="A449">
        <v>25</v>
      </c>
      <c r="B449" t="s">
        <v>290</v>
      </c>
      <c r="C449">
        <v>160</v>
      </c>
      <c r="D449" t="s">
        <v>294</v>
      </c>
      <c r="E449" t="s">
        <v>11</v>
      </c>
      <c r="F449">
        <v>1</v>
      </c>
      <c r="G449" t="s">
        <v>18</v>
      </c>
    </row>
    <row r="450" spans="1:7" x14ac:dyDescent="0.25">
      <c r="A450">
        <v>25</v>
      </c>
      <c r="B450" t="s">
        <v>290</v>
      </c>
      <c r="C450">
        <v>170</v>
      </c>
      <c r="D450" t="s">
        <v>142</v>
      </c>
      <c r="E450" t="s">
        <v>11</v>
      </c>
      <c r="F450">
        <v>5.944</v>
      </c>
      <c r="G450" t="s">
        <v>15</v>
      </c>
    </row>
    <row r="451" spans="1:7" x14ac:dyDescent="0.25">
      <c r="A451">
        <v>25</v>
      </c>
      <c r="B451" t="s">
        <v>290</v>
      </c>
      <c r="C451">
        <v>180</v>
      </c>
      <c r="D451" t="s">
        <v>295</v>
      </c>
      <c r="E451" t="s">
        <v>11</v>
      </c>
      <c r="F451">
        <v>1</v>
      </c>
      <c r="G451" t="s">
        <v>18</v>
      </c>
    </row>
    <row r="452" spans="1:7" x14ac:dyDescent="0.25">
      <c r="A452">
        <v>26</v>
      </c>
      <c r="B452" t="s">
        <v>296</v>
      </c>
      <c r="C452">
        <v>10</v>
      </c>
      <c r="D452" t="s">
        <v>297</v>
      </c>
      <c r="E452" t="s">
        <v>11</v>
      </c>
      <c r="F452">
        <v>1</v>
      </c>
      <c r="G452" t="s">
        <v>18</v>
      </c>
    </row>
    <row r="453" spans="1:7" x14ac:dyDescent="0.25">
      <c r="A453">
        <v>26</v>
      </c>
      <c r="B453" t="s">
        <v>296</v>
      </c>
      <c r="C453">
        <v>20</v>
      </c>
      <c r="D453" t="s">
        <v>132</v>
      </c>
      <c r="E453" t="s">
        <v>14</v>
      </c>
      <c r="F453">
        <v>2.98</v>
      </c>
      <c r="G453" t="s">
        <v>15</v>
      </c>
    </row>
    <row r="454" spans="1:7" x14ac:dyDescent="0.25">
      <c r="A454">
        <v>26</v>
      </c>
      <c r="B454" t="s">
        <v>296</v>
      </c>
      <c r="C454">
        <v>30</v>
      </c>
      <c r="D454" t="s">
        <v>102</v>
      </c>
      <c r="E454" t="s">
        <v>103</v>
      </c>
      <c r="F454">
        <v>0.76</v>
      </c>
      <c r="G454" t="s">
        <v>15</v>
      </c>
    </row>
    <row r="455" spans="1:7" x14ac:dyDescent="0.25">
      <c r="A455">
        <v>26</v>
      </c>
      <c r="B455" t="s">
        <v>296</v>
      </c>
      <c r="C455">
        <v>40</v>
      </c>
      <c r="D455" t="s">
        <v>146</v>
      </c>
      <c r="E455" t="s">
        <v>11</v>
      </c>
      <c r="F455">
        <v>2.0569999999999999</v>
      </c>
      <c r="G455" t="s">
        <v>18</v>
      </c>
    </row>
    <row r="456" spans="1:7" x14ac:dyDescent="0.25">
      <c r="A456">
        <v>26</v>
      </c>
      <c r="B456" t="s">
        <v>296</v>
      </c>
      <c r="C456">
        <v>50</v>
      </c>
      <c r="D456" t="s">
        <v>139</v>
      </c>
      <c r="E456" t="s">
        <v>17</v>
      </c>
      <c r="F456">
        <v>2.0569999999999999</v>
      </c>
      <c r="G456" t="s">
        <v>18</v>
      </c>
    </row>
    <row r="457" spans="1:7" x14ac:dyDescent="0.25">
      <c r="A457">
        <v>26</v>
      </c>
      <c r="B457" t="s">
        <v>296</v>
      </c>
      <c r="C457">
        <v>60</v>
      </c>
      <c r="D457" t="s">
        <v>298</v>
      </c>
      <c r="E457" t="s">
        <v>11</v>
      </c>
      <c r="F457">
        <v>1</v>
      </c>
      <c r="G457" t="s">
        <v>18</v>
      </c>
    </row>
    <row r="458" spans="1:7" x14ac:dyDescent="0.25">
      <c r="A458">
        <v>26</v>
      </c>
      <c r="B458" t="s">
        <v>296</v>
      </c>
      <c r="C458">
        <v>70</v>
      </c>
      <c r="D458" t="s">
        <v>148</v>
      </c>
      <c r="E458" t="s">
        <v>17</v>
      </c>
      <c r="F458">
        <v>18.745000000000001</v>
      </c>
      <c r="G458" t="s">
        <v>15</v>
      </c>
    </row>
    <row r="459" spans="1:7" x14ac:dyDescent="0.25">
      <c r="A459">
        <v>26</v>
      </c>
      <c r="B459" t="s">
        <v>296</v>
      </c>
      <c r="C459">
        <v>80</v>
      </c>
      <c r="D459" t="s">
        <v>20</v>
      </c>
      <c r="E459" t="s">
        <v>17</v>
      </c>
      <c r="F459">
        <v>153.71100000000001</v>
      </c>
      <c r="G459" t="s">
        <v>15</v>
      </c>
    </row>
    <row r="460" spans="1:7" x14ac:dyDescent="0.25">
      <c r="A460">
        <v>26</v>
      </c>
      <c r="B460" t="s">
        <v>296</v>
      </c>
      <c r="C460">
        <v>90</v>
      </c>
      <c r="D460" t="s">
        <v>24</v>
      </c>
      <c r="E460" t="s">
        <v>11</v>
      </c>
      <c r="F460">
        <v>1</v>
      </c>
      <c r="G460" t="s">
        <v>15</v>
      </c>
    </row>
    <row r="461" spans="1:7" x14ac:dyDescent="0.25">
      <c r="A461">
        <v>26</v>
      </c>
      <c r="B461" t="s">
        <v>296</v>
      </c>
      <c r="C461">
        <v>100</v>
      </c>
      <c r="D461" t="s">
        <v>141</v>
      </c>
      <c r="E461" t="s">
        <v>14</v>
      </c>
      <c r="F461">
        <v>9.1999999999999998E-2</v>
      </c>
      <c r="G461" t="s">
        <v>15</v>
      </c>
    </row>
    <row r="462" spans="1:7" x14ac:dyDescent="0.25">
      <c r="A462">
        <v>26</v>
      </c>
      <c r="B462" t="s">
        <v>296</v>
      </c>
      <c r="C462">
        <v>110</v>
      </c>
      <c r="D462" t="s">
        <v>140</v>
      </c>
      <c r="E462" t="s">
        <v>11</v>
      </c>
      <c r="F462">
        <v>4</v>
      </c>
      <c r="G462" t="s">
        <v>15</v>
      </c>
    </row>
    <row r="463" spans="1:7" x14ac:dyDescent="0.25">
      <c r="A463">
        <v>26</v>
      </c>
      <c r="B463" t="s">
        <v>296</v>
      </c>
      <c r="C463">
        <v>120</v>
      </c>
      <c r="D463" t="s">
        <v>25</v>
      </c>
      <c r="E463" t="s">
        <v>11</v>
      </c>
      <c r="F463">
        <v>1</v>
      </c>
      <c r="G463" t="s">
        <v>15</v>
      </c>
    </row>
    <row r="464" spans="1:7" x14ac:dyDescent="0.25">
      <c r="A464">
        <v>26</v>
      </c>
      <c r="B464" t="s">
        <v>296</v>
      </c>
      <c r="C464">
        <v>130</v>
      </c>
      <c r="D464" t="s">
        <v>26</v>
      </c>
      <c r="E464" t="s">
        <v>11</v>
      </c>
      <c r="F464">
        <v>1</v>
      </c>
      <c r="G464" t="s">
        <v>15</v>
      </c>
    </row>
    <row r="465" spans="1:7" x14ac:dyDescent="0.25">
      <c r="A465">
        <v>26</v>
      </c>
      <c r="B465" t="s">
        <v>296</v>
      </c>
      <c r="C465">
        <v>140</v>
      </c>
      <c r="D465" t="s">
        <v>100</v>
      </c>
      <c r="E465" t="s">
        <v>14</v>
      </c>
      <c r="F465">
        <v>1.216</v>
      </c>
      <c r="G465" t="s">
        <v>15</v>
      </c>
    </row>
    <row r="466" spans="1:7" x14ac:dyDescent="0.25">
      <c r="A466">
        <v>26</v>
      </c>
      <c r="B466" t="s">
        <v>296</v>
      </c>
      <c r="C466">
        <v>150</v>
      </c>
      <c r="D466" t="s">
        <v>299</v>
      </c>
      <c r="E466" t="s">
        <v>11</v>
      </c>
      <c r="F466">
        <v>1</v>
      </c>
      <c r="G466" t="s">
        <v>18</v>
      </c>
    </row>
    <row r="467" spans="1:7" x14ac:dyDescent="0.25">
      <c r="A467">
        <v>26</v>
      </c>
      <c r="B467" t="s">
        <v>296</v>
      </c>
      <c r="C467">
        <v>160</v>
      </c>
      <c r="D467" t="s">
        <v>300</v>
      </c>
      <c r="E467" t="s">
        <v>11</v>
      </c>
      <c r="F467">
        <v>1</v>
      </c>
      <c r="G467" t="s">
        <v>18</v>
      </c>
    </row>
    <row r="468" spans="1:7" x14ac:dyDescent="0.25">
      <c r="A468">
        <v>26</v>
      </c>
      <c r="B468" t="s">
        <v>296</v>
      </c>
      <c r="C468">
        <v>170</v>
      </c>
      <c r="D468" t="s">
        <v>142</v>
      </c>
      <c r="E468" t="s">
        <v>11</v>
      </c>
      <c r="F468">
        <v>6.2480000000000002</v>
      </c>
      <c r="G468" t="s">
        <v>15</v>
      </c>
    </row>
    <row r="469" spans="1:7" x14ac:dyDescent="0.25">
      <c r="A469">
        <v>26</v>
      </c>
      <c r="B469" t="s">
        <v>296</v>
      </c>
      <c r="C469">
        <v>180</v>
      </c>
      <c r="D469" t="s">
        <v>301</v>
      </c>
      <c r="E469" t="s">
        <v>11</v>
      </c>
      <c r="F469">
        <v>1</v>
      </c>
      <c r="G469" t="s">
        <v>18</v>
      </c>
    </row>
    <row r="470" spans="1:7" x14ac:dyDescent="0.25">
      <c r="A470">
        <v>27</v>
      </c>
      <c r="B470" t="s">
        <v>302</v>
      </c>
      <c r="C470">
        <v>10</v>
      </c>
      <c r="D470" t="s">
        <v>303</v>
      </c>
      <c r="E470" t="s">
        <v>11</v>
      </c>
      <c r="F470">
        <v>1</v>
      </c>
      <c r="G470" t="s">
        <v>18</v>
      </c>
    </row>
    <row r="471" spans="1:7" x14ac:dyDescent="0.25">
      <c r="A471">
        <v>27</v>
      </c>
      <c r="B471" t="s">
        <v>302</v>
      </c>
      <c r="C471">
        <v>20</v>
      </c>
      <c r="D471" t="s">
        <v>132</v>
      </c>
      <c r="E471" t="s">
        <v>14</v>
      </c>
      <c r="F471">
        <v>3.411</v>
      </c>
      <c r="G471" t="s">
        <v>15</v>
      </c>
    </row>
    <row r="472" spans="1:7" x14ac:dyDescent="0.25">
      <c r="A472">
        <v>27</v>
      </c>
      <c r="B472" t="s">
        <v>302</v>
      </c>
      <c r="C472">
        <v>30</v>
      </c>
      <c r="D472" t="s">
        <v>102</v>
      </c>
      <c r="E472" t="s">
        <v>103</v>
      </c>
      <c r="F472">
        <v>0.88</v>
      </c>
      <c r="G472" t="s">
        <v>15</v>
      </c>
    </row>
    <row r="473" spans="1:7" x14ac:dyDescent="0.25">
      <c r="A473">
        <v>27</v>
      </c>
      <c r="B473" t="s">
        <v>302</v>
      </c>
      <c r="C473">
        <v>40</v>
      </c>
      <c r="D473" t="s">
        <v>146</v>
      </c>
      <c r="E473" t="s">
        <v>11</v>
      </c>
      <c r="F473">
        <v>2.0569999999999999</v>
      </c>
      <c r="G473" t="s">
        <v>18</v>
      </c>
    </row>
    <row r="474" spans="1:7" x14ac:dyDescent="0.25">
      <c r="A474">
        <v>27</v>
      </c>
      <c r="B474" t="s">
        <v>302</v>
      </c>
      <c r="C474">
        <v>50</v>
      </c>
      <c r="D474" t="s">
        <v>139</v>
      </c>
      <c r="E474" t="s">
        <v>17</v>
      </c>
      <c r="F474">
        <v>2.0569999999999999</v>
      </c>
      <c r="G474" t="s">
        <v>18</v>
      </c>
    </row>
    <row r="475" spans="1:7" x14ac:dyDescent="0.25">
      <c r="A475">
        <v>27</v>
      </c>
      <c r="B475" t="s">
        <v>302</v>
      </c>
      <c r="C475">
        <v>60</v>
      </c>
      <c r="D475" t="s">
        <v>304</v>
      </c>
      <c r="E475" t="s">
        <v>11</v>
      </c>
      <c r="F475">
        <v>1</v>
      </c>
      <c r="G475" t="s">
        <v>18</v>
      </c>
    </row>
    <row r="476" spans="1:7" x14ac:dyDescent="0.25">
      <c r="A476">
        <v>27</v>
      </c>
      <c r="B476" t="s">
        <v>302</v>
      </c>
      <c r="C476">
        <v>70</v>
      </c>
      <c r="D476" t="s">
        <v>148</v>
      </c>
      <c r="E476" t="s">
        <v>17</v>
      </c>
      <c r="F476">
        <v>19.66</v>
      </c>
      <c r="G476" t="s">
        <v>15</v>
      </c>
    </row>
    <row r="477" spans="1:7" x14ac:dyDescent="0.25">
      <c r="A477">
        <v>27</v>
      </c>
      <c r="B477" t="s">
        <v>302</v>
      </c>
      <c r="C477">
        <v>80</v>
      </c>
      <c r="D477" t="s">
        <v>20</v>
      </c>
      <c r="E477" t="s">
        <v>17</v>
      </c>
      <c r="F477">
        <v>161.209</v>
      </c>
      <c r="G477" t="s">
        <v>15</v>
      </c>
    </row>
    <row r="478" spans="1:7" x14ac:dyDescent="0.25">
      <c r="A478">
        <v>27</v>
      </c>
      <c r="B478" t="s">
        <v>302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27</v>
      </c>
      <c r="B479" t="s">
        <v>302</v>
      </c>
      <c r="C479">
        <v>100</v>
      </c>
      <c r="D479" t="s">
        <v>141</v>
      </c>
      <c r="E479" t="s">
        <v>14</v>
      </c>
      <c r="F479">
        <v>0.10199999999999999</v>
      </c>
      <c r="G479" t="s">
        <v>15</v>
      </c>
    </row>
    <row r="480" spans="1:7" x14ac:dyDescent="0.25">
      <c r="A480">
        <v>27</v>
      </c>
      <c r="B480" t="s">
        <v>302</v>
      </c>
      <c r="C480">
        <v>110</v>
      </c>
      <c r="D480" t="s">
        <v>140</v>
      </c>
      <c r="E480" t="s">
        <v>11</v>
      </c>
      <c r="F480">
        <v>4</v>
      </c>
      <c r="G480" t="s">
        <v>15</v>
      </c>
    </row>
    <row r="481" spans="1:7" x14ac:dyDescent="0.25">
      <c r="A481">
        <v>27</v>
      </c>
      <c r="B481" t="s">
        <v>302</v>
      </c>
      <c r="C481">
        <v>120</v>
      </c>
      <c r="D481" t="s">
        <v>25</v>
      </c>
      <c r="E481" t="s">
        <v>11</v>
      </c>
      <c r="F481">
        <v>1</v>
      </c>
      <c r="G481" t="s">
        <v>15</v>
      </c>
    </row>
    <row r="482" spans="1:7" x14ac:dyDescent="0.25">
      <c r="A482">
        <v>27</v>
      </c>
      <c r="B482" t="s">
        <v>302</v>
      </c>
      <c r="C482">
        <v>130</v>
      </c>
      <c r="D482" t="s">
        <v>26</v>
      </c>
      <c r="E482" t="s">
        <v>11</v>
      </c>
      <c r="F482">
        <v>1</v>
      </c>
      <c r="G482" t="s">
        <v>15</v>
      </c>
    </row>
    <row r="483" spans="1:7" x14ac:dyDescent="0.25">
      <c r="A483">
        <v>27</v>
      </c>
      <c r="B483" t="s">
        <v>302</v>
      </c>
      <c r="C483">
        <v>140</v>
      </c>
      <c r="D483" t="s">
        <v>100</v>
      </c>
      <c r="E483" t="s">
        <v>14</v>
      </c>
      <c r="F483">
        <v>1.216</v>
      </c>
      <c r="G483" t="s">
        <v>15</v>
      </c>
    </row>
    <row r="484" spans="1:7" x14ac:dyDescent="0.25">
      <c r="A484">
        <v>27</v>
      </c>
      <c r="B484" t="s">
        <v>302</v>
      </c>
      <c r="C484">
        <v>150</v>
      </c>
      <c r="D484" t="s">
        <v>305</v>
      </c>
      <c r="E484" t="s">
        <v>11</v>
      </c>
      <c r="F484">
        <v>1</v>
      </c>
      <c r="G484" t="s">
        <v>18</v>
      </c>
    </row>
    <row r="485" spans="1:7" x14ac:dyDescent="0.25">
      <c r="A485">
        <v>27</v>
      </c>
      <c r="B485" t="s">
        <v>302</v>
      </c>
      <c r="C485">
        <v>160</v>
      </c>
      <c r="D485" t="s">
        <v>306</v>
      </c>
      <c r="E485" t="s">
        <v>11</v>
      </c>
      <c r="F485">
        <v>1</v>
      </c>
      <c r="G485" t="s">
        <v>18</v>
      </c>
    </row>
    <row r="486" spans="1:7" x14ac:dyDescent="0.25">
      <c r="A486">
        <v>27</v>
      </c>
      <c r="B486" t="s">
        <v>302</v>
      </c>
      <c r="C486">
        <v>170</v>
      </c>
      <c r="D486" t="s">
        <v>142</v>
      </c>
      <c r="E486" t="s">
        <v>11</v>
      </c>
      <c r="F486">
        <v>6.5529999999999999</v>
      </c>
      <c r="G486" t="s">
        <v>15</v>
      </c>
    </row>
    <row r="487" spans="1:7" x14ac:dyDescent="0.25">
      <c r="A487">
        <v>27</v>
      </c>
      <c r="B487" t="s">
        <v>302</v>
      </c>
      <c r="C487">
        <v>180</v>
      </c>
      <c r="D487" t="s">
        <v>307</v>
      </c>
      <c r="E487" t="s">
        <v>11</v>
      </c>
      <c r="F487">
        <v>1</v>
      </c>
      <c r="G487" t="s">
        <v>18</v>
      </c>
    </row>
    <row r="488" spans="1:7" x14ac:dyDescent="0.25">
      <c r="A488">
        <v>28</v>
      </c>
      <c r="B488" t="s">
        <v>308</v>
      </c>
      <c r="C488">
        <v>10</v>
      </c>
      <c r="D488" t="s">
        <v>309</v>
      </c>
      <c r="E488" t="s">
        <v>11</v>
      </c>
      <c r="F488">
        <v>1</v>
      </c>
      <c r="G488" t="s">
        <v>18</v>
      </c>
    </row>
    <row r="489" spans="1:7" x14ac:dyDescent="0.25">
      <c r="A489">
        <v>28</v>
      </c>
      <c r="B489" t="s">
        <v>308</v>
      </c>
      <c r="C489">
        <v>20</v>
      </c>
      <c r="D489" t="s">
        <v>132</v>
      </c>
      <c r="E489" t="s">
        <v>14</v>
      </c>
      <c r="F489">
        <v>4.2720000000000002</v>
      </c>
      <c r="G489" t="s">
        <v>15</v>
      </c>
    </row>
    <row r="490" spans="1:7" x14ac:dyDescent="0.25">
      <c r="A490">
        <v>28</v>
      </c>
      <c r="B490" t="s">
        <v>308</v>
      </c>
      <c r="C490">
        <v>30</v>
      </c>
      <c r="D490" t="s">
        <v>102</v>
      </c>
      <c r="E490" t="s">
        <v>103</v>
      </c>
      <c r="F490">
        <v>1</v>
      </c>
      <c r="G490" t="s">
        <v>15</v>
      </c>
    </row>
    <row r="491" spans="1:7" x14ac:dyDescent="0.25">
      <c r="A491">
        <v>28</v>
      </c>
      <c r="B491" t="s">
        <v>308</v>
      </c>
      <c r="C491">
        <v>40</v>
      </c>
      <c r="D491" t="s">
        <v>146</v>
      </c>
      <c r="E491" t="s">
        <v>11</v>
      </c>
      <c r="F491">
        <v>2.0569999999999999</v>
      </c>
      <c r="G491" t="s">
        <v>18</v>
      </c>
    </row>
    <row r="492" spans="1:7" x14ac:dyDescent="0.25">
      <c r="A492">
        <v>28</v>
      </c>
      <c r="B492" t="s">
        <v>308</v>
      </c>
      <c r="C492">
        <v>50</v>
      </c>
      <c r="D492" t="s">
        <v>139</v>
      </c>
      <c r="E492" t="s">
        <v>17</v>
      </c>
      <c r="F492">
        <v>2.0569999999999999</v>
      </c>
      <c r="G492" t="s">
        <v>18</v>
      </c>
    </row>
    <row r="493" spans="1:7" x14ac:dyDescent="0.25">
      <c r="A493">
        <v>28</v>
      </c>
      <c r="B493" t="s">
        <v>308</v>
      </c>
      <c r="C493">
        <v>60</v>
      </c>
      <c r="D493" t="s">
        <v>310</v>
      </c>
      <c r="E493" t="s">
        <v>11</v>
      </c>
      <c r="F493">
        <v>1</v>
      </c>
      <c r="G493" t="s">
        <v>18</v>
      </c>
    </row>
    <row r="494" spans="1:7" x14ac:dyDescent="0.25">
      <c r="A494">
        <v>28</v>
      </c>
      <c r="B494" t="s">
        <v>308</v>
      </c>
      <c r="C494">
        <v>70</v>
      </c>
      <c r="D494" t="s">
        <v>148</v>
      </c>
      <c r="E494" t="s">
        <v>17</v>
      </c>
      <c r="F494">
        <v>20.574000000000002</v>
      </c>
      <c r="G494" t="s">
        <v>15</v>
      </c>
    </row>
    <row r="495" spans="1:7" x14ac:dyDescent="0.25">
      <c r="A495">
        <v>28</v>
      </c>
      <c r="B495" t="s">
        <v>308</v>
      </c>
      <c r="C495">
        <v>80</v>
      </c>
      <c r="D495" t="s">
        <v>20</v>
      </c>
      <c r="E495" t="s">
        <v>17</v>
      </c>
      <c r="F495">
        <v>168.70699999999999</v>
      </c>
      <c r="G495" t="s">
        <v>15</v>
      </c>
    </row>
    <row r="496" spans="1:7" x14ac:dyDescent="0.25">
      <c r="A496">
        <v>28</v>
      </c>
      <c r="B496" t="s">
        <v>308</v>
      </c>
      <c r="C496">
        <v>90</v>
      </c>
      <c r="D496" t="s">
        <v>24</v>
      </c>
      <c r="E496" t="s">
        <v>11</v>
      </c>
      <c r="F496">
        <v>1</v>
      </c>
      <c r="G496" t="s">
        <v>15</v>
      </c>
    </row>
    <row r="497" spans="1:7" x14ac:dyDescent="0.25">
      <c r="A497">
        <v>28</v>
      </c>
      <c r="B497" t="s">
        <v>308</v>
      </c>
      <c r="C497">
        <v>100</v>
      </c>
      <c r="D497" t="s">
        <v>141</v>
      </c>
      <c r="E497" t="s">
        <v>14</v>
      </c>
      <c r="F497">
        <v>0.112</v>
      </c>
      <c r="G497" t="s">
        <v>15</v>
      </c>
    </row>
    <row r="498" spans="1:7" x14ac:dyDescent="0.25">
      <c r="A498">
        <v>28</v>
      </c>
      <c r="B498" t="s">
        <v>308</v>
      </c>
      <c r="C498">
        <v>110</v>
      </c>
      <c r="D498" t="s">
        <v>140</v>
      </c>
      <c r="E498" t="s">
        <v>11</v>
      </c>
      <c r="F498">
        <v>4</v>
      </c>
      <c r="G498" t="s">
        <v>15</v>
      </c>
    </row>
    <row r="499" spans="1:7" x14ac:dyDescent="0.25">
      <c r="A499">
        <v>28</v>
      </c>
      <c r="B499" t="s">
        <v>308</v>
      </c>
      <c r="C499">
        <v>120</v>
      </c>
      <c r="D499" t="s">
        <v>25</v>
      </c>
      <c r="E499" t="s">
        <v>11</v>
      </c>
      <c r="F499">
        <v>1</v>
      </c>
      <c r="G499" t="s">
        <v>15</v>
      </c>
    </row>
    <row r="500" spans="1:7" x14ac:dyDescent="0.25">
      <c r="A500">
        <v>28</v>
      </c>
      <c r="B500" t="s">
        <v>308</v>
      </c>
      <c r="C500">
        <v>130</v>
      </c>
      <c r="D500" t="s">
        <v>26</v>
      </c>
      <c r="E500" t="s">
        <v>11</v>
      </c>
      <c r="F500">
        <v>1</v>
      </c>
      <c r="G500" t="s">
        <v>15</v>
      </c>
    </row>
    <row r="501" spans="1:7" x14ac:dyDescent="0.25">
      <c r="A501">
        <v>28</v>
      </c>
      <c r="B501" t="s">
        <v>308</v>
      </c>
      <c r="C501">
        <v>140</v>
      </c>
      <c r="D501" t="s">
        <v>100</v>
      </c>
      <c r="E501" t="s">
        <v>14</v>
      </c>
      <c r="F501">
        <v>1.216</v>
      </c>
      <c r="G501" t="s">
        <v>15</v>
      </c>
    </row>
    <row r="502" spans="1:7" x14ac:dyDescent="0.25">
      <c r="A502">
        <v>28</v>
      </c>
      <c r="B502" t="s">
        <v>308</v>
      </c>
      <c r="C502">
        <v>150</v>
      </c>
      <c r="D502" t="s">
        <v>311</v>
      </c>
      <c r="E502" t="s">
        <v>11</v>
      </c>
      <c r="F502">
        <v>1</v>
      </c>
      <c r="G502" t="s">
        <v>18</v>
      </c>
    </row>
    <row r="503" spans="1:7" x14ac:dyDescent="0.25">
      <c r="A503">
        <v>28</v>
      </c>
      <c r="B503" t="s">
        <v>308</v>
      </c>
      <c r="C503">
        <v>160</v>
      </c>
      <c r="D503" t="s">
        <v>312</v>
      </c>
      <c r="E503" t="s">
        <v>11</v>
      </c>
      <c r="F503">
        <v>1</v>
      </c>
      <c r="G503" t="s">
        <v>18</v>
      </c>
    </row>
    <row r="504" spans="1:7" x14ac:dyDescent="0.25">
      <c r="A504">
        <v>28</v>
      </c>
      <c r="B504" t="s">
        <v>308</v>
      </c>
      <c r="C504">
        <v>170</v>
      </c>
      <c r="D504" t="s">
        <v>142</v>
      </c>
      <c r="E504" t="s">
        <v>11</v>
      </c>
      <c r="F504">
        <v>6.8579999999999997</v>
      </c>
      <c r="G504" t="s">
        <v>15</v>
      </c>
    </row>
    <row r="505" spans="1:7" x14ac:dyDescent="0.25">
      <c r="A505">
        <v>28</v>
      </c>
      <c r="B505" t="s">
        <v>308</v>
      </c>
      <c r="C505">
        <v>180</v>
      </c>
      <c r="D505" t="s">
        <v>313</v>
      </c>
      <c r="E505" t="s">
        <v>11</v>
      </c>
      <c r="F505">
        <v>1</v>
      </c>
      <c r="G505" t="s">
        <v>18</v>
      </c>
    </row>
    <row r="506" spans="1:7" x14ac:dyDescent="0.25">
      <c r="A506">
        <v>29</v>
      </c>
      <c r="B506" t="s">
        <v>314</v>
      </c>
      <c r="C506">
        <v>10</v>
      </c>
      <c r="D506" t="s">
        <v>315</v>
      </c>
      <c r="E506" t="s">
        <v>11</v>
      </c>
      <c r="F506">
        <v>1</v>
      </c>
      <c r="G506" t="s">
        <v>18</v>
      </c>
    </row>
    <row r="507" spans="1:7" x14ac:dyDescent="0.25">
      <c r="A507">
        <v>29</v>
      </c>
      <c r="B507" t="s">
        <v>314</v>
      </c>
      <c r="C507">
        <v>20</v>
      </c>
      <c r="D507" t="s">
        <v>132</v>
      </c>
      <c r="E507" t="s">
        <v>14</v>
      </c>
      <c r="F507">
        <v>4.2720000000000002</v>
      </c>
      <c r="G507" t="s">
        <v>15</v>
      </c>
    </row>
    <row r="508" spans="1:7" x14ac:dyDescent="0.25">
      <c r="A508">
        <v>29</v>
      </c>
      <c r="B508" t="s">
        <v>314</v>
      </c>
      <c r="C508">
        <v>30</v>
      </c>
      <c r="D508" t="s">
        <v>102</v>
      </c>
      <c r="E508" t="s">
        <v>103</v>
      </c>
      <c r="F508">
        <v>1.06</v>
      </c>
      <c r="G508" t="s">
        <v>15</v>
      </c>
    </row>
    <row r="509" spans="1:7" x14ac:dyDescent="0.25">
      <c r="A509">
        <v>29</v>
      </c>
      <c r="B509" t="s">
        <v>314</v>
      </c>
      <c r="C509">
        <v>40</v>
      </c>
      <c r="D509" t="s">
        <v>146</v>
      </c>
      <c r="E509" t="s">
        <v>11</v>
      </c>
      <c r="F509">
        <v>2.0569999999999999</v>
      </c>
      <c r="G509" t="s">
        <v>18</v>
      </c>
    </row>
    <row r="510" spans="1:7" x14ac:dyDescent="0.25">
      <c r="A510">
        <v>29</v>
      </c>
      <c r="B510" t="s">
        <v>314</v>
      </c>
      <c r="C510">
        <v>50</v>
      </c>
      <c r="D510" t="s">
        <v>139</v>
      </c>
      <c r="E510" t="s">
        <v>17</v>
      </c>
      <c r="F510">
        <v>2.0569999999999999</v>
      </c>
      <c r="G510" t="s">
        <v>18</v>
      </c>
    </row>
    <row r="511" spans="1:7" x14ac:dyDescent="0.25">
      <c r="A511">
        <v>29</v>
      </c>
      <c r="B511" t="s">
        <v>314</v>
      </c>
      <c r="C511">
        <v>60</v>
      </c>
      <c r="D511" t="s">
        <v>316</v>
      </c>
      <c r="E511" t="s">
        <v>11</v>
      </c>
      <c r="F511">
        <v>1</v>
      </c>
      <c r="G511" t="s">
        <v>18</v>
      </c>
    </row>
    <row r="512" spans="1:7" x14ac:dyDescent="0.25">
      <c r="A512">
        <v>29</v>
      </c>
      <c r="B512" t="s">
        <v>314</v>
      </c>
      <c r="C512">
        <v>70</v>
      </c>
      <c r="D512" t="s">
        <v>148</v>
      </c>
      <c r="E512" t="s">
        <v>17</v>
      </c>
      <c r="F512">
        <v>21.030999999999999</v>
      </c>
      <c r="G512" t="s">
        <v>15</v>
      </c>
    </row>
    <row r="513" spans="1:7" x14ac:dyDescent="0.25">
      <c r="A513">
        <v>29</v>
      </c>
      <c r="B513" t="s">
        <v>314</v>
      </c>
      <c r="C513">
        <v>80</v>
      </c>
      <c r="D513" t="s">
        <v>20</v>
      </c>
      <c r="E513" t="s">
        <v>17</v>
      </c>
      <c r="F513">
        <v>172.45599999999999</v>
      </c>
      <c r="G513" t="s">
        <v>15</v>
      </c>
    </row>
    <row r="514" spans="1:7" x14ac:dyDescent="0.25">
      <c r="A514">
        <v>29</v>
      </c>
      <c r="B514" t="s">
        <v>314</v>
      </c>
      <c r="C514">
        <v>90</v>
      </c>
      <c r="D514" t="s">
        <v>24</v>
      </c>
      <c r="E514" t="s">
        <v>11</v>
      </c>
      <c r="F514">
        <v>1</v>
      </c>
      <c r="G514" t="s">
        <v>15</v>
      </c>
    </row>
    <row r="515" spans="1:7" x14ac:dyDescent="0.25">
      <c r="A515">
        <v>29</v>
      </c>
      <c r="B515" t="s">
        <v>314</v>
      </c>
      <c r="C515">
        <v>100</v>
      </c>
      <c r="D515" t="s">
        <v>141</v>
      </c>
      <c r="E515" t="s">
        <v>14</v>
      </c>
      <c r="F515">
        <v>0.11700000000000001</v>
      </c>
      <c r="G515" t="s">
        <v>15</v>
      </c>
    </row>
    <row r="516" spans="1:7" x14ac:dyDescent="0.25">
      <c r="A516">
        <v>29</v>
      </c>
      <c r="B516" t="s">
        <v>314</v>
      </c>
      <c r="C516">
        <v>110</v>
      </c>
      <c r="D516" t="s">
        <v>140</v>
      </c>
      <c r="E516" t="s">
        <v>11</v>
      </c>
      <c r="F516">
        <v>4</v>
      </c>
      <c r="G516" t="s">
        <v>15</v>
      </c>
    </row>
    <row r="517" spans="1:7" x14ac:dyDescent="0.25">
      <c r="A517">
        <v>29</v>
      </c>
      <c r="B517" t="s">
        <v>314</v>
      </c>
      <c r="C517">
        <v>120</v>
      </c>
      <c r="D517" t="s">
        <v>25</v>
      </c>
      <c r="E517" t="s">
        <v>11</v>
      </c>
      <c r="F517">
        <v>1</v>
      </c>
      <c r="G517" t="s">
        <v>15</v>
      </c>
    </row>
    <row r="518" spans="1:7" x14ac:dyDescent="0.25">
      <c r="A518">
        <v>29</v>
      </c>
      <c r="B518" t="s">
        <v>314</v>
      </c>
      <c r="C518">
        <v>130</v>
      </c>
      <c r="D518" t="s">
        <v>26</v>
      </c>
      <c r="E518" t="s">
        <v>11</v>
      </c>
      <c r="F518">
        <v>1</v>
      </c>
      <c r="G518" t="s">
        <v>15</v>
      </c>
    </row>
    <row r="519" spans="1:7" x14ac:dyDescent="0.25">
      <c r="A519">
        <v>29</v>
      </c>
      <c r="B519" t="s">
        <v>314</v>
      </c>
      <c r="C519">
        <v>140</v>
      </c>
      <c r="D519" t="s">
        <v>100</v>
      </c>
      <c r="E519" t="s">
        <v>14</v>
      </c>
      <c r="F519">
        <v>1.216</v>
      </c>
      <c r="G519" t="s">
        <v>15</v>
      </c>
    </row>
    <row r="520" spans="1:7" x14ac:dyDescent="0.25">
      <c r="A520">
        <v>29</v>
      </c>
      <c r="B520" t="s">
        <v>314</v>
      </c>
      <c r="C520">
        <v>150</v>
      </c>
      <c r="D520" t="s">
        <v>317</v>
      </c>
      <c r="E520" t="s">
        <v>11</v>
      </c>
      <c r="F520">
        <v>1</v>
      </c>
      <c r="G520" t="s">
        <v>18</v>
      </c>
    </row>
    <row r="521" spans="1:7" x14ac:dyDescent="0.25">
      <c r="A521">
        <v>29</v>
      </c>
      <c r="B521" t="s">
        <v>314</v>
      </c>
      <c r="C521">
        <v>160</v>
      </c>
      <c r="D521" t="s">
        <v>318</v>
      </c>
      <c r="E521" t="s">
        <v>11</v>
      </c>
      <c r="F521">
        <v>1</v>
      </c>
      <c r="G521" t="s">
        <v>18</v>
      </c>
    </row>
    <row r="522" spans="1:7" x14ac:dyDescent="0.25">
      <c r="A522">
        <v>29</v>
      </c>
      <c r="B522" t="s">
        <v>314</v>
      </c>
      <c r="C522">
        <v>170</v>
      </c>
      <c r="D522" t="s">
        <v>142</v>
      </c>
      <c r="E522" t="s">
        <v>11</v>
      </c>
      <c r="F522">
        <v>7.01</v>
      </c>
      <c r="G522" t="s">
        <v>15</v>
      </c>
    </row>
    <row r="523" spans="1:7" x14ac:dyDescent="0.25">
      <c r="A523">
        <v>29</v>
      </c>
      <c r="B523" t="s">
        <v>314</v>
      </c>
      <c r="C523">
        <v>180</v>
      </c>
      <c r="D523" t="s">
        <v>319</v>
      </c>
      <c r="E523" t="s">
        <v>11</v>
      </c>
      <c r="F523">
        <v>1</v>
      </c>
      <c r="G523" t="s">
        <v>18</v>
      </c>
    </row>
    <row r="524" spans="1:7" x14ac:dyDescent="0.25">
      <c r="A524">
        <v>30</v>
      </c>
      <c r="B524" t="s">
        <v>320</v>
      </c>
      <c r="C524">
        <v>10</v>
      </c>
      <c r="D524" t="s">
        <v>321</v>
      </c>
      <c r="E524" t="s">
        <v>11</v>
      </c>
      <c r="F524">
        <v>1</v>
      </c>
      <c r="G524" t="s">
        <v>18</v>
      </c>
    </row>
    <row r="525" spans="1:7" x14ac:dyDescent="0.25">
      <c r="A525">
        <v>30</v>
      </c>
      <c r="B525" t="s">
        <v>320</v>
      </c>
      <c r="C525">
        <v>20</v>
      </c>
      <c r="D525" t="s">
        <v>132</v>
      </c>
      <c r="E525" t="s">
        <v>14</v>
      </c>
      <c r="F525">
        <v>4.2720000000000002</v>
      </c>
      <c r="G525" t="s">
        <v>15</v>
      </c>
    </row>
    <row r="526" spans="1:7" x14ac:dyDescent="0.25">
      <c r="A526">
        <v>30</v>
      </c>
      <c r="B526" t="s">
        <v>320</v>
      </c>
      <c r="C526">
        <v>30</v>
      </c>
      <c r="D526" t="s">
        <v>102</v>
      </c>
      <c r="E526" t="s">
        <v>103</v>
      </c>
      <c r="F526">
        <v>1.1200000000000001</v>
      </c>
      <c r="G526" t="s">
        <v>15</v>
      </c>
    </row>
    <row r="527" spans="1:7" x14ac:dyDescent="0.25">
      <c r="A527">
        <v>30</v>
      </c>
      <c r="B527" t="s">
        <v>320</v>
      </c>
      <c r="C527">
        <v>40</v>
      </c>
      <c r="D527" t="s">
        <v>146</v>
      </c>
      <c r="E527" t="s">
        <v>11</v>
      </c>
      <c r="F527">
        <v>2.0569999999999999</v>
      </c>
      <c r="G527" t="s">
        <v>18</v>
      </c>
    </row>
    <row r="528" spans="1:7" x14ac:dyDescent="0.25">
      <c r="A528">
        <v>30</v>
      </c>
      <c r="B528" t="s">
        <v>320</v>
      </c>
      <c r="C528">
        <v>50</v>
      </c>
      <c r="D528" t="s">
        <v>139</v>
      </c>
      <c r="E528" t="s">
        <v>17</v>
      </c>
      <c r="F528">
        <v>2.0569999999999999</v>
      </c>
      <c r="G528" t="s">
        <v>18</v>
      </c>
    </row>
    <row r="529" spans="1:7" x14ac:dyDescent="0.25">
      <c r="A529">
        <v>30</v>
      </c>
      <c r="B529" t="s">
        <v>320</v>
      </c>
      <c r="C529">
        <v>60</v>
      </c>
      <c r="D529" t="s">
        <v>322</v>
      </c>
      <c r="E529" t="s">
        <v>11</v>
      </c>
      <c r="F529">
        <v>1</v>
      </c>
      <c r="G529" t="s">
        <v>18</v>
      </c>
    </row>
    <row r="530" spans="1:7" x14ac:dyDescent="0.25">
      <c r="A530">
        <v>30</v>
      </c>
      <c r="B530" t="s">
        <v>320</v>
      </c>
      <c r="C530">
        <v>70</v>
      </c>
      <c r="D530" t="s">
        <v>148</v>
      </c>
      <c r="E530" t="s">
        <v>17</v>
      </c>
      <c r="F530">
        <v>21.488</v>
      </c>
      <c r="G530" t="s">
        <v>15</v>
      </c>
    </row>
    <row r="531" spans="1:7" x14ac:dyDescent="0.25">
      <c r="A531">
        <v>30</v>
      </c>
      <c r="B531" t="s">
        <v>320</v>
      </c>
      <c r="C531">
        <v>80</v>
      </c>
      <c r="D531" t="s">
        <v>20</v>
      </c>
      <c r="E531" t="s">
        <v>17</v>
      </c>
      <c r="F531">
        <v>176.20500000000001</v>
      </c>
      <c r="G531" t="s">
        <v>15</v>
      </c>
    </row>
    <row r="532" spans="1:7" x14ac:dyDescent="0.25">
      <c r="A532">
        <v>30</v>
      </c>
      <c r="B532" t="s">
        <v>320</v>
      </c>
      <c r="C532">
        <v>90</v>
      </c>
      <c r="D532" t="s">
        <v>24</v>
      </c>
      <c r="E532" t="s">
        <v>11</v>
      </c>
      <c r="F532">
        <v>1</v>
      </c>
      <c r="G532" t="s">
        <v>15</v>
      </c>
    </row>
    <row r="533" spans="1:7" x14ac:dyDescent="0.25">
      <c r="A533">
        <v>30</v>
      </c>
      <c r="B533" t="s">
        <v>320</v>
      </c>
      <c r="C533">
        <v>100</v>
      </c>
      <c r="D533" t="s">
        <v>141</v>
      </c>
      <c r="E533" t="s">
        <v>14</v>
      </c>
      <c r="F533">
        <v>0.123</v>
      </c>
      <c r="G533" t="s">
        <v>15</v>
      </c>
    </row>
    <row r="534" spans="1:7" x14ac:dyDescent="0.25">
      <c r="A534">
        <v>30</v>
      </c>
      <c r="B534" t="s">
        <v>320</v>
      </c>
      <c r="C534">
        <v>110</v>
      </c>
      <c r="D534" t="s">
        <v>140</v>
      </c>
      <c r="E534" t="s">
        <v>11</v>
      </c>
      <c r="F534">
        <v>4</v>
      </c>
      <c r="G534" t="s">
        <v>15</v>
      </c>
    </row>
    <row r="535" spans="1:7" x14ac:dyDescent="0.25">
      <c r="A535">
        <v>30</v>
      </c>
      <c r="B535" t="s">
        <v>320</v>
      </c>
      <c r="C535">
        <v>120</v>
      </c>
      <c r="D535" t="s">
        <v>25</v>
      </c>
      <c r="E535" t="s">
        <v>11</v>
      </c>
      <c r="F535">
        <v>1</v>
      </c>
      <c r="G535" t="s">
        <v>15</v>
      </c>
    </row>
    <row r="536" spans="1:7" x14ac:dyDescent="0.25">
      <c r="A536">
        <v>30</v>
      </c>
      <c r="B536" t="s">
        <v>320</v>
      </c>
      <c r="C536">
        <v>130</v>
      </c>
      <c r="D536" t="s">
        <v>26</v>
      </c>
      <c r="E536" t="s">
        <v>11</v>
      </c>
      <c r="F536">
        <v>1</v>
      </c>
      <c r="G536" t="s">
        <v>15</v>
      </c>
    </row>
    <row r="537" spans="1:7" x14ac:dyDescent="0.25">
      <c r="A537">
        <v>30</v>
      </c>
      <c r="B537" t="s">
        <v>320</v>
      </c>
      <c r="C537">
        <v>140</v>
      </c>
      <c r="D537" t="s">
        <v>100</v>
      </c>
      <c r="E537" t="s">
        <v>14</v>
      </c>
      <c r="F537">
        <v>1.216</v>
      </c>
      <c r="G537" t="s">
        <v>15</v>
      </c>
    </row>
    <row r="538" spans="1:7" x14ac:dyDescent="0.25">
      <c r="A538">
        <v>30</v>
      </c>
      <c r="B538" t="s">
        <v>320</v>
      </c>
      <c r="C538">
        <v>150</v>
      </c>
      <c r="D538" t="s">
        <v>323</v>
      </c>
      <c r="E538" t="s">
        <v>11</v>
      </c>
      <c r="F538">
        <v>1</v>
      </c>
      <c r="G538" t="s">
        <v>18</v>
      </c>
    </row>
    <row r="539" spans="1:7" x14ac:dyDescent="0.25">
      <c r="A539">
        <v>30</v>
      </c>
      <c r="B539" t="s">
        <v>320</v>
      </c>
      <c r="C539">
        <v>160</v>
      </c>
      <c r="D539" t="s">
        <v>324</v>
      </c>
      <c r="E539" t="s">
        <v>11</v>
      </c>
      <c r="F539">
        <v>1</v>
      </c>
      <c r="G539" t="s">
        <v>18</v>
      </c>
    </row>
    <row r="540" spans="1:7" x14ac:dyDescent="0.25">
      <c r="A540">
        <v>30</v>
      </c>
      <c r="B540" t="s">
        <v>320</v>
      </c>
      <c r="C540">
        <v>170</v>
      </c>
      <c r="D540" t="s">
        <v>142</v>
      </c>
      <c r="E540" t="s">
        <v>11</v>
      </c>
      <c r="F540">
        <v>7.1630000000000003</v>
      </c>
      <c r="G540" t="s">
        <v>15</v>
      </c>
    </row>
    <row r="541" spans="1:7" x14ac:dyDescent="0.25">
      <c r="A541">
        <v>30</v>
      </c>
      <c r="B541" t="s">
        <v>320</v>
      </c>
      <c r="C541">
        <v>180</v>
      </c>
      <c r="D541" t="s">
        <v>325</v>
      </c>
      <c r="E541" t="s">
        <v>11</v>
      </c>
      <c r="F541">
        <v>1</v>
      </c>
      <c r="G541" t="s">
        <v>18</v>
      </c>
    </row>
    <row r="542" spans="1:7" x14ac:dyDescent="0.25">
      <c r="A542">
        <v>31</v>
      </c>
      <c r="B542" t="s">
        <v>326</v>
      </c>
      <c r="C542">
        <v>10</v>
      </c>
      <c r="D542" t="s">
        <v>327</v>
      </c>
      <c r="E542" t="s">
        <v>11</v>
      </c>
      <c r="F542">
        <v>1</v>
      </c>
      <c r="G542" t="s">
        <v>18</v>
      </c>
    </row>
    <row r="543" spans="1:7" x14ac:dyDescent="0.25">
      <c r="A543">
        <v>31</v>
      </c>
      <c r="B543" t="s">
        <v>326</v>
      </c>
      <c r="C543">
        <v>20</v>
      </c>
      <c r="D543" t="s">
        <v>132</v>
      </c>
      <c r="E543" t="s">
        <v>14</v>
      </c>
      <c r="F543">
        <v>4.7030000000000003</v>
      </c>
      <c r="G543" t="s">
        <v>15</v>
      </c>
    </row>
    <row r="544" spans="1:7" x14ac:dyDescent="0.25">
      <c r="A544">
        <v>31</v>
      </c>
      <c r="B544" t="s">
        <v>326</v>
      </c>
      <c r="C544">
        <v>30</v>
      </c>
      <c r="D544" t="s">
        <v>102</v>
      </c>
      <c r="E544" t="s">
        <v>103</v>
      </c>
      <c r="F544">
        <v>1.24</v>
      </c>
      <c r="G544" t="s">
        <v>15</v>
      </c>
    </row>
    <row r="545" spans="1:7" x14ac:dyDescent="0.25">
      <c r="A545">
        <v>31</v>
      </c>
      <c r="B545" t="s">
        <v>326</v>
      </c>
      <c r="C545">
        <v>40</v>
      </c>
      <c r="D545" t="s">
        <v>146</v>
      </c>
      <c r="E545" t="s">
        <v>11</v>
      </c>
      <c r="F545">
        <v>2.0569999999999999</v>
      </c>
      <c r="G545" t="s">
        <v>18</v>
      </c>
    </row>
    <row r="546" spans="1:7" x14ac:dyDescent="0.25">
      <c r="A546">
        <v>31</v>
      </c>
      <c r="B546" t="s">
        <v>326</v>
      </c>
      <c r="C546">
        <v>50</v>
      </c>
      <c r="D546" t="s">
        <v>139</v>
      </c>
      <c r="E546" t="s">
        <v>17</v>
      </c>
      <c r="F546">
        <v>2.0569999999999999</v>
      </c>
      <c r="G546" t="s">
        <v>18</v>
      </c>
    </row>
    <row r="547" spans="1:7" x14ac:dyDescent="0.25">
      <c r="A547">
        <v>31</v>
      </c>
      <c r="B547" t="s">
        <v>326</v>
      </c>
      <c r="C547">
        <v>60</v>
      </c>
      <c r="D547" t="s">
        <v>328</v>
      </c>
      <c r="E547" t="s">
        <v>11</v>
      </c>
      <c r="F547">
        <v>1</v>
      </c>
      <c r="G547" t="s">
        <v>18</v>
      </c>
    </row>
    <row r="548" spans="1:7" x14ac:dyDescent="0.25">
      <c r="A548">
        <v>31</v>
      </c>
      <c r="B548" t="s">
        <v>326</v>
      </c>
      <c r="C548">
        <v>70</v>
      </c>
      <c r="D548" t="s">
        <v>148</v>
      </c>
      <c r="E548" t="s">
        <v>17</v>
      </c>
      <c r="F548">
        <v>22.402999999999999</v>
      </c>
      <c r="G548" t="s">
        <v>15</v>
      </c>
    </row>
    <row r="549" spans="1:7" x14ac:dyDescent="0.25">
      <c r="A549">
        <v>31</v>
      </c>
      <c r="B549" t="s">
        <v>326</v>
      </c>
      <c r="C549">
        <v>80</v>
      </c>
      <c r="D549" t="s">
        <v>20</v>
      </c>
      <c r="E549" t="s">
        <v>17</v>
      </c>
      <c r="F549">
        <v>183.703</v>
      </c>
      <c r="G549" t="s">
        <v>15</v>
      </c>
    </row>
    <row r="550" spans="1:7" x14ac:dyDescent="0.25">
      <c r="A550">
        <v>31</v>
      </c>
      <c r="B550" t="s">
        <v>326</v>
      </c>
      <c r="C550">
        <v>90</v>
      </c>
      <c r="D550" t="s">
        <v>24</v>
      </c>
      <c r="E550" t="s">
        <v>11</v>
      </c>
      <c r="F550">
        <v>1</v>
      </c>
      <c r="G550" t="s">
        <v>15</v>
      </c>
    </row>
    <row r="551" spans="1:7" x14ac:dyDescent="0.25">
      <c r="A551">
        <v>31</v>
      </c>
      <c r="B551" t="s">
        <v>326</v>
      </c>
      <c r="C551">
        <v>100</v>
      </c>
      <c r="D551" t="s">
        <v>141</v>
      </c>
      <c r="E551" t="s">
        <v>14</v>
      </c>
      <c r="F551">
        <v>0.13300000000000001</v>
      </c>
      <c r="G551" t="s">
        <v>15</v>
      </c>
    </row>
    <row r="552" spans="1:7" x14ac:dyDescent="0.25">
      <c r="A552">
        <v>31</v>
      </c>
      <c r="B552" t="s">
        <v>326</v>
      </c>
      <c r="C552">
        <v>110</v>
      </c>
      <c r="D552" t="s">
        <v>140</v>
      </c>
      <c r="E552" t="s">
        <v>11</v>
      </c>
      <c r="F552">
        <v>4</v>
      </c>
      <c r="G552" t="s">
        <v>15</v>
      </c>
    </row>
    <row r="553" spans="1:7" x14ac:dyDescent="0.25">
      <c r="A553">
        <v>31</v>
      </c>
      <c r="B553" t="s">
        <v>326</v>
      </c>
      <c r="C553">
        <v>120</v>
      </c>
      <c r="D553" t="s">
        <v>25</v>
      </c>
      <c r="E553" t="s">
        <v>11</v>
      </c>
      <c r="F553">
        <v>1</v>
      </c>
      <c r="G553" t="s">
        <v>15</v>
      </c>
    </row>
    <row r="554" spans="1:7" x14ac:dyDescent="0.25">
      <c r="A554">
        <v>31</v>
      </c>
      <c r="B554" t="s">
        <v>326</v>
      </c>
      <c r="C554">
        <v>130</v>
      </c>
      <c r="D554" t="s">
        <v>26</v>
      </c>
      <c r="E554" t="s">
        <v>11</v>
      </c>
      <c r="F554">
        <v>1</v>
      </c>
      <c r="G554" t="s">
        <v>15</v>
      </c>
    </row>
    <row r="555" spans="1:7" x14ac:dyDescent="0.25">
      <c r="A555">
        <v>31</v>
      </c>
      <c r="B555" t="s">
        <v>326</v>
      </c>
      <c r="C555">
        <v>140</v>
      </c>
      <c r="D555" t="s">
        <v>100</v>
      </c>
      <c r="E555" t="s">
        <v>14</v>
      </c>
      <c r="F555">
        <v>1.216</v>
      </c>
      <c r="G555" t="s">
        <v>15</v>
      </c>
    </row>
    <row r="556" spans="1:7" x14ac:dyDescent="0.25">
      <c r="A556">
        <v>31</v>
      </c>
      <c r="B556" t="s">
        <v>326</v>
      </c>
      <c r="C556">
        <v>150</v>
      </c>
      <c r="D556" t="s">
        <v>329</v>
      </c>
      <c r="E556" t="s">
        <v>11</v>
      </c>
      <c r="F556">
        <v>1</v>
      </c>
      <c r="G556" t="s">
        <v>18</v>
      </c>
    </row>
    <row r="557" spans="1:7" x14ac:dyDescent="0.25">
      <c r="A557">
        <v>31</v>
      </c>
      <c r="B557" t="s">
        <v>326</v>
      </c>
      <c r="C557">
        <v>160</v>
      </c>
      <c r="D557" t="s">
        <v>330</v>
      </c>
      <c r="E557" t="s">
        <v>11</v>
      </c>
      <c r="F557">
        <v>1</v>
      </c>
      <c r="G557" t="s">
        <v>18</v>
      </c>
    </row>
    <row r="558" spans="1:7" x14ac:dyDescent="0.25">
      <c r="A558">
        <v>31</v>
      </c>
      <c r="B558" t="s">
        <v>326</v>
      </c>
      <c r="C558">
        <v>170</v>
      </c>
      <c r="D558" t="s">
        <v>142</v>
      </c>
      <c r="E558" t="s">
        <v>11</v>
      </c>
      <c r="F558">
        <v>7.468</v>
      </c>
      <c r="G558" t="s">
        <v>15</v>
      </c>
    </row>
    <row r="559" spans="1:7" x14ac:dyDescent="0.25">
      <c r="A559">
        <v>31</v>
      </c>
      <c r="B559" t="s">
        <v>326</v>
      </c>
      <c r="C559">
        <v>180</v>
      </c>
      <c r="D559" t="s">
        <v>331</v>
      </c>
      <c r="E559" t="s">
        <v>11</v>
      </c>
      <c r="F559">
        <v>1</v>
      </c>
      <c r="G559" t="s">
        <v>18</v>
      </c>
    </row>
    <row r="560" spans="1:7" x14ac:dyDescent="0.25">
      <c r="A560">
        <v>32</v>
      </c>
      <c r="B560" t="s">
        <v>332</v>
      </c>
      <c r="C560">
        <v>10</v>
      </c>
      <c r="D560" t="s">
        <v>333</v>
      </c>
      <c r="E560" t="s">
        <v>11</v>
      </c>
      <c r="F560">
        <v>1</v>
      </c>
      <c r="G560" t="s">
        <v>18</v>
      </c>
    </row>
    <row r="561" spans="1:7" x14ac:dyDescent="0.25">
      <c r="A561">
        <v>32</v>
      </c>
      <c r="B561" t="s">
        <v>332</v>
      </c>
      <c r="C561">
        <v>20</v>
      </c>
      <c r="D561" t="s">
        <v>132</v>
      </c>
      <c r="E561" t="s">
        <v>14</v>
      </c>
      <c r="F561">
        <v>5.1340000000000003</v>
      </c>
      <c r="G561" t="s">
        <v>15</v>
      </c>
    </row>
    <row r="562" spans="1:7" x14ac:dyDescent="0.25">
      <c r="A562">
        <v>32</v>
      </c>
      <c r="B562" t="s">
        <v>332</v>
      </c>
      <c r="C562">
        <v>30</v>
      </c>
      <c r="D562" t="s">
        <v>102</v>
      </c>
      <c r="E562" t="s">
        <v>103</v>
      </c>
      <c r="F562">
        <v>1.36</v>
      </c>
      <c r="G562" t="s">
        <v>15</v>
      </c>
    </row>
    <row r="563" spans="1:7" x14ac:dyDescent="0.25">
      <c r="A563">
        <v>32</v>
      </c>
      <c r="B563" t="s">
        <v>332</v>
      </c>
      <c r="C563">
        <v>40</v>
      </c>
      <c r="D563" t="s">
        <v>146</v>
      </c>
      <c r="E563" t="s">
        <v>11</v>
      </c>
      <c r="F563">
        <v>2.0569999999999999</v>
      </c>
      <c r="G563" t="s">
        <v>18</v>
      </c>
    </row>
    <row r="564" spans="1:7" x14ac:dyDescent="0.25">
      <c r="A564">
        <v>32</v>
      </c>
      <c r="B564" t="s">
        <v>332</v>
      </c>
      <c r="C564">
        <v>50</v>
      </c>
      <c r="D564" t="s">
        <v>139</v>
      </c>
      <c r="E564" t="s">
        <v>17</v>
      </c>
      <c r="F564">
        <v>2.0569999999999999</v>
      </c>
      <c r="G564" t="s">
        <v>18</v>
      </c>
    </row>
    <row r="565" spans="1:7" x14ac:dyDescent="0.25">
      <c r="A565">
        <v>32</v>
      </c>
      <c r="B565" t="s">
        <v>332</v>
      </c>
      <c r="C565">
        <v>60</v>
      </c>
      <c r="D565" t="s">
        <v>334</v>
      </c>
      <c r="E565" t="s">
        <v>11</v>
      </c>
      <c r="F565">
        <v>1</v>
      </c>
      <c r="G565" t="s">
        <v>18</v>
      </c>
    </row>
    <row r="566" spans="1:7" x14ac:dyDescent="0.25">
      <c r="A566">
        <v>32</v>
      </c>
      <c r="B566" t="s">
        <v>332</v>
      </c>
      <c r="C566">
        <v>70</v>
      </c>
      <c r="D566" t="s">
        <v>148</v>
      </c>
      <c r="E566" t="s">
        <v>17</v>
      </c>
      <c r="F566">
        <v>23.317</v>
      </c>
      <c r="G566" t="s">
        <v>15</v>
      </c>
    </row>
    <row r="567" spans="1:7" x14ac:dyDescent="0.25">
      <c r="A567">
        <v>32</v>
      </c>
      <c r="B567" t="s">
        <v>332</v>
      </c>
      <c r="C567">
        <v>80</v>
      </c>
      <c r="D567" t="s">
        <v>20</v>
      </c>
      <c r="E567" t="s">
        <v>17</v>
      </c>
      <c r="F567">
        <v>191.20099999999999</v>
      </c>
      <c r="G567" t="s">
        <v>15</v>
      </c>
    </row>
    <row r="568" spans="1:7" x14ac:dyDescent="0.25">
      <c r="A568">
        <v>32</v>
      </c>
      <c r="B568" t="s">
        <v>332</v>
      </c>
      <c r="C568">
        <v>90</v>
      </c>
      <c r="D568" t="s">
        <v>24</v>
      </c>
      <c r="E568" t="s">
        <v>11</v>
      </c>
      <c r="F568">
        <v>1</v>
      </c>
      <c r="G568" t="s">
        <v>15</v>
      </c>
    </row>
    <row r="569" spans="1:7" x14ac:dyDescent="0.25">
      <c r="A569">
        <v>32</v>
      </c>
      <c r="B569" t="s">
        <v>332</v>
      </c>
      <c r="C569">
        <v>100</v>
      </c>
      <c r="D569" t="s">
        <v>141</v>
      </c>
      <c r="E569" t="s">
        <v>14</v>
      </c>
      <c r="F569">
        <v>0.14299999999999999</v>
      </c>
      <c r="G569" t="s">
        <v>15</v>
      </c>
    </row>
    <row r="570" spans="1:7" x14ac:dyDescent="0.25">
      <c r="A570">
        <v>32</v>
      </c>
      <c r="B570" t="s">
        <v>332</v>
      </c>
      <c r="C570">
        <v>110</v>
      </c>
      <c r="D570" t="s">
        <v>140</v>
      </c>
      <c r="E570" t="s">
        <v>11</v>
      </c>
      <c r="F570">
        <v>4</v>
      </c>
      <c r="G570" t="s">
        <v>15</v>
      </c>
    </row>
    <row r="571" spans="1:7" x14ac:dyDescent="0.25">
      <c r="A571">
        <v>32</v>
      </c>
      <c r="B571" t="s">
        <v>332</v>
      </c>
      <c r="C571">
        <v>120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32</v>
      </c>
      <c r="B572" t="s">
        <v>332</v>
      </c>
      <c r="C572">
        <v>130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32</v>
      </c>
      <c r="B573" t="s">
        <v>332</v>
      </c>
      <c r="C573">
        <v>140</v>
      </c>
      <c r="D573" t="s">
        <v>100</v>
      </c>
      <c r="E573" t="s">
        <v>14</v>
      </c>
      <c r="F573">
        <v>1.216</v>
      </c>
      <c r="G573" t="s">
        <v>15</v>
      </c>
    </row>
    <row r="574" spans="1:7" x14ac:dyDescent="0.25">
      <c r="A574">
        <v>32</v>
      </c>
      <c r="B574" t="s">
        <v>332</v>
      </c>
      <c r="C574">
        <v>150</v>
      </c>
      <c r="D574" t="s">
        <v>335</v>
      </c>
      <c r="E574" t="s">
        <v>11</v>
      </c>
      <c r="F574">
        <v>1</v>
      </c>
      <c r="G574" t="s">
        <v>18</v>
      </c>
    </row>
    <row r="575" spans="1:7" x14ac:dyDescent="0.25">
      <c r="A575">
        <v>32</v>
      </c>
      <c r="B575" t="s">
        <v>332</v>
      </c>
      <c r="C575">
        <v>160</v>
      </c>
      <c r="D575" t="s">
        <v>336</v>
      </c>
      <c r="E575" t="s">
        <v>11</v>
      </c>
      <c r="F575">
        <v>1</v>
      </c>
      <c r="G575" t="s">
        <v>18</v>
      </c>
    </row>
    <row r="576" spans="1:7" x14ac:dyDescent="0.25">
      <c r="A576">
        <v>32</v>
      </c>
      <c r="B576" t="s">
        <v>332</v>
      </c>
      <c r="C576">
        <v>170</v>
      </c>
      <c r="D576" t="s">
        <v>142</v>
      </c>
      <c r="E576" t="s">
        <v>11</v>
      </c>
      <c r="F576">
        <v>7.7720000000000002</v>
      </c>
      <c r="G576" t="s">
        <v>15</v>
      </c>
    </row>
    <row r="577" spans="1:7" x14ac:dyDescent="0.25">
      <c r="A577">
        <v>32</v>
      </c>
      <c r="B577" t="s">
        <v>332</v>
      </c>
      <c r="C577">
        <v>180</v>
      </c>
      <c r="D577" t="s">
        <v>337</v>
      </c>
      <c r="E577" t="s">
        <v>11</v>
      </c>
      <c r="F577">
        <v>1</v>
      </c>
      <c r="G577" t="s">
        <v>18</v>
      </c>
    </row>
    <row r="578" spans="1:7" x14ac:dyDescent="0.25">
      <c r="A578">
        <v>33</v>
      </c>
      <c r="B578" t="s">
        <v>338</v>
      </c>
      <c r="C578">
        <v>10</v>
      </c>
      <c r="D578" t="s">
        <v>339</v>
      </c>
      <c r="E578" t="s">
        <v>11</v>
      </c>
      <c r="F578">
        <v>1</v>
      </c>
      <c r="G578" t="s">
        <v>18</v>
      </c>
    </row>
    <row r="579" spans="1:7" x14ac:dyDescent="0.25">
      <c r="A579">
        <v>33</v>
      </c>
      <c r="B579" t="s">
        <v>338</v>
      </c>
      <c r="C579">
        <v>20</v>
      </c>
      <c r="D579" t="s">
        <v>132</v>
      </c>
      <c r="E579" t="s">
        <v>14</v>
      </c>
      <c r="F579">
        <v>2.677</v>
      </c>
      <c r="G579" t="s">
        <v>15</v>
      </c>
    </row>
    <row r="580" spans="1:7" x14ac:dyDescent="0.25">
      <c r="A580">
        <v>33</v>
      </c>
      <c r="B580" t="s">
        <v>338</v>
      </c>
      <c r="C580">
        <v>30</v>
      </c>
      <c r="D580" t="s">
        <v>102</v>
      </c>
      <c r="E580" t="s">
        <v>103</v>
      </c>
      <c r="F580">
        <v>0.67200000000000004</v>
      </c>
      <c r="G580" t="s">
        <v>15</v>
      </c>
    </row>
    <row r="581" spans="1:7" x14ac:dyDescent="0.25">
      <c r="A581">
        <v>33</v>
      </c>
      <c r="B581" t="s">
        <v>338</v>
      </c>
      <c r="C581">
        <v>40</v>
      </c>
      <c r="D581" t="s">
        <v>146</v>
      </c>
      <c r="E581" t="s">
        <v>11</v>
      </c>
      <c r="F581">
        <v>2.1589999999999998</v>
      </c>
      <c r="G581" t="s">
        <v>18</v>
      </c>
    </row>
    <row r="582" spans="1:7" x14ac:dyDescent="0.25">
      <c r="A582">
        <v>33</v>
      </c>
      <c r="B582" t="s">
        <v>338</v>
      </c>
      <c r="C582">
        <v>50</v>
      </c>
      <c r="D582" t="s">
        <v>139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33</v>
      </c>
      <c r="B583" t="s">
        <v>338</v>
      </c>
      <c r="C583">
        <v>60</v>
      </c>
      <c r="D583" t="s">
        <v>340</v>
      </c>
      <c r="E583" t="s">
        <v>11</v>
      </c>
      <c r="F583">
        <v>1</v>
      </c>
      <c r="G583" t="s">
        <v>18</v>
      </c>
    </row>
    <row r="584" spans="1:7" x14ac:dyDescent="0.25">
      <c r="A584">
        <v>33</v>
      </c>
      <c r="B584" t="s">
        <v>338</v>
      </c>
      <c r="C584">
        <v>70</v>
      </c>
      <c r="D584" t="s">
        <v>148</v>
      </c>
      <c r="E584" t="s">
        <v>17</v>
      </c>
      <c r="F584">
        <v>18.440000000000001</v>
      </c>
      <c r="G584" t="s">
        <v>15</v>
      </c>
    </row>
    <row r="585" spans="1:7" x14ac:dyDescent="0.25">
      <c r="A585">
        <v>33</v>
      </c>
      <c r="B585" t="s">
        <v>338</v>
      </c>
      <c r="C585">
        <v>80</v>
      </c>
      <c r="D585" t="s">
        <v>20</v>
      </c>
      <c r="E585" t="s">
        <v>17</v>
      </c>
      <c r="F585">
        <v>151.21100000000001</v>
      </c>
      <c r="G585" t="s">
        <v>15</v>
      </c>
    </row>
    <row r="586" spans="1:7" x14ac:dyDescent="0.25">
      <c r="A586">
        <v>33</v>
      </c>
      <c r="B586" t="s">
        <v>338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33</v>
      </c>
      <c r="B587" t="s">
        <v>338</v>
      </c>
      <c r="C587">
        <v>100</v>
      </c>
      <c r="D587" t="s">
        <v>141</v>
      </c>
      <c r="E587" t="s">
        <v>14</v>
      </c>
      <c r="F587">
        <v>8.1000000000000003E-2</v>
      </c>
      <c r="G587" t="s">
        <v>15</v>
      </c>
    </row>
    <row r="588" spans="1:7" x14ac:dyDescent="0.25">
      <c r="A588">
        <v>33</v>
      </c>
      <c r="B588" t="s">
        <v>338</v>
      </c>
      <c r="C588">
        <v>110</v>
      </c>
      <c r="D588" t="s">
        <v>140</v>
      </c>
      <c r="E588" t="s">
        <v>11</v>
      </c>
      <c r="F588">
        <v>4</v>
      </c>
      <c r="G588" t="s">
        <v>15</v>
      </c>
    </row>
    <row r="589" spans="1:7" x14ac:dyDescent="0.25">
      <c r="A589">
        <v>33</v>
      </c>
      <c r="B589" t="s">
        <v>338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33</v>
      </c>
      <c r="B590" t="s">
        <v>338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33</v>
      </c>
      <c r="B591" t="s">
        <v>338</v>
      </c>
      <c r="C591">
        <v>140</v>
      </c>
      <c r="D591" t="s">
        <v>100</v>
      </c>
      <c r="E591" t="s">
        <v>14</v>
      </c>
      <c r="F591">
        <v>1.27</v>
      </c>
      <c r="G591" t="s">
        <v>15</v>
      </c>
    </row>
    <row r="592" spans="1:7" x14ac:dyDescent="0.25">
      <c r="A592">
        <v>33</v>
      </c>
      <c r="B592" t="s">
        <v>338</v>
      </c>
      <c r="C592">
        <v>150</v>
      </c>
      <c r="D592" t="s">
        <v>341</v>
      </c>
      <c r="E592" t="s">
        <v>11</v>
      </c>
      <c r="F592">
        <v>1</v>
      </c>
      <c r="G592" t="s">
        <v>18</v>
      </c>
    </row>
    <row r="593" spans="1:7" x14ac:dyDescent="0.25">
      <c r="A593">
        <v>33</v>
      </c>
      <c r="B593" t="s">
        <v>338</v>
      </c>
      <c r="C593">
        <v>160</v>
      </c>
      <c r="D593" t="s">
        <v>342</v>
      </c>
      <c r="E593" t="s">
        <v>11</v>
      </c>
      <c r="F593">
        <v>1</v>
      </c>
      <c r="G593" t="s">
        <v>18</v>
      </c>
    </row>
    <row r="594" spans="1:7" x14ac:dyDescent="0.25">
      <c r="A594">
        <v>33</v>
      </c>
      <c r="B594" t="s">
        <v>338</v>
      </c>
      <c r="C594">
        <v>170</v>
      </c>
      <c r="D594" t="s">
        <v>142</v>
      </c>
      <c r="E594" t="s">
        <v>11</v>
      </c>
      <c r="F594">
        <v>6.1470000000000002</v>
      </c>
      <c r="G594" t="s">
        <v>15</v>
      </c>
    </row>
    <row r="595" spans="1:7" x14ac:dyDescent="0.25">
      <c r="A595">
        <v>33</v>
      </c>
      <c r="B595" t="s">
        <v>338</v>
      </c>
      <c r="C595">
        <v>180</v>
      </c>
      <c r="D595" t="s">
        <v>343</v>
      </c>
      <c r="E595" t="s">
        <v>11</v>
      </c>
      <c r="F595">
        <v>1</v>
      </c>
      <c r="G595" t="s">
        <v>18</v>
      </c>
    </row>
    <row r="596" spans="1:7" x14ac:dyDescent="0.25">
      <c r="A596">
        <v>34</v>
      </c>
      <c r="B596" t="s">
        <v>344</v>
      </c>
      <c r="C596">
        <v>10</v>
      </c>
      <c r="D596" t="s">
        <v>345</v>
      </c>
      <c r="E596" t="s">
        <v>11</v>
      </c>
      <c r="F596">
        <v>1</v>
      </c>
      <c r="G596" t="s">
        <v>18</v>
      </c>
    </row>
    <row r="597" spans="1:7" x14ac:dyDescent="0.25">
      <c r="A597">
        <v>34</v>
      </c>
      <c r="B597" t="s">
        <v>344</v>
      </c>
      <c r="C597">
        <v>20</v>
      </c>
      <c r="D597" t="s">
        <v>132</v>
      </c>
      <c r="E597" t="s">
        <v>14</v>
      </c>
      <c r="F597">
        <v>3.13</v>
      </c>
      <c r="G597" t="s">
        <v>15</v>
      </c>
    </row>
    <row r="598" spans="1:7" x14ac:dyDescent="0.25">
      <c r="A598">
        <v>34</v>
      </c>
      <c r="B598" t="s">
        <v>344</v>
      </c>
      <c r="C598">
        <v>30</v>
      </c>
      <c r="D598" t="s">
        <v>102</v>
      </c>
      <c r="E598" t="s">
        <v>103</v>
      </c>
      <c r="F598">
        <v>0.79800000000000004</v>
      </c>
      <c r="G598" t="s">
        <v>15</v>
      </c>
    </row>
    <row r="599" spans="1:7" x14ac:dyDescent="0.25">
      <c r="A599">
        <v>34</v>
      </c>
      <c r="B599" t="s">
        <v>344</v>
      </c>
      <c r="C599">
        <v>40</v>
      </c>
      <c r="D599" t="s">
        <v>146</v>
      </c>
      <c r="E599" t="s">
        <v>11</v>
      </c>
      <c r="F599">
        <v>2.1589999999999998</v>
      </c>
      <c r="G599" t="s">
        <v>18</v>
      </c>
    </row>
    <row r="600" spans="1:7" x14ac:dyDescent="0.25">
      <c r="A600">
        <v>34</v>
      </c>
      <c r="B600" t="s">
        <v>344</v>
      </c>
      <c r="C600">
        <v>50</v>
      </c>
      <c r="D600" t="s">
        <v>139</v>
      </c>
      <c r="E600" t="s">
        <v>17</v>
      </c>
      <c r="F600">
        <v>2.1589999999999998</v>
      </c>
      <c r="G600" t="s">
        <v>18</v>
      </c>
    </row>
    <row r="601" spans="1:7" x14ac:dyDescent="0.25">
      <c r="A601">
        <v>34</v>
      </c>
      <c r="B601" t="s">
        <v>344</v>
      </c>
      <c r="C601">
        <v>60</v>
      </c>
      <c r="D601" t="s">
        <v>346</v>
      </c>
      <c r="E601" t="s">
        <v>11</v>
      </c>
      <c r="F601">
        <v>1</v>
      </c>
      <c r="G601" t="s">
        <v>18</v>
      </c>
    </row>
    <row r="602" spans="1:7" x14ac:dyDescent="0.25">
      <c r="A602">
        <v>34</v>
      </c>
      <c r="B602" t="s">
        <v>344</v>
      </c>
      <c r="C602">
        <v>70</v>
      </c>
      <c r="D602" t="s">
        <v>148</v>
      </c>
      <c r="E602" t="s">
        <v>17</v>
      </c>
      <c r="F602">
        <v>19.355</v>
      </c>
      <c r="G602" t="s">
        <v>15</v>
      </c>
    </row>
    <row r="603" spans="1:7" x14ac:dyDescent="0.25">
      <c r="A603">
        <v>34</v>
      </c>
      <c r="B603" t="s">
        <v>344</v>
      </c>
      <c r="C603">
        <v>80</v>
      </c>
      <c r="D603" t="s">
        <v>20</v>
      </c>
      <c r="E603" t="s">
        <v>17</v>
      </c>
      <c r="F603">
        <v>158.709</v>
      </c>
      <c r="G603" t="s">
        <v>15</v>
      </c>
    </row>
    <row r="604" spans="1:7" x14ac:dyDescent="0.25">
      <c r="A604">
        <v>34</v>
      </c>
      <c r="B604" t="s">
        <v>344</v>
      </c>
      <c r="C604">
        <v>90</v>
      </c>
      <c r="D604" t="s">
        <v>24</v>
      </c>
      <c r="E604" t="s">
        <v>11</v>
      </c>
      <c r="F604">
        <v>1</v>
      </c>
      <c r="G604" t="s">
        <v>15</v>
      </c>
    </row>
    <row r="605" spans="1:7" x14ac:dyDescent="0.25">
      <c r="A605">
        <v>34</v>
      </c>
      <c r="B605" t="s">
        <v>344</v>
      </c>
      <c r="C605">
        <v>100</v>
      </c>
      <c r="D605" t="s">
        <v>141</v>
      </c>
      <c r="E605" t="s">
        <v>14</v>
      </c>
      <c r="F605">
        <v>9.1999999999999998E-2</v>
      </c>
      <c r="G605" t="s">
        <v>15</v>
      </c>
    </row>
    <row r="606" spans="1:7" x14ac:dyDescent="0.25">
      <c r="A606">
        <v>34</v>
      </c>
      <c r="B606" t="s">
        <v>344</v>
      </c>
      <c r="C606">
        <v>110</v>
      </c>
      <c r="D606" t="s">
        <v>140</v>
      </c>
      <c r="E606" t="s">
        <v>11</v>
      </c>
      <c r="F606">
        <v>4</v>
      </c>
      <c r="G606" t="s">
        <v>15</v>
      </c>
    </row>
    <row r="607" spans="1:7" x14ac:dyDescent="0.25">
      <c r="A607">
        <v>34</v>
      </c>
      <c r="B607" t="s">
        <v>344</v>
      </c>
      <c r="C607">
        <v>120</v>
      </c>
      <c r="D607" t="s">
        <v>25</v>
      </c>
      <c r="E607" t="s">
        <v>11</v>
      </c>
      <c r="F607">
        <v>1</v>
      </c>
      <c r="G607" t="s">
        <v>15</v>
      </c>
    </row>
    <row r="608" spans="1:7" x14ac:dyDescent="0.25">
      <c r="A608">
        <v>34</v>
      </c>
      <c r="B608" t="s">
        <v>344</v>
      </c>
      <c r="C608">
        <v>130</v>
      </c>
      <c r="D608" t="s">
        <v>26</v>
      </c>
      <c r="E608" t="s">
        <v>11</v>
      </c>
      <c r="F608">
        <v>1</v>
      </c>
      <c r="G608" t="s">
        <v>15</v>
      </c>
    </row>
    <row r="609" spans="1:7" x14ac:dyDescent="0.25">
      <c r="A609">
        <v>34</v>
      </c>
      <c r="B609" t="s">
        <v>344</v>
      </c>
      <c r="C609">
        <v>140</v>
      </c>
      <c r="D609" t="s">
        <v>100</v>
      </c>
      <c r="E609" t="s">
        <v>14</v>
      </c>
      <c r="F609">
        <v>1.27</v>
      </c>
      <c r="G609" t="s">
        <v>15</v>
      </c>
    </row>
    <row r="610" spans="1:7" x14ac:dyDescent="0.25">
      <c r="A610">
        <v>34</v>
      </c>
      <c r="B610" t="s">
        <v>344</v>
      </c>
      <c r="C610">
        <v>150</v>
      </c>
      <c r="D610" t="s">
        <v>347</v>
      </c>
      <c r="E610" t="s">
        <v>11</v>
      </c>
      <c r="F610">
        <v>1</v>
      </c>
      <c r="G610" t="s">
        <v>18</v>
      </c>
    </row>
    <row r="611" spans="1:7" x14ac:dyDescent="0.25">
      <c r="A611">
        <v>34</v>
      </c>
      <c r="B611" t="s">
        <v>344</v>
      </c>
      <c r="C611">
        <v>160</v>
      </c>
      <c r="D611" t="s">
        <v>348</v>
      </c>
      <c r="E611" t="s">
        <v>11</v>
      </c>
      <c r="F611">
        <v>1</v>
      </c>
      <c r="G611" t="s">
        <v>18</v>
      </c>
    </row>
    <row r="612" spans="1:7" x14ac:dyDescent="0.25">
      <c r="A612">
        <v>34</v>
      </c>
      <c r="B612" t="s">
        <v>344</v>
      </c>
      <c r="C612">
        <v>170</v>
      </c>
      <c r="D612" t="s">
        <v>142</v>
      </c>
      <c r="E612" t="s">
        <v>11</v>
      </c>
      <c r="F612">
        <v>6.452</v>
      </c>
      <c r="G612" t="s">
        <v>15</v>
      </c>
    </row>
    <row r="613" spans="1:7" x14ac:dyDescent="0.25">
      <c r="A613">
        <v>34</v>
      </c>
      <c r="B613" t="s">
        <v>344</v>
      </c>
      <c r="C613">
        <v>180</v>
      </c>
      <c r="D613" t="s">
        <v>349</v>
      </c>
      <c r="E613" t="s">
        <v>11</v>
      </c>
      <c r="F613">
        <v>1</v>
      </c>
      <c r="G613" t="s">
        <v>18</v>
      </c>
    </row>
    <row r="614" spans="1:7" x14ac:dyDescent="0.25">
      <c r="A614">
        <v>35</v>
      </c>
      <c r="B614" t="s">
        <v>350</v>
      </c>
      <c r="C614">
        <v>10</v>
      </c>
      <c r="D614" t="s">
        <v>351</v>
      </c>
      <c r="E614" t="s">
        <v>11</v>
      </c>
      <c r="F614">
        <v>1</v>
      </c>
      <c r="G614" t="s">
        <v>18</v>
      </c>
    </row>
    <row r="615" spans="1:7" x14ac:dyDescent="0.25">
      <c r="A615">
        <v>35</v>
      </c>
      <c r="B615" t="s">
        <v>350</v>
      </c>
      <c r="C615">
        <v>20</v>
      </c>
      <c r="D615" t="s">
        <v>132</v>
      </c>
      <c r="E615" t="s">
        <v>14</v>
      </c>
      <c r="F615">
        <v>3.5819999999999999</v>
      </c>
      <c r="G615" t="s">
        <v>15</v>
      </c>
    </row>
    <row r="616" spans="1:7" x14ac:dyDescent="0.25">
      <c r="A616">
        <v>35</v>
      </c>
      <c r="B616" t="s">
        <v>350</v>
      </c>
      <c r="C616">
        <v>30</v>
      </c>
      <c r="D616" t="s">
        <v>102</v>
      </c>
      <c r="E616" t="s">
        <v>103</v>
      </c>
      <c r="F616">
        <v>0.92400000000000004</v>
      </c>
      <c r="G616" t="s">
        <v>15</v>
      </c>
    </row>
    <row r="617" spans="1:7" x14ac:dyDescent="0.25">
      <c r="A617">
        <v>35</v>
      </c>
      <c r="B617" t="s">
        <v>350</v>
      </c>
      <c r="C617">
        <v>40</v>
      </c>
      <c r="D617" t="s">
        <v>146</v>
      </c>
      <c r="E617" t="s">
        <v>11</v>
      </c>
      <c r="F617">
        <v>2.1589999999999998</v>
      </c>
      <c r="G617" t="s">
        <v>18</v>
      </c>
    </row>
    <row r="618" spans="1:7" x14ac:dyDescent="0.25">
      <c r="A618">
        <v>35</v>
      </c>
      <c r="B618" t="s">
        <v>350</v>
      </c>
      <c r="C618">
        <v>50</v>
      </c>
      <c r="D618" t="s">
        <v>139</v>
      </c>
      <c r="E618" t="s">
        <v>17</v>
      </c>
      <c r="F618">
        <v>2.1589999999999998</v>
      </c>
      <c r="G618" t="s">
        <v>18</v>
      </c>
    </row>
    <row r="619" spans="1:7" x14ac:dyDescent="0.25">
      <c r="A619">
        <v>35</v>
      </c>
      <c r="B619" t="s">
        <v>350</v>
      </c>
      <c r="C619">
        <v>60</v>
      </c>
      <c r="D619" t="s">
        <v>352</v>
      </c>
      <c r="E619" t="s">
        <v>11</v>
      </c>
      <c r="F619">
        <v>1</v>
      </c>
      <c r="G619" t="s">
        <v>18</v>
      </c>
    </row>
    <row r="620" spans="1:7" x14ac:dyDescent="0.25">
      <c r="A620">
        <v>35</v>
      </c>
      <c r="B620" t="s">
        <v>350</v>
      </c>
      <c r="C620">
        <v>70</v>
      </c>
      <c r="D620" t="s">
        <v>148</v>
      </c>
      <c r="E620" t="s">
        <v>17</v>
      </c>
      <c r="F620">
        <v>20.268999999999998</v>
      </c>
      <c r="G620" t="s">
        <v>15</v>
      </c>
    </row>
    <row r="621" spans="1:7" x14ac:dyDescent="0.25">
      <c r="A621">
        <v>35</v>
      </c>
      <c r="B621" t="s">
        <v>350</v>
      </c>
      <c r="C621">
        <v>80</v>
      </c>
      <c r="D621" t="s">
        <v>20</v>
      </c>
      <c r="E621" t="s">
        <v>17</v>
      </c>
      <c r="F621">
        <v>166.20699999999999</v>
      </c>
      <c r="G621" t="s">
        <v>15</v>
      </c>
    </row>
    <row r="622" spans="1:7" x14ac:dyDescent="0.25">
      <c r="A622">
        <v>35</v>
      </c>
      <c r="B622" t="s">
        <v>350</v>
      </c>
      <c r="C622">
        <v>90</v>
      </c>
      <c r="D622" t="s">
        <v>24</v>
      </c>
      <c r="E622" t="s">
        <v>11</v>
      </c>
      <c r="F622">
        <v>1</v>
      </c>
      <c r="G622" t="s">
        <v>15</v>
      </c>
    </row>
    <row r="623" spans="1:7" x14ac:dyDescent="0.25">
      <c r="A623">
        <v>35</v>
      </c>
      <c r="B623" t="s">
        <v>350</v>
      </c>
      <c r="C623">
        <v>100</v>
      </c>
      <c r="D623" t="s">
        <v>141</v>
      </c>
      <c r="E623" t="s">
        <v>14</v>
      </c>
      <c r="F623">
        <v>0.10199999999999999</v>
      </c>
      <c r="G623" t="s">
        <v>15</v>
      </c>
    </row>
    <row r="624" spans="1:7" x14ac:dyDescent="0.25">
      <c r="A624">
        <v>35</v>
      </c>
      <c r="B624" t="s">
        <v>350</v>
      </c>
      <c r="C624">
        <v>110</v>
      </c>
      <c r="D624" t="s">
        <v>140</v>
      </c>
      <c r="E624" t="s">
        <v>11</v>
      </c>
      <c r="F624">
        <v>4</v>
      </c>
      <c r="G624" t="s">
        <v>15</v>
      </c>
    </row>
    <row r="625" spans="1:7" x14ac:dyDescent="0.25">
      <c r="A625">
        <v>35</v>
      </c>
      <c r="B625" t="s">
        <v>350</v>
      </c>
      <c r="C625">
        <v>120</v>
      </c>
      <c r="D625" t="s">
        <v>25</v>
      </c>
      <c r="E625" t="s">
        <v>11</v>
      </c>
      <c r="F625">
        <v>1</v>
      </c>
      <c r="G625" t="s">
        <v>15</v>
      </c>
    </row>
    <row r="626" spans="1:7" x14ac:dyDescent="0.25">
      <c r="A626">
        <v>35</v>
      </c>
      <c r="B626" t="s">
        <v>350</v>
      </c>
      <c r="C626">
        <v>130</v>
      </c>
      <c r="D626" t="s">
        <v>26</v>
      </c>
      <c r="E626" t="s">
        <v>11</v>
      </c>
      <c r="F626">
        <v>1</v>
      </c>
      <c r="G626" t="s">
        <v>15</v>
      </c>
    </row>
    <row r="627" spans="1:7" x14ac:dyDescent="0.25">
      <c r="A627">
        <v>35</v>
      </c>
      <c r="B627" t="s">
        <v>350</v>
      </c>
      <c r="C627">
        <v>140</v>
      </c>
      <c r="D627" t="s">
        <v>100</v>
      </c>
      <c r="E627" t="s">
        <v>14</v>
      </c>
      <c r="F627">
        <v>1.27</v>
      </c>
      <c r="G627" t="s">
        <v>15</v>
      </c>
    </row>
    <row r="628" spans="1:7" x14ac:dyDescent="0.25">
      <c r="A628">
        <v>35</v>
      </c>
      <c r="B628" t="s">
        <v>350</v>
      </c>
      <c r="C628">
        <v>150</v>
      </c>
      <c r="D628" t="s">
        <v>353</v>
      </c>
      <c r="E628" t="s">
        <v>11</v>
      </c>
      <c r="F628">
        <v>1</v>
      </c>
      <c r="G628" t="s">
        <v>18</v>
      </c>
    </row>
    <row r="629" spans="1:7" x14ac:dyDescent="0.25">
      <c r="A629">
        <v>35</v>
      </c>
      <c r="B629" t="s">
        <v>350</v>
      </c>
      <c r="C629">
        <v>160</v>
      </c>
      <c r="D629" t="s">
        <v>354</v>
      </c>
      <c r="E629" t="s">
        <v>11</v>
      </c>
      <c r="F629">
        <v>1</v>
      </c>
      <c r="G629" t="s">
        <v>18</v>
      </c>
    </row>
    <row r="630" spans="1:7" x14ac:dyDescent="0.25">
      <c r="A630">
        <v>35</v>
      </c>
      <c r="B630" t="s">
        <v>350</v>
      </c>
      <c r="C630">
        <v>170</v>
      </c>
      <c r="D630" t="s">
        <v>142</v>
      </c>
      <c r="E630" t="s">
        <v>11</v>
      </c>
      <c r="F630">
        <v>6.7560000000000002</v>
      </c>
      <c r="G630" t="s">
        <v>15</v>
      </c>
    </row>
    <row r="631" spans="1:7" x14ac:dyDescent="0.25">
      <c r="A631">
        <v>35</v>
      </c>
      <c r="B631" t="s">
        <v>350</v>
      </c>
      <c r="C631">
        <v>180</v>
      </c>
      <c r="D631" t="s">
        <v>355</v>
      </c>
      <c r="E631" t="s">
        <v>11</v>
      </c>
      <c r="F631">
        <v>1</v>
      </c>
      <c r="G631" t="s">
        <v>18</v>
      </c>
    </row>
    <row r="632" spans="1:7" x14ac:dyDescent="0.25">
      <c r="A632">
        <v>36</v>
      </c>
      <c r="B632" t="s">
        <v>356</v>
      </c>
      <c r="C632">
        <v>10</v>
      </c>
      <c r="D632" t="s">
        <v>357</v>
      </c>
      <c r="E632" t="s">
        <v>11</v>
      </c>
      <c r="F632">
        <v>1</v>
      </c>
      <c r="G632" t="s">
        <v>18</v>
      </c>
    </row>
    <row r="633" spans="1:7" x14ac:dyDescent="0.25">
      <c r="A633">
        <v>36</v>
      </c>
      <c r="B633" t="s">
        <v>356</v>
      </c>
      <c r="C633">
        <v>20</v>
      </c>
      <c r="D633" t="s">
        <v>132</v>
      </c>
      <c r="E633" t="s">
        <v>14</v>
      </c>
      <c r="F633">
        <v>4.4870000000000001</v>
      </c>
      <c r="G633" t="s">
        <v>15</v>
      </c>
    </row>
    <row r="634" spans="1:7" x14ac:dyDescent="0.25">
      <c r="A634">
        <v>36</v>
      </c>
      <c r="B634" t="s">
        <v>356</v>
      </c>
      <c r="C634">
        <v>30</v>
      </c>
      <c r="D634" t="s">
        <v>102</v>
      </c>
      <c r="E634" t="s">
        <v>103</v>
      </c>
      <c r="F634">
        <v>1.05</v>
      </c>
      <c r="G634" t="s">
        <v>15</v>
      </c>
    </row>
    <row r="635" spans="1:7" x14ac:dyDescent="0.25">
      <c r="A635">
        <v>36</v>
      </c>
      <c r="B635" t="s">
        <v>356</v>
      </c>
      <c r="C635">
        <v>40</v>
      </c>
      <c r="D635" t="s">
        <v>146</v>
      </c>
      <c r="E635" t="s">
        <v>11</v>
      </c>
      <c r="F635">
        <v>2.1589999999999998</v>
      </c>
      <c r="G635" t="s">
        <v>18</v>
      </c>
    </row>
    <row r="636" spans="1:7" x14ac:dyDescent="0.25">
      <c r="A636">
        <v>36</v>
      </c>
      <c r="B636" t="s">
        <v>356</v>
      </c>
      <c r="C636">
        <v>50</v>
      </c>
      <c r="D636" t="s">
        <v>139</v>
      </c>
      <c r="E636" t="s">
        <v>17</v>
      </c>
      <c r="F636">
        <v>2.1589999999999998</v>
      </c>
      <c r="G636" t="s">
        <v>18</v>
      </c>
    </row>
    <row r="637" spans="1:7" x14ac:dyDescent="0.25">
      <c r="A637">
        <v>36</v>
      </c>
      <c r="B637" t="s">
        <v>356</v>
      </c>
      <c r="C637">
        <v>60</v>
      </c>
      <c r="D637" t="s">
        <v>358</v>
      </c>
      <c r="E637" t="s">
        <v>11</v>
      </c>
      <c r="F637">
        <v>1</v>
      </c>
      <c r="G637" t="s">
        <v>18</v>
      </c>
    </row>
    <row r="638" spans="1:7" x14ac:dyDescent="0.25">
      <c r="A638">
        <v>36</v>
      </c>
      <c r="B638" t="s">
        <v>356</v>
      </c>
      <c r="C638">
        <v>70</v>
      </c>
      <c r="D638" t="s">
        <v>148</v>
      </c>
      <c r="E638" t="s">
        <v>17</v>
      </c>
      <c r="F638">
        <v>21.184000000000001</v>
      </c>
      <c r="G638" t="s">
        <v>15</v>
      </c>
    </row>
    <row r="639" spans="1:7" x14ac:dyDescent="0.25">
      <c r="A639">
        <v>36</v>
      </c>
      <c r="B639" t="s">
        <v>356</v>
      </c>
      <c r="C639">
        <v>80</v>
      </c>
      <c r="D639" t="s">
        <v>20</v>
      </c>
      <c r="E639" t="s">
        <v>17</v>
      </c>
      <c r="F639">
        <v>173.70599999999999</v>
      </c>
      <c r="G639" t="s">
        <v>15</v>
      </c>
    </row>
    <row r="640" spans="1:7" x14ac:dyDescent="0.25">
      <c r="A640">
        <v>36</v>
      </c>
      <c r="B640" t="s">
        <v>356</v>
      </c>
      <c r="C640">
        <v>90</v>
      </c>
      <c r="D640" t="s">
        <v>24</v>
      </c>
      <c r="E640" t="s">
        <v>11</v>
      </c>
      <c r="F640">
        <v>1</v>
      </c>
      <c r="G640" t="s">
        <v>15</v>
      </c>
    </row>
    <row r="641" spans="1:7" x14ac:dyDescent="0.25">
      <c r="A641">
        <v>36</v>
      </c>
      <c r="B641" t="s">
        <v>356</v>
      </c>
      <c r="C641">
        <v>100</v>
      </c>
      <c r="D641" t="s">
        <v>141</v>
      </c>
      <c r="E641" t="s">
        <v>14</v>
      </c>
      <c r="F641">
        <v>0.112</v>
      </c>
      <c r="G641" t="s">
        <v>15</v>
      </c>
    </row>
    <row r="642" spans="1:7" x14ac:dyDescent="0.25">
      <c r="A642">
        <v>36</v>
      </c>
      <c r="B642" t="s">
        <v>356</v>
      </c>
      <c r="C642">
        <v>110</v>
      </c>
      <c r="D642" t="s">
        <v>140</v>
      </c>
      <c r="E642" t="s">
        <v>11</v>
      </c>
      <c r="F642">
        <v>4</v>
      </c>
      <c r="G642" t="s">
        <v>15</v>
      </c>
    </row>
    <row r="643" spans="1:7" x14ac:dyDescent="0.25">
      <c r="A643">
        <v>36</v>
      </c>
      <c r="B643" t="s">
        <v>356</v>
      </c>
      <c r="C643">
        <v>120</v>
      </c>
      <c r="D643" t="s">
        <v>25</v>
      </c>
      <c r="E643" t="s">
        <v>11</v>
      </c>
      <c r="F643">
        <v>1</v>
      </c>
      <c r="G643" t="s">
        <v>15</v>
      </c>
    </row>
    <row r="644" spans="1:7" x14ac:dyDescent="0.25">
      <c r="A644">
        <v>36</v>
      </c>
      <c r="B644" t="s">
        <v>356</v>
      </c>
      <c r="C644">
        <v>130</v>
      </c>
      <c r="D644" t="s">
        <v>26</v>
      </c>
      <c r="E644" t="s">
        <v>11</v>
      </c>
      <c r="F644">
        <v>1</v>
      </c>
      <c r="G644" t="s">
        <v>15</v>
      </c>
    </row>
    <row r="645" spans="1:7" x14ac:dyDescent="0.25">
      <c r="A645">
        <v>36</v>
      </c>
      <c r="B645" t="s">
        <v>356</v>
      </c>
      <c r="C645">
        <v>140</v>
      </c>
      <c r="D645" t="s">
        <v>100</v>
      </c>
      <c r="E645" t="s">
        <v>14</v>
      </c>
      <c r="F645">
        <v>1.27</v>
      </c>
      <c r="G645" t="s">
        <v>15</v>
      </c>
    </row>
    <row r="646" spans="1:7" x14ac:dyDescent="0.25">
      <c r="A646">
        <v>36</v>
      </c>
      <c r="B646" t="s">
        <v>356</v>
      </c>
      <c r="C646">
        <v>150</v>
      </c>
      <c r="D646" t="s">
        <v>359</v>
      </c>
      <c r="E646" t="s">
        <v>11</v>
      </c>
      <c r="F646">
        <v>1</v>
      </c>
      <c r="G646" t="s">
        <v>18</v>
      </c>
    </row>
    <row r="647" spans="1:7" x14ac:dyDescent="0.25">
      <c r="A647">
        <v>36</v>
      </c>
      <c r="B647" t="s">
        <v>356</v>
      </c>
      <c r="C647">
        <v>160</v>
      </c>
      <c r="D647" t="s">
        <v>360</v>
      </c>
      <c r="E647" t="s">
        <v>11</v>
      </c>
      <c r="F647">
        <v>1</v>
      </c>
      <c r="G647" t="s">
        <v>18</v>
      </c>
    </row>
    <row r="648" spans="1:7" x14ac:dyDescent="0.25">
      <c r="A648">
        <v>36</v>
      </c>
      <c r="B648" t="s">
        <v>356</v>
      </c>
      <c r="C648">
        <v>170</v>
      </c>
      <c r="D648" t="s">
        <v>142</v>
      </c>
      <c r="E648" t="s">
        <v>11</v>
      </c>
      <c r="F648">
        <v>7.0609999999999999</v>
      </c>
      <c r="G648" t="s">
        <v>15</v>
      </c>
    </row>
    <row r="649" spans="1:7" x14ac:dyDescent="0.25">
      <c r="A649">
        <v>36</v>
      </c>
      <c r="B649" t="s">
        <v>356</v>
      </c>
      <c r="C649">
        <v>180</v>
      </c>
      <c r="D649" t="s">
        <v>361</v>
      </c>
      <c r="E649" t="s">
        <v>11</v>
      </c>
      <c r="F649">
        <v>1</v>
      </c>
      <c r="G649" t="s">
        <v>18</v>
      </c>
    </row>
    <row r="650" spans="1:7" x14ac:dyDescent="0.25">
      <c r="A650">
        <v>37</v>
      </c>
      <c r="B650" t="s">
        <v>362</v>
      </c>
      <c r="C650">
        <v>10</v>
      </c>
      <c r="D650" t="s">
        <v>363</v>
      </c>
      <c r="E650" t="s">
        <v>11</v>
      </c>
      <c r="F650">
        <v>1</v>
      </c>
      <c r="G650" t="s">
        <v>18</v>
      </c>
    </row>
    <row r="651" spans="1:7" x14ac:dyDescent="0.25">
      <c r="A651">
        <v>37</v>
      </c>
      <c r="B651" t="s">
        <v>362</v>
      </c>
      <c r="C651">
        <v>20</v>
      </c>
      <c r="D651" t="s">
        <v>132</v>
      </c>
      <c r="E651" t="s">
        <v>14</v>
      </c>
      <c r="F651">
        <v>4.4870000000000001</v>
      </c>
      <c r="G651" t="s">
        <v>15</v>
      </c>
    </row>
    <row r="652" spans="1:7" x14ac:dyDescent="0.25">
      <c r="A652">
        <v>37</v>
      </c>
      <c r="B652" t="s">
        <v>362</v>
      </c>
      <c r="C652">
        <v>30</v>
      </c>
      <c r="D652" t="s">
        <v>102</v>
      </c>
      <c r="E652" t="s">
        <v>103</v>
      </c>
      <c r="F652">
        <v>1.113</v>
      </c>
      <c r="G652" t="s">
        <v>15</v>
      </c>
    </row>
    <row r="653" spans="1:7" x14ac:dyDescent="0.25">
      <c r="A653">
        <v>37</v>
      </c>
      <c r="B653" t="s">
        <v>362</v>
      </c>
      <c r="C653">
        <v>40</v>
      </c>
      <c r="D653" t="s">
        <v>146</v>
      </c>
      <c r="E653" t="s">
        <v>11</v>
      </c>
      <c r="F653">
        <v>2.1589999999999998</v>
      </c>
      <c r="G653" t="s">
        <v>18</v>
      </c>
    </row>
    <row r="654" spans="1:7" x14ac:dyDescent="0.25">
      <c r="A654">
        <v>37</v>
      </c>
      <c r="B654" t="s">
        <v>362</v>
      </c>
      <c r="C654">
        <v>50</v>
      </c>
      <c r="D654" t="s">
        <v>139</v>
      </c>
      <c r="E654" t="s">
        <v>17</v>
      </c>
      <c r="F654">
        <v>2.1589999999999998</v>
      </c>
      <c r="G654" t="s">
        <v>18</v>
      </c>
    </row>
    <row r="655" spans="1:7" x14ac:dyDescent="0.25">
      <c r="A655">
        <v>37</v>
      </c>
      <c r="B655" t="s">
        <v>362</v>
      </c>
      <c r="C655">
        <v>60</v>
      </c>
      <c r="D655" t="s">
        <v>364</v>
      </c>
      <c r="E655" t="s">
        <v>11</v>
      </c>
      <c r="F655">
        <v>1</v>
      </c>
      <c r="G655" t="s">
        <v>18</v>
      </c>
    </row>
    <row r="656" spans="1:7" x14ac:dyDescent="0.25">
      <c r="A656">
        <v>37</v>
      </c>
      <c r="B656" t="s">
        <v>362</v>
      </c>
      <c r="C656">
        <v>70</v>
      </c>
      <c r="D656" t="s">
        <v>148</v>
      </c>
      <c r="E656" t="s">
        <v>17</v>
      </c>
      <c r="F656">
        <v>21.640999999999998</v>
      </c>
      <c r="G656" t="s">
        <v>15</v>
      </c>
    </row>
    <row r="657" spans="1:7" x14ac:dyDescent="0.25">
      <c r="A657">
        <v>37</v>
      </c>
      <c r="B657" t="s">
        <v>362</v>
      </c>
      <c r="C657">
        <v>80</v>
      </c>
      <c r="D657" t="s">
        <v>20</v>
      </c>
      <c r="E657" t="s">
        <v>17</v>
      </c>
      <c r="F657">
        <v>177.45500000000001</v>
      </c>
      <c r="G657" t="s">
        <v>15</v>
      </c>
    </row>
    <row r="658" spans="1:7" x14ac:dyDescent="0.25">
      <c r="A658">
        <v>37</v>
      </c>
      <c r="B658" t="s">
        <v>362</v>
      </c>
      <c r="C658">
        <v>90</v>
      </c>
      <c r="D658" t="s">
        <v>24</v>
      </c>
      <c r="E658" t="s">
        <v>11</v>
      </c>
      <c r="F658">
        <v>1</v>
      </c>
      <c r="G658" t="s">
        <v>15</v>
      </c>
    </row>
    <row r="659" spans="1:7" x14ac:dyDescent="0.25">
      <c r="A659">
        <v>37</v>
      </c>
      <c r="B659" t="s">
        <v>362</v>
      </c>
      <c r="C659">
        <v>100</v>
      </c>
      <c r="D659" t="s">
        <v>141</v>
      </c>
      <c r="E659" t="s">
        <v>14</v>
      </c>
      <c r="F659">
        <v>0.11700000000000001</v>
      </c>
      <c r="G659" t="s">
        <v>15</v>
      </c>
    </row>
    <row r="660" spans="1:7" x14ac:dyDescent="0.25">
      <c r="A660">
        <v>37</v>
      </c>
      <c r="B660" t="s">
        <v>362</v>
      </c>
      <c r="C660">
        <v>110</v>
      </c>
      <c r="D660" t="s">
        <v>140</v>
      </c>
      <c r="E660" t="s">
        <v>11</v>
      </c>
      <c r="F660">
        <v>4</v>
      </c>
      <c r="G660" t="s">
        <v>15</v>
      </c>
    </row>
    <row r="661" spans="1:7" x14ac:dyDescent="0.25">
      <c r="A661">
        <v>37</v>
      </c>
      <c r="B661" t="s">
        <v>362</v>
      </c>
      <c r="C661">
        <v>120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37</v>
      </c>
      <c r="B662" t="s">
        <v>362</v>
      </c>
      <c r="C662">
        <v>130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37</v>
      </c>
      <c r="B663" t="s">
        <v>362</v>
      </c>
      <c r="C663">
        <v>140</v>
      </c>
      <c r="D663" t="s">
        <v>100</v>
      </c>
      <c r="E663" t="s">
        <v>14</v>
      </c>
      <c r="F663">
        <v>1.27</v>
      </c>
      <c r="G663" t="s">
        <v>15</v>
      </c>
    </row>
    <row r="664" spans="1:7" x14ac:dyDescent="0.25">
      <c r="A664">
        <v>37</v>
      </c>
      <c r="B664" t="s">
        <v>362</v>
      </c>
      <c r="C664">
        <v>150</v>
      </c>
      <c r="D664" t="s">
        <v>365</v>
      </c>
      <c r="E664" t="s">
        <v>11</v>
      </c>
      <c r="F664">
        <v>1</v>
      </c>
      <c r="G664" t="s">
        <v>18</v>
      </c>
    </row>
    <row r="665" spans="1:7" x14ac:dyDescent="0.25">
      <c r="A665">
        <v>37</v>
      </c>
      <c r="B665" t="s">
        <v>362</v>
      </c>
      <c r="C665">
        <v>160</v>
      </c>
      <c r="D665" t="s">
        <v>366</v>
      </c>
      <c r="E665" t="s">
        <v>11</v>
      </c>
      <c r="F665">
        <v>1</v>
      </c>
      <c r="G665" t="s">
        <v>18</v>
      </c>
    </row>
    <row r="666" spans="1:7" x14ac:dyDescent="0.25">
      <c r="A666">
        <v>37</v>
      </c>
      <c r="B666" t="s">
        <v>362</v>
      </c>
      <c r="C666">
        <v>170</v>
      </c>
      <c r="D666" t="s">
        <v>142</v>
      </c>
      <c r="E666" t="s">
        <v>11</v>
      </c>
      <c r="F666">
        <v>7.2140000000000004</v>
      </c>
      <c r="G666" t="s">
        <v>15</v>
      </c>
    </row>
    <row r="667" spans="1:7" x14ac:dyDescent="0.25">
      <c r="A667">
        <v>37</v>
      </c>
      <c r="B667" t="s">
        <v>362</v>
      </c>
      <c r="C667">
        <v>180</v>
      </c>
      <c r="D667" t="s">
        <v>367</v>
      </c>
      <c r="E667" t="s">
        <v>11</v>
      </c>
      <c r="F667">
        <v>1</v>
      </c>
      <c r="G667" t="s">
        <v>18</v>
      </c>
    </row>
    <row r="668" spans="1:7" x14ac:dyDescent="0.25">
      <c r="A668">
        <v>38</v>
      </c>
      <c r="B668" t="s">
        <v>368</v>
      </c>
      <c r="C668">
        <v>10</v>
      </c>
      <c r="D668" t="s">
        <v>369</v>
      </c>
      <c r="E668" t="s">
        <v>11</v>
      </c>
      <c r="F668">
        <v>1</v>
      </c>
      <c r="G668" t="s">
        <v>18</v>
      </c>
    </row>
    <row r="669" spans="1:7" x14ac:dyDescent="0.25">
      <c r="A669">
        <v>38</v>
      </c>
      <c r="B669" t="s">
        <v>368</v>
      </c>
      <c r="C669">
        <v>20</v>
      </c>
      <c r="D669" t="s">
        <v>132</v>
      </c>
      <c r="E669" t="s">
        <v>14</v>
      </c>
      <c r="F669">
        <v>4.4870000000000001</v>
      </c>
      <c r="G669" t="s">
        <v>15</v>
      </c>
    </row>
    <row r="670" spans="1:7" x14ac:dyDescent="0.25">
      <c r="A670">
        <v>38</v>
      </c>
      <c r="B670" t="s">
        <v>368</v>
      </c>
      <c r="C670">
        <v>30</v>
      </c>
      <c r="D670" t="s">
        <v>102</v>
      </c>
      <c r="E670" t="s">
        <v>103</v>
      </c>
      <c r="F670">
        <v>1.177</v>
      </c>
      <c r="G670" t="s">
        <v>15</v>
      </c>
    </row>
    <row r="671" spans="1:7" x14ac:dyDescent="0.25">
      <c r="A671">
        <v>38</v>
      </c>
      <c r="B671" t="s">
        <v>368</v>
      </c>
      <c r="C671">
        <v>40</v>
      </c>
      <c r="D671" t="s">
        <v>146</v>
      </c>
      <c r="E671" t="s">
        <v>11</v>
      </c>
      <c r="F671">
        <v>2.1589999999999998</v>
      </c>
      <c r="G671" t="s">
        <v>18</v>
      </c>
    </row>
    <row r="672" spans="1:7" x14ac:dyDescent="0.25">
      <c r="A672">
        <v>38</v>
      </c>
      <c r="B672" t="s">
        <v>368</v>
      </c>
      <c r="C672">
        <v>50</v>
      </c>
      <c r="D672" t="s">
        <v>139</v>
      </c>
      <c r="E672" t="s">
        <v>17</v>
      </c>
      <c r="F672">
        <v>2.1589999999999998</v>
      </c>
      <c r="G672" t="s">
        <v>18</v>
      </c>
    </row>
    <row r="673" spans="1:7" x14ac:dyDescent="0.25">
      <c r="A673">
        <v>38</v>
      </c>
      <c r="B673" t="s">
        <v>368</v>
      </c>
      <c r="C673">
        <v>60</v>
      </c>
      <c r="D673" t="s">
        <v>370</v>
      </c>
      <c r="E673" t="s">
        <v>11</v>
      </c>
      <c r="F673">
        <v>1</v>
      </c>
      <c r="G673" t="s">
        <v>18</v>
      </c>
    </row>
    <row r="674" spans="1:7" x14ac:dyDescent="0.25">
      <c r="A674">
        <v>38</v>
      </c>
      <c r="B674" t="s">
        <v>368</v>
      </c>
      <c r="C674">
        <v>70</v>
      </c>
      <c r="D674" t="s">
        <v>148</v>
      </c>
      <c r="E674" t="s">
        <v>17</v>
      </c>
      <c r="F674">
        <v>22.097999999999999</v>
      </c>
      <c r="G674" t="s">
        <v>15</v>
      </c>
    </row>
    <row r="675" spans="1:7" x14ac:dyDescent="0.25">
      <c r="A675">
        <v>38</v>
      </c>
      <c r="B675" t="s">
        <v>368</v>
      </c>
      <c r="C675">
        <v>80</v>
      </c>
      <c r="D675" t="s">
        <v>20</v>
      </c>
      <c r="E675" t="s">
        <v>17</v>
      </c>
      <c r="F675">
        <v>181.20400000000001</v>
      </c>
      <c r="G675" t="s">
        <v>15</v>
      </c>
    </row>
    <row r="676" spans="1:7" x14ac:dyDescent="0.25">
      <c r="A676">
        <v>38</v>
      </c>
      <c r="B676" t="s">
        <v>368</v>
      </c>
      <c r="C676">
        <v>90</v>
      </c>
      <c r="D676" t="s">
        <v>24</v>
      </c>
      <c r="E676" t="s">
        <v>11</v>
      </c>
      <c r="F676">
        <v>1</v>
      </c>
      <c r="G676" t="s">
        <v>15</v>
      </c>
    </row>
    <row r="677" spans="1:7" x14ac:dyDescent="0.25">
      <c r="A677">
        <v>38</v>
      </c>
      <c r="B677" t="s">
        <v>368</v>
      </c>
      <c r="C677">
        <v>100</v>
      </c>
      <c r="D677" t="s">
        <v>141</v>
      </c>
      <c r="E677" t="s">
        <v>14</v>
      </c>
      <c r="F677">
        <v>0.123</v>
      </c>
      <c r="G677" t="s">
        <v>15</v>
      </c>
    </row>
    <row r="678" spans="1:7" x14ac:dyDescent="0.25">
      <c r="A678">
        <v>38</v>
      </c>
      <c r="B678" t="s">
        <v>368</v>
      </c>
      <c r="C678">
        <v>110</v>
      </c>
      <c r="D678" t="s">
        <v>140</v>
      </c>
      <c r="E678" t="s">
        <v>11</v>
      </c>
      <c r="F678">
        <v>4</v>
      </c>
      <c r="G678" t="s">
        <v>15</v>
      </c>
    </row>
    <row r="679" spans="1:7" x14ac:dyDescent="0.25">
      <c r="A679">
        <v>38</v>
      </c>
      <c r="B679" t="s">
        <v>368</v>
      </c>
      <c r="C679">
        <v>120</v>
      </c>
      <c r="D679" t="s">
        <v>25</v>
      </c>
      <c r="E679" t="s">
        <v>11</v>
      </c>
      <c r="F679">
        <v>1</v>
      </c>
      <c r="G679" t="s">
        <v>15</v>
      </c>
    </row>
    <row r="680" spans="1:7" x14ac:dyDescent="0.25">
      <c r="A680">
        <v>38</v>
      </c>
      <c r="B680" t="s">
        <v>368</v>
      </c>
      <c r="C680">
        <v>130</v>
      </c>
      <c r="D680" t="s">
        <v>26</v>
      </c>
      <c r="E680" t="s">
        <v>11</v>
      </c>
      <c r="F680">
        <v>1</v>
      </c>
      <c r="G680" t="s">
        <v>15</v>
      </c>
    </row>
    <row r="681" spans="1:7" x14ac:dyDescent="0.25">
      <c r="A681">
        <v>38</v>
      </c>
      <c r="B681" t="s">
        <v>368</v>
      </c>
      <c r="C681">
        <v>140</v>
      </c>
      <c r="D681" t="s">
        <v>100</v>
      </c>
      <c r="E681" t="s">
        <v>14</v>
      </c>
      <c r="F681">
        <v>1.27</v>
      </c>
      <c r="G681" t="s">
        <v>15</v>
      </c>
    </row>
    <row r="682" spans="1:7" x14ac:dyDescent="0.25">
      <c r="A682">
        <v>38</v>
      </c>
      <c r="B682" t="s">
        <v>368</v>
      </c>
      <c r="C682">
        <v>150</v>
      </c>
      <c r="D682" t="s">
        <v>371</v>
      </c>
      <c r="E682" t="s">
        <v>11</v>
      </c>
      <c r="F682">
        <v>1</v>
      </c>
      <c r="G682" t="s">
        <v>18</v>
      </c>
    </row>
    <row r="683" spans="1:7" x14ac:dyDescent="0.25">
      <c r="A683">
        <v>38</v>
      </c>
      <c r="B683" t="s">
        <v>368</v>
      </c>
      <c r="C683">
        <v>160</v>
      </c>
      <c r="D683" t="s">
        <v>372</v>
      </c>
      <c r="E683" t="s">
        <v>11</v>
      </c>
      <c r="F683">
        <v>1</v>
      </c>
      <c r="G683" t="s">
        <v>18</v>
      </c>
    </row>
    <row r="684" spans="1:7" x14ac:dyDescent="0.25">
      <c r="A684">
        <v>38</v>
      </c>
      <c r="B684" t="s">
        <v>368</v>
      </c>
      <c r="C684">
        <v>170</v>
      </c>
      <c r="D684" t="s">
        <v>142</v>
      </c>
      <c r="E684" t="s">
        <v>11</v>
      </c>
      <c r="F684">
        <v>7.3659999999999997</v>
      </c>
      <c r="G684" t="s">
        <v>15</v>
      </c>
    </row>
    <row r="685" spans="1:7" x14ac:dyDescent="0.25">
      <c r="A685">
        <v>38</v>
      </c>
      <c r="B685" t="s">
        <v>368</v>
      </c>
      <c r="C685">
        <v>180</v>
      </c>
      <c r="D685" t="s">
        <v>373</v>
      </c>
      <c r="E685" t="s">
        <v>11</v>
      </c>
      <c r="F685">
        <v>1</v>
      </c>
      <c r="G685" t="s">
        <v>18</v>
      </c>
    </row>
    <row r="686" spans="1:7" x14ac:dyDescent="0.25">
      <c r="A686">
        <v>39</v>
      </c>
      <c r="B686" t="s">
        <v>374</v>
      </c>
      <c r="C686">
        <v>10</v>
      </c>
      <c r="D686" t="s">
        <v>375</v>
      </c>
      <c r="E686" t="s">
        <v>11</v>
      </c>
      <c r="F686">
        <v>1</v>
      </c>
      <c r="G686" t="s">
        <v>18</v>
      </c>
    </row>
    <row r="687" spans="1:7" x14ac:dyDescent="0.25">
      <c r="A687">
        <v>39</v>
      </c>
      <c r="B687" t="s">
        <v>374</v>
      </c>
      <c r="C687">
        <v>20</v>
      </c>
      <c r="D687" t="s">
        <v>132</v>
      </c>
      <c r="E687" t="s">
        <v>14</v>
      </c>
      <c r="F687">
        <v>4.9400000000000004</v>
      </c>
      <c r="G687" t="s">
        <v>15</v>
      </c>
    </row>
    <row r="688" spans="1:7" x14ac:dyDescent="0.25">
      <c r="A688">
        <v>39</v>
      </c>
      <c r="B688" t="s">
        <v>374</v>
      </c>
      <c r="C688">
        <v>30</v>
      </c>
      <c r="D688" t="s">
        <v>102</v>
      </c>
      <c r="E688" t="s">
        <v>103</v>
      </c>
      <c r="F688">
        <v>1.3029999999999999</v>
      </c>
      <c r="G688" t="s">
        <v>15</v>
      </c>
    </row>
    <row r="689" spans="1:7" x14ac:dyDescent="0.25">
      <c r="A689">
        <v>39</v>
      </c>
      <c r="B689" t="s">
        <v>374</v>
      </c>
      <c r="C689">
        <v>40</v>
      </c>
      <c r="D689" t="s">
        <v>146</v>
      </c>
      <c r="E689" t="s">
        <v>11</v>
      </c>
      <c r="F689">
        <v>2.1589999999999998</v>
      </c>
      <c r="G689" t="s">
        <v>18</v>
      </c>
    </row>
    <row r="690" spans="1:7" x14ac:dyDescent="0.25">
      <c r="A690">
        <v>39</v>
      </c>
      <c r="B690" t="s">
        <v>374</v>
      </c>
      <c r="C690">
        <v>50</v>
      </c>
      <c r="D690" t="s">
        <v>139</v>
      </c>
      <c r="E690" t="s">
        <v>17</v>
      </c>
      <c r="F690">
        <v>2.1589999999999998</v>
      </c>
      <c r="G690" t="s">
        <v>18</v>
      </c>
    </row>
    <row r="691" spans="1:7" x14ac:dyDescent="0.25">
      <c r="A691">
        <v>39</v>
      </c>
      <c r="B691" t="s">
        <v>374</v>
      </c>
      <c r="C691">
        <v>60</v>
      </c>
      <c r="D691" t="s">
        <v>376</v>
      </c>
      <c r="E691" t="s">
        <v>11</v>
      </c>
      <c r="F691">
        <v>1</v>
      </c>
      <c r="G691" t="s">
        <v>18</v>
      </c>
    </row>
    <row r="692" spans="1:7" x14ac:dyDescent="0.25">
      <c r="A692">
        <v>39</v>
      </c>
      <c r="B692" t="s">
        <v>374</v>
      </c>
      <c r="C692">
        <v>70</v>
      </c>
      <c r="D692" t="s">
        <v>148</v>
      </c>
      <c r="E692" t="s">
        <v>17</v>
      </c>
      <c r="F692">
        <v>23.012</v>
      </c>
      <c r="G692" t="s">
        <v>15</v>
      </c>
    </row>
    <row r="693" spans="1:7" x14ac:dyDescent="0.25">
      <c r="A693">
        <v>39</v>
      </c>
      <c r="B693" t="s">
        <v>374</v>
      </c>
      <c r="C693">
        <v>80</v>
      </c>
      <c r="D693" t="s">
        <v>20</v>
      </c>
      <c r="E693" t="s">
        <v>17</v>
      </c>
      <c r="F693">
        <v>188.702</v>
      </c>
      <c r="G693" t="s">
        <v>15</v>
      </c>
    </row>
    <row r="694" spans="1:7" x14ac:dyDescent="0.25">
      <c r="A694">
        <v>39</v>
      </c>
      <c r="B694" t="s">
        <v>374</v>
      </c>
      <c r="C694">
        <v>90</v>
      </c>
      <c r="D694" t="s">
        <v>24</v>
      </c>
      <c r="E694" t="s">
        <v>11</v>
      </c>
      <c r="F694">
        <v>1</v>
      </c>
      <c r="G694" t="s">
        <v>15</v>
      </c>
    </row>
    <row r="695" spans="1:7" x14ac:dyDescent="0.25">
      <c r="A695">
        <v>39</v>
      </c>
      <c r="B695" t="s">
        <v>374</v>
      </c>
      <c r="C695">
        <v>100</v>
      </c>
      <c r="D695" t="s">
        <v>141</v>
      </c>
      <c r="E695" t="s">
        <v>14</v>
      </c>
      <c r="F695">
        <v>0.13300000000000001</v>
      </c>
      <c r="G695" t="s">
        <v>15</v>
      </c>
    </row>
    <row r="696" spans="1:7" x14ac:dyDescent="0.25">
      <c r="A696">
        <v>39</v>
      </c>
      <c r="B696" t="s">
        <v>374</v>
      </c>
      <c r="C696">
        <v>110</v>
      </c>
      <c r="D696" t="s">
        <v>140</v>
      </c>
      <c r="E696" t="s">
        <v>11</v>
      </c>
      <c r="F696">
        <v>4</v>
      </c>
      <c r="G696" t="s">
        <v>15</v>
      </c>
    </row>
    <row r="697" spans="1:7" x14ac:dyDescent="0.25">
      <c r="A697">
        <v>39</v>
      </c>
      <c r="B697" t="s">
        <v>374</v>
      </c>
      <c r="C697">
        <v>120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39</v>
      </c>
      <c r="B698" t="s">
        <v>374</v>
      </c>
      <c r="C698">
        <v>130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39</v>
      </c>
      <c r="B699" t="s">
        <v>374</v>
      </c>
      <c r="C699">
        <v>140</v>
      </c>
      <c r="D699" t="s">
        <v>100</v>
      </c>
      <c r="E699" t="s">
        <v>14</v>
      </c>
      <c r="F699">
        <v>1.27</v>
      </c>
      <c r="G699" t="s">
        <v>15</v>
      </c>
    </row>
    <row r="700" spans="1:7" x14ac:dyDescent="0.25">
      <c r="A700">
        <v>39</v>
      </c>
      <c r="B700" t="s">
        <v>374</v>
      </c>
      <c r="C700">
        <v>150</v>
      </c>
      <c r="D700" t="s">
        <v>377</v>
      </c>
      <c r="E700" t="s">
        <v>11</v>
      </c>
      <c r="F700">
        <v>1</v>
      </c>
      <c r="G700" t="s">
        <v>18</v>
      </c>
    </row>
    <row r="701" spans="1:7" x14ac:dyDescent="0.25">
      <c r="A701">
        <v>39</v>
      </c>
      <c r="B701" t="s">
        <v>374</v>
      </c>
      <c r="C701">
        <v>160</v>
      </c>
      <c r="D701" t="s">
        <v>378</v>
      </c>
      <c r="E701" t="s">
        <v>11</v>
      </c>
      <c r="F701">
        <v>1</v>
      </c>
      <c r="G701" t="s">
        <v>18</v>
      </c>
    </row>
    <row r="702" spans="1:7" x14ac:dyDescent="0.25">
      <c r="A702">
        <v>39</v>
      </c>
      <c r="B702" t="s">
        <v>374</v>
      </c>
      <c r="C702">
        <v>170</v>
      </c>
      <c r="D702" t="s">
        <v>142</v>
      </c>
      <c r="E702" t="s">
        <v>11</v>
      </c>
      <c r="F702">
        <v>7.6710000000000003</v>
      </c>
      <c r="G702" t="s">
        <v>15</v>
      </c>
    </row>
    <row r="703" spans="1:7" x14ac:dyDescent="0.25">
      <c r="A703">
        <v>39</v>
      </c>
      <c r="B703" t="s">
        <v>374</v>
      </c>
      <c r="C703">
        <v>180</v>
      </c>
      <c r="D703" t="s">
        <v>379</v>
      </c>
      <c r="E703" t="s">
        <v>11</v>
      </c>
      <c r="F703">
        <v>1</v>
      </c>
      <c r="G703" t="s">
        <v>18</v>
      </c>
    </row>
    <row r="704" spans="1:7" x14ac:dyDescent="0.25">
      <c r="A704">
        <v>40</v>
      </c>
      <c r="B704" t="s">
        <v>380</v>
      </c>
      <c r="C704">
        <v>10</v>
      </c>
      <c r="D704" t="s">
        <v>381</v>
      </c>
      <c r="E704" t="s">
        <v>11</v>
      </c>
      <c r="F704">
        <v>1</v>
      </c>
      <c r="G704" t="s">
        <v>18</v>
      </c>
    </row>
    <row r="705" spans="1:7" x14ac:dyDescent="0.25">
      <c r="A705">
        <v>40</v>
      </c>
      <c r="B705" t="s">
        <v>380</v>
      </c>
      <c r="C705">
        <v>20</v>
      </c>
      <c r="D705" t="s">
        <v>132</v>
      </c>
      <c r="E705" t="s">
        <v>14</v>
      </c>
      <c r="F705">
        <v>5.3920000000000003</v>
      </c>
      <c r="G705" t="s">
        <v>15</v>
      </c>
    </row>
    <row r="706" spans="1:7" x14ac:dyDescent="0.25">
      <c r="A706">
        <v>40</v>
      </c>
      <c r="B706" t="s">
        <v>380</v>
      </c>
      <c r="C706">
        <v>30</v>
      </c>
      <c r="D706" t="s">
        <v>102</v>
      </c>
      <c r="E706" t="s">
        <v>103</v>
      </c>
      <c r="F706">
        <v>1.429</v>
      </c>
      <c r="G706" t="s">
        <v>15</v>
      </c>
    </row>
    <row r="707" spans="1:7" x14ac:dyDescent="0.25">
      <c r="A707">
        <v>40</v>
      </c>
      <c r="B707" t="s">
        <v>380</v>
      </c>
      <c r="C707">
        <v>40</v>
      </c>
      <c r="D707" t="s">
        <v>146</v>
      </c>
      <c r="E707" t="s">
        <v>11</v>
      </c>
      <c r="F707">
        <v>2.1589999999999998</v>
      </c>
      <c r="G707" t="s">
        <v>18</v>
      </c>
    </row>
    <row r="708" spans="1:7" x14ac:dyDescent="0.25">
      <c r="A708">
        <v>40</v>
      </c>
      <c r="B708" t="s">
        <v>380</v>
      </c>
      <c r="C708">
        <v>50</v>
      </c>
      <c r="D708" t="s">
        <v>139</v>
      </c>
      <c r="E708" t="s">
        <v>17</v>
      </c>
      <c r="F708">
        <v>2.1589999999999998</v>
      </c>
      <c r="G708" t="s">
        <v>18</v>
      </c>
    </row>
    <row r="709" spans="1:7" x14ac:dyDescent="0.25">
      <c r="A709">
        <v>40</v>
      </c>
      <c r="B709" t="s">
        <v>380</v>
      </c>
      <c r="C709">
        <v>60</v>
      </c>
      <c r="D709" t="s">
        <v>382</v>
      </c>
      <c r="E709" t="s">
        <v>11</v>
      </c>
      <c r="F709">
        <v>1</v>
      </c>
      <c r="G709" t="s">
        <v>18</v>
      </c>
    </row>
    <row r="710" spans="1:7" x14ac:dyDescent="0.25">
      <c r="A710">
        <v>40</v>
      </c>
      <c r="B710" t="s">
        <v>380</v>
      </c>
      <c r="C710">
        <v>70</v>
      </c>
      <c r="D710" t="s">
        <v>148</v>
      </c>
      <c r="E710" t="s">
        <v>17</v>
      </c>
      <c r="F710">
        <v>23.927</v>
      </c>
      <c r="G710" t="s">
        <v>15</v>
      </c>
    </row>
    <row r="711" spans="1:7" x14ac:dyDescent="0.25">
      <c r="A711">
        <v>40</v>
      </c>
      <c r="B711" t="s">
        <v>380</v>
      </c>
      <c r="C711">
        <v>80</v>
      </c>
      <c r="D711" t="s">
        <v>20</v>
      </c>
      <c r="E711" t="s">
        <v>17</v>
      </c>
      <c r="F711">
        <v>196.2</v>
      </c>
      <c r="G711" t="s">
        <v>15</v>
      </c>
    </row>
    <row r="712" spans="1:7" x14ac:dyDescent="0.25">
      <c r="A712">
        <v>40</v>
      </c>
      <c r="B712" t="s">
        <v>380</v>
      </c>
      <c r="C712">
        <v>90</v>
      </c>
      <c r="D712" t="s">
        <v>24</v>
      </c>
      <c r="E712" t="s">
        <v>11</v>
      </c>
      <c r="F712">
        <v>1</v>
      </c>
      <c r="G712" t="s">
        <v>15</v>
      </c>
    </row>
    <row r="713" spans="1:7" x14ac:dyDescent="0.25">
      <c r="A713">
        <v>40</v>
      </c>
      <c r="B713" t="s">
        <v>380</v>
      </c>
      <c r="C713">
        <v>100</v>
      </c>
      <c r="D713" t="s">
        <v>141</v>
      </c>
      <c r="E713" t="s">
        <v>14</v>
      </c>
      <c r="F713">
        <v>0.14299999999999999</v>
      </c>
      <c r="G713" t="s">
        <v>15</v>
      </c>
    </row>
    <row r="714" spans="1:7" x14ac:dyDescent="0.25">
      <c r="A714">
        <v>40</v>
      </c>
      <c r="B714" t="s">
        <v>380</v>
      </c>
      <c r="C714">
        <v>110</v>
      </c>
      <c r="D714" t="s">
        <v>140</v>
      </c>
      <c r="E714" t="s">
        <v>11</v>
      </c>
      <c r="F714">
        <v>4</v>
      </c>
      <c r="G714" t="s">
        <v>15</v>
      </c>
    </row>
    <row r="715" spans="1:7" x14ac:dyDescent="0.25">
      <c r="A715">
        <v>40</v>
      </c>
      <c r="B715" t="s">
        <v>380</v>
      </c>
      <c r="C715">
        <v>120</v>
      </c>
      <c r="D715" t="s">
        <v>25</v>
      </c>
      <c r="E715" t="s">
        <v>11</v>
      </c>
      <c r="F715">
        <v>1</v>
      </c>
      <c r="G715" t="s">
        <v>15</v>
      </c>
    </row>
    <row r="716" spans="1:7" x14ac:dyDescent="0.25">
      <c r="A716">
        <v>40</v>
      </c>
      <c r="B716" t="s">
        <v>380</v>
      </c>
      <c r="C716">
        <v>130</v>
      </c>
      <c r="D716" t="s">
        <v>26</v>
      </c>
      <c r="E716" t="s">
        <v>11</v>
      </c>
      <c r="F716">
        <v>1</v>
      </c>
      <c r="G716" t="s">
        <v>15</v>
      </c>
    </row>
    <row r="717" spans="1:7" x14ac:dyDescent="0.25">
      <c r="A717">
        <v>40</v>
      </c>
      <c r="B717" t="s">
        <v>380</v>
      </c>
      <c r="C717">
        <v>140</v>
      </c>
      <c r="D717" t="s">
        <v>100</v>
      </c>
      <c r="E717" t="s">
        <v>14</v>
      </c>
      <c r="F717">
        <v>1.27</v>
      </c>
      <c r="G717" t="s">
        <v>15</v>
      </c>
    </row>
    <row r="718" spans="1:7" x14ac:dyDescent="0.25">
      <c r="A718">
        <v>40</v>
      </c>
      <c r="B718" t="s">
        <v>380</v>
      </c>
      <c r="C718">
        <v>150</v>
      </c>
      <c r="D718" t="s">
        <v>383</v>
      </c>
      <c r="E718" t="s">
        <v>11</v>
      </c>
      <c r="F718">
        <v>1</v>
      </c>
      <c r="G718" t="s">
        <v>18</v>
      </c>
    </row>
    <row r="719" spans="1:7" x14ac:dyDescent="0.25">
      <c r="A719">
        <v>40</v>
      </c>
      <c r="B719" t="s">
        <v>380</v>
      </c>
      <c r="C719">
        <v>160</v>
      </c>
      <c r="D719" t="s">
        <v>384</v>
      </c>
      <c r="E719" t="s">
        <v>11</v>
      </c>
      <c r="F719">
        <v>1</v>
      </c>
      <c r="G719" t="s">
        <v>18</v>
      </c>
    </row>
    <row r="720" spans="1:7" x14ac:dyDescent="0.25">
      <c r="A720">
        <v>40</v>
      </c>
      <c r="B720" t="s">
        <v>380</v>
      </c>
      <c r="C720">
        <v>170</v>
      </c>
      <c r="D720" t="s">
        <v>142</v>
      </c>
      <c r="E720" t="s">
        <v>11</v>
      </c>
      <c r="F720">
        <v>7.976</v>
      </c>
      <c r="G720" t="s">
        <v>15</v>
      </c>
    </row>
    <row r="721" spans="1:7" x14ac:dyDescent="0.25">
      <c r="A721">
        <v>40</v>
      </c>
      <c r="B721" t="s">
        <v>380</v>
      </c>
      <c r="C721">
        <v>180</v>
      </c>
      <c r="D721" t="s">
        <v>385</v>
      </c>
      <c r="E721" t="s">
        <v>11</v>
      </c>
      <c r="F721">
        <v>1</v>
      </c>
      <c r="G721" t="s">
        <v>18</v>
      </c>
    </row>
    <row r="722" spans="1:7" x14ac:dyDescent="0.25">
      <c r="A722">
        <v>41</v>
      </c>
      <c r="B722" t="s">
        <v>386</v>
      </c>
      <c r="C722">
        <v>10</v>
      </c>
      <c r="D722" t="s">
        <v>387</v>
      </c>
      <c r="E722" t="s">
        <v>11</v>
      </c>
      <c r="F722">
        <v>1</v>
      </c>
      <c r="G722" t="s">
        <v>18</v>
      </c>
    </row>
    <row r="723" spans="1:7" x14ac:dyDescent="0.25">
      <c r="A723">
        <v>41</v>
      </c>
      <c r="B723" t="s">
        <v>386</v>
      </c>
      <c r="C723">
        <v>20</v>
      </c>
      <c r="D723" t="s">
        <v>133</v>
      </c>
      <c r="E723" t="s">
        <v>14</v>
      </c>
      <c r="F723">
        <v>1.905</v>
      </c>
      <c r="G723" t="s">
        <v>15</v>
      </c>
    </row>
    <row r="724" spans="1:7" x14ac:dyDescent="0.25">
      <c r="A724">
        <v>41</v>
      </c>
      <c r="B724" t="s">
        <v>386</v>
      </c>
      <c r="C724">
        <v>30</v>
      </c>
      <c r="D724" t="s">
        <v>102</v>
      </c>
      <c r="E724" t="s">
        <v>103</v>
      </c>
      <c r="F724">
        <v>0.52100000000000002</v>
      </c>
      <c r="G724" t="s">
        <v>15</v>
      </c>
    </row>
    <row r="725" spans="1:7" x14ac:dyDescent="0.25">
      <c r="A725">
        <v>41</v>
      </c>
      <c r="B725" t="s">
        <v>386</v>
      </c>
      <c r="C725">
        <v>40</v>
      </c>
      <c r="D725" t="s">
        <v>146</v>
      </c>
      <c r="E725" t="s">
        <v>11</v>
      </c>
      <c r="F725">
        <v>0.78700000000000003</v>
      </c>
      <c r="G725" t="s">
        <v>18</v>
      </c>
    </row>
    <row r="726" spans="1:7" x14ac:dyDescent="0.25">
      <c r="A726">
        <v>41</v>
      </c>
      <c r="B726" t="s">
        <v>386</v>
      </c>
      <c r="C726">
        <v>50</v>
      </c>
      <c r="D726" t="s">
        <v>139</v>
      </c>
      <c r="E726" t="s">
        <v>17</v>
      </c>
      <c r="F726">
        <v>0.78700000000000003</v>
      </c>
      <c r="G726" t="s">
        <v>18</v>
      </c>
    </row>
    <row r="727" spans="1:7" x14ac:dyDescent="0.25">
      <c r="A727">
        <v>41</v>
      </c>
      <c r="B727" t="s">
        <v>386</v>
      </c>
      <c r="C727">
        <v>60</v>
      </c>
      <c r="D727" t="s">
        <v>388</v>
      </c>
      <c r="E727" t="s">
        <v>11</v>
      </c>
      <c r="F727">
        <v>1</v>
      </c>
      <c r="G727" t="s">
        <v>18</v>
      </c>
    </row>
    <row r="728" spans="1:7" x14ac:dyDescent="0.25">
      <c r="A728">
        <v>41</v>
      </c>
      <c r="B728" t="s">
        <v>386</v>
      </c>
      <c r="C728">
        <v>70</v>
      </c>
      <c r="D728" t="s">
        <v>148</v>
      </c>
      <c r="E728" t="s">
        <v>17</v>
      </c>
      <c r="F728">
        <v>16.154</v>
      </c>
      <c r="G728" t="s">
        <v>15</v>
      </c>
    </row>
    <row r="729" spans="1:7" x14ac:dyDescent="0.25">
      <c r="A729">
        <v>41</v>
      </c>
      <c r="B729" t="s">
        <v>386</v>
      </c>
      <c r="C729">
        <v>80</v>
      </c>
      <c r="D729" t="s">
        <v>20</v>
      </c>
      <c r="E729" t="s">
        <v>17</v>
      </c>
      <c r="F729">
        <v>132.46600000000001</v>
      </c>
      <c r="G729" t="s">
        <v>15</v>
      </c>
    </row>
    <row r="730" spans="1:7" x14ac:dyDescent="0.25">
      <c r="A730">
        <v>41</v>
      </c>
      <c r="B730" t="s">
        <v>386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41</v>
      </c>
      <c r="B731" t="s">
        <v>386</v>
      </c>
      <c r="C731">
        <v>100</v>
      </c>
      <c r="D731" t="s">
        <v>141</v>
      </c>
      <c r="E731" t="s">
        <v>14</v>
      </c>
      <c r="F731">
        <v>7.5999999999999998E-2</v>
      </c>
      <c r="G731" t="s">
        <v>15</v>
      </c>
    </row>
    <row r="732" spans="1:7" x14ac:dyDescent="0.25">
      <c r="A732">
        <v>41</v>
      </c>
      <c r="B732" t="s">
        <v>386</v>
      </c>
      <c r="C732">
        <v>110</v>
      </c>
      <c r="D732" t="s">
        <v>140</v>
      </c>
      <c r="E732" t="s">
        <v>11</v>
      </c>
      <c r="F732">
        <v>4</v>
      </c>
      <c r="G732" t="s">
        <v>15</v>
      </c>
    </row>
    <row r="733" spans="1:7" x14ac:dyDescent="0.25">
      <c r="A733">
        <v>41</v>
      </c>
      <c r="B733" t="s">
        <v>386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41</v>
      </c>
      <c r="B734" t="s">
        <v>386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41</v>
      </c>
      <c r="B735" t="s">
        <v>386</v>
      </c>
      <c r="C735">
        <v>140</v>
      </c>
      <c r="D735" t="s">
        <v>100</v>
      </c>
      <c r="E735" t="s">
        <v>14</v>
      </c>
      <c r="F735">
        <v>0.54</v>
      </c>
      <c r="G735" t="s">
        <v>15</v>
      </c>
    </row>
    <row r="736" spans="1:7" x14ac:dyDescent="0.25">
      <c r="A736">
        <v>41</v>
      </c>
      <c r="B736" t="s">
        <v>386</v>
      </c>
      <c r="C736">
        <v>150</v>
      </c>
      <c r="D736" t="s">
        <v>389</v>
      </c>
      <c r="E736" t="s">
        <v>11</v>
      </c>
      <c r="F736">
        <v>1</v>
      </c>
      <c r="G736" t="s">
        <v>18</v>
      </c>
    </row>
    <row r="737" spans="1:7" x14ac:dyDescent="0.25">
      <c r="A737">
        <v>41</v>
      </c>
      <c r="B737" t="s">
        <v>386</v>
      </c>
      <c r="C737">
        <v>160</v>
      </c>
      <c r="D737" t="s">
        <v>390</v>
      </c>
      <c r="E737" t="s">
        <v>11</v>
      </c>
      <c r="F737">
        <v>1</v>
      </c>
      <c r="G737" t="s">
        <v>18</v>
      </c>
    </row>
    <row r="738" spans="1:7" x14ac:dyDescent="0.25">
      <c r="A738">
        <v>41</v>
      </c>
      <c r="B738" t="s">
        <v>386</v>
      </c>
      <c r="C738">
        <v>170</v>
      </c>
      <c r="D738" t="s">
        <v>142</v>
      </c>
      <c r="E738" t="s">
        <v>11</v>
      </c>
      <c r="F738">
        <v>5.3849999999999998</v>
      </c>
      <c r="G738" t="s">
        <v>15</v>
      </c>
    </row>
    <row r="739" spans="1:7" x14ac:dyDescent="0.25">
      <c r="A739">
        <v>41</v>
      </c>
      <c r="B739" t="s">
        <v>386</v>
      </c>
      <c r="C739">
        <v>180</v>
      </c>
      <c r="D739" t="s">
        <v>391</v>
      </c>
      <c r="E739" t="s">
        <v>11</v>
      </c>
      <c r="F739">
        <v>1</v>
      </c>
      <c r="G739" t="s">
        <v>18</v>
      </c>
    </row>
    <row r="740" spans="1:7" x14ac:dyDescent="0.25">
      <c r="A740">
        <v>42</v>
      </c>
      <c r="B740" t="s">
        <v>392</v>
      </c>
      <c r="C740">
        <v>10</v>
      </c>
      <c r="D740" t="s">
        <v>393</v>
      </c>
      <c r="E740" t="s">
        <v>11</v>
      </c>
      <c r="F740">
        <v>1</v>
      </c>
      <c r="G740" t="s">
        <v>18</v>
      </c>
    </row>
    <row r="741" spans="1:7" x14ac:dyDescent="0.25">
      <c r="A741">
        <v>42</v>
      </c>
      <c r="B741" t="s">
        <v>392</v>
      </c>
      <c r="C741">
        <v>20</v>
      </c>
      <c r="D741" t="s">
        <v>114</v>
      </c>
      <c r="E741" t="s">
        <v>14</v>
      </c>
      <c r="F741">
        <v>2.2930000000000001</v>
      </c>
      <c r="G741" t="s">
        <v>15</v>
      </c>
    </row>
    <row r="742" spans="1:7" x14ac:dyDescent="0.25">
      <c r="A742">
        <v>42</v>
      </c>
      <c r="B742" t="s">
        <v>392</v>
      </c>
      <c r="C742">
        <v>30</v>
      </c>
      <c r="D742" t="s">
        <v>102</v>
      </c>
      <c r="E742" t="s">
        <v>103</v>
      </c>
      <c r="F742">
        <v>0.629</v>
      </c>
      <c r="G742" t="s">
        <v>15</v>
      </c>
    </row>
    <row r="743" spans="1:7" x14ac:dyDescent="0.25">
      <c r="A743">
        <v>42</v>
      </c>
      <c r="B743" t="s">
        <v>392</v>
      </c>
      <c r="C743">
        <v>40</v>
      </c>
      <c r="D743" t="s">
        <v>146</v>
      </c>
      <c r="E743" t="s">
        <v>11</v>
      </c>
      <c r="F743">
        <v>0.94</v>
      </c>
      <c r="G743" t="s">
        <v>18</v>
      </c>
    </row>
    <row r="744" spans="1:7" x14ac:dyDescent="0.25">
      <c r="A744">
        <v>42</v>
      </c>
      <c r="B744" t="s">
        <v>392</v>
      </c>
      <c r="C744">
        <v>50</v>
      </c>
      <c r="D744" t="s">
        <v>139</v>
      </c>
      <c r="E744" t="s">
        <v>17</v>
      </c>
      <c r="F744">
        <v>0.94</v>
      </c>
      <c r="G744" t="s">
        <v>18</v>
      </c>
    </row>
    <row r="745" spans="1:7" x14ac:dyDescent="0.25">
      <c r="A745">
        <v>42</v>
      </c>
      <c r="B745" t="s">
        <v>392</v>
      </c>
      <c r="C745">
        <v>60</v>
      </c>
      <c r="D745" t="s">
        <v>394</v>
      </c>
      <c r="E745" t="s">
        <v>11</v>
      </c>
      <c r="F745">
        <v>1</v>
      </c>
      <c r="G745" t="s">
        <v>18</v>
      </c>
    </row>
    <row r="746" spans="1:7" x14ac:dyDescent="0.25">
      <c r="A746">
        <v>42</v>
      </c>
      <c r="B746" t="s">
        <v>392</v>
      </c>
      <c r="C746">
        <v>70</v>
      </c>
      <c r="D746" t="s">
        <v>148</v>
      </c>
      <c r="E746" t="s">
        <v>17</v>
      </c>
      <c r="F746">
        <v>17.068999999999999</v>
      </c>
      <c r="G746" t="s">
        <v>15</v>
      </c>
    </row>
    <row r="747" spans="1:7" x14ac:dyDescent="0.25">
      <c r="A747">
        <v>42</v>
      </c>
      <c r="B747" t="s">
        <v>392</v>
      </c>
      <c r="C747">
        <v>80</v>
      </c>
      <c r="D747" t="s">
        <v>20</v>
      </c>
      <c r="E747" t="s">
        <v>17</v>
      </c>
      <c r="F747">
        <v>139.964</v>
      </c>
      <c r="G747" t="s">
        <v>15</v>
      </c>
    </row>
    <row r="748" spans="1:7" x14ac:dyDescent="0.25">
      <c r="A748">
        <v>42</v>
      </c>
      <c r="B748" t="s">
        <v>392</v>
      </c>
      <c r="C748">
        <v>90</v>
      </c>
      <c r="D748" t="s">
        <v>24</v>
      </c>
      <c r="E748" t="s">
        <v>11</v>
      </c>
      <c r="F748">
        <v>1</v>
      </c>
      <c r="G748" t="s">
        <v>15</v>
      </c>
    </row>
    <row r="749" spans="1:7" x14ac:dyDescent="0.25">
      <c r="A749">
        <v>42</v>
      </c>
      <c r="B749" t="s">
        <v>392</v>
      </c>
      <c r="C749">
        <v>100</v>
      </c>
      <c r="D749" t="s">
        <v>141</v>
      </c>
      <c r="E749" t="s">
        <v>14</v>
      </c>
      <c r="F749">
        <v>8.5999999999999993E-2</v>
      </c>
      <c r="G749" t="s">
        <v>15</v>
      </c>
    </row>
    <row r="750" spans="1:7" x14ac:dyDescent="0.25">
      <c r="A750">
        <v>42</v>
      </c>
      <c r="B750" t="s">
        <v>392</v>
      </c>
      <c r="C750">
        <v>110</v>
      </c>
      <c r="D750" t="s">
        <v>140</v>
      </c>
      <c r="E750" t="s">
        <v>11</v>
      </c>
      <c r="F750">
        <v>4</v>
      </c>
      <c r="G750" t="s">
        <v>15</v>
      </c>
    </row>
    <row r="751" spans="1:7" x14ac:dyDescent="0.25">
      <c r="A751">
        <v>42</v>
      </c>
      <c r="B751" t="s">
        <v>392</v>
      </c>
      <c r="C751">
        <v>120</v>
      </c>
      <c r="D751" t="s">
        <v>25</v>
      </c>
      <c r="E751" t="s">
        <v>11</v>
      </c>
      <c r="F751">
        <v>1</v>
      </c>
      <c r="G751" t="s">
        <v>15</v>
      </c>
    </row>
    <row r="752" spans="1:7" x14ac:dyDescent="0.25">
      <c r="A752">
        <v>42</v>
      </c>
      <c r="B752" t="s">
        <v>392</v>
      </c>
      <c r="C752">
        <v>130</v>
      </c>
      <c r="D752" t="s">
        <v>26</v>
      </c>
      <c r="E752" t="s">
        <v>11</v>
      </c>
      <c r="F752">
        <v>1</v>
      </c>
      <c r="G752" t="s">
        <v>15</v>
      </c>
    </row>
    <row r="753" spans="1:7" x14ac:dyDescent="0.25">
      <c r="A753">
        <v>42</v>
      </c>
      <c r="B753" t="s">
        <v>392</v>
      </c>
      <c r="C753">
        <v>140</v>
      </c>
      <c r="D753" t="s">
        <v>100</v>
      </c>
      <c r="E753" t="s">
        <v>14</v>
      </c>
      <c r="F753">
        <v>0.622</v>
      </c>
      <c r="G753" t="s">
        <v>15</v>
      </c>
    </row>
    <row r="754" spans="1:7" x14ac:dyDescent="0.25">
      <c r="A754">
        <v>42</v>
      </c>
      <c r="B754" t="s">
        <v>392</v>
      </c>
      <c r="C754">
        <v>150</v>
      </c>
      <c r="D754" t="s">
        <v>395</v>
      </c>
      <c r="E754" t="s">
        <v>11</v>
      </c>
      <c r="F754">
        <v>1</v>
      </c>
      <c r="G754" t="s">
        <v>18</v>
      </c>
    </row>
    <row r="755" spans="1:7" x14ac:dyDescent="0.25">
      <c r="A755">
        <v>42</v>
      </c>
      <c r="B755" t="s">
        <v>392</v>
      </c>
      <c r="C755">
        <v>160</v>
      </c>
      <c r="D755" t="s">
        <v>396</v>
      </c>
      <c r="E755" t="s">
        <v>11</v>
      </c>
      <c r="F755">
        <v>1</v>
      </c>
      <c r="G755" t="s">
        <v>18</v>
      </c>
    </row>
    <row r="756" spans="1:7" x14ac:dyDescent="0.25">
      <c r="A756">
        <v>42</v>
      </c>
      <c r="B756" t="s">
        <v>392</v>
      </c>
      <c r="C756">
        <v>170</v>
      </c>
      <c r="D756" t="s">
        <v>142</v>
      </c>
      <c r="E756" t="s">
        <v>11</v>
      </c>
      <c r="F756">
        <v>5.69</v>
      </c>
      <c r="G756" t="s">
        <v>15</v>
      </c>
    </row>
    <row r="757" spans="1:7" x14ac:dyDescent="0.25">
      <c r="A757">
        <v>42</v>
      </c>
      <c r="B757" t="s">
        <v>392</v>
      </c>
      <c r="C757">
        <v>180</v>
      </c>
      <c r="D757" t="s">
        <v>397</v>
      </c>
      <c r="E757" t="s">
        <v>11</v>
      </c>
      <c r="F757">
        <v>1</v>
      </c>
      <c r="G757" t="s">
        <v>18</v>
      </c>
    </row>
    <row r="758" spans="1:7" x14ac:dyDescent="0.25">
      <c r="A758">
        <v>43</v>
      </c>
      <c r="B758" t="s">
        <v>398</v>
      </c>
      <c r="C758">
        <v>10</v>
      </c>
      <c r="D758" t="s">
        <v>399</v>
      </c>
      <c r="E758" t="s">
        <v>11</v>
      </c>
      <c r="F758">
        <v>1</v>
      </c>
      <c r="G758" t="s">
        <v>18</v>
      </c>
    </row>
    <row r="759" spans="1:7" x14ac:dyDescent="0.25">
      <c r="A759">
        <v>43</v>
      </c>
      <c r="B759" t="s">
        <v>398</v>
      </c>
      <c r="C759">
        <v>20</v>
      </c>
      <c r="D759" t="s">
        <v>115</v>
      </c>
      <c r="E759" t="s">
        <v>14</v>
      </c>
      <c r="F759">
        <v>2.68</v>
      </c>
      <c r="G759" t="s">
        <v>15</v>
      </c>
    </row>
    <row r="760" spans="1:7" x14ac:dyDescent="0.25">
      <c r="A760">
        <v>43</v>
      </c>
      <c r="B760" t="s">
        <v>398</v>
      </c>
      <c r="C760">
        <v>30</v>
      </c>
      <c r="D760" t="s">
        <v>102</v>
      </c>
      <c r="E760" t="s">
        <v>103</v>
      </c>
      <c r="F760">
        <v>0.73699999999999999</v>
      </c>
      <c r="G760" t="s">
        <v>15</v>
      </c>
    </row>
    <row r="761" spans="1:7" x14ac:dyDescent="0.25">
      <c r="A761">
        <v>43</v>
      </c>
      <c r="B761" t="s">
        <v>398</v>
      </c>
      <c r="C761">
        <v>40</v>
      </c>
      <c r="D761" t="s">
        <v>146</v>
      </c>
      <c r="E761" t="s">
        <v>11</v>
      </c>
      <c r="F761">
        <v>1.0920000000000001</v>
      </c>
      <c r="G761" t="s">
        <v>18</v>
      </c>
    </row>
    <row r="762" spans="1:7" x14ac:dyDescent="0.25">
      <c r="A762">
        <v>43</v>
      </c>
      <c r="B762" t="s">
        <v>398</v>
      </c>
      <c r="C762">
        <v>50</v>
      </c>
      <c r="D762" t="s">
        <v>139</v>
      </c>
      <c r="E762" t="s">
        <v>17</v>
      </c>
      <c r="F762">
        <v>1.0920000000000001</v>
      </c>
      <c r="G762" t="s">
        <v>18</v>
      </c>
    </row>
    <row r="763" spans="1:7" x14ac:dyDescent="0.25">
      <c r="A763">
        <v>43</v>
      </c>
      <c r="B763" t="s">
        <v>398</v>
      </c>
      <c r="C763">
        <v>60</v>
      </c>
      <c r="D763" t="s">
        <v>400</v>
      </c>
      <c r="E763" t="s">
        <v>11</v>
      </c>
      <c r="F763">
        <v>1</v>
      </c>
      <c r="G763" t="s">
        <v>18</v>
      </c>
    </row>
    <row r="764" spans="1:7" x14ac:dyDescent="0.25">
      <c r="A764">
        <v>43</v>
      </c>
      <c r="B764" t="s">
        <v>398</v>
      </c>
      <c r="C764">
        <v>70</v>
      </c>
      <c r="D764" t="s">
        <v>148</v>
      </c>
      <c r="E764" t="s">
        <v>17</v>
      </c>
      <c r="F764">
        <v>17.983000000000001</v>
      </c>
      <c r="G764" t="s">
        <v>15</v>
      </c>
    </row>
    <row r="765" spans="1:7" x14ac:dyDescent="0.25">
      <c r="A765">
        <v>43</v>
      </c>
      <c r="B765" t="s">
        <v>398</v>
      </c>
      <c r="C765">
        <v>80</v>
      </c>
      <c r="D765" t="s">
        <v>20</v>
      </c>
      <c r="E765" t="s">
        <v>17</v>
      </c>
      <c r="F765">
        <v>147.46199999999999</v>
      </c>
      <c r="G765" t="s">
        <v>15</v>
      </c>
    </row>
    <row r="766" spans="1:7" x14ac:dyDescent="0.25">
      <c r="A766">
        <v>43</v>
      </c>
      <c r="B766" t="s">
        <v>398</v>
      </c>
      <c r="C766">
        <v>90</v>
      </c>
      <c r="D766" t="s">
        <v>24</v>
      </c>
      <c r="E766" t="s">
        <v>11</v>
      </c>
      <c r="F766">
        <v>1</v>
      </c>
      <c r="G766" t="s">
        <v>15</v>
      </c>
    </row>
    <row r="767" spans="1:7" x14ac:dyDescent="0.25">
      <c r="A767">
        <v>43</v>
      </c>
      <c r="B767" t="s">
        <v>398</v>
      </c>
      <c r="C767">
        <v>100</v>
      </c>
      <c r="D767" t="s">
        <v>141</v>
      </c>
      <c r="E767" t="s">
        <v>14</v>
      </c>
      <c r="F767">
        <v>9.7000000000000003E-2</v>
      </c>
      <c r="G767" t="s">
        <v>15</v>
      </c>
    </row>
    <row r="768" spans="1:7" x14ac:dyDescent="0.25">
      <c r="A768">
        <v>43</v>
      </c>
      <c r="B768" t="s">
        <v>398</v>
      </c>
      <c r="C768">
        <v>110</v>
      </c>
      <c r="D768" t="s">
        <v>140</v>
      </c>
      <c r="E768" t="s">
        <v>11</v>
      </c>
      <c r="F768">
        <v>4</v>
      </c>
      <c r="G768" t="s">
        <v>15</v>
      </c>
    </row>
    <row r="769" spans="1:7" x14ac:dyDescent="0.25">
      <c r="A769">
        <v>43</v>
      </c>
      <c r="B769" t="s">
        <v>398</v>
      </c>
      <c r="C769">
        <v>120</v>
      </c>
      <c r="D769" t="s">
        <v>25</v>
      </c>
      <c r="E769" t="s">
        <v>11</v>
      </c>
      <c r="F769">
        <v>1</v>
      </c>
      <c r="G769" t="s">
        <v>15</v>
      </c>
    </row>
    <row r="770" spans="1:7" x14ac:dyDescent="0.25">
      <c r="A770">
        <v>43</v>
      </c>
      <c r="B770" t="s">
        <v>398</v>
      </c>
      <c r="C770">
        <v>130</v>
      </c>
      <c r="D770" t="s">
        <v>26</v>
      </c>
      <c r="E770" t="s">
        <v>11</v>
      </c>
      <c r="F770">
        <v>1</v>
      </c>
      <c r="G770" t="s">
        <v>15</v>
      </c>
    </row>
    <row r="771" spans="1:7" x14ac:dyDescent="0.25">
      <c r="A771">
        <v>43</v>
      </c>
      <c r="B771" t="s">
        <v>398</v>
      </c>
      <c r="C771">
        <v>140</v>
      </c>
      <c r="D771" t="s">
        <v>100</v>
      </c>
      <c r="E771" t="s">
        <v>14</v>
      </c>
      <c r="F771">
        <v>0.70299999999999996</v>
      </c>
      <c r="G771" t="s">
        <v>15</v>
      </c>
    </row>
    <row r="772" spans="1:7" x14ac:dyDescent="0.25">
      <c r="A772">
        <v>43</v>
      </c>
      <c r="B772" t="s">
        <v>398</v>
      </c>
      <c r="C772">
        <v>150</v>
      </c>
      <c r="D772" t="s">
        <v>401</v>
      </c>
      <c r="E772" t="s">
        <v>11</v>
      </c>
      <c r="F772">
        <v>1</v>
      </c>
      <c r="G772" t="s">
        <v>18</v>
      </c>
    </row>
    <row r="773" spans="1:7" x14ac:dyDescent="0.25">
      <c r="A773">
        <v>43</v>
      </c>
      <c r="B773" t="s">
        <v>398</v>
      </c>
      <c r="C773">
        <v>160</v>
      </c>
      <c r="D773" t="s">
        <v>402</v>
      </c>
      <c r="E773" t="s">
        <v>11</v>
      </c>
      <c r="F773">
        <v>1</v>
      </c>
      <c r="G773" t="s">
        <v>18</v>
      </c>
    </row>
    <row r="774" spans="1:7" x14ac:dyDescent="0.25">
      <c r="A774">
        <v>43</v>
      </c>
      <c r="B774" t="s">
        <v>398</v>
      </c>
      <c r="C774">
        <v>170</v>
      </c>
      <c r="D774" t="s">
        <v>142</v>
      </c>
      <c r="E774" t="s">
        <v>11</v>
      </c>
      <c r="F774">
        <v>5.9939999999999998</v>
      </c>
      <c r="G774" t="s">
        <v>15</v>
      </c>
    </row>
    <row r="775" spans="1:7" x14ac:dyDescent="0.25">
      <c r="A775">
        <v>43</v>
      </c>
      <c r="B775" t="s">
        <v>398</v>
      </c>
      <c r="C775">
        <v>180</v>
      </c>
      <c r="D775" t="s">
        <v>403</v>
      </c>
      <c r="E775" t="s">
        <v>11</v>
      </c>
      <c r="F775">
        <v>1</v>
      </c>
      <c r="G775" t="s">
        <v>18</v>
      </c>
    </row>
    <row r="776" spans="1:7" x14ac:dyDescent="0.25">
      <c r="A776">
        <v>44</v>
      </c>
      <c r="B776" t="s">
        <v>404</v>
      </c>
      <c r="C776">
        <v>10</v>
      </c>
      <c r="D776" t="s">
        <v>405</v>
      </c>
      <c r="E776" t="s">
        <v>11</v>
      </c>
      <c r="F776">
        <v>1</v>
      </c>
      <c r="G776" t="s">
        <v>18</v>
      </c>
    </row>
    <row r="777" spans="1:7" x14ac:dyDescent="0.25">
      <c r="A777">
        <v>44</v>
      </c>
      <c r="B777" t="s">
        <v>404</v>
      </c>
      <c r="C777">
        <v>20</v>
      </c>
      <c r="D777" t="s">
        <v>116</v>
      </c>
      <c r="E777" t="s">
        <v>14</v>
      </c>
      <c r="F777">
        <v>3.0680000000000001</v>
      </c>
      <c r="G777" t="s">
        <v>15</v>
      </c>
    </row>
    <row r="778" spans="1:7" x14ac:dyDescent="0.25">
      <c r="A778">
        <v>44</v>
      </c>
      <c r="B778" t="s">
        <v>404</v>
      </c>
      <c r="C778">
        <v>30</v>
      </c>
      <c r="D778" t="s">
        <v>102</v>
      </c>
      <c r="E778" t="s">
        <v>103</v>
      </c>
      <c r="F778">
        <v>0.84499999999999997</v>
      </c>
      <c r="G778" t="s">
        <v>15</v>
      </c>
    </row>
    <row r="779" spans="1:7" x14ac:dyDescent="0.25">
      <c r="A779">
        <v>44</v>
      </c>
      <c r="B779" t="s">
        <v>404</v>
      </c>
      <c r="C779">
        <v>40</v>
      </c>
      <c r="D779" t="s">
        <v>146</v>
      </c>
      <c r="E779" t="s">
        <v>11</v>
      </c>
      <c r="F779">
        <v>1.2450000000000001</v>
      </c>
      <c r="G779" t="s">
        <v>18</v>
      </c>
    </row>
    <row r="780" spans="1:7" x14ac:dyDescent="0.25">
      <c r="A780">
        <v>44</v>
      </c>
      <c r="B780" t="s">
        <v>404</v>
      </c>
      <c r="C780">
        <v>50</v>
      </c>
      <c r="D780" t="s">
        <v>139</v>
      </c>
      <c r="E780" t="s">
        <v>17</v>
      </c>
      <c r="F780">
        <v>1.2450000000000001</v>
      </c>
      <c r="G780" t="s">
        <v>18</v>
      </c>
    </row>
    <row r="781" spans="1:7" x14ac:dyDescent="0.25">
      <c r="A781">
        <v>44</v>
      </c>
      <c r="B781" t="s">
        <v>404</v>
      </c>
      <c r="C781">
        <v>60</v>
      </c>
      <c r="D781" t="s">
        <v>406</v>
      </c>
      <c r="E781" t="s">
        <v>11</v>
      </c>
      <c r="F781">
        <v>1</v>
      </c>
      <c r="G781" t="s">
        <v>18</v>
      </c>
    </row>
    <row r="782" spans="1:7" x14ac:dyDescent="0.25">
      <c r="A782">
        <v>44</v>
      </c>
      <c r="B782" t="s">
        <v>404</v>
      </c>
      <c r="C782">
        <v>70</v>
      </c>
      <c r="D782" t="s">
        <v>148</v>
      </c>
      <c r="E782" t="s">
        <v>17</v>
      </c>
      <c r="F782">
        <v>18.898</v>
      </c>
      <c r="G782" t="s">
        <v>15</v>
      </c>
    </row>
    <row r="783" spans="1:7" x14ac:dyDescent="0.25">
      <c r="A783">
        <v>44</v>
      </c>
      <c r="B783" t="s">
        <v>404</v>
      </c>
      <c r="C783">
        <v>80</v>
      </c>
      <c r="D783" t="s">
        <v>20</v>
      </c>
      <c r="E783" t="s">
        <v>17</v>
      </c>
      <c r="F783">
        <v>154.96</v>
      </c>
      <c r="G783" t="s">
        <v>15</v>
      </c>
    </row>
    <row r="784" spans="1:7" x14ac:dyDescent="0.25">
      <c r="A784">
        <v>44</v>
      </c>
      <c r="B784" t="s">
        <v>404</v>
      </c>
      <c r="C784">
        <v>90</v>
      </c>
      <c r="D784" t="s">
        <v>24</v>
      </c>
      <c r="E784" t="s">
        <v>11</v>
      </c>
      <c r="F784">
        <v>1</v>
      </c>
      <c r="G784" t="s">
        <v>15</v>
      </c>
    </row>
    <row r="785" spans="1:7" x14ac:dyDescent="0.25">
      <c r="A785">
        <v>44</v>
      </c>
      <c r="B785" t="s">
        <v>404</v>
      </c>
      <c r="C785">
        <v>100</v>
      </c>
      <c r="D785" t="s">
        <v>141</v>
      </c>
      <c r="E785" t="s">
        <v>14</v>
      </c>
      <c r="F785">
        <v>0.107</v>
      </c>
      <c r="G785" t="s">
        <v>15</v>
      </c>
    </row>
    <row r="786" spans="1:7" x14ac:dyDescent="0.25">
      <c r="A786">
        <v>44</v>
      </c>
      <c r="B786" t="s">
        <v>404</v>
      </c>
      <c r="C786">
        <v>110</v>
      </c>
      <c r="D786" t="s">
        <v>140</v>
      </c>
      <c r="E786" t="s">
        <v>11</v>
      </c>
      <c r="F786">
        <v>4</v>
      </c>
      <c r="G786" t="s">
        <v>15</v>
      </c>
    </row>
    <row r="787" spans="1:7" x14ac:dyDescent="0.25">
      <c r="A787">
        <v>44</v>
      </c>
      <c r="B787" t="s">
        <v>404</v>
      </c>
      <c r="C787">
        <v>120</v>
      </c>
      <c r="D787" t="s">
        <v>25</v>
      </c>
      <c r="E787" t="s">
        <v>11</v>
      </c>
      <c r="F787">
        <v>1</v>
      </c>
      <c r="G787" t="s">
        <v>15</v>
      </c>
    </row>
    <row r="788" spans="1:7" x14ac:dyDescent="0.25">
      <c r="A788">
        <v>44</v>
      </c>
      <c r="B788" t="s">
        <v>404</v>
      </c>
      <c r="C788">
        <v>130</v>
      </c>
      <c r="D788" t="s">
        <v>26</v>
      </c>
      <c r="E788" t="s">
        <v>11</v>
      </c>
      <c r="F788">
        <v>1</v>
      </c>
      <c r="G788" t="s">
        <v>15</v>
      </c>
    </row>
    <row r="789" spans="1:7" x14ac:dyDescent="0.25">
      <c r="A789">
        <v>44</v>
      </c>
      <c r="B789" t="s">
        <v>404</v>
      </c>
      <c r="C789">
        <v>140</v>
      </c>
      <c r="D789" t="s">
        <v>100</v>
      </c>
      <c r="E789" t="s">
        <v>14</v>
      </c>
      <c r="F789">
        <v>0.78400000000000003</v>
      </c>
      <c r="G789" t="s">
        <v>15</v>
      </c>
    </row>
    <row r="790" spans="1:7" x14ac:dyDescent="0.25">
      <c r="A790">
        <v>44</v>
      </c>
      <c r="B790" t="s">
        <v>404</v>
      </c>
      <c r="C790">
        <v>150</v>
      </c>
      <c r="D790" t="s">
        <v>407</v>
      </c>
      <c r="E790" t="s">
        <v>11</v>
      </c>
      <c r="F790">
        <v>1</v>
      </c>
      <c r="G790" t="s">
        <v>18</v>
      </c>
    </row>
    <row r="791" spans="1:7" x14ac:dyDescent="0.25">
      <c r="A791">
        <v>44</v>
      </c>
      <c r="B791" t="s">
        <v>404</v>
      </c>
      <c r="C791">
        <v>160</v>
      </c>
      <c r="D791" t="s">
        <v>408</v>
      </c>
      <c r="E791" t="s">
        <v>11</v>
      </c>
      <c r="F791">
        <v>1</v>
      </c>
      <c r="G791" t="s">
        <v>18</v>
      </c>
    </row>
    <row r="792" spans="1:7" x14ac:dyDescent="0.25">
      <c r="A792">
        <v>44</v>
      </c>
      <c r="B792" t="s">
        <v>404</v>
      </c>
      <c r="C792">
        <v>170</v>
      </c>
      <c r="D792" t="s">
        <v>142</v>
      </c>
      <c r="E792" t="s">
        <v>11</v>
      </c>
      <c r="F792">
        <v>6.2990000000000004</v>
      </c>
      <c r="G792" t="s">
        <v>15</v>
      </c>
    </row>
    <row r="793" spans="1:7" x14ac:dyDescent="0.25">
      <c r="A793">
        <v>44</v>
      </c>
      <c r="B793" t="s">
        <v>404</v>
      </c>
      <c r="C793">
        <v>180</v>
      </c>
      <c r="D793" t="s">
        <v>409</v>
      </c>
      <c r="E793" t="s">
        <v>11</v>
      </c>
      <c r="F793">
        <v>1</v>
      </c>
      <c r="G793" t="s">
        <v>18</v>
      </c>
    </row>
    <row r="794" spans="1:7" x14ac:dyDescent="0.25">
      <c r="A794">
        <v>45</v>
      </c>
      <c r="B794" t="s">
        <v>410</v>
      </c>
      <c r="C794">
        <v>10</v>
      </c>
      <c r="D794" t="s">
        <v>411</v>
      </c>
      <c r="E794" t="s">
        <v>11</v>
      </c>
      <c r="F794">
        <v>1</v>
      </c>
      <c r="G794" t="s">
        <v>18</v>
      </c>
    </row>
    <row r="795" spans="1:7" x14ac:dyDescent="0.25">
      <c r="A795">
        <v>45</v>
      </c>
      <c r="B795" t="s">
        <v>410</v>
      </c>
      <c r="C795">
        <v>20</v>
      </c>
      <c r="D795" t="s">
        <v>117</v>
      </c>
      <c r="E795" t="s">
        <v>14</v>
      </c>
      <c r="F795">
        <v>3.843</v>
      </c>
      <c r="G795" t="s">
        <v>15</v>
      </c>
    </row>
    <row r="796" spans="1:7" x14ac:dyDescent="0.25">
      <c r="A796">
        <v>45</v>
      </c>
      <c r="B796" t="s">
        <v>410</v>
      </c>
      <c r="C796">
        <v>30</v>
      </c>
      <c r="D796" t="s">
        <v>102</v>
      </c>
      <c r="E796" t="s">
        <v>103</v>
      </c>
      <c r="F796">
        <v>1.06</v>
      </c>
      <c r="G796" t="s">
        <v>15</v>
      </c>
    </row>
    <row r="797" spans="1:7" x14ac:dyDescent="0.25">
      <c r="A797">
        <v>45</v>
      </c>
      <c r="B797" t="s">
        <v>410</v>
      </c>
      <c r="C797">
        <v>40</v>
      </c>
      <c r="D797" t="s">
        <v>146</v>
      </c>
      <c r="E797" t="s">
        <v>11</v>
      </c>
      <c r="F797">
        <v>1.5489999999999999</v>
      </c>
      <c r="G797" t="s">
        <v>18</v>
      </c>
    </row>
    <row r="798" spans="1:7" x14ac:dyDescent="0.25">
      <c r="A798">
        <v>45</v>
      </c>
      <c r="B798" t="s">
        <v>410</v>
      </c>
      <c r="C798">
        <v>50</v>
      </c>
      <c r="D798" t="s">
        <v>139</v>
      </c>
      <c r="E798" t="s">
        <v>17</v>
      </c>
      <c r="F798">
        <v>1.5489999999999999</v>
      </c>
      <c r="G798" t="s">
        <v>18</v>
      </c>
    </row>
    <row r="799" spans="1:7" x14ac:dyDescent="0.25">
      <c r="A799">
        <v>45</v>
      </c>
      <c r="B799" t="s">
        <v>410</v>
      </c>
      <c r="C799">
        <v>60</v>
      </c>
      <c r="D799" t="s">
        <v>412</v>
      </c>
      <c r="E799" t="s">
        <v>11</v>
      </c>
      <c r="F799">
        <v>1</v>
      </c>
      <c r="G799" t="s">
        <v>18</v>
      </c>
    </row>
    <row r="800" spans="1:7" x14ac:dyDescent="0.25">
      <c r="A800">
        <v>45</v>
      </c>
      <c r="B800" t="s">
        <v>410</v>
      </c>
      <c r="C800">
        <v>70</v>
      </c>
      <c r="D800" t="s">
        <v>148</v>
      </c>
      <c r="E800" t="s">
        <v>17</v>
      </c>
      <c r="F800">
        <v>20.725999999999999</v>
      </c>
      <c r="G800" t="s">
        <v>15</v>
      </c>
    </row>
    <row r="801" spans="1:7" x14ac:dyDescent="0.25">
      <c r="A801">
        <v>45</v>
      </c>
      <c r="B801" t="s">
        <v>410</v>
      </c>
      <c r="C801">
        <v>80</v>
      </c>
      <c r="D801" t="s">
        <v>20</v>
      </c>
      <c r="E801" t="s">
        <v>17</v>
      </c>
      <c r="F801">
        <v>169.95599999999999</v>
      </c>
      <c r="G801" t="s">
        <v>15</v>
      </c>
    </row>
    <row r="802" spans="1:7" x14ac:dyDescent="0.25">
      <c r="A802">
        <v>45</v>
      </c>
      <c r="B802" t="s">
        <v>410</v>
      </c>
      <c r="C802">
        <v>90</v>
      </c>
      <c r="D802" t="s">
        <v>24</v>
      </c>
      <c r="E802" t="s">
        <v>11</v>
      </c>
      <c r="F802">
        <v>1</v>
      </c>
      <c r="G802" t="s">
        <v>15</v>
      </c>
    </row>
    <row r="803" spans="1:7" x14ac:dyDescent="0.25">
      <c r="A803">
        <v>45</v>
      </c>
      <c r="B803" t="s">
        <v>410</v>
      </c>
      <c r="C803">
        <v>100</v>
      </c>
      <c r="D803" t="s">
        <v>141</v>
      </c>
      <c r="E803" t="s">
        <v>14</v>
      </c>
      <c r="F803">
        <v>0.128</v>
      </c>
      <c r="G803" t="s">
        <v>15</v>
      </c>
    </row>
    <row r="804" spans="1:7" x14ac:dyDescent="0.25">
      <c r="A804">
        <v>45</v>
      </c>
      <c r="B804" t="s">
        <v>410</v>
      </c>
      <c r="C804">
        <v>110</v>
      </c>
      <c r="D804" t="s">
        <v>140</v>
      </c>
      <c r="E804" t="s">
        <v>11</v>
      </c>
      <c r="F804">
        <v>4</v>
      </c>
      <c r="G804" t="s">
        <v>15</v>
      </c>
    </row>
    <row r="805" spans="1:7" x14ac:dyDescent="0.25">
      <c r="A805">
        <v>45</v>
      </c>
      <c r="B805" t="s">
        <v>410</v>
      </c>
      <c r="C805">
        <v>120</v>
      </c>
      <c r="D805" t="s">
        <v>25</v>
      </c>
      <c r="E805" t="s">
        <v>11</v>
      </c>
      <c r="F805">
        <v>1</v>
      </c>
      <c r="G805" t="s">
        <v>15</v>
      </c>
    </row>
    <row r="806" spans="1:7" x14ac:dyDescent="0.25">
      <c r="A806">
        <v>45</v>
      </c>
      <c r="B806" t="s">
        <v>410</v>
      </c>
      <c r="C806">
        <v>130</v>
      </c>
      <c r="D806" t="s">
        <v>26</v>
      </c>
      <c r="E806" t="s">
        <v>11</v>
      </c>
      <c r="F806">
        <v>1</v>
      </c>
      <c r="G806" t="s">
        <v>15</v>
      </c>
    </row>
    <row r="807" spans="1:7" x14ac:dyDescent="0.25">
      <c r="A807">
        <v>45</v>
      </c>
      <c r="B807" t="s">
        <v>410</v>
      </c>
      <c r="C807">
        <v>140</v>
      </c>
      <c r="D807" t="s">
        <v>100</v>
      </c>
      <c r="E807" t="s">
        <v>14</v>
      </c>
      <c r="F807">
        <v>0.94599999999999995</v>
      </c>
      <c r="G807" t="s">
        <v>15</v>
      </c>
    </row>
    <row r="808" spans="1:7" x14ac:dyDescent="0.25">
      <c r="A808">
        <v>45</v>
      </c>
      <c r="B808" t="s">
        <v>410</v>
      </c>
      <c r="C808">
        <v>150</v>
      </c>
      <c r="D808" t="s">
        <v>413</v>
      </c>
      <c r="E808" t="s">
        <v>11</v>
      </c>
      <c r="F808">
        <v>1</v>
      </c>
      <c r="G808" t="s">
        <v>18</v>
      </c>
    </row>
    <row r="809" spans="1:7" x14ac:dyDescent="0.25">
      <c r="A809">
        <v>45</v>
      </c>
      <c r="B809" t="s">
        <v>410</v>
      </c>
      <c r="C809">
        <v>160</v>
      </c>
      <c r="D809" t="s">
        <v>414</v>
      </c>
      <c r="E809" t="s">
        <v>11</v>
      </c>
      <c r="F809">
        <v>1</v>
      </c>
      <c r="G809" t="s">
        <v>18</v>
      </c>
    </row>
    <row r="810" spans="1:7" x14ac:dyDescent="0.25">
      <c r="A810">
        <v>45</v>
      </c>
      <c r="B810" t="s">
        <v>410</v>
      </c>
      <c r="C810">
        <v>170</v>
      </c>
      <c r="D810" t="s">
        <v>142</v>
      </c>
      <c r="E810" t="s">
        <v>11</v>
      </c>
      <c r="F810">
        <v>6.9089999999999998</v>
      </c>
      <c r="G810" t="s">
        <v>15</v>
      </c>
    </row>
    <row r="811" spans="1:7" x14ac:dyDescent="0.25">
      <c r="A811">
        <v>45</v>
      </c>
      <c r="B811" t="s">
        <v>410</v>
      </c>
      <c r="C811">
        <v>180</v>
      </c>
      <c r="D811" t="s">
        <v>415</v>
      </c>
      <c r="E811" t="s">
        <v>11</v>
      </c>
      <c r="F811">
        <v>1</v>
      </c>
      <c r="G811" t="s">
        <v>18</v>
      </c>
    </row>
    <row r="812" spans="1:7" x14ac:dyDescent="0.25">
      <c r="A812">
        <v>46</v>
      </c>
      <c r="B812" t="s">
        <v>416</v>
      </c>
      <c r="C812">
        <v>10</v>
      </c>
      <c r="D812" t="s">
        <v>417</v>
      </c>
      <c r="E812" t="s">
        <v>11</v>
      </c>
      <c r="F812">
        <v>1</v>
      </c>
      <c r="G812" t="s">
        <v>18</v>
      </c>
    </row>
    <row r="813" spans="1:7" x14ac:dyDescent="0.25">
      <c r="A813">
        <v>46</v>
      </c>
      <c r="B813" t="s">
        <v>416</v>
      </c>
      <c r="C813">
        <v>20</v>
      </c>
      <c r="D813" t="s">
        <v>118</v>
      </c>
      <c r="E813" t="s">
        <v>14</v>
      </c>
      <c r="F813">
        <v>4.2300000000000004</v>
      </c>
      <c r="G813" t="s">
        <v>15</v>
      </c>
    </row>
    <row r="814" spans="1:7" x14ac:dyDescent="0.25">
      <c r="A814">
        <v>46</v>
      </c>
      <c r="B814" t="s">
        <v>416</v>
      </c>
      <c r="C814">
        <v>30</v>
      </c>
      <c r="D814" t="s">
        <v>102</v>
      </c>
      <c r="E814" t="s">
        <v>103</v>
      </c>
      <c r="F814">
        <v>1.1679999999999999</v>
      </c>
      <c r="G814" t="s">
        <v>15</v>
      </c>
    </row>
    <row r="815" spans="1:7" x14ac:dyDescent="0.25">
      <c r="A815">
        <v>46</v>
      </c>
      <c r="B815" t="s">
        <v>416</v>
      </c>
      <c r="C815">
        <v>40</v>
      </c>
      <c r="D815" t="s">
        <v>146</v>
      </c>
      <c r="E815" t="s">
        <v>11</v>
      </c>
      <c r="F815">
        <v>1.702</v>
      </c>
      <c r="G815" t="s">
        <v>18</v>
      </c>
    </row>
    <row r="816" spans="1:7" x14ac:dyDescent="0.25">
      <c r="A816">
        <v>46</v>
      </c>
      <c r="B816" t="s">
        <v>416</v>
      </c>
      <c r="C816">
        <v>50</v>
      </c>
      <c r="D816" t="s">
        <v>139</v>
      </c>
      <c r="E816" t="s">
        <v>17</v>
      </c>
      <c r="F816">
        <v>1.702</v>
      </c>
      <c r="G816" t="s">
        <v>18</v>
      </c>
    </row>
    <row r="817" spans="1:7" x14ac:dyDescent="0.25">
      <c r="A817">
        <v>46</v>
      </c>
      <c r="B817" t="s">
        <v>416</v>
      </c>
      <c r="C817">
        <v>60</v>
      </c>
      <c r="D817" t="s">
        <v>418</v>
      </c>
      <c r="E817" t="s">
        <v>11</v>
      </c>
      <c r="F817">
        <v>1</v>
      </c>
      <c r="G817" t="s">
        <v>18</v>
      </c>
    </row>
    <row r="818" spans="1:7" x14ac:dyDescent="0.25">
      <c r="A818">
        <v>46</v>
      </c>
      <c r="B818" t="s">
        <v>416</v>
      </c>
      <c r="C818">
        <v>70</v>
      </c>
      <c r="D818" t="s">
        <v>148</v>
      </c>
      <c r="E818" t="s">
        <v>17</v>
      </c>
      <c r="F818">
        <v>21.640999999999998</v>
      </c>
      <c r="G818" t="s">
        <v>15</v>
      </c>
    </row>
    <row r="819" spans="1:7" x14ac:dyDescent="0.25">
      <c r="A819">
        <v>46</v>
      </c>
      <c r="B819" t="s">
        <v>416</v>
      </c>
      <c r="C819">
        <v>80</v>
      </c>
      <c r="D819" t="s">
        <v>20</v>
      </c>
      <c r="E819" t="s">
        <v>17</v>
      </c>
      <c r="F819">
        <v>177.45500000000001</v>
      </c>
      <c r="G819" t="s">
        <v>15</v>
      </c>
    </row>
    <row r="820" spans="1:7" x14ac:dyDescent="0.25">
      <c r="A820">
        <v>46</v>
      </c>
      <c r="B820" t="s">
        <v>416</v>
      </c>
      <c r="C820">
        <v>90</v>
      </c>
      <c r="D820" t="s">
        <v>24</v>
      </c>
      <c r="E820" t="s">
        <v>11</v>
      </c>
      <c r="F820">
        <v>1</v>
      </c>
      <c r="G820" t="s">
        <v>15</v>
      </c>
    </row>
    <row r="821" spans="1:7" x14ac:dyDescent="0.25">
      <c r="A821">
        <v>46</v>
      </c>
      <c r="B821" t="s">
        <v>416</v>
      </c>
      <c r="C821">
        <v>100</v>
      </c>
      <c r="D821" t="s">
        <v>141</v>
      </c>
      <c r="E821" t="s">
        <v>14</v>
      </c>
      <c r="F821">
        <v>0.13800000000000001</v>
      </c>
      <c r="G821" t="s">
        <v>15</v>
      </c>
    </row>
    <row r="822" spans="1:7" x14ac:dyDescent="0.25">
      <c r="A822">
        <v>46</v>
      </c>
      <c r="B822" t="s">
        <v>416</v>
      </c>
      <c r="C822">
        <v>110</v>
      </c>
      <c r="D822" t="s">
        <v>140</v>
      </c>
      <c r="E822" t="s">
        <v>11</v>
      </c>
      <c r="F822">
        <v>4</v>
      </c>
      <c r="G822" t="s">
        <v>15</v>
      </c>
    </row>
    <row r="823" spans="1:7" x14ac:dyDescent="0.25">
      <c r="A823">
        <v>46</v>
      </c>
      <c r="B823" t="s">
        <v>416</v>
      </c>
      <c r="C823">
        <v>120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46</v>
      </c>
      <c r="B824" t="s">
        <v>416</v>
      </c>
      <c r="C824">
        <v>130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46</v>
      </c>
      <c r="B825" t="s">
        <v>416</v>
      </c>
      <c r="C825">
        <v>140</v>
      </c>
      <c r="D825" t="s">
        <v>100</v>
      </c>
      <c r="E825" t="s">
        <v>14</v>
      </c>
      <c r="F825">
        <v>1.0269999999999999</v>
      </c>
      <c r="G825" t="s">
        <v>15</v>
      </c>
    </row>
    <row r="826" spans="1:7" x14ac:dyDescent="0.25">
      <c r="A826">
        <v>46</v>
      </c>
      <c r="B826" t="s">
        <v>416</v>
      </c>
      <c r="C826">
        <v>150</v>
      </c>
      <c r="D826" t="s">
        <v>419</v>
      </c>
      <c r="E826" t="s">
        <v>11</v>
      </c>
      <c r="F826">
        <v>1</v>
      </c>
      <c r="G826" t="s">
        <v>18</v>
      </c>
    </row>
    <row r="827" spans="1:7" x14ac:dyDescent="0.25">
      <c r="A827">
        <v>46</v>
      </c>
      <c r="B827" t="s">
        <v>416</v>
      </c>
      <c r="C827">
        <v>160</v>
      </c>
      <c r="D827" t="s">
        <v>420</v>
      </c>
      <c r="E827" t="s">
        <v>11</v>
      </c>
      <c r="F827">
        <v>1</v>
      </c>
      <c r="G827" t="s">
        <v>18</v>
      </c>
    </row>
    <row r="828" spans="1:7" x14ac:dyDescent="0.25">
      <c r="A828">
        <v>46</v>
      </c>
      <c r="B828" t="s">
        <v>416</v>
      </c>
      <c r="C828">
        <v>170</v>
      </c>
      <c r="D828" t="s">
        <v>142</v>
      </c>
      <c r="E828" t="s">
        <v>11</v>
      </c>
      <c r="F828">
        <v>7.2140000000000004</v>
      </c>
      <c r="G828" t="s">
        <v>15</v>
      </c>
    </row>
    <row r="829" spans="1:7" x14ac:dyDescent="0.25">
      <c r="A829">
        <v>46</v>
      </c>
      <c r="B829" t="s">
        <v>416</v>
      </c>
      <c r="C829">
        <v>180</v>
      </c>
      <c r="D829" t="s">
        <v>421</v>
      </c>
      <c r="E829" t="s">
        <v>11</v>
      </c>
      <c r="F829">
        <v>1</v>
      </c>
      <c r="G829" t="s">
        <v>18</v>
      </c>
    </row>
    <row r="830" spans="1:7" x14ac:dyDescent="0.25">
      <c r="A830">
        <v>47</v>
      </c>
      <c r="B830" t="s">
        <v>422</v>
      </c>
      <c r="C830">
        <v>10</v>
      </c>
      <c r="D830" t="s">
        <v>423</v>
      </c>
      <c r="E830" t="s">
        <v>11</v>
      </c>
      <c r="F830">
        <v>1</v>
      </c>
      <c r="G830" t="s">
        <v>18</v>
      </c>
    </row>
    <row r="831" spans="1:7" x14ac:dyDescent="0.25">
      <c r="A831">
        <v>47</v>
      </c>
      <c r="B831" t="s">
        <v>422</v>
      </c>
      <c r="C831">
        <v>20</v>
      </c>
      <c r="D831" t="s">
        <v>119</v>
      </c>
      <c r="E831" t="s">
        <v>14</v>
      </c>
      <c r="F831">
        <v>4.6180000000000003</v>
      </c>
      <c r="G831" t="s">
        <v>15</v>
      </c>
    </row>
    <row r="832" spans="1:7" x14ac:dyDescent="0.25">
      <c r="A832">
        <v>47</v>
      </c>
      <c r="B832" t="s">
        <v>422</v>
      </c>
      <c r="C832">
        <v>30</v>
      </c>
      <c r="D832" t="s">
        <v>102</v>
      </c>
      <c r="E832" t="s">
        <v>103</v>
      </c>
      <c r="F832">
        <v>1.276</v>
      </c>
      <c r="G832" t="s">
        <v>15</v>
      </c>
    </row>
    <row r="833" spans="1:7" x14ac:dyDescent="0.25">
      <c r="A833">
        <v>47</v>
      </c>
      <c r="B833" t="s">
        <v>422</v>
      </c>
      <c r="C833">
        <v>40</v>
      </c>
      <c r="D833" t="s">
        <v>146</v>
      </c>
      <c r="E833" t="s">
        <v>11</v>
      </c>
      <c r="F833">
        <v>1.8540000000000001</v>
      </c>
      <c r="G833" t="s">
        <v>18</v>
      </c>
    </row>
    <row r="834" spans="1:7" x14ac:dyDescent="0.25">
      <c r="A834">
        <v>47</v>
      </c>
      <c r="B834" t="s">
        <v>422</v>
      </c>
      <c r="C834">
        <v>50</v>
      </c>
      <c r="D834" t="s">
        <v>139</v>
      </c>
      <c r="E834" t="s">
        <v>17</v>
      </c>
      <c r="F834">
        <v>1.8540000000000001</v>
      </c>
      <c r="G834" t="s">
        <v>18</v>
      </c>
    </row>
    <row r="835" spans="1:7" x14ac:dyDescent="0.25">
      <c r="A835">
        <v>47</v>
      </c>
      <c r="B835" t="s">
        <v>422</v>
      </c>
      <c r="C835">
        <v>60</v>
      </c>
      <c r="D835" t="s">
        <v>424</v>
      </c>
      <c r="E835" t="s">
        <v>11</v>
      </c>
      <c r="F835">
        <v>1</v>
      </c>
      <c r="G835" t="s">
        <v>18</v>
      </c>
    </row>
    <row r="836" spans="1:7" x14ac:dyDescent="0.25">
      <c r="A836">
        <v>47</v>
      </c>
      <c r="B836" t="s">
        <v>422</v>
      </c>
      <c r="C836">
        <v>70</v>
      </c>
      <c r="D836" t="s">
        <v>148</v>
      </c>
      <c r="E836" t="s">
        <v>17</v>
      </c>
      <c r="F836">
        <v>22.555</v>
      </c>
      <c r="G836" t="s">
        <v>15</v>
      </c>
    </row>
    <row r="837" spans="1:7" x14ac:dyDescent="0.25">
      <c r="A837">
        <v>47</v>
      </c>
      <c r="B837" t="s">
        <v>422</v>
      </c>
      <c r="C837">
        <v>80</v>
      </c>
      <c r="D837" t="s">
        <v>20</v>
      </c>
      <c r="E837" t="s">
        <v>17</v>
      </c>
      <c r="F837">
        <v>184.953</v>
      </c>
      <c r="G837" t="s">
        <v>15</v>
      </c>
    </row>
    <row r="838" spans="1:7" x14ac:dyDescent="0.25">
      <c r="A838">
        <v>47</v>
      </c>
      <c r="B838" t="s">
        <v>422</v>
      </c>
      <c r="C838">
        <v>90</v>
      </c>
      <c r="D838" t="s">
        <v>24</v>
      </c>
      <c r="E838" t="s">
        <v>11</v>
      </c>
      <c r="F838">
        <v>1</v>
      </c>
      <c r="G838" t="s">
        <v>15</v>
      </c>
    </row>
    <row r="839" spans="1:7" x14ac:dyDescent="0.25">
      <c r="A839">
        <v>47</v>
      </c>
      <c r="B839" t="s">
        <v>422</v>
      </c>
      <c r="C839">
        <v>100</v>
      </c>
      <c r="D839" t="s">
        <v>141</v>
      </c>
      <c r="E839" t="s">
        <v>14</v>
      </c>
      <c r="F839">
        <v>0.14899999999999999</v>
      </c>
      <c r="G839" t="s">
        <v>15</v>
      </c>
    </row>
    <row r="840" spans="1:7" x14ac:dyDescent="0.25">
      <c r="A840">
        <v>47</v>
      </c>
      <c r="B840" t="s">
        <v>422</v>
      </c>
      <c r="C840">
        <v>110</v>
      </c>
      <c r="D840" t="s">
        <v>140</v>
      </c>
      <c r="E840" t="s">
        <v>11</v>
      </c>
      <c r="F840">
        <v>4</v>
      </c>
      <c r="G840" t="s">
        <v>15</v>
      </c>
    </row>
    <row r="841" spans="1:7" x14ac:dyDescent="0.25">
      <c r="A841">
        <v>47</v>
      </c>
      <c r="B841" t="s">
        <v>422</v>
      </c>
      <c r="C841">
        <v>120</v>
      </c>
      <c r="D841" t="s">
        <v>25</v>
      </c>
      <c r="E841" t="s">
        <v>11</v>
      </c>
      <c r="F841">
        <v>1</v>
      </c>
      <c r="G841" t="s">
        <v>15</v>
      </c>
    </row>
    <row r="842" spans="1:7" x14ac:dyDescent="0.25">
      <c r="A842">
        <v>47</v>
      </c>
      <c r="B842" t="s">
        <v>422</v>
      </c>
      <c r="C842">
        <v>130</v>
      </c>
      <c r="D842" t="s">
        <v>26</v>
      </c>
      <c r="E842" t="s">
        <v>11</v>
      </c>
      <c r="F842">
        <v>1</v>
      </c>
      <c r="G842" t="s">
        <v>15</v>
      </c>
    </row>
    <row r="843" spans="1:7" x14ac:dyDescent="0.25">
      <c r="A843">
        <v>47</v>
      </c>
      <c r="B843" t="s">
        <v>422</v>
      </c>
      <c r="C843">
        <v>140</v>
      </c>
      <c r="D843" t="s">
        <v>100</v>
      </c>
      <c r="E843" t="s">
        <v>14</v>
      </c>
      <c r="F843">
        <v>1.1080000000000001</v>
      </c>
      <c r="G843" t="s">
        <v>15</v>
      </c>
    </row>
    <row r="844" spans="1:7" x14ac:dyDescent="0.25">
      <c r="A844">
        <v>47</v>
      </c>
      <c r="B844" t="s">
        <v>422</v>
      </c>
      <c r="C844">
        <v>150</v>
      </c>
      <c r="D844" t="s">
        <v>425</v>
      </c>
      <c r="E844" t="s">
        <v>11</v>
      </c>
      <c r="F844">
        <v>1</v>
      </c>
      <c r="G844" t="s">
        <v>18</v>
      </c>
    </row>
    <row r="845" spans="1:7" x14ac:dyDescent="0.25">
      <c r="A845">
        <v>47</v>
      </c>
      <c r="B845" t="s">
        <v>422</v>
      </c>
      <c r="C845">
        <v>160</v>
      </c>
      <c r="D845" t="s">
        <v>426</v>
      </c>
      <c r="E845" t="s">
        <v>11</v>
      </c>
      <c r="F845">
        <v>1</v>
      </c>
      <c r="G845" t="s">
        <v>18</v>
      </c>
    </row>
    <row r="846" spans="1:7" x14ac:dyDescent="0.25">
      <c r="A846">
        <v>47</v>
      </c>
      <c r="B846" t="s">
        <v>422</v>
      </c>
      <c r="C846">
        <v>170</v>
      </c>
      <c r="D846" t="s">
        <v>142</v>
      </c>
      <c r="E846" t="s">
        <v>11</v>
      </c>
      <c r="F846">
        <v>7.5179999999999998</v>
      </c>
      <c r="G846" t="s">
        <v>15</v>
      </c>
    </row>
    <row r="847" spans="1:7" x14ac:dyDescent="0.25">
      <c r="A847">
        <v>47</v>
      </c>
      <c r="B847" t="s">
        <v>422</v>
      </c>
      <c r="C847">
        <v>180</v>
      </c>
      <c r="D847" t="s">
        <v>427</v>
      </c>
      <c r="E847" t="s">
        <v>11</v>
      </c>
      <c r="F847">
        <v>1</v>
      </c>
      <c r="G847" t="s">
        <v>18</v>
      </c>
    </row>
    <row r="848" spans="1:7" x14ac:dyDescent="0.25">
      <c r="A848">
        <v>48</v>
      </c>
      <c r="B848" t="s">
        <v>428</v>
      </c>
      <c r="C848">
        <v>10</v>
      </c>
      <c r="D848" t="s">
        <v>429</v>
      </c>
      <c r="E848" t="s">
        <v>11</v>
      </c>
      <c r="F848">
        <v>1</v>
      </c>
      <c r="G848" t="s">
        <v>18</v>
      </c>
    </row>
    <row r="849" spans="1:7" x14ac:dyDescent="0.25">
      <c r="A849">
        <v>48</v>
      </c>
      <c r="B849" t="s">
        <v>428</v>
      </c>
      <c r="C849">
        <v>20</v>
      </c>
      <c r="D849" t="s">
        <v>134</v>
      </c>
      <c r="E849" t="s">
        <v>14</v>
      </c>
      <c r="F849">
        <v>1.9850000000000001</v>
      </c>
      <c r="G849" t="s">
        <v>15</v>
      </c>
    </row>
    <row r="850" spans="1:7" x14ac:dyDescent="0.25">
      <c r="A850">
        <v>48</v>
      </c>
      <c r="B850" t="s">
        <v>428</v>
      </c>
      <c r="C850">
        <v>30</v>
      </c>
      <c r="D850" t="s">
        <v>102</v>
      </c>
      <c r="E850" t="s">
        <v>103</v>
      </c>
      <c r="F850">
        <v>0.54300000000000004</v>
      </c>
      <c r="G850" t="s">
        <v>15</v>
      </c>
    </row>
    <row r="851" spans="1:7" x14ac:dyDescent="0.25">
      <c r="A851">
        <v>48</v>
      </c>
      <c r="B851" t="s">
        <v>428</v>
      </c>
      <c r="C851">
        <v>40</v>
      </c>
      <c r="D851" t="s">
        <v>146</v>
      </c>
      <c r="E851" t="s">
        <v>11</v>
      </c>
      <c r="F851">
        <v>0.78700000000000003</v>
      </c>
      <c r="G851" t="s">
        <v>18</v>
      </c>
    </row>
    <row r="852" spans="1:7" x14ac:dyDescent="0.25">
      <c r="A852">
        <v>48</v>
      </c>
      <c r="B852" t="s">
        <v>428</v>
      </c>
      <c r="C852">
        <v>50</v>
      </c>
      <c r="D852" t="s">
        <v>139</v>
      </c>
      <c r="E852" t="s">
        <v>17</v>
      </c>
      <c r="F852">
        <v>0.78700000000000003</v>
      </c>
      <c r="G852" t="s">
        <v>18</v>
      </c>
    </row>
    <row r="853" spans="1:7" x14ac:dyDescent="0.25">
      <c r="A853">
        <v>48</v>
      </c>
      <c r="B853" t="s">
        <v>428</v>
      </c>
      <c r="C853">
        <v>60</v>
      </c>
      <c r="D853" t="s">
        <v>430</v>
      </c>
      <c r="E853" t="s">
        <v>11</v>
      </c>
      <c r="F853">
        <v>1</v>
      </c>
      <c r="G853" t="s">
        <v>18</v>
      </c>
    </row>
    <row r="854" spans="1:7" x14ac:dyDescent="0.25">
      <c r="A854">
        <v>48</v>
      </c>
      <c r="B854" t="s">
        <v>428</v>
      </c>
      <c r="C854">
        <v>70</v>
      </c>
      <c r="D854" t="s">
        <v>148</v>
      </c>
      <c r="E854" t="s">
        <v>17</v>
      </c>
      <c r="F854">
        <v>16.611999999999998</v>
      </c>
      <c r="G854" t="s">
        <v>15</v>
      </c>
    </row>
    <row r="855" spans="1:7" x14ac:dyDescent="0.25">
      <c r="A855">
        <v>48</v>
      </c>
      <c r="B855" t="s">
        <v>428</v>
      </c>
      <c r="C855">
        <v>80</v>
      </c>
      <c r="D855" t="s">
        <v>20</v>
      </c>
      <c r="E855" t="s">
        <v>17</v>
      </c>
      <c r="F855">
        <v>136.215</v>
      </c>
      <c r="G855" t="s">
        <v>15</v>
      </c>
    </row>
    <row r="856" spans="1:7" x14ac:dyDescent="0.25">
      <c r="A856">
        <v>48</v>
      </c>
      <c r="B856" t="s">
        <v>428</v>
      </c>
      <c r="C856">
        <v>90</v>
      </c>
      <c r="D856" t="s">
        <v>24</v>
      </c>
      <c r="E856" t="s">
        <v>11</v>
      </c>
      <c r="F856">
        <v>1</v>
      </c>
      <c r="G856" t="s">
        <v>15</v>
      </c>
    </row>
    <row r="857" spans="1:7" x14ac:dyDescent="0.25">
      <c r="A857">
        <v>48</v>
      </c>
      <c r="B857" t="s">
        <v>428</v>
      </c>
      <c r="C857">
        <v>100</v>
      </c>
      <c r="D857" t="s">
        <v>141</v>
      </c>
      <c r="E857" t="s">
        <v>14</v>
      </c>
      <c r="F857">
        <v>7.5999999999999998E-2</v>
      </c>
      <c r="G857" t="s">
        <v>15</v>
      </c>
    </row>
    <row r="858" spans="1:7" x14ac:dyDescent="0.25">
      <c r="A858">
        <v>48</v>
      </c>
      <c r="B858" t="s">
        <v>428</v>
      </c>
      <c r="C858">
        <v>110</v>
      </c>
      <c r="D858" t="s">
        <v>140</v>
      </c>
      <c r="E858" t="s">
        <v>11</v>
      </c>
      <c r="F858">
        <v>4</v>
      </c>
      <c r="G858" t="s">
        <v>15</v>
      </c>
    </row>
    <row r="859" spans="1:7" x14ac:dyDescent="0.25">
      <c r="A859">
        <v>48</v>
      </c>
      <c r="B859" t="s">
        <v>428</v>
      </c>
      <c r="C859">
        <v>120</v>
      </c>
      <c r="D859" t="s">
        <v>25</v>
      </c>
      <c r="E859" t="s">
        <v>11</v>
      </c>
      <c r="F859">
        <v>1</v>
      </c>
      <c r="G859" t="s">
        <v>15</v>
      </c>
    </row>
    <row r="860" spans="1:7" x14ac:dyDescent="0.25">
      <c r="A860">
        <v>48</v>
      </c>
      <c r="B860" t="s">
        <v>428</v>
      </c>
      <c r="C860">
        <v>130</v>
      </c>
      <c r="D860" t="s">
        <v>26</v>
      </c>
      <c r="E860" t="s">
        <v>11</v>
      </c>
      <c r="F860">
        <v>1</v>
      </c>
      <c r="G860" t="s">
        <v>15</v>
      </c>
    </row>
    <row r="861" spans="1:7" x14ac:dyDescent="0.25">
      <c r="A861">
        <v>48</v>
      </c>
      <c r="B861" t="s">
        <v>428</v>
      </c>
      <c r="C861">
        <v>140</v>
      </c>
      <c r="D861" t="s">
        <v>100</v>
      </c>
      <c r="E861" t="s">
        <v>14</v>
      </c>
      <c r="F861">
        <v>0.54</v>
      </c>
      <c r="G861" t="s">
        <v>15</v>
      </c>
    </row>
    <row r="862" spans="1:7" x14ac:dyDescent="0.25">
      <c r="A862">
        <v>48</v>
      </c>
      <c r="B862" t="s">
        <v>428</v>
      </c>
      <c r="C862">
        <v>150</v>
      </c>
      <c r="D862" t="s">
        <v>431</v>
      </c>
      <c r="E862" t="s">
        <v>11</v>
      </c>
      <c r="F862">
        <v>1</v>
      </c>
      <c r="G862" t="s">
        <v>18</v>
      </c>
    </row>
    <row r="863" spans="1:7" x14ac:dyDescent="0.25">
      <c r="A863">
        <v>48</v>
      </c>
      <c r="B863" t="s">
        <v>428</v>
      </c>
      <c r="C863">
        <v>160</v>
      </c>
      <c r="D863" t="s">
        <v>432</v>
      </c>
      <c r="E863" t="s">
        <v>11</v>
      </c>
      <c r="F863">
        <v>1</v>
      </c>
      <c r="G863" t="s">
        <v>18</v>
      </c>
    </row>
    <row r="864" spans="1:7" x14ac:dyDescent="0.25">
      <c r="A864">
        <v>48</v>
      </c>
      <c r="B864" t="s">
        <v>428</v>
      </c>
      <c r="C864">
        <v>170</v>
      </c>
      <c r="D864" t="s">
        <v>142</v>
      </c>
      <c r="E864" t="s">
        <v>11</v>
      </c>
      <c r="F864">
        <v>5.5369999999999999</v>
      </c>
      <c r="G864" t="s">
        <v>15</v>
      </c>
    </row>
    <row r="865" spans="1:7" x14ac:dyDescent="0.25">
      <c r="A865">
        <v>48</v>
      </c>
      <c r="B865" t="s">
        <v>428</v>
      </c>
      <c r="C865">
        <v>180</v>
      </c>
      <c r="D865" t="s">
        <v>433</v>
      </c>
      <c r="E865" t="s">
        <v>11</v>
      </c>
      <c r="F865">
        <v>1</v>
      </c>
      <c r="G865" t="s">
        <v>18</v>
      </c>
    </row>
    <row r="866" spans="1:7" x14ac:dyDescent="0.25">
      <c r="A866">
        <v>49</v>
      </c>
      <c r="B866" t="s">
        <v>434</v>
      </c>
      <c r="C866">
        <v>10</v>
      </c>
      <c r="D866" t="s">
        <v>435</v>
      </c>
      <c r="E866" t="s">
        <v>11</v>
      </c>
      <c r="F866">
        <v>1</v>
      </c>
      <c r="G866" t="s">
        <v>18</v>
      </c>
    </row>
    <row r="867" spans="1:7" x14ac:dyDescent="0.25">
      <c r="A867">
        <v>49</v>
      </c>
      <c r="B867" t="s">
        <v>434</v>
      </c>
      <c r="C867">
        <v>20</v>
      </c>
      <c r="D867" t="s">
        <v>120</v>
      </c>
      <c r="E867" t="s">
        <v>14</v>
      </c>
      <c r="F867">
        <v>2.3889999999999998</v>
      </c>
      <c r="G867" t="s">
        <v>15</v>
      </c>
    </row>
    <row r="868" spans="1:7" x14ac:dyDescent="0.25">
      <c r="A868">
        <v>49</v>
      </c>
      <c r="B868" t="s">
        <v>434</v>
      </c>
      <c r="C868">
        <v>30</v>
      </c>
      <c r="D868" t="s">
        <v>102</v>
      </c>
      <c r="E868" t="s">
        <v>103</v>
      </c>
      <c r="F868">
        <v>0.65600000000000003</v>
      </c>
      <c r="G868" t="s">
        <v>15</v>
      </c>
    </row>
    <row r="869" spans="1:7" x14ac:dyDescent="0.25">
      <c r="A869">
        <v>49</v>
      </c>
      <c r="B869" t="s">
        <v>434</v>
      </c>
      <c r="C869">
        <v>40</v>
      </c>
      <c r="D869" t="s">
        <v>146</v>
      </c>
      <c r="E869" t="s">
        <v>11</v>
      </c>
      <c r="F869">
        <v>0.94</v>
      </c>
      <c r="G869" t="s">
        <v>18</v>
      </c>
    </row>
    <row r="870" spans="1:7" x14ac:dyDescent="0.25">
      <c r="A870">
        <v>49</v>
      </c>
      <c r="B870" t="s">
        <v>434</v>
      </c>
      <c r="C870">
        <v>50</v>
      </c>
      <c r="D870" t="s">
        <v>139</v>
      </c>
      <c r="E870" t="s">
        <v>17</v>
      </c>
      <c r="F870">
        <v>0.94</v>
      </c>
      <c r="G870" t="s">
        <v>18</v>
      </c>
    </row>
    <row r="871" spans="1:7" x14ac:dyDescent="0.25">
      <c r="A871">
        <v>49</v>
      </c>
      <c r="B871" t="s">
        <v>434</v>
      </c>
      <c r="C871">
        <v>60</v>
      </c>
      <c r="D871" t="s">
        <v>436</v>
      </c>
      <c r="E871" t="s">
        <v>11</v>
      </c>
      <c r="F871">
        <v>1</v>
      </c>
      <c r="G871" t="s">
        <v>18</v>
      </c>
    </row>
    <row r="872" spans="1:7" x14ac:dyDescent="0.25">
      <c r="A872">
        <v>49</v>
      </c>
      <c r="B872" t="s">
        <v>434</v>
      </c>
      <c r="C872">
        <v>70</v>
      </c>
      <c r="D872" t="s">
        <v>148</v>
      </c>
      <c r="E872" t="s">
        <v>17</v>
      </c>
      <c r="F872">
        <v>17.526</v>
      </c>
      <c r="G872" t="s">
        <v>15</v>
      </c>
    </row>
    <row r="873" spans="1:7" x14ac:dyDescent="0.25">
      <c r="A873">
        <v>49</v>
      </c>
      <c r="B873" t="s">
        <v>434</v>
      </c>
      <c r="C873">
        <v>80</v>
      </c>
      <c r="D873" t="s">
        <v>20</v>
      </c>
      <c r="E873" t="s">
        <v>17</v>
      </c>
      <c r="F873">
        <v>143.71299999999999</v>
      </c>
      <c r="G873" t="s">
        <v>15</v>
      </c>
    </row>
    <row r="874" spans="1:7" x14ac:dyDescent="0.25">
      <c r="A874">
        <v>49</v>
      </c>
      <c r="B874" t="s">
        <v>434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49</v>
      </c>
      <c r="B875" t="s">
        <v>434</v>
      </c>
      <c r="C875">
        <v>100</v>
      </c>
      <c r="D875" t="s">
        <v>141</v>
      </c>
      <c r="E875" t="s">
        <v>14</v>
      </c>
      <c r="F875">
        <v>8.5999999999999993E-2</v>
      </c>
      <c r="G875" t="s">
        <v>15</v>
      </c>
    </row>
    <row r="876" spans="1:7" x14ac:dyDescent="0.25">
      <c r="A876">
        <v>49</v>
      </c>
      <c r="B876" t="s">
        <v>434</v>
      </c>
      <c r="C876">
        <v>110</v>
      </c>
      <c r="D876" t="s">
        <v>140</v>
      </c>
      <c r="E876" t="s">
        <v>11</v>
      </c>
      <c r="F876">
        <v>4</v>
      </c>
      <c r="G876" t="s">
        <v>15</v>
      </c>
    </row>
    <row r="877" spans="1:7" x14ac:dyDescent="0.25">
      <c r="A877">
        <v>49</v>
      </c>
      <c r="B877" t="s">
        <v>434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49</v>
      </c>
      <c r="B878" t="s">
        <v>434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49</v>
      </c>
      <c r="B879" t="s">
        <v>434</v>
      </c>
      <c r="C879">
        <v>140</v>
      </c>
      <c r="D879" t="s">
        <v>100</v>
      </c>
      <c r="E879" t="s">
        <v>14</v>
      </c>
      <c r="F879">
        <v>0.622</v>
      </c>
      <c r="G879" t="s">
        <v>15</v>
      </c>
    </row>
    <row r="880" spans="1:7" x14ac:dyDescent="0.25">
      <c r="A880">
        <v>49</v>
      </c>
      <c r="B880" t="s">
        <v>434</v>
      </c>
      <c r="C880">
        <v>150</v>
      </c>
      <c r="D880" t="s">
        <v>437</v>
      </c>
      <c r="E880" t="s">
        <v>11</v>
      </c>
      <c r="F880">
        <v>1</v>
      </c>
      <c r="G880" t="s">
        <v>18</v>
      </c>
    </row>
    <row r="881" spans="1:7" x14ac:dyDescent="0.25">
      <c r="A881">
        <v>49</v>
      </c>
      <c r="B881" t="s">
        <v>434</v>
      </c>
      <c r="C881">
        <v>160</v>
      </c>
      <c r="D881" t="s">
        <v>438</v>
      </c>
      <c r="E881" t="s">
        <v>11</v>
      </c>
      <c r="F881">
        <v>1</v>
      </c>
      <c r="G881" t="s">
        <v>18</v>
      </c>
    </row>
    <row r="882" spans="1:7" x14ac:dyDescent="0.25">
      <c r="A882">
        <v>49</v>
      </c>
      <c r="B882" t="s">
        <v>434</v>
      </c>
      <c r="C882">
        <v>170</v>
      </c>
      <c r="D882" t="s">
        <v>142</v>
      </c>
      <c r="E882" t="s">
        <v>11</v>
      </c>
      <c r="F882">
        <v>5.8419999999999996</v>
      </c>
      <c r="G882" t="s">
        <v>15</v>
      </c>
    </row>
    <row r="883" spans="1:7" x14ac:dyDescent="0.25">
      <c r="A883">
        <v>49</v>
      </c>
      <c r="B883" t="s">
        <v>434</v>
      </c>
      <c r="C883">
        <v>180</v>
      </c>
      <c r="D883" t="s">
        <v>439</v>
      </c>
      <c r="E883" t="s">
        <v>11</v>
      </c>
      <c r="F883">
        <v>1</v>
      </c>
      <c r="G883" t="s">
        <v>18</v>
      </c>
    </row>
    <row r="884" spans="1:7" x14ac:dyDescent="0.25">
      <c r="A884">
        <v>50</v>
      </c>
      <c r="B884" t="s">
        <v>440</v>
      </c>
      <c r="C884">
        <v>10</v>
      </c>
      <c r="D884" t="s">
        <v>441</v>
      </c>
      <c r="E884" t="s">
        <v>11</v>
      </c>
      <c r="F884">
        <v>1</v>
      </c>
      <c r="G884" t="s">
        <v>18</v>
      </c>
    </row>
    <row r="885" spans="1:7" x14ac:dyDescent="0.25">
      <c r="A885">
        <v>50</v>
      </c>
      <c r="B885" t="s">
        <v>440</v>
      </c>
      <c r="C885">
        <v>20</v>
      </c>
      <c r="D885" t="s">
        <v>121</v>
      </c>
      <c r="E885" t="s">
        <v>14</v>
      </c>
      <c r="F885">
        <v>2.7930000000000001</v>
      </c>
      <c r="G885" t="s">
        <v>15</v>
      </c>
    </row>
    <row r="886" spans="1:7" x14ac:dyDescent="0.25">
      <c r="A886">
        <v>50</v>
      </c>
      <c r="B886" t="s">
        <v>440</v>
      </c>
      <c r="C886">
        <v>30</v>
      </c>
      <c r="D886" t="s">
        <v>102</v>
      </c>
      <c r="E886" t="s">
        <v>103</v>
      </c>
      <c r="F886">
        <v>0.76800000000000002</v>
      </c>
      <c r="G886" t="s">
        <v>15</v>
      </c>
    </row>
    <row r="887" spans="1:7" x14ac:dyDescent="0.25">
      <c r="A887">
        <v>50</v>
      </c>
      <c r="B887" t="s">
        <v>440</v>
      </c>
      <c r="C887">
        <v>40</v>
      </c>
      <c r="D887" t="s">
        <v>146</v>
      </c>
      <c r="E887" t="s">
        <v>11</v>
      </c>
      <c r="F887">
        <v>1.0920000000000001</v>
      </c>
      <c r="G887" t="s">
        <v>18</v>
      </c>
    </row>
    <row r="888" spans="1:7" x14ac:dyDescent="0.25">
      <c r="A888">
        <v>50</v>
      </c>
      <c r="B888" t="s">
        <v>440</v>
      </c>
      <c r="C888">
        <v>50</v>
      </c>
      <c r="D888" t="s">
        <v>139</v>
      </c>
      <c r="E888" t="s">
        <v>17</v>
      </c>
      <c r="F888">
        <v>1.0920000000000001</v>
      </c>
      <c r="G888" t="s">
        <v>18</v>
      </c>
    </row>
    <row r="889" spans="1:7" x14ac:dyDescent="0.25">
      <c r="A889">
        <v>50</v>
      </c>
      <c r="B889" t="s">
        <v>440</v>
      </c>
      <c r="C889">
        <v>60</v>
      </c>
      <c r="D889" t="s">
        <v>442</v>
      </c>
      <c r="E889" t="s">
        <v>11</v>
      </c>
      <c r="F889">
        <v>1</v>
      </c>
      <c r="G889" t="s">
        <v>18</v>
      </c>
    </row>
    <row r="890" spans="1:7" x14ac:dyDescent="0.25">
      <c r="A890">
        <v>50</v>
      </c>
      <c r="B890" t="s">
        <v>440</v>
      </c>
      <c r="C890">
        <v>70</v>
      </c>
      <c r="D890" t="s">
        <v>148</v>
      </c>
      <c r="E890" t="s">
        <v>17</v>
      </c>
      <c r="F890">
        <v>18.440000000000001</v>
      </c>
      <c r="G890" t="s">
        <v>15</v>
      </c>
    </row>
    <row r="891" spans="1:7" x14ac:dyDescent="0.25">
      <c r="A891">
        <v>50</v>
      </c>
      <c r="B891" t="s">
        <v>440</v>
      </c>
      <c r="C891">
        <v>80</v>
      </c>
      <c r="D891" t="s">
        <v>20</v>
      </c>
      <c r="E891" t="s">
        <v>17</v>
      </c>
      <c r="F891">
        <v>151.21100000000001</v>
      </c>
      <c r="G891" t="s">
        <v>15</v>
      </c>
    </row>
    <row r="892" spans="1:7" x14ac:dyDescent="0.25">
      <c r="A892">
        <v>50</v>
      </c>
      <c r="B892" t="s">
        <v>440</v>
      </c>
      <c r="C892">
        <v>90</v>
      </c>
      <c r="D892" t="s">
        <v>24</v>
      </c>
      <c r="E892" t="s">
        <v>11</v>
      </c>
      <c r="F892">
        <v>1</v>
      </c>
      <c r="G892" t="s">
        <v>15</v>
      </c>
    </row>
    <row r="893" spans="1:7" x14ac:dyDescent="0.25">
      <c r="A893">
        <v>50</v>
      </c>
      <c r="B893" t="s">
        <v>440</v>
      </c>
      <c r="C893">
        <v>100</v>
      </c>
      <c r="D893" t="s">
        <v>141</v>
      </c>
      <c r="E893" t="s">
        <v>14</v>
      </c>
      <c r="F893">
        <v>9.7000000000000003E-2</v>
      </c>
      <c r="G893" t="s">
        <v>15</v>
      </c>
    </row>
    <row r="894" spans="1:7" x14ac:dyDescent="0.25">
      <c r="A894">
        <v>50</v>
      </c>
      <c r="B894" t="s">
        <v>440</v>
      </c>
      <c r="C894">
        <v>110</v>
      </c>
      <c r="D894" t="s">
        <v>140</v>
      </c>
      <c r="E894" t="s">
        <v>11</v>
      </c>
      <c r="F894">
        <v>4</v>
      </c>
      <c r="G894" t="s">
        <v>15</v>
      </c>
    </row>
    <row r="895" spans="1:7" x14ac:dyDescent="0.25">
      <c r="A895">
        <v>50</v>
      </c>
      <c r="B895" t="s">
        <v>440</v>
      </c>
      <c r="C895">
        <v>120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50</v>
      </c>
      <c r="B896" t="s">
        <v>440</v>
      </c>
      <c r="C896">
        <v>130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50</v>
      </c>
      <c r="B897" t="s">
        <v>440</v>
      </c>
      <c r="C897">
        <v>140</v>
      </c>
      <c r="D897" t="s">
        <v>100</v>
      </c>
      <c r="E897" t="s">
        <v>14</v>
      </c>
      <c r="F897">
        <v>0.70299999999999996</v>
      </c>
      <c r="G897" t="s">
        <v>15</v>
      </c>
    </row>
    <row r="898" spans="1:7" x14ac:dyDescent="0.25">
      <c r="A898">
        <v>50</v>
      </c>
      <c r="B898" t="s">
        <v>440</v>
      </c>
      <c r="C898">
        <v>150</v>
      </c>
      <c r="D898" t="s">
        <v>443</v>
      </c>
      <c r="E898" t="s">
        <v>11</v>
      </c>
      <c r="F898">
        <v>1</v>
      </c>
      <c r="G898" t="s">
        <v>18</v>
      </c>
    </row>
    <row r="899" spans="1:7" x14ac:dyDescent="0.25">
      <c r="A899">
        <v>50</v>
      </c>
      <c r="B899" t="s">
        <v>440</v>
      </c>
      <c r="C899">
        <v>160</v>
      </c>
      <c r="D899" t="s">
        <v>444</v>
      </c>
      <c r="E899" t="s">
        <v>11</v>
      </c>
      <c r="F899">
        <v>1</v>
      </c>
      <c r="G899" t="s">
        <v>18</v>
      </c>
    </row>
    <row r="900" spans="1:7" x14ac:dyDescent="0.25">
      <c r="A900">
        <v>50</v>
      </c>
      <c r="B900" t="s">
        <v>440</v>
      </c>
      <c r="C900">
        <v>170</v>
      </c>
      <c r="D900" t="s">
        <v>142</v>
      </c>
      <c r="E900" t="s">
        <v>11</v>
      </c>
      <c r="F900">
        <v>6.1470000000000002</v>
      </c>
      <c r="G900" t="s">
        <v>15</v>
      </c>
    </row>
    <row r="901" spans="1:7" x14ac:dyDescent="0.25">
      <c r="A901">
        <v>50</v>
      </c>
      <c r="B901" t="s">
        <v>440</v>
      </c>
      <c r="C901">
        <v>180</v>
      </c>
      <c r="D901" t="s">
        <v>445</v>
      </c>
      <c r="E901" t="s">
        <v>11</v>
      </c>
      <c r="F901">
        <v>1</v>
      </c>
      <c r="G901" t="s">
        <v>18</v>
      </c>
    </row>
    <row r="902" spans="1:7" x14ac:dyDescent="0.25">
      <c r="A902">
        <v>51</v>
      </c>
      <c r="B902" t="s">
        <v>446</v>
      </c>
      <c r="C902">
        <v>10</v>
      </c>
      <c r="D902" t="s">
        <v>447</v>
      </c>
      <c r="E902" t="s">
        <v>11</v>
      </c>
      <c r="F902">
        <v>1</v>
      </c>
      <c r="G902" t="s">
        <v>18</v>
      </c>
    </row>
    <row r="903" spans="1:7" x14ac:dyDescent="0.25">
      <c r="A903">
        <v>51</v>
      </c>
      <c r="B903" t="s">
        <v>446</v>
      </c>
      <c r="C903">
        <v>20</v>
      </c>
      <c r="D903" t="s">
        <v>122</v>
      </c>
      <c r="E903" t="s">
        <v>14</v>
      </c>
      <c r="F903">
        <v>3.1960000000000002</v>
      </c>
      <c r="G903" t="s">
        <v>15</v>
      </c>
    </row>
    <row r="904" spans="1:7" x14ac:dyDescent="0.25">
      <c r="A904">
        <v>51</v>
      </c>
      <c r="B904" t="s">
        <v>446</v>
      </c>
      <c r="C904">
        <v>30</v>
      </c>
      <c r="D904" t="s">
        <v>102</v>
      </c>
      <c r="E904" t="s">
        <v>103</v>
      </c>
      <c r="F904">
        <v>0.88</v>
      </c>
      <c r="G904" t="s">
        <v>15</v>
      </c>
    </row>
    <row r="905" spans="1:7" x14ac:dyDescent="0.25">
      <c r="A905">
        <v>51</v>
      </c>
      <c r="B905" t="s">
        <v>446</v>
      </c>
      <c r="C905">
        <v>40</v>
      </c>
      <c r="D905" t="s">
        <v>146</v>
      </c>
      <c r="E905" t="s">
        <v>11</v>
      </c>
      <c r="F905">
        <v>1.2450000000000001</v>
      </c>
      <c r="G905" t="s">
        <v>18</v>
      </c>
    </row>
    <row r="906" spans="1:7" x14ac:dyDescent="0.25">
      <c r="A906">
        <v>51</v>
      </c>
      <c r="B906" t="s">
        <v>446</v>
      </c>
      <c r="C906">
        <v>50</v>
      </c>
      <c r="D906" t="s">
        <v>139</v>
      </c>
      <c r="E906" t="s">
        <v>17</v>
      </c>
      <c r="F906">
        <v>1.2450000000000001</v>
      </c>
      <c r="G906" t="s">
        <v>18</v>
      </c>
    </row>
    <row r="907" spans="1:7" x14ac:dyDescent="0.25">
      <c r="A907">
        <v>51</v>
      </c>
      <c r="B907" t="s">
        <v>446</v>
      </c>
      <c r="C907">
        <v>60</v>
      </c>
      <c r="D907" t="s">
        <v>448</v>
      </c>
      <c r="E907" t="s">
        <v>11</v>
      </c>
      <c r="F907">
        <v>1</v>
      </c>
      <c r="G907" t="s">
        <v>18</v>
      </c>
    </row>
    <row r="908" spans="1:7" x14ac:dyDescent="0.25">
      <c r="A908">
        <v>51</v>
      </c>
      <c r="B908" t="s">
        <v>446</v>
      </c>
      <c r="C908">
        <v>70</v>
      </c>
      <c r="D908" t="s">
        <v>148</v>
      </c>
      <c r="E908" t="s">
        <v>17</v>
      </c>
      <c r="F908">
        <v>19.355</v>
      </c>
      <c r="G908" t="s">
        <v>15</v>
      </c>
    </row>
    <row r="909" spans="1:7" x14ac:dyDescent="0.25">
      <c r="A909">
        <v>51</v>
      </c>
      <c r="B909" t="s">
        <v>446</v>
      </c>
      <c r="C909">
        <v>80</v>
      </c>
      <c r="D909" t="s">
        <v>20</v>
      </c>
      <c r="E909" t="s">
        <v>17</v>
      </c>
      <c r="F909">
        <v>158.709</v>
      </c>
      <c r="G909" t="s">
        <v>15</v>
      </c>
    </row>
    <row r="910" spans="1:7" x14ac:dyDescent="0.25">
      <c r="A910">
        <v>51</v>
      </c>
      <c r="B910" t="s">
        <v>446</v>
      </c>
      <c r="C910">
        <v>90</v>
      </c>
      <c r="D910" t="s">
        <v>24</v>
      </c>
      <c r="E910" t="s">
        <v>11</v>
      </c>
      <c r="F910">
        <v>1</v>
      </c>
      <c r="G910" t="s">
        <v>15</v>
      </c>
    </row>
    <row r="911" spans="1:7" x14ac:dyDescent="0.25">
      <c r="A911">
        <v>51</v>
      </c>
      <c r="B911" t="s">
        <v>446</v>
      </c>
      <c r="C911">
        <v>100</v>
      </c>
      <c r="D911" t="s">
        <v>141</v>
      </c>
      <c r="E911" t="s">
        <v>14</v>
      </c>
      <c r="F911">
        <v>0.107</v>
      </c>
      <c r="G911" t="s">
        <v>15</v>
      </c>
    </row>
    <row r="912" spans="1:7" x14ac:dyDescent="0.25">
      <c r="A912">
        <v>51</v>
      </c>
      <c r="B912" t="s">
        <v>446</v>
      </c>
      <c r="C912">
        <v>110</v>
      </c>
      <c r="D912" t="s">
        <v>140</v>
      </c>
      <c r="E912" t="s">
        <v>11</v>
      </c>
      <c r="F912">
        <v>4</v>
      </c>
      <c r="G912" t="s">
        <v>15</v>
      </c>
    </row>
    <row r="913" spans="1:7" x14ac:dyDescent="0.25">
      <c r="A913">
        <v>51</v>
      </c>
      <c r="B913" t="s">
        <v>446</v>
      </c>
      <c r="C913">
        <v>120</v>
      </c>
      <c r="D913" t="s">
        <v>25</v>
      </c>
      <c r="E913" t="s">
        <v>11</v>
      </c>
      <c r="F913">
        <v>1</v>
      </c>
      <c r="G913" t="s">
        <v>15</v>
      </c>
    </row>
    <row r="914" spans="1:7" x14ac:dyDescent="0.25">
      <c r="A914">
        <v>51</v>
      </c>
      <c r="B914" t="s">
        <v>446</v>
      </c>
      <c r="C914">
        <v>130</v>
      </c>
      <c r="D914" t="s">
        <v>26</v>
      </c>
      <c r="E914" t="s">
        <v>11</v>
      </c>
      <c r="F914">
        <v>1</v>
      </c>
      <c r="G914" t="s">
        <v>15</v>
      </c>
    </row>
    <row r="915" spans="1:7" x14ac:dyDescent="0.25">
      <c r="A915">
        <v>51</v>
      </c>
      <c r="B915" t="s">
        <v>446</v>
      </c>
      <c r="C915">
        <v>140</v>
      </c>
      <c r="D915" t="s">
        <v>100</v>
      </c>
      <c r="E915" t="s">
        <v>14</v>
      </c>
      <c r="F915">
        <v>0.78400000000000003</v>
      </c>
      <c r="G915" t="s">
        <v>15</v>
      </c>
    </row>
    <row r="916" spans="1:7" x14ac:dyDescent="0.25">
      <c r="A916">
        <v>51</v>
      </c>
      <c r="B916" t="s">
        <v>446</v>
      </c>
      <c r="C916">
        <v>150</v>
      </c>
      <c r="D916" t="s">
        <v>449</v>
      </c>
      <c r="E916" t="s">
        <v>11</v>
      </c>
      <c r="F916">
        <v>1</v>
      </c>
      <c r="G916" t="s">
        <v>18</v>
      </c>
    </row>
    <row r="917" spans="1:7" x14ac:dyDescent="0.25">
      <c r="A917">
        <v>51</v>
      </c>
      <c r="B917" t="s">
        <v>446</v>
      </c>
      <c r="C917">
        <v>160</v>
      </c>
      <c r="D917" t="s">
        <v>450</v>
      </c>
      <c r="E917" t="s">
        <v>11</v>
      </c>
      <c r="F917">
        <v>1</v>
      </c>
      <c r="G917" t="s">
        <v>18</v>
      </c>
    </row>
    <row r="918" spans="1:7" x14ac:dyDescent="0.25">
      <c r="A918">
        <v>51</v>
      </c>
      <c r="B918" t="s">
        <v>446</v>
      </c>
      <c r="C918">
        <v>170</v>
      </c>
      <c r="D918" t="s">
        <v>142</v>
      </c>
      <c r="E918" t="s">
        <v>11</v>
      </c>
      <c r="F918">
        <v>6.452</v>
      </c>
      <c r="G918" t="s">
        <v>15</v>
      </c>
    </row>
    <row r="919" spans="1:7" x14ac:dyDescent="0.25">
      <c r="A919">
        <v>51</v>
      </c>
      <c r="B919" t="s">
        <v>446</v>
      </c>
      <c r="C919">
        <v>180</v>
      </c>
      <c r="D919" t="s">
        <v>451</v>
      </c>
      <c r="E919" t="s">
        <v>11</v>
      </c>
      <c r="F919">
        <v>1</v>
      </c>
      <c r="G919" t="s">
        <v>18</v>
      </c>
    </row>
    <row r="920" spans="1:7" x14ac:dyDescent="0.25">
      <c r="A920">
        <v>52</v>
      </c>
      <c r="B920" t="s">
        <v>452</v>
      </c>
      <c r="C920">
        <v>10</v>
      </c>
      <c r="D920" t="s">
        <v>453</v>
      </c>
      <c r="E920" t="s">
        <v>11</v>
      </c>
      <c r="F920">
        <v>1</v>
      </c>
      <c r="G920" t="s">
        <v>18</v>
      </c>
    </row>
    <row r="921" spans="1:7" x14ac:dyDescent="0.25">
      <c r="A921">
        <v>52</v>
      </c>
      <c r="B921" t="s">
        <v>452</v>
      </c>
      <c r="C921">
        <v>20</v>
      </c>
      <c r="D921" t="s">
        <v>123</v>
      </c>
      <c r="E921" t="s">
        <v>14</v>
      </c>
      <c r="F921">
        <v>4.0039999999999996</v>
      </c>
      <c r="G921" t="s">
        <v>15</v>
      </c>
    </row>
    <row r="922" spans="1:7" x14ac:dyDescent="0.25">
      <c r="A922">
        <v>52</v>
      </c>
      <c r="B922" t="s">
        <v>452</v>
      </c>
      <c r="C922">
        <v>30</v>
      </c>
      <c r="D922" t="s">
        <v>102</v>
      </c>
      <c r="E922" t="s">
        <v>103</v>
      </c>
      <c r="F922">
        <v>1.105</v>
      </c>
      <c r="G922" t="s">
        <v>15</v>
      </c>
    </row>
    <row r="923" spans="1:7" x14ac:dyDescent="0.25">
      <c r="A923">
        <v>52</v>
      </c>
      <c r="B923" t="s">
        <v>452</v>
      </c>
      <c r="C923">
        <v>40</v>
      </c>
      <c r="D923" t="s">
        <v>146</v>
      </c>
      <c r="E923" t="s">
        <v>11</v>
      </c>
      <c r="F923">
        <v>1.5489999999999999</v>
      </c>
      <c r="G923" t="s">
        <v>18</v>
      </c>
    </row>
    <row r="924" spans="1:7" x14ac:dyDescent="0.25">
      <c r="A924">
        <v>52</v>
      </c>
      <c r="B924" t="s">
        <v>452</v>
      </c>
      <c r="C924">
        <v>50</v>
      </c>
      <c r="D924" t="s">
        <v>139</v>
      </c>
      <c r="E924" t="s">
        <v>17</v>
      </c>
      <c r="F924">
        <v>1.5489999999999999</v>
      </c>
      <c r="G924" t="s">
        <v>18</v>
      </c>
    </row>
    <row r="925" spans="1:7" x14ac:dyDescent="0.25">
      <c r="A925">
        <v>52</v>
      </c>
      <c r="B925" t="s">
        <v>452</v>
      </c>
      <c r="C925">
        <v>60</v>
      </c>
      <c r="D925" t="s">
        <v>454</v>
      </c>
      <c r="E925" t="s">
        <v>11</v>
      </c>
      <c r="F925">
        <v>1</v>
      </c>
      <c r="G925" t="s">
        <v>18</v>
      </c>
    </row>
    <row r="926" spans="1:7" x14ac:dyDescent="0.25">
      <c r="A926">
        <v>52</v>
      </c>
      <c r="B926" t="s">
        <v>452</v>
      </c>
      <c r="C926">
        <v>70</v>
      </c>
      <c r="D926" t="s">
        <v>148</v>
      </c>
      <c r="E926" t="s">
        <v>17</v>
      </c>
      <c r="F926">
        <v>21.184000000000001</v>
      </c>
      <c r="G926" t="s">
        <v>15</v>
      </c>
    </row>
    <row r="927" spans="1:7" x14ac:dyDescent="0.25">
      <c r="A927">
        <v>52</v>
      </c>
      <c r="B927" t="s">
        <v>452</v>
      </c>
      <c r="C927">
        <v>80</v>
      </c>
      <c r="D927" t="s">
        <v>20</v>
      </c>
      <c r="E927" t="s">
        <v>17</v>
      </c>
      <c r="F927">
        <v>173.70599999999999</v>
      </c>
      <c r="G927" t="s">
        <v>15</v>
      </c>
    </row>
    <row r="928" spans="1:7" x14ac:dyDescent="0.25">
      <c r="A928">
        <v>52</v>
      </c>
      <c r="B928" t="s">
        <v>452</v>
      </c>
      <c r="C928">
        <v>90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52</v>
      </c>
      <c r="B929" t="s">
        <v>452</v>
      </c>
      <c r="C929">
        <v>100</v>
      </c>
      <c r="D929" t="s">
        <v>141</v>
      </c>
      <c r="E929" t="s">
        <v>14</v>
      </c>
      <c r="F929">
        <v>0.128</v>
      </c>
      <c r="G929" t="s">
        <v>15</v>
      </c>
    </row>
    <row r="930" spans="1:7" x14ac:dyDescent="0.25">
      <c r="A930">
        <v>52</v>
      </c>
      <c r="B930" t="s">
        <v>452</v>
      </c>
      <c r="C930">
        <v>110</v>
      </c>
      <c r="D930" t="s">
        <v>140</v>
      </c>
      <c r="E930" t="s">
        <v>11</v>
      </c>
      <c r="F930">
        <v>4</v>
      </c>
      <c r="G930" t="s">
        <v>15</v>
      </c>
    </row>
    <row r="931" spans="1:7" x14ac:dyDescent="0.25">
      <c r="A931">
        <v>52</v>
      </c>
      <c r="B931" t="s">
        <v>452</v>
      </c>
      <c r="C931">
        <v>120</v>
      </c>
      <c r="D931" t="s">
        <v>25</v>
      </c>
      <c r="E931" t="s">
        <v>11</v>
      </c>
      <c r="F931">
        <v>1</v>
      </c>
      <c r="G931" t="s">
        <v>15</v>
      </c>
    </row>
    <row r="932" spans="1:7" x14ac:dyDescent="0.25">
      <c r="A932">
        <v>52</v>
      </c>
      <c r="B932" t="s">
        <v>452</v>
      </c>
      <c r="C932">
        <v>130</v>
      </c>
      <c r="D932" t="s">
        <v>26</v>
      </c>
      <c r="E932" t="s">
        <v>11</v>
      </c>
      <c r="F932">
        <v>1</v>
      </c>
      <c r="G932" t="s">
        <v>15</v>
      </c>
    </row>
    <row r="933" spans="1:7" x14ac:dyDescent="0.25">
      <c r="A933">
        <v>52</v>
      </c>
      <c r="B933" t="s">
        <v>452</v>
      </c>
      <c r="C933">
        <v>140</v>
      </c>
      <c r="D933" t="s">
        <v>100</v>
      </c>
      <c r="E933" t="s">
        <v>14</v>
      </c>
      <c r="F933">
        <v>0.94599999999999995</v>
      </c>
      <c r="G933" t="s">
        <v>15</v>
      </c>
    </row>
    <row r="934" spans="1:7" x14ac:dyDescent="0.25">
      <c r="A934">
        <v>52</v>
      </c>
      <c r="B934" t="s">
        <v>452</v>
      </c>
      <c r="C934">
        <v>150</v>
      </c>
      <c r="D934" t="s">
        <v>455</v>
      </c>
      <c r="E934" t="s">
        <v>11</v>
      </c>
      <c r="F934">
        <v>1</v>
      </c>
      <c r="G934" t="s">
        <v>18</v>
      </c>
    </row>
    <row r="935" spans="1:7" x14ac:dyDescent="0.25">
      <c r="A935">
        <v>52</v>
      </c>
      <c r="B935" t="s">
        <v>452</v>
      </c>
      <c r="C935">
        <v>160</v>
      </c>
      <c r="D935" t="s">
        <v>456</v>
      </c>
      <c r="E935" t="s">
        <v>11</v>
      </c>
      <c r="F935">
        <v>1</v>
      </c>
      <c r="G935" t="s">
        <v>18</v>
      </c>
    </row>
    <row r="936" spans="1:7" x14ac:dyDescent="0.25">
      <c r="A936">
        <v>52</v>
      </c>
      <c r="B936" t="s">
        <v>452</v>
      </c>
      <c r="C936">
        <v>170</v>
      </c>
      <c r="D936" t="s">
        <v>142</v>
      </c>
      <c r="E936" t="s">
        <v>11</v>
      </c>
      <c r="F936">
        <v>7.0609999999999999</v>
      </c>
      <c r="G936" t="s">
        <v>15</v>
      </c>
    </row>
    <row r="937" spans="1:7" x14ac:dyDescent="0.25">
      <c r="A937">
        <v>52</v>
      </c>
      <c r="B937" t="s">
        <v>452</v>
      </c>
      <c r="C937">
        <v>180</v>
      </c>
      <c r="D937" t="s">
        <v>457</v>
      </c>
      <c r="E937" t="s">
        <v>11</v>
      </c>
      <c r="F937">
        <v>1</v>
      </c>
      <c r="G937" t="s">
        <v>18</v>
      </c>
    </row>
    <row r="938" spans="1:7" x14ac:dyDescent="0.25">
      <c r="A938">
        <v>53</v>
      </c>
      <c r="B938" t="s">
        <v>458</v>
      </c>
      <c r="C938">
        <v>10</v>
      </c>
      <c r="D938" t="s">
        <v>459</v>
      </c>
      <c r="E938" t="s">
        <v>11</v>
      </c>
      <c r="F938">
        <v>1</v>
      </c>
      <c r="G938" t="s">
        <v>18</v>
      </c>
    </row>
    <row r="939" spans="1:7" x14ac:dyDescent="0.25">
      <c r="A939">
        <v>53</v>
      </c>
      <c r="B939" t="s">
        <v>458</v>
      </c>
      <c r="C939">
        <v>20</v>
      </c>
      <c r="D939" t="s">
        <v>124</v>
      </c>
      <c r="E939" t="s">
        <v>14</v>
      </c>
      <c r="F939">
        <v>4.4080000000000004</v>
      </c>
      <c r="G939" t="s">
        <v>15</v>
      </c>
    </row>
    <row r="940" spans="1:7" x14ac:dyDescent="0.25">
      <c r="A940">
        <v>53</v>
      </c>
      <c r="B940" t="s">
        <v>458</v>
      </c>
      <c r="C940">
        <v>30</v>
      </c>
      <c r="D940" t="s">
        <v>102</v>
      </c>
      <c r="E940" t="s">
        <v>103</v>
      </c>
      <c r="F940">
        <v>1.218</v>
      </c>
      <c r="G940" t="s">
        <v>15</v>
      </c>
    </row>
    <row r="941" spans="1:7" x14ac:dyDescent="0.25">
      <c r="A941">
        <v>53</v>
      </c>
      <c r="B941" t="s">
        <v>458</v>
      </c>
      <c r="C941">
        <v>40</v>
      </c>
      <c r="D941" t="s">
        <v>146</v>
      </c>
      <c r="E941" t="s">
        <v>11</v>
      </c>
      <c r="F941">
        <v>1.702</v>
      </c>
      <c r="G941" t="s">
        <v>18</v>
      </c>
    </row>
    <row r="942" spans="1:7" x14ac:dyDescent="0.25">
      <c r="A942">
        <v>53</v>
      </c>
      <c r="B942" t="s">
        <v>458</v>
      </c>
      <c r="C942">
        <v>50</v>
      </c>
      <c r="D942" t="s">
        <v>139</v>
      </c>
      <c r="E942" t="s">
        <v>17</v>
      </c>
      <c r="F942">
        <v>1.702</v>
      </c>
      <c r="G942" t="s">
        <v>18</v>
      </c>
    </row>
    <row r="943" spans="1:7" x14ac:dyDescent="0.25">
      <c r="A943">
        <v>53</v>
      </c>
      <c r="B943" t="s">
        <v>458</v>
      </c>
      <c r="C943">
        <v>60</v>
      </c>
      <c r="D943" t="s">
        <v>460</v>
      </c>
      <c r="E943" t="s">
        <v>11</v>
      </c>
      <c r="F943">
        <v>1</v>
      </c>
      <c r="G943" t="s">
        <v>18</v>
      </c>
    </row>
    <row r="944" spans="1:7" x14ac:dyDescent="0.25">
      <c r="A944">
        <v>53</v>
      </c>
      <c r="B944" t="s">
        <v>458</v>
      </c>
      <c r="C944">
        <v>70</v>
      </c>
      <c r="D944" t="s">
        <v>148</v>
      </c>
      <c r="E944" t="s">
        <v>17</v>
      </c>
      <c r="F944">
        <v>22.097999999999999</v>
      </c>
      <c r="G944" t="s">
        <v>15</v>
      </c>
    </row>
    <row r="945" spans="1:7" x14ac:dyDescent="0.25">
      <c r="A945">
        <v>53</v>
      </c>
      <c r="B945" t="s">
        <v>458</v>
      </c>
      <c r="C945">
        <v>80</v>
      </c>
      <c r="D945" t="s">
        <v>20</v>
      </c>
      <c r="E945" t="s">
        <v>17</v>
      </c>
      <c r="F945">
        <v>181.20400000000001</v>
      </c>
      <c r="G945" t="s">
        <v>15</v>
      </c>
    </row>
    <row r="946" spans="1:7" x14ac:dyDescent="0.25">
      <c r="A946">
        <v>53</v>
      </c>
      <c r="B946" t="s">
        <v>458</v>
      </c>
      <c r="C946">
        <v>90</v>
      </c>
      <c r="D946" t="s">
        <v>24</v>
      </c>
      <c r="E946" t="s">
        <v>11</v>
      </c>
      <c r="F946">
        <v>1</v>
      </c>
      <c r="G946" t="s">
        <v>15</v>
      </c>
    </row>
    <row r="947" spans="1:7" x14ac:dyDescent="0.25">
      <c r="A947">
        <v>53</v>
      </c>
      <c r="B947" t="s">
        <v>458</v>
      </c>
      <c r="C947">
        <v>100</v>
      </c>
      <c r="D947" t="s">
        <v>141</v>
      </c>
      <c r="E947" t="s">
        <v>14</v>
      </c>
      <c r="F947">
        <v>0.13800000000000001</v>
      </c>
      <c r="G947" t="s">
        <v>15</v>
      </c>
    </row>
    <row r="948" spans="1:7" x14ac:dyDescent="0.25">
      <c r="A948">
        <v>53</v>
      </c>
      <c r="B948" t="s">
        <v>458</v>
      </c>
      <c r="C948">
        <v>110</v>
      </c>
      <c r="D948" t="s">
        <v>140</v>
      </c>
      <c r="E948" t="s">
        <v>11</v>
      </c>
      <c r="F948">
        <v>4</v>
      </c>
      <c r="G948" t="s">
        <v>15</v>
      </c>
    </row>
    <row r="949" spans="1:7" x14ac:dyDescent="0.25">
      <c r="A949">
        <v>53</v>
      </c>
      <c r="B949" t="s">
        <v>458</v>
      </c>
      <c r="C949">
        <v>120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53</v>
      </c>
      <c r="B950" t="s">
        <v>458</v>
      </c>
      <c r="C950">
        <v>130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53</v>
      </c>
      <c r="B951" t="s">
        <v>458</v>
      </c>
      <c r="C951">
        <v>140</v>
      </c>
      <c r="D951" t="s">
        <v>100</v>
      </c>
      <c r="E951" t="s">
        <v>14</v>
      </c>
      <c r="F951">
        <v>1.0269999999999999</v>
      </c>
      <c r="G951" t="s">
        <v>15</v>
      </c>
    </row>
    <row r="952" spans="1:7" x14ac:dyDescent="0.25">
      <c r="A952">
        <v>53</v>
      </c>
      <c r="B952" t="s">
        <v>458</v>
      </c>
      <c r="C952">
        <v>150</v>
      </c>
      <c r="D952" t="s">
        <v>461</v>
      </c>
      <c r="E952" t="s">
        <v>11</v>
      </c>
      <c r="F952">
        <v>1</v>
      </c>
      <c r="G952" t="s">
        <v>18</v>
      </c>
    </row>
    <row r="953" spans="1:7" x14ac:dyDescent="0.25">
      <c r="A953">
        <v>53</v>
      </c>
      <c r="B953" t="s">
        <v>458</v>
      </c>
      <c r="C953">
        <v>160</v>
      </c>
      <c r="D953" t="s">
        <v>462</v>
      </c>
      <c r="E953" t="s">
        <v>11</v>
      </c>
      <c r="F953">
        <v>1</v>
      </c>
      <c r="G953" t="s">
        <v>18</v>
      </c>
    </row>
    <row r="954" spans="1:7" x14ac:dyDescent="0.25">
      <c r="A954">
        <v>53</v>
      </c>
      <c r="B954" t="s">
        <v>458</v>
      </c>
      <c r="C954">
        <v>170</v>
      </c>
      <c r="D954" t="s">
        <v>142</v>
      </c>
      <c r="E954" t="s">
        <v>11</v>
      </c>
      <c r="F954">
        <v>7.3659999999999997</v>
      </c>
      <c r="G954" t="s">
        <v>15</v>
      </c>
    </row>
    <row r="955" spans="1:7" x14ac:dyDescent="0.25">
      <c r="A955">
        <v>53</v>
      </c>
      <c r="B955" t="s">
        <v>458</v>
      </c>
      <c r="C955">
        <v>180</v>
      </c>
      <c r="D955" t="s">
        <v>463</v>
      </c>
      <c r="E955" t="s">
        <v>11</v>
      </c>
      <c r="F955">
        <v>1</v>
      </c>
      <c r="G955" t="s">
        <v>18</v>
      </c>
    </row>
    <row r="956" spans="1:7" x14ac:dyDescent="0.25">
      <c r="A956">
        <v>54</v>
      </c>
      <c r="B956" t="s">
        <v>464</v>
      </c>
      <c r="C956">
        <v>10</v>
      </c>
      <c r="D956" t="s">
        <v>465</v>
      </c>
      <c r="E956" t="s">
        <v>11</v>
      </c>
      <c r="F956">
        <v>1</v>
      </c>
      <c r="G956" t="s">
        <v>18</v>
      </c>
    </row>
    <row r="957" spans="1:7" x14ac:dyDescent="0.25">
      <c r="A957">
        <v>54</v>
      </c>
      <c r="B957" t="s">
        <v>464</v>
      </c>
      <c r="C957">
        <v>20</v>
      </c>
      <c r="D957" t="s">
        <v>125</v>
      </c>
      <c r="E957" t="s">
        <v>14</v>
      </c>
      <c r="F957">
        <v>4.8109999999999999</v>
      </c>
      <c r="G957" t="s">
        <v>15</v>
      </c>
    </row>
    <row r="958" spans="1:7" x14ac:dyDescent="0.25">
      <c r="A958">
        <v>54</v>
      </c>
      <c r="B958" t="s">
        <v>464</v>
      </c>
      <c r="C958">
        <v>30</v>
      </c>
      <c r="D958" t="s">
        <v>102</v>
      </c>
      <c r="E958" t="s">
        <v>103</v>
      </c>
      <c r="F958">
        <v>1.33</v>
      </c>
      <c r="G958" t="s">
        <v>15</v>
      </c>
    </row>
    <row r="959" spans="1:7" x14ac:dyDescent="0.25">
      <c r="A959">
        <v>54</v>
      </c>
      <c r="B959" t="s">
        <v>464</v>
      </c>
      <c r="C959">
        <v>40</v>
      </c>
      <c r="D959" t="s">
        <v>146</v>
      </c>
      <c r="E959" t="s">
        <v>11</v>
      </c>
      <c r="F959">
        <v>1.8540000000000001</v>
      </c>
      <c r="G959" t="s">
        <v>18</v>
      </c>
    </row>
    <row r="960" spans="1:7" x14ac:dyDescent="0.25">
      <c r="A960">
        <v>54</v>
      </c>
      <c r="B960" t="s">
        <v>464</v>
      </c>
      <c r="C960">
        <v>50</v>
      </c>
      <c r="D960" t="s">
        <v>139</v>
      </c>
      <c r="E960" t="s">
        <v>17</v>
      </c>
      <c r="F960">
        <v>1.8540000000000001</v>
      </c>
      <c r="G960" t="s">
        <v>18</v>
      </c>
    </row>
    <row r="961" spans="1:7" x14ac:dyDescent="0.25">
      <c r="A961">
        <v>54</v>
      </c>
      <c r="B961" t="s">
        <v>464</v>
      </c>
      <c r="C961">
        <v>60</v>
      </c>
      <c r="D961" t="s">
        <v>466</v>
      </c>
      <c r="E961" t="s">
        <v>11</v>
      </c>
      <c r="F961">
        <v>1</v>
      </c>
      <c r="G961" t="s">
        <v>18</v>
      </c>
    </row>
    <row r="962" spans="1:7" x14ac:dyDescent="0.25">
      <c r="A962">
        <v>54</v>
      </c>
      <c r="B962" t="s">
        <v>464</v>
      </c>
      <c r="C962">
        <v>70</v>
      </c>
      <c r="D962" t="s">
        <v>148</v>
      </c>
      <c r="E962" t="s">
        <v>17</v>
      </c>
      <c r="F962">
        <v>23.012</v>
      </c>
      <c r="G962" t="s">
        <v>15</v>
      </c>
    </row>
    <row r="963" spans="1:7" x14ac:dyDescent="0.25">
      <c r="A963">
        <v>54</v>
      </c>
      <c r="B963" t="s">
        <v>464</v>
      </c>
      <c r="C963">
        <v>80</v>
      </c>
      <c r="D963" t="s">
        <v>20</v>
      </c>
      <c r="E963" t="s">
        <v>17</v>
      </c>
      <c r="F963">
        <v>188.702</v>
      </c>
      <c r="G963" t="s">
        <v>15</v>
      </c>
    </row>
    <row r="964" spans="1:7" x14ac:dyDescent="0.25">
      <c r="A964">
        <v>54</v>
      </c>
      <c r="B964" t="s">
        <v>464</v>
      </c>
      <c r="C964">
        <v>90</v>
      </c>
      <c r="D964" t="s">
        <v>24</v>
      </c>
      <c r="E964" t="s">
        <v>11</v>
      </c>
      <c r="F964">
        <v>1</v>
      </c>
      <c r="G964" t="s">
        <v>15</v>
      </c>
    </row>
    <row r="965" spans="1:7" x14ac:dyDescent="0.25">
      <c r="A965">
        <v>54</v>
      </c>
      <c r="B965" t="s">
        <v>464</v>
      </c>
      <c r="C965">
        <v>100</v>
      </c>
      <c r="D965" t="s">
        <v>141</v>
      </c>
      <c r="E965" t="s">
        <v>14</v>
      </c>
      <c r="F965">
        <v>0.14899999999999999</v>
      </c>
      <c r="G965" t="s">
        <v>15</v>
      </c>
    </row>
    <row r="966" spans="1:7" x14ac:dyDescent="0.25">
      <c r="A966">
        <v>54</v>
      </c>
      <c r="B966" t="s">
        <v>464</v>
      </c>
      <c r="C966">
        <v>110</v>
      </c>
      <c r="D966" t="s">
        <v>140</v>
      </c>
      <c r="E966" t="s">
        <v>11</v>
      </c>
      <c r="F966">
        <v>4</v>
      </c>
      <c r="G966" t="s">
        <v>15</v>
      </c>
    </row>
    <row r="967" spans="1:7" x14ac:dyDescent="0.25">
      <c r="A967">
        <v>54</v>
      </c>
      <c r="B967" t="s">
        <v>464</v>
      </c>
      <c r="C967">
        <v>120</v>
      </c>
      <c r="D967" t="s">
        <v>25</v>
      </c>
      <c r="E967" t="s">
        <v>11</v>
      </c>
      <c r="F967">
        <v>1</v>
      </c>
      <c r="G967" t="s">
        <v>15</v>
      </c>
    </row>
    <row r="968" spans="1:7" x14ac:dyDescent="0.25">
      <c r="A968">
        <v>54</v>
      </c>
      <c r="B968" t="s">
        <v>464</v>
      </c>
      <c r="C968">
        <v>130</v>
      </c>
      <c r="D968" t="s">
        <v>26</v>
      </c>
      <c r="E968" t="s">
        <v>11</v>
      </c>
      <c r="F968">
        <v>1</v>
      </c>
      <c r="G968" t="s">
        <v>15</v>
      </c>
    </row>
    <row r="969" spans="1:7" x14ac:dyDescent="0.25">
      <c r="A969">
        <v>54</v>
      </c>
      <c r="B969" t="s">
        <v>464</v>
      </c>
      <c r="C969">
        <v>140</v>
      </c>
      <c r="D969" t="s">
        <v>100</v>
      </c>
      <c r="E969" t="s">
        <v>14</v>
      </c>
      <c r="F969">
        <v>1.1080000000000001</v>
      </c>
      <c r="G969" t="s">
        <v>15</v>
      </c>
    </row>
    <row r="970" spans="1:7" x14ac:dyDescent="0.25">
      <c r="A970">
        <v>54</v>
      </c>
      <c r="B970" t="s">
        <v>464</v>
      </c>
      <c r="C970">
        <v>150</v>
      </c>
      <c r="D970" t="s">
        <v>467</v>
      </c>
      <c r="E970" t="s">
        <v>11</v>
      </c>
      <c r="F970">
        <v>1</v>
      </c>
      <c r="G970" t="s">
        <v>18</v>
      </c>
    </row>
    <row r="971" spans="1:7" x14ac:dyDescent="0.25">
      <c r="A971">
        <v>54</v>
      </c>
      <c r="B971" t="s">
        <v>464</v>
      </c>
      <c r="C971">
        <v>160</v>
      </c>
      <c r="D971" t="s">
        <v>468</v>
      </c>
      <c r="E971" t="s">
        <v>11</v>
      </c>
      <c r="F971">
        <v>1</v>
      </c>
      <c r="G971" t="s">
        <v>18</v>
      </c>
    </row>
    <row r="972" spans="1:7" x14ac:dyDescent="0.25">
      <c r="A972">
        <v>54</v>
      </c>
      <c r="B972" t="s">
        <v>464</v>
      </c>
      <c r="C972">
        <v>170</v>
      </c>
      <c r="D972" t="s">
        <v>142</v>
      </c>
      <c r="E972" t="s">
        <v>11</v>
      </c>
      <c r="F972">
        <v>7.6710000000000003</v>
      </c>
      <c r="G972" t="s">
        <v>15</v>
      </c>
    </row>
    <row r="973" spans="1:7" x14ac:dyDescent="0.25">
      <c r="A973">
        <v>54</v>
      </c>
      <c r="B973" t="s">
        <v>464</v>
      </c>
      <c r="C973">
        <v>180</v>
      </c>
      <c r="D973" t="s">
        <v>469</v>
      </c>
      <c r="E973" t="s">
        <v>11</v>
      </c>
      <c r="F973">
        <v>1</v>
      </c>
      <c r="G973" t="s">
        <v>18</v>
      </c>
    </row>
    <row r="974" spans="1:7" x14ac:dyDescent="0.25">
      <c r="A974">
        <v>55</v>
      </c>
      <c r="B974" t="s">
        <v>470</v>
      </c>
      <c r="C974">
        <v>10</v>
      </c>
      <c r="D974" t="s">
        <v>471</v>
      </c>
      <c r="E974" t="s">
        <v>11</v>
      </c>
      <c r="F974">
        <v>1</v>
      </c>
      <c r="G974" t="s">
        <v>18</v>
      </c>
    </row>
    <row r="975" spans="1:7" x14ac:dyDescent="0.25">
      <c r="A975">
        <v>55</v>
      </c>
      <c r="B975" t="s">
        <v>470</v>
      </c>
      <c r="C975">
        <v>20</v>
      </c>
      <c r="D975" t="s">
        <v>135</v>
      </c>
      <c r="E975" t="s">
        <v>14</v>
      </c>
      <c r="F975">
        <v>2.0649999999999999</v>
      </c>
      <c r="G975" t="s">
        <v>15</v>
      </c>
    </row>
    <row r="976" spans="1:7" x14ac:dyDescent="0.25">
      <c r="A976">
        <v>55</v>
      </c>
      <c r="B976" t="s">
        <v>470</v>
      </c>
      <c r="C976">
        <v>30</v>
      </c>
      <c r="D976" t="s">
        <v>102</v>
      </c>
      <c r="E976" t="s">
        <v>103</v>
      </c>
      <c r="F976">
        <v>0.56499999999999995</v>
      </c>
      <c r="G976" t="s">
        <v>15</v>
      </c>
    </row>
    <row r="977" spans="1:7" x14ac:dyDescent="0.25">
      <c r="A977">
        <v>55</v>
      </c>
      <c r="B977" t="s">
        <v>470</v>
      </c>
      <c r="C977">
        <v>40</v>
      </c>
      <c r="D977" t="s">
        <v>146</v>
      </c>
      <c r="E977" t="s">
        <v>11</v>
      </c>
      <c r="F977">
        <v>0.78700000000000003</v>
      </c>
      <c r="G977" t="s">
        <v>18</v>
      </c>
    </row>
    <row r="978" spans="1:7" x14ac:dyDescent="0.25">
      <c r="A978">
        <v>55</v>
      </c>
      <c r="B978" t="s">
        <v>470</v>
      </c>
      <c r="C978">
        <v>50</v>
      </c>
      <c r="D978" t="s">
        <v>139</v>
      </c>
      <c r="E978" t="s">
        <v>17</v>
      </c>
      <c r="F978">
        <v>0.78700000000000003</v>
      </c>
      <c r="G978" t="s">
        <v>18</v>
      </c>
    </row>
    <row r="979" spans="1:7" x14ac:dyDescent="0.25">
      <c r="A979">
        <v>55</v>
      </c>
      <c r="B979" t="s">
        <v>470</v>
      </c>
      <c r="C979">
        <v>60</v>
      </c>
      <c r="D979" t="s">
        <v>472</v>
      </c>
      <c r="E979" t="s">
        <v>11</v>
      </c>
      <c r="F979">
        <v>1</v>
      </c>
      <c r="G979" t="s">
        <v>18</v>
      </c>
    </row>
    <row r="980" spans="1:7" x14ac:dyDescent="0.25">
      <c r="A980">
        <v>55</v>
      </c>
      <c r="B980" t="s">
        <v>470</v>
      </c>
      <c r="C980">
        <v>70</v>
      </c>
      <c r="D980" t="s">
        <v>148</v>
      </c>
      <c r="E980" t="s">
        <v>17</v>
      </c>
      <c r="F980">
        <v>17.068999999999999</v>
      </c>
      <c r="G980" t="s">
        <v>15</v>
      </c>
    </row>
    <row r="981" spans="1:7" x14ac:dyDescent="0.25">
      <c r="A981">
        <v>55</v>
      </c>
      <c r="B981" t="s">
        <v>470</v>
      </c>
      <c r="C981">
        <v>80</v>
      </c>
      <c r="D981" t="s">
        <v>20</v>
      </c>
      <c r="E981" t="s">
        <v>17</v>
      </c>
      <c r="F981">
        <v>139.964</v>
      </c>
      <c r="G981" t="s">
        <v>15</v>
      </c>
    </row>
    <row r="982" spans="1:7" x14ac:dyDescent="0.25">
      <c r="A982">
        <v>55</v>
      </c>
      <c r="B982" t="s">
        <v>470</v>
      </c>
      <c r="C982">
        <v>90</v>
      </c>
      <c r="D982" t="s">
        <v>24</v>
      </c>
      <c r="E982" t="s">
        <v>11</v>
      </c>
      <c r="F982">
        <v>1</v>
      </c>
      <c r="G982" t="s">
        <v>15</v>
      </c>
    </row>
    <row r="983" spans="1:7" x14ac:dyDescent="0.25">
      <c r="A983">
        <v>55</v>
      </c>
      <c r="B983" t="s">
        <v>470</v>
      </c>
      <c r="C983">
        <v>100</v>
      </c>
      <c r="D983" t="s">
        <v>141</v>
      </c>
      <c r="E983" t="s">
        <v>14</v>
      </c>
      <c r="F983">
        <v>7.5999999999999998E-2</v>
      </c>
      <c r="G983" t="s">
        <v>15</v>
      </c>
    </row>
    <row r="984" spans="1:7" x14ac:dyDescent="0.25">
      <c r="A984">
        <v>55</v>
      </c>
      <c r="B984" t="s">
        <v>470</v>
      </c>
      <c r="C984">
        <v>110</v>
      </c>
      <c r="D984" t="s">
        <v>140</v>
      </c>
      <c r="E984" t="s">
        <v>11</v>
      </c>
      <c r="F984">
        <v>4</v>
      </c>
      <c r="G984" t="s">
        <v>15</v>
      </c>
    </row>
    <row r="985" spans="1:7" x14ac:dyDescent="0.25">
      <c r="A985">
        <v>55</v>
      </c>
      <c r="B985" t="s">
        <v>470</v>
      </c>
      <c r="C985">
        <v>120</v>
      </c>
      <c r="D985" t="s">
        <v>25</v>
      </c>
      <c r="E985" t="s">
        <v>11</v>
      </c>
      <c r="F985">
        <v>1</v>
      </c>
      <c r="G985" t="s">
        <v>15</v>
      </c>
    </row>
    <row r="986" spans="1:7" x14ac:dyDescent="0.25">
      <c r="A986">
        <v>55</v>
      </c>
      <c r="B986" t="s">
        <v>470</v>
      </c>
      <c r="C986">
        <v>130</v>
      </c>
      <c r="D986" t="s">
        <v>26</v>
      </c>
      <c r="E986" t="s">
        <v>11</v>
      </c>
      <c r="F986">
        <v>1</v>
      </c>
      <c r="G986" t="s">
        <v>15</v>
      </c>
    </row>
    <row r="987" spans="1:7" x14ac:dyDescent="0.25">
      <c r="A987">
        <v>55</v>
      </c>
      <c r="B987" t="s">
        <v>470</v>
      </c>
      <c r="C987">
        <v>140</v>
      </c>
      <c r="D987" t="s">
        <v>100</v>
      </c>
      <c r="E987" t="s">
        <v>14</v>
      </c>
      <c r="F987">
        <v>1.1890000000000001</v>
      </c>
      <c r="G987" t="s">
        <v>15</v>
      </c>
    </row>
    <row r="988" spans="1:7" x14ac:dyDescent="0.25">
      <c r="A988">
        <v>55</v>
      </c>
      <c r="B988" t="s">
        <v>470</v>
      </c>
      <c r="C988">
        <v>150</v>
      </c>
      <c r="D988" t="s">
        <v>473</v>
      </c>
      <c r="E988" t="s">
        <v>11</v>
      </c>
      <c r="F988">
        <v>1</v>
      </c>
      <c r="G988" t="s">
        <v>18</v>
      </c>
    </row>
    <row r="989" spans="1:7" x14ac:dyDescent="0.25">
      <c r="A989">
        <v>55</v>
      </c>
      <c r="B989" t="s">
        <v>470</v>
      </c>
      <c r="C989">
        <v>160</v>
      </c>
      <c r="D989" t="s">
        <v>474</v>
      </c>
      <c r="E989" t="s">
        <v>11</v>
      </c>
      <c r="F989">
        <v>1</v>
      </c>
      <c r="G989" t="s">
        <v>18</v>
      </c>
    </row>
    <row r="990" spans="1:7" x14ac:dyDescent="0.25">
      <c r="A990">
        <v>55</v>
      </c>
      <c r="B990" t="s">
        <v>470</v>
      </c>
      <c r="C990">
        <v>170</v>
      </c>
      <c r="D990" t="s">
        <v>142</v>
      </c>
      <c r="E990" t="s">
        <v>11</v>
      </c>
      <c r="F990">
        <v>5.69</v>
      </c>
      <c r="G990" t="s">
        <v>15</v>
      </c>
    </row>
    <row r="991" spans="1:7" x14ac:dyDescent="0.25">
      <c r="A991">
        <v>55</v>
      </c>
      <c r="B991" t="s">
        <v>470</v>
      </c>
      <c r="C991">
        <v>180</v>
      </c>
      <c r="D991" t="s">
        <v>475</v>
      </c>
      <c r="E991" t="s">
        <v>11</v>
      </c>
      <c r="F991">
        <v>1</v>
      </c>
      <c r="G991" t="s">
        <v>18</v>
      </c>
    </row>
    <row r="992" spans="1:7" x14ac:dyDescent="0.25">
      <c r="A992">
        <v>56</v>
      </c>
      <c r="B992" t="s">
        <v>476</v>
      </c>
      <c r="C992">
        <v>10</v>
      </c>
      <c r="D992" t="s">
        <v>477</v>
      </c>
      <c r="E992" t="s">
        <v>11</v>
      </c>
      <c r="F992">
        <v>1</v>
      </c>
      <c r="G992" t="s">
        <v>18</v>
      </c>
    </row>
    <row r="993" spans="1:7" x14ac:dyDescent="0.25">
      <c r="A993">
        <v>56</v>
      </c>
      <c r="B993" t="s">
        <v>476</v>
      </c>
      <c r="C993">
        <v>20</v>
      </c>
      <c r="D993" t="s">
        <v>126</v>
      </c>
      <c r="E993" t="s">
        <v>14</v>
      </c>
      <c r="F993">
        <v>2.4849999999999999</v>
      </c>
      <c r="G993" t="s">
        <v>15</v>
      </c>
    </row>
    <row r="994" spans="1:7" x14ac:dyDescent="0.25">
      <c r="A994">
        <v>56</v>
      </c>
      <c r="B994" t="s">
        <v>476</v>
      </c>
      <c r="C994">
        <v>30</v>
      </c>
      <c r="D994" t="s">
        <v>102</v>
      </c>
      <c r="E994" t="s">
        <v>103</v>
      </c>
      <c r="F994">
        <v>0.68200000000000005</v>
      </c>
      <c r="G994" t="s">
        <v>15</v>
      </c>
    </row>
    <row r="995" spans="1:7" x14ac:dyDescent="0.25">
      <c r="A995">
        <v>56</v>
      </c>
      <c r="B995" t="s">
        <v>476</v>
      </c>
      <c r="C995">
        <v>40</v>
      </c>
      <c r="D995" t="s">
        <v>146</v>
      </c>
      <c r="E995" t="s">
        <v>11</v>
      </c>
      <c r="F995">
        <v>0.94</v>
      </c>
      <c r="G995" t="s">
        <v>18</v>
      </c>
    </row>
    <row r="996" spans="1:7" x14ac:dyDescent="0.25">
      <c r="A996">
        <v>56</v>
      </c>
      <c r="B996" t="s">
        <v>476</v>
      </c>
      <c r="C996">
        <v>50</v>
      </c>
      <c r="D996" t="s">
        <v>139</v>
      </c>
      <c r="E996" t="s">
        <v>17</v>
      </c>
      <c r="F996">
        <v>0.94</v>
      </c>
      <c r="G996" t="s">
        <v>18</v>
      </c>
    </row>
    <row r="997" spans="1:7" x14ac:dyDescent="0.25">
      <c r="A997">
        <v>56</v>
      </c>
      <c r="B997" t="s">
        <v>476</v>
      </c>
      <c r="C997">
        <v>60</v>
      </c>
      <c r="D997" t="s">
        <v>478</v>
      </c>
      <c r="E997" t="s">
        <v>11</v>
      </c>
      <c r="F997">
        <v>1</v>
      </c>
      <c r="G997" t="s">
        <v>18</v>
      </c>
    </row>
    <row r="998" spans="1:7" x14ac:dyDescent="0.25">
      <c r="A998">
        <v>56</v>
      </c>
      <c r="B998" t="s">
        <v>476</v>
      </c>
      <c r="C998">
        <v>70</v>
      </c>
      <c r="D998" t="s">
        <v>148</v>
      </c>
      <c r="E998" t="s">
        <v>17</v>
      </c>
      <c r="F998">
        <v>17.983000000000001</v>
      </c>
      <c r="G998" t="s">
        <v>15</v>
      </c>
    </row>
    <row r="999" spans="1:7" x14ac:dyDescent="0.25">
      <c r="A999">
        <v>56</v>
      </c>
      <c r="B999" t="s">
        <v>476</v>
      </c>
      <c r="C999">
        <v>80</v>
      </c>
      <c r="D999" t="s">
        <v>20</v>
      </c>
      <c r="E999" t="s">
        <v>17</v>
      </c>
      <c r="F999">
        <v>147.46199999999999</v>
      </c>
      <c r="G999" t="s">
        <v>15</v>
      </c>
    </row>
    <row r="1000" spans="1:7" x14ac:dyDescent="0.25">
      <c r="A1000">
        <v>56</v>
      </c>
      <c r="B1000" t="s">
        <v>476</v>
      </c>
      <c r="C1000">
        <v>90</v>
      </c>
      <c r="D1000" t="s">
        <v>24</v>
      </c>
      <c r="E1000" t="s">
        <v>11</v>
      </c>
      <c r="F1000">
        <v>1</v>
      </c>
      <c r="G1000" t="s">
        <v>15</v>
      </c>
    </row>
    <row r="1001" spans="1:7" x14ac:dyDescent="0.25">
      <c r="A1001">
        <v>56</v>
      </c>
      <c r="B1001" t="s">
        <v>476</v>
      </c>
      <c r="C1001">
        <v>100</v>
      </c>
      <c r="D1001" t="s">
        <v>141</v>
      </c>
      <c r="E1001" t="s">
        <v>14</v>
      </c>
      <c r="F1001">
        <v>8.5999999999999993E-2</v>
      </c>
      <c r="G1001" t="s">
        <v>15</v>
      </c>
    </row>
    <row r="1002" spans="1:7" x14ac:dyDescent="0.25">
      <c r="A1002">
        <v>56</v>
      </c>
      <c r="B1002" t="s">
        <v>476</v>
      </c>
      <c r="C1002">
        <v>110</v>
      </c>
      <c r="D1002" t="s">
        <v>140</v>
      </c>
      <c r="E1002" t="s">
        <v>11</v>
      </c>
      <c r="F1002">
        <v>4</v>
      </c>
      <c r="G1002" t="s">
        <v>15</v>
      </c>
    </row>
    <row r="1003" spans="1:7" x14ac:dyDescent="0.25">
      <c r="A1003">
        <v>56</v>
      </c>
      <c r="B1003" t="s">
        <v>476</v>
      </c>
      <c r="C1003">
        <v>120</v>
      </c>
      <c r="D1003" t="s">
        <v>25</v>
      </c>
      <c r="E1003" t="s">
        <v>11</v>
      </c>
      <c r="F1003">
        <v>1</v>
      </c>
      <c r="G1003" t="s">
        <v>15</v>
      </c>
    </row>
    <row r="1004" spans="1:7" x14ac:dyDescent="0.25">
      <c r="A1004">
        <v>56</v>
      </c>
      <c r="B1004" t="s">
        <v>476</v>
      </c>
      <c r="C1004">
        <v>130</v>
      </c>
      <c r="D1004" t="s">
        <v>26</v>
      </c>
      <c r="E1004" t="s">
        <v>11</v>
      </c>
      <c r="F1004">
        <v>1</v>
      </c>
      <c r="G1004" t="s">
        <v>15</v>
      </c>
    </row>
    <row r="1005" spans="1:7" x14ac:dyDescent="0.25">
      <c r="A1005">
        <v>56</v>
      </c>
      <c r="B1005" t="s">
        <v>476</v>
      </c>
      <c r="C1005">
        <v>140</v>
      </c>
      <c r="D1005" t="s">
        <v>100</v>
      </c>
      <c r="E1005" t="s">
        <v>14</v>
      </c>
      <c r="F1005">
        <v>1.1890000000000001</v>
      </c>
      <c r="G1005" t="s">
        <v>15</v>
      </c>
    </row>
    <row r="1006" spans="1:7" x14ac:dyDescent="0.25">
      <c r="A1006">
        <v>56</v>
      </c>
      <c r="B1006" t="s">
        <v>476</v>
      </c>
      <c r="C1006">
        <v>150</v>
      </c>
      <c r="D1006" t="s">
        <v>479</v>
      </c>
      <c r="E1006" t="s">
        <v>11</v>
      </c>
      <c r="F1006">
        <v>1</v>
      </c>
      <c r="G1006" t="s">
        <v>18</v>
      </c>
    </row>
    <row r="1007" spans="1:7" x14ac:dyDescent="0.25">
      <c r="A1007">
        <v>56</v>
      </c>
      <c r="B1007" t="s">
        <v>476</v>
      </c>
      <c r="C1007">
        <v>160</v>
      </c>
      <c r="D1007" t="s">
        <v>480</v>
      </c>
      <c r="E1007" t="s">
        <v>11</v>
      </c>
      <c r="F1007">
        <v>1</v>
      </c>
      <c r="G1007" t="s">
        <v>18</v>
      </c>
    </row>
    <row r="1008" spans="1:7" x14ac:dyDescent="0.25">
      <c r="A1008">
        <v>56</v>
      </c>
      <c r="B1008" t="s">
        <v>476</v>
      </c>
      <c r="C1008">
        <v>170</v>
      </c>
      <c r="D1008" t="s">
        <v>142</v>
      </c>
      <c r="E1008" t="s">
        <v>11</v>
      </c>
      <c r="F1008">
        <v>5.9939999999999998</v>
      </c>
      <c r="G1008" t="s">
        <v>15</v>
      </c>
    </row>
    <row r="1009" spans="1:7" x14ac:dyDescent="0.25">
      <c r="A1009">
        <v>56</v>
      </c>
      <c r="B1009" t="s">
        <v>476</v>
      </c>
      <c r="C1009">
        <v>180</v>
      </c>
      <c r="D1009" t="s">
        <v>481</v>
      </c>
      <c r="E1009" t="s">
        <v>11</v>
      </c>
      <c r="F1009">
        <v>1</v>
      </c>
      <c r="G1009" t="s">
        <v>18</v>
      </c>
    </row>
    <row r="1010" spans="1:7" x14ac:dyDescent="0.25">
      <c r="A1010">
        <v>57</v>
      </c>
      <c r="B1010" t="s">
        <v>482</v>
      </c>
      <c r="C1010">
        <v>10</v>
      </c>
      <c r="D1010" t="s">
        <v>483</v>
      </c>
      <c r="E1010" t="s">
        <v>11</v>
      </c>
      <c r="F1010">
        <v>1</v>
      </c>
      <c r="G1010" t="s">
        <v>18</v>
      </c>
    </row>
    <row r="1011" spans="1:7" x14ac:dyDescent="0.25">
      <c r="A1011">
        <v>57</v>
      </c>
      <c r="B1011" t="s">
        <v>482</v>
      </c>
      <c r="C1011">
        <v>20</v>
      </c>
      <c r="D1011" t="s">
        <v>127</v>
      </c>
      <c r="E1011" t="s">
        <v>14</v>
      </c>
      <c r="F1011">
        <v>2.9049999999999998</v>
      </c>
      <c r="G1011" t="s">
        <v>15</v>
      </c>
    </row>
    <row r="1012" spans="1:7" x14ac:dyDescent="0.25">
      <c r="A1012">
        <v>57</v>
      </c>
      <c r="B1012" t="s">
        <v>482</v>
      </c>
      <c r="C1012">
        <v>30</v>
      </c>
      <c r="D1012" t="s">
        <v>102</v>
      </c>
      <c r="E1012" t="s">
        <v>103</v>
      </c>
      <c r="F1012">
        <v>0.79900000000000004</v>
      </c>
      <c r="G1012" t="s">
        <v>15</v>
      </c>
    </row>
    <row r="1013" spans="1:7" x14ac:dyDescent="0.25">
      <c r="A1013">
        <v>57</v>
      </c>
      <c r="B1013" t="s">
        <v>482</v>
      </c>
      <c r="C1013">
        <v>40</v>
      </c>
      <c r="D1013" t="s">
        <v>146</v>
      </c>
      <c r="E1013" t="s">
        <v>11</v>
      </c>
      <c r="F1013">
        <v>1.0920000000000001</v>
      </c>
      <c r="G1013" t="s">
        <v>18</v>
      </c>
    </row>
    <row r="1014" spans="1:7" x14ac:dyDescent="0.25">
      <c r="A1014">
        <v>57</v>
      </c>
      <c r="B1014" t="s">
        <v>482</v>
      </c>
      <c r="C1014">
        <v>50</v>
      </c>
      <c r="D1014" t="s">
        <v>139</v>
      </c>
      <c r="E1014" t="s">
        <v>17</v>
      </c>
      <c r="F1014">
        <v>1.0920000000000001</v>
      </c>
      <c r="G1014" t="s">
        <v>18</v>
      </c>
    </row>
    <row r="1015" spans="1:7" x14ac:dyDescent="0.25">
      <c r="A1015">
        <v>57</v>
      </c>
      <c r="B1015" t="s">
        <v>482</v>
      </c>
      <c r="C1015">
        <v>60</v>
      </c>
      <c r="D1015" t="s">
        <v>484</v>
      </c>
      <c r="E1015" t="s">
        <v>11</v>
      </c>
      <c r="F1015">
        <v>1</v>
      </c>
      <c r="G1015" t="s">
        <v>18</v>
      </c>
    </row>
    <row r="1016" spans="1:7" x14ac:dyDescent="0.25">
      <c r="A1016">
        <v>57</v>
      </c>
      <c r="B1016" t="s">
        <v>482</v>
      </c>
      <c r="C1016">
        <v>70</v>
      </c>
      <c r="D1016" t="s">
        <v>148</v>
      </c>
      <c r="E1016" t="s">
        <v>17</v>
      </c>
      <c r="F1016">
        <v>18.898</v>
      </c>
      <c r="G1016" t="s">
        <v>15</v>
      </c>
    </row>
    <row r="1017" spans="1:7" x14ac:dyDescent="0.25">
      <c r="A1017">
        <v>57</v>
      </c>
      <c r="B1017" t="s">
        <v>482</v>
      </c>
      <c r="C1017">
        <v>80</v>
      </c>
      <c r="D1017" t="s">
        <v>20</v>
      </c>
      <c r="E1017" t="s">
        <v>17</v>
      </c>
      <c r="F1017">
        <v>154.96</v>
      </c>
      <c r="G1017" t="s">
        <v>15</v>
      </c>
    </row>
    <row r="1018" spans="1:7" x14ac:dyDescent="0.25">
      <c r="A1018">
        <v>57</v>
      </c>
      <c r="B1018" t="s">
        <v>482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57</v>
      </c>
      <c r="B1019" t="s">
        <v>482</v>
      </c>
      <c r="C1019">
        <v>100</v>
      </c>
      <c r="D1019" t="s">
        <v>141</v>
      </c>
      <c r="E1019" t="s">
        <v>14</v>
      </c>
      <c r="F1019">
        <v>9.7000000000000003E-2</v>
      </c>
      <c r="G1019" t="s">
        <v>15</v>
      </c>
    </row>
    <row r="1020" spans="1:7" x14ac:dyDescent="0.25">
      <c r="A1020">
        <v>57</v>
      </c>
      <c r="B1020" t="s">
        <v>482</v>
      </c>
      <c r="C1020">
        <v>110</v>
      </c>
      <c r="D1020" t="s">
        <v>140</v>
      </c>
      <c r="E1020" t="s">
        <v>11</v>
      </c>
      <c r="F1020">
        <v>4</v>
      </c>
      <c r="G1020" t="s">
        <v>15</v>
      </c>
    </row>
    <row r="1021" spans="1:7" x14ac:dyDescent="0.25">
      <c r="A1021">
        <v>57</v>
      </c>
      <c r="B1021" t="s">
        <v>482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57</v>
      </c>
      <c r="B1022" t="s">
        <v>482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57</v>
      </c>
      <c r="B1023" t="s">
        <v>482</v>
      </c>
      <c r="C1023">
        <v>140</v>
      </c>
      <c r="D1023" t="s">
        <v>100</v>
      </c>
      <c r="E1023" t="s">
        <v>14</v>
      </c>
      <c r="F1023">
        <v>1.1890000000000001</v>
      </c>
      <c r="G1023" t="s">
        <v>15</v>
      </c>
    </row>
    <row r="1024" spans="1:7" x14ac:dyDescent="0.25">
      <c r="A1024">
        <v>57</v>
      </c>
      <c r="B1024" t="s">
        <v>482</v>
      </c>
      <c r="C1024">
        <v>150</v>
      </c>
      <c r="D1024" t="s">
        <v>485</v>
      </c>
      <c r="E1024" t="s">
        <v>11</v>
      </c>
      <c r="F1024">
        <v>1</v>
      </c>
      <c r="G1024" t="s">
        <v>18</v>
      </c>
    </row>
    <row r="1025" spans="1:7" x14ac:dyDescent="0.25">
      <c r="A1025">
        <v>57</v>
      </c>
      <c r="B1025" t="s">
        <v>482</v>
      </c>
      <c r="C1025">
        <v>160</v>
      </c>
      <c r="D1025" t="s">
        <v>486</v>
      </c>
      <c r="E1025" t="s">
        <v>11</v>
      </c>
      <c r="F1025">
        <v>1</v>
      </c>
      <c r="G1025" t="s">
        <v>18</v>
      </c>
    </row>
    <row r="1026" spans="1:7" x14ac:dyDescent="0.25">
      <c r="A1026">
        <v>57</v>
      </c>
      <c r="B1026" t="s">
        <v>482</v>
      </c>
      <c r="C1026">
        <v>170</v>
      </c>
      <c r="D1026" t="s">
        <v>142</v>
      </c>
      <c r="E1026" t="s">
        <v>11</v>
      </c>
      <c r="F1026">
        <v>6.2990000000000004</v>
      </c>
      <c r="G1026" t="s">
        <v>15</v>
      </c>
    </row>
    <row r="1027" spans="1:7" x14ac:dyDescent="0.25">
      <c r="A1027">
        <v>57</v>
      </c>
      <c r="B1027" t="s">
        <v>482</v>
      </c>
      <c r="C1027">
        <v>180</v>
      </c>
      <c r="D1027" t="s">
        <v>487</v>
      </c>
      <c r="E1027" t="s">
        <v>11</v>
      </c>
      <c r="F1027">
        <v>1</v>
      </c>
      <c r="G1027" t="s">
        <v>18</v>
      </c>
    </row>
    <row r="1028" spans="1:7" x14ac:dyDescent="0.25">
      <c r="A1028">
        <v>58</v>
      </c>
      <c r="B1028" t="s">
        <v>488</v>
      </c>
      <c r="C1028">
        <v>10</v>
      </c>
      <c r="D1028" t="s">
        <v>489</v>
      </c>
      <c r="E1028" t="s">
        <v>11</v>
      </c>
      <c r="F1028">
        <v>1</v>
      </c>
      <c r="G1028" t="s">
        <v>18</v>
      </c>
    </row>
    <row r="1029" spans="1:7" x14ac:dyDescent="0.25">
      <c r="A1029">
        <v>58</v>
      </c>
      <c r="B1029" t="s">
        <v>488</v>
      </c>
      <c r="C1029">
        <v>20</v>
      </c>
      <c r="D1029" t="s">
        <v>128</v>
      </c>
      <c r="E1029" t="s">
        <v>14</v>
      </c>
      <c r="F1029">
        <v>3.3250000000000002</v>
      </c>
      <c r="G1029" t="s">
        <v>15</v>
      </c>
    </row>
    <row r="1030" spans="1:7" x14ac:dyDescent="0.25">
      <c r="A1030">
        <v>58</v>
      </c>
      <c r="B1030" t="s">
        <v>488</v>
      </c>
      <c r="C1030">
        <v>30</v>
      </c>
      <c r="D1030" t="s">
        <v>102</v>
      </c>
      <c r="E1030" t="s">
        <v>103</v>
      </c>
      <c r="F1030">
        <v>0.91600000000000004</v>
      </c>
      <c r="G1030" t="s">
        <v>15</v>
      </c>
    </row>
    <row r="1031" spans="1:7" x14ac:dyDescent="0.25">
      <c r="A1031">
        <v>58</v>
      </c>
      <c r="B1031" t="s">
        <v>488</v>
      </c>
      <c r="C1031">
        <v>40</v>
      </c>
      <c r="D1031" t="s">
        <v>146</v>
      </c>
      <c r="E1031" t="s">
        <v>11</v>
      </c>
      <c r="F1031">
        <v>1.2450000000000001</v>
      </c>
      <c r="G1031" t="s">
        <v>18</v>
      </c>
    </row>
    <row r="1032" spans="1:7" x14ac:dyDescent="0.25">
      <c r="A1032">
        <v>58</v>
      </c>
      <c r="B1032" t="s">
        <v>488</v>
      </c>
      <c r="C1032">
        <v>50</v>
      </c>
      <c r="D1032" t="s">
        <v>139</v>
      </c>
      <c r="E1032" t="s">
        <v>17</v>
      </c>
      <c r="F1032">
        <v>1.2450000000000001</v>
      </c>
      <c r="G1032" t="s">
        <v>18</v>
      </c>
    </row>
    <row r="1033" spans="1:7" x14ac:dyDescent="0.25">
      <c r="A1033">
        <v>58</v>
      </c>
      <c r="B1033" t="s">
        <v>488</v>
      </c>
      <c r="C1033">
        <v>60</v>
      </c>
      <c r="D1033" t="s">
        <v>490</v>
      </c>
      <c r="E1033" t="s">
        <v>11</v>
      </c>
      <c r="F1033">
        <v>1</v>
      </c>
      <c r="G1033" t="s">
        <v>18</v>
      </c>
    </row>
    <row r="1034" spans="1:7" x14ac:dyDescent="0.25">
      <c r="A1034">
        <v>58</v>
      </c>
      <c r="B1034" t="s">
        <v>488</v>
      </c>
      <c r="C1034">
        <v>70</v>
      </c>
      <c r="D1034" t="s">
        <v>148</v>
      </c>
      <c r="E1034" t="s">
        <v>17</v>
      </c>
      <c r="F1034">
        <v>19.812000000000001</v>
      </c>
      <c r="G1034" t="s">
        <v>15</v>
      </c>
    </row>
    <row r="1035" spans="1:7" x14ac:dyDescent="0.25">
      <c r="A1035">
        <v>58</v>
      </c>
      <c r="B1035" t="s">
        <v>488</v>
      </c>
      <c r="C1035">
        <v>80</v>
      </c>
      <c r="D1035" t="s">
        <v>20</v>
      </c>
      <c r="E1035" t="s">
        <v>17</v>
      </c>
      <c r="F1035">
        <v>162.458</v>
      </c>
      <c r="G1035" t="s">
        <v>15</v>
      </c>
    </row>
    <row r="1036" spans="1:7" x14ac:dyDescent="0.25">
      <c r="A1036">
        <v>58</v>
      </c>
      <c r="B1036" t="s">
        <v>488</v>
      </c>
      <c r="C1036">
        <v>90</v>
      </c>
      <c r="D1036" t="s">
        <v>24</v>
      </c>
      <c r="E1036" t="s">
        <v>11</v>
      </c>
      <c r="F1036">
        <v>1</v>
      </c>
      <c r="G1036" t="s">
        <v>15</v>
      </c>
    </row>
    <row r="1037" spans="1:7" x14ac:dyDescent="0.25">
      <c r="A1037">
        <v>58</v>
      </c>
      <c r="B1037" t="s">
        <v>488</v>
      </c>
      <c r="C1037">
        <v>100</v>
      </c>
      <c r="D1037" t="s">
        <v>141</v>
      </c>
      <c r="E1037" t="s">
        <v>14</v>
      </c>
      <c r="F1037">
        <v>0.107</v>
      </c>
      <c r="G1037" t="s">
        <v>15</v>
      </c>
    </row>
    <row r="1038" spans="1:7" x14ac:dyDescent="0.25">
      <c r="A1038">
        <v>58</v>
      </c>
      <c r="B1038" t="s">
        <v>488</v>
      </c>
      <c r="C1038">
        <v>110</v>
      </c>
      <c r="D1038" t="s">
        <v>140</v>
      </c>
      <c r="E1038" t="s">
        <v>11</v>
      </c>
      <c r="F1038">
        <v>4</v>
      </c>
      <c r="G1038" t="s">
        <v>15</v>
      </c>
    </row>
    <row r="1039" spans="1:7" x14ac:dyDescent="0.25">
      <c r="A1039">
        <v>58</v>
      </c>
      <c r="B1039" t="s">
        <v>488</v>
      </c>
      <c r="C1039">
        <v>120</v>
      </c>
      <c r="D1039" t="s">
        <v>25</v>
      </c>
      <c r="E1039" t="s">
        <v>11</v>
      </c>
      <c r="F1039">
        <v>1</v>
      </c>
      <c r="G1039" t="s">
        <v>15</v>
      </c>
    </row>
    <row r="1040" spans="1:7" x14ac:dyDescent="0.25">
      <c r="A1040">
        <v>58</v>
      </c>
      <c r="B1040" t="s">
        <v>488</v>
      </c>
      <c r="C1040">
        <v>130</v>
      </c>
      <c r="D1040" t="s">
        <v>26</v>
      </c>
      <c r="E1040" t="s">
        <v>11</v>
      </c>
      <c r="F1040">
        <v>1</v>
      </c>
      <c r="G1040" t="s">
        <v>15</v>
      </c>
    </row>
    <row r="1041" spans="1:7" x14ac:dyDescent="0.25">
      <c r="A1041">
        <v>58</v>
      </c>
      <c r="B1041" t="s">
        <v>488</v>
      </c>
      <c r="C1041">
        <v>140</v>
      </c>
      <c r="D1041" t="s">
        <v>100</v>
      </c>
      <c r="E1041" t="s">
        <v>14</v>
      </c>
      <c r="F1041">
        <v>1.1890000000000001</v>
      </c>
      <c r="G1041" t="s">
        <v>15</v>
      </c>
    </row>
    <row r="1042" spans="1:7" x14ac:dyDescent="0.25">
      <c r="A1042">
        <v>58</v>
      </c>
      <c r="B1042" t="s">
        <v>488</v>
      </c>
      <c r="C1042">
        <v>150</v>
      </c>
      <c r="D1042" t="s">
        <v>491</v>
      </c>
      <c r="E1042" t="s">
        <v>11</v>
      </c>
      <c r="F1042">
        <v>1</v>
      </c>
      <c r="G1042" t="s">
        <v>18</v>
      </c>
    </row>
    <row r="1043" spans="1:7" x14ac:dyDescent="0.25">
      <c r="A1043">
        <v>58</v>
      </c>
      <c r="B1043" t="s">
        <v>488</v>
      </c>
      <c r="C1043">
        <v>160</v>
      </c>
      <c r="D1043" t="s">
        <v>492</v>
      </c>
      <c r="E1043" t="s">
        <v>11</v>
      </c>
      <c r="F1043">
        <v>1</v>
      </c>
      <c r="G1043" t="s">
        <v>18</v>
      </c>
    </row>
    <row r="1044" spans="1:7" x14ac:dyDescent="0.25">
      <c r="A1044">
        <v>58</v>
      </c>
      <c r="B1044" t="s">
        <v>488</v>
      </c>
      <c r="C1044">
        <v>170</v>
      </c>
      <c r="D1044" t="s">
        <v>142</v>
      </c>
      <c r="E1044" t="s">
        <v>11</v>
      </c>
      <c r="F1044">
        <v>6.6040000000000001</v>
      </c>
      <c r="G1044" t="s">
        <v>15</v>
      </c>
    </row>
    <row r="1045" spans="1:7" x14ac:dyDescent="0.25">
      <c r="A1045">
        <v>58</v>
      </c>
      <c r="B1045" t="s">
        <v>488</v>
      </c>
      <c r="C1045">
        <v>180</v>
      </c>
      <c r="D1045" t="s">
        <v>493</v>
      </c>
      <c r="E1045" t="s">
        <v>11</v>
      </c>
      <c r="F1045">
        <v>1</v>
      </c>
      <c r="G1045" t="s">
        <v>18</v>
      </c>
    </row>
    <row r="1046" spans="1:7" x14ac:dyDescent="0.25">
      <c r="A1046">
        <v>59</v>
      </c>
      <c r="B1046" t="s">
        <v>494</v>
      </c>
      <c r="C1046">
        <v>10</v>
      </c>
      <c r="D1046" t="s">
        <v>495</v>
      </c>
      <c r="E1046" t="s">
        <v>11</v>
      </c>
      <c r="F1046">
        <v>1</v>
      </c>
      <c r="G1046" t="s">
        <v>18</v>
      </c>
    </row>
    <row r="1047" spans="1:7" x14ac:dyDescent="0.25">
      <c r="A1047">
        <v>59</v>
      </c>
      <c r="B1047" t="s">
        <v>494</v>
      </c>
      <c r="C1047">
        <v>20</v>
      </c>
      <c r="D1047" t="s">
        <v>129</v>
      </c>
      <c r="E1047" t="s">
        <v>14</v>
      </c>
      <c r="F1047">
        <v>4.165</v>
      </c>
      <c r="G1047" t="s">
        <v>15</v>
      </c>
    </row>
    <row r="1048" spans="1:7" x14ac:dyDescent="0.25">
      <c r="A1048">
        <v>59</v>
      </c>
      <c r="B1048" t="s">
        <v>494</v>
      </c>
      <c r="C1048">
        <v>30</v>
      </c>
      <c r="D1048" t="s">
        <v>102</v>
      </c>
      <c r="E1048" t="s">
        <v>103</v>
      </c>
      <c r="F1048">
        <v>1.1499999999999999</v>
      </c>
      <c r="G1048" t="s">
        <v>15</v>
      </c>
    </row>
    <row r="1049" spans="1:7" x14ac:dyDescent="0.25">
      <c r="A1049">
        <v>59</v>
      </c>
      <c r="B1049" t="s">
        <v>494</v>
      </c>
      <c r="C1049">
        <v>40</v>
      </c>
      <c r="D1049" t="s">
        <v>146</v>
      </c>
      <c r="E1049" t="s">
        <v>11</v>
      </c>
      <c r="F1049">
        <v>1.5489999999999999</v>
      </c>
      <c r="G1049" t="s">
        <v>18</v>
      </c>
    </row>
    <row r="1050" spans="1:7" x14ac:dyDescent="0.25">
      <c r="A1050">
        <v>59</v>
      </c>
      <c r="B1050" t="s">
        <v>494</v>
      </c>
      <c r="C1050">
        <v>50</v>
      </c>
      <c r="D1050" t="s">
        <v>139</v>
      </c>
      <c r="E1050" t="s">
        <v>17</v>
      </c>
      <c r="F1050">
        <v>1.5489999999999999</v>
      </c>
      <c r="G1050" t="s">
        <v>18</v>
      </c>
    </row>
    <row r="1051" spans="1:7" x14ac:dyDescent="0.25">
      <c r="A1051">
        <v>59</v>
      </c>
      <c r="B1051" t="s">
        <v>494</v>
      </c>
      <c r="C1051">
        <v>60</v>
      </c>
      <c r="D1051" t="s">
        <v>496</v>
      </c>
      <c r="E1051" t="s">
        <v>11</v>
      </c>
      <c r="F1051">
        <v>1</v>
      </c>
      <c r="G1051" t="s">
        <v>18</v>
      </c>
    </row>
    <row r="1052" spans="1:7" x14ac:dyDescent="0.25">
      <c r="A1052">
        <v>59</v>
      </c>
      <c r="B1052" t="s">
        <v>494</v>
      </c>
      <c r="C1052">
        <v>70</v>
      </c>
      <c r="D1052" t="s">
        <v>148</v>
      </c>
      <c r="E1052" t="s">
        <v>17</v>
      </c>
      <c r="F1052">
        <v>21.640999999999998</v>
      </c>
      <c r="G1052" t="s">
        <v>15</v>
      </c>
    </row>
    <row r="1053" spans="1:7" x14ac:dyDescent="0.25">
      <c r="A1053">
        <v>59</v>
      </c>
      <c r="B1053" t="s">
        <v>494</v>
      </c>
      <c r="C1053">
        <v>80</v>
      </c>
      <c r="D1053" t="s">
        <v>20</v>
      </c>
      <c r="E1053" t="s">
        <v>17</v>
      </c>
      <c r="F1053">
        <v>177.45500000000001</v>
      </c>
      <c r="G1053" t="s">
        <v>15</v>
      </c>
    </row>
    <row r="1054" spans="1:7" x14ac:dyDescent="0.25">
      <c r="A1054">
        <v>59</v>
      </c>
      <c r="B1054" t="s">
        <v>494</v>
      </c>
      <c r="C1054">
        <v>90</v>
      </c>
      <c r="D1054" t="s">
        <v>24</v>
      </c>
      <c r="E1054" t="s">
        <v>11</v>
      </c>
      <c r="F1054">
        <v>1</v>
      </c>
      <c r="G1054" t="s">
        <v>15</v>
      </c>
    </row>
    <row r="1055" spans="1:7" x14ac:dyDescent="0.25">
      <c r="A1055">
        <v>59</v>
      </c>
      <c r="B1055" t="s">
        <v>494</v>
      </c>
      <c r="C1055">
        <v>100</v>
      </c>
      <c r="D1055" t="s">
        <v>141</v>
      </c>
      <c r="E1055" t="s">
        <v>14</v>
      </c>
      <c r="F1055">
        <v>0.128</v>
      </c>
      <c r="G1055" t="s">
        <v>15</v>
      </c>
    </row>
    <row r="1056" spans="1:7" x14ac:dyDescent="0.25">
      <c r="A1056">
        <v>59</v>
      </c>
      <c r="B1056" t="s">
        <v>494</v>
      </c>
      <c r="C1056">
        <v>110</v>
      </c>
      <c r="D1056" t="s">
        <v>140</v>
      </c>
      <c r="E1056" t="s">
        <v>11</v>
      </c>
      <c r="F1056">
        <v>4</v>
      </c>
      <c r="G1056" t="s">
        <v>15</v>
      </c>
    </row>
    <row r="1057" spans="1:7" x14ac:dyDescent="0.25">
      <c r="A1057">
        <v>59</v>
      </c>
      <c r="B1057" t="s">
        <v>494</v>
      </c>
      <c r="C1057">
        <v>120</v>
      </c>
      <c r="D1057" t="s">
        <v>25</v>
      </c>
      <c r="E1057" t="s">
        <v>11</v>
      </c>
      <c r="F1057">
        <v>1</v>
      </c>
      <c r="G1057" t="s">
        <v>15</v>
      </c>
    </row>
    <row r="1058" spans="1:7" x14ac:dyDescent="0.25">
      <c r="A1058">
        <v>59</v>
      </c>
      <c r="B1058" t="s">
        <v>494</v>
      </c>
      <c r="C1058">
        <v>130</v>
      </c>
      <c r="D1058" t="s">
        <v>26</v>
      </c>
      <c r="E1058" t="s">
        <v>11</v>
      </c>
      <c r="F1058">
        <v>1</v>
      </c>
      <c r="G1058" t="s">
        <v>15</v>
      </c>
    </row>
    <row r="1059" spans="1:7" x14ac:dyDescent="0.25">
      <c r="A1059">
        <v>59</v>
      </c>
      <c r="B1059" t="s">
        <v>494</v>
      </c>
      <c r="C1059">
        <v>140</v>
      </c>
      <c r="D1059" t="s">
        <v>100</v>
      </c>
      <c r="E1059" t="s">
        <v>14</v>
      </c>
      <c r="F1059">
        <v>1.1890000000000001</v>
      </c>
      <c r="G1059" t="s">
        <v>15</v>
      </c>
    </row>
    <row r="1060" spans="1:7" x14ac:dyDescent="0.25">
      <c r="A1060">
        <v>59</v>
      </c>
      <c r="B1060" t="s">
        <v>494</v>
      </c>
      <c r="C1060">
        <v>150</v>
      </c>
      <c r="D1060" t="s">
        <v>497</v>
      </c>
      <c r="E1060" t="s">
        <v>11</v>
      </c>
      <c r="F1060">
        <v>1</v>
      </c>
      <c r="G1060" t="s">
        <v>18</v>
      </c>
    </row>
    <row r="1061" spans="1:7" x14ac:dyDescent="0.25">
      <c r="A1061">
        <v>59</v>
      </c>
      <c r="B1061" t="s">
        <v>494</v>
      </c>
      <c r="C1061">
        <v>160</v>
      </c>
      <c r="D1061" t="s">
        <v>498</v>
      </c>
      <c r="E1061" t="s">
        <v>11</v>
      </c>
      <c r="F1061">
        <v>1</v>
      </c>
      <c r="G1061" t="s">
        <v>18</v>
      </c>
    </row>
    <row r="1062" spans="1:7" x14ac:dyDescent="0.25">
      <c r="A1062">
        <v>59</v>
      </c>
      <c r="B1062" t="s">
        <v>494</v>
      </c>
      <c r="C1062">
        <v>170</v>
      </c>
      <c r="D1062" t="s">
        <v>142</v>
      </c>
      <c r="E1062" t="s">
        <v>11</v>
      </c>
      <c r="F1062">
        <v>7.2140000000000004</v>
      </c>
      <c r="G1062" t="s">
        <v>15</v>
      </c>
    </row>
    <row r="1063" spans="1:7" x14ac:dyDescent="0.25">
      <c r="A1063">
        <v>59</v>
      </c>
      <c r="B1063" t="s">
        <v>494</v>
      </c>
      <c r="C1063">
        <v>180</v>
      </c>
      <c r="D1063" t="s">
        <v>499</v>
      </c>
      <c r="E1063" t="s">
        <v>11</v>
      </c>
      <c r="F1063">
        <v>1</v>
      </c>
      <c r="G1063" t="s">
        <v>18</v>
      </c>
    </row>
    <row r="1064" spans="1:7" x14ac:dyDescent="0.25">
      <c r="A1064">
        <v>60</v>
      </c>
      <c r="B1064" t="s">
        <v>500</v>
      </c>
      <c r="C1064">
        <v>10</v>
      </c>
      <c r="D1064" t="s">
        <v>501</v>
      </c>
      <c r="E1064" t="s">
        <v>11</v>
      </c>
      <c r="F1064">
        <v>1</v>
      </c>
      <c r="G1064" t="s">
        <v>18</v>
      </c>
    </row>
    <row r="1065" spans="1:7" x14ac:dyDescent="0.25">
      <c r="A1065">
        <v>60</v>
      </c>
      <c r="B1065" t="s">
        <v>500</v>
      </c>
      <c r="C1065">
        <v>20</v>
      </c>
      <c r="D1065" t="s">
        <v>130</v>
      </c>
      <c r="E1065" t="s">
        <v>14</v>
      </c>
      <c r="F1065">
        <v>4.585</v>
      </c>
      <c r="G1065" t="s">
        <v>15</v>
      </c>
    </row>
    <row r="1066" spans="1:7" x14ac:dyDescent="0.25">
      <c r="A1066">
        <v>60</v>
      </c>
      <c r="B1066" t="s">
        <v>500</v>
      </c>
      <c r="C1066">
        <v>30</v>
      </c>
      <c r="D1066" t="s">
        <v>102</v>
      </c>
      <c r="E1066" t="s">
        <v>103</v>
      </c>
      <c r="F1066">
        <v>1.2669999999999999</v>
      </c>
      <c r="G1066" t="s">
        <v>15</v>
      </c>
    </row>
    <row r="1067" spans="1:7" x14ac:dyDescent="0.25">
      <c r="A1067">
        <v>60</v>
      </c>
      <c r="B1067" t="s">
        <v>500</v>
      </c>
      <c r="C1067">
        <v>40</v>
      </c>
      <c r="D1067" t="s">
        <v>146</v>
      </c>
      <c r="E1067" t="s">
        <v>11</v>
      </c>
      <c r="F1067">
        <v>1.702</v>
      </c>
      <c r="G1067" t="s">
        <v>18</v>
      </c>
    </row>
    <row r="1068" spans="1:7" x14ac:dyDescent="0.25">
      <c r="A1068">
        <v>60</v>
      </c>
      <c r="B1068" t="s">
        <v>500</v>
      </c>
      <c r="C1068">
        <v>50</v>
      </c>
      <c r="D1068" t="s">
        <v>139</v>
      </c>
      <c r="E1068" t="s">
        <v>17</v>
      </c>
      <c r="F1068">
        <v>1.702</v>
      </c>
      <c r="G1068" t="s">
        <v>18</v>
      </c>
    </row>
    <row r="1069" spans="1:7" x14ac:dyDescent="0.25">
      <c r="A1069">
        <v>60</v>
      </c>
      <c r="B1069" t="s">
        <v>500</v>
      </c>
      <c r="C1069">
        <v>60</v>
      </c>
      <c r="D1069" t="s">
        <v>502</v>
      </c>
      <c r="E1069" t="s">
        <v>11</v>
      </c>
      <c r="F1069">
        <v>1</v>
      </c>
      <c r="G1069" t="s">
        <v>18</v>
      </c>
    </row>
    <row r="1070" spans="1:7" x14ac:dyDescent="0.25">
      <c r="A1070">
        <v>60</v>
      </c>
      <c r="B1070" t="s">
        <v>500</v>
      </c>
      <c r="C1070">
        <v>70</v>
      </c>
      <c r="D1070" t="s">
        <v>148</v>
      </c>
      <c r="E1070" t="s">
        <v>17</v>
      </c>
      <c r="F1070">
        <v>22.555</v>
      </c>
      <c r="G1070" t="s">
        <v>15</v>
      </c>
    </row>
    <row r="1071" spans="1:7" x14ac:dyDescent="0.25">
      <c r="A1071">
        <v>60</v>
      </c>
      <c r="B1071" t="s">
        <v>500</v>
      </c>
      <c r="C1071">
        <v>80</v>
      </c>
      <c r="D1071" t="s">
        <v>20</v>
      </c>
      <c r="E1071" t="s">
        <v>17</v>
      </c>
      <c r="F1071">
        <v>184.953</v>
      </c>
      <c r="G1071" t="s">
        <v>15</v>
      </c>
    </row>
    <row r="1072" spans="1:7" x14ac:dyDescent="0.25">
      <c r="A1072">
        <v>60</v>
      </c>
      <c r="B1072" t="s">
        <v>500</v>
      </c>
      <c r="C1072">
        <v>90</v>
      </c>
      <c r="D1072" t="s">
        <v>24</v>
      </c>
      <c r="E1072" t="s">
        <v>11</v>
      </c>
      <c r="F1072">
        <v>1</v>
      </c>
      <c r="G1072" t="s">
        <v>15</v>
      </c>
    </row>
    <row r="1073" spans="1:7" x14ac:dyDescent="0.25">
      <c r="A1073">
        <v>60</v>
      </c>
      <c r="B1073" t="s">
        <v>500</v>
      </c>
      <c r="C1073">
        <v>100</v>
      </c>
      <c r="D1073" t="s">
        <v>141</v>
      </c>
      <c r="E1073" t="s">
        <v>14</v>
      </c>
      <c r="F1073">
        <v>0.13800000000000001</v>
      </c>
      <c r="G1073" t="s">
        <v>15</v>
      </c>
    </row>
    <row r="1074" spans="1:7" x14ac:dyDescent="0.25">
      <c r="A1074">
        <v>60</v>
      </c>
      <c r="B1074" t="s">
        <v>500</v>
      </c>
      <c r="C1074">
        <v>110</v>
      </c>
      <c r="D1074" t="s">
        <v>140</v>
      </c>
      <c r="E1074" t="s">
        <v>11</v>
      </c>
      <c r="F1074">
        <v>4</v>
      </c>
      <c r="G1074" t="s">
        <v>15</v>
      </c>
    </row>
    <row r="1075" spans="1:7" x14ac:dyDescent="0.25">
      <c r="A1075">
        <v>60</v>
      </c>
      <c r="B1075" t="s">
        <v>500</v>
      </c>
      <c r="C1075">
        <v>120</v>
      </c>
      <c r="D1075" t="s">
        <v>25</v>
      </c>
      <c r="E1075" t="s">
        <v>11</v>
      </c>
      <c r="F1075">
        <v>1</v>
      </c>
      <c r="G1075" t="s">
        <v>15</v>
      </c>
    </row>
    <row r="1076" spans="1:7" x14ac:dyDescent="0.25">
      <c r="A1076">
        <v>60</v>
      </c>
      <c r="B1076" t="s">
        <v>500</v>
      </c>
      <c r="C1076">
        <v>130</v>
      </c>
      <c r="D1076" t="s">
        <v>26</v>
      </c>
      <c r="E1076" t="s">
        <v>11</v>
      </c>
      <c r="F1076">
        <v>1</v>
      </c>
      <c r="G1076" t="s">
        <v>15</v>
      </c>
    </row>
    <row r="1077" spans="1:7" x14ac:dyDescent="0.25">
      <c r="A1077">
        <v>60</v>
      </c>
      <c r="B1077" t="s">
        <v>500</v>
      </c>
      <c r="C1077">
        <v>140</v>
      </c>
      <c r="D1077" t="s">
        <v>100</v>
      </c>
      <c r="E1077" t="s">
        <v>14</v>
      </c>
      <c r="F1077">
        <v>1.1890000000000001</v>
      </c>
      <c r="G1077" t="s">
        <v>15</v>
      </c>
    </row>
    <row r="1078" spans="1:7" x14ac:dyDescent="0.25">
      <c r="A1078">
        <v>60</v>
      </c>
      <c r="B1078" t="s">
        <v>500</v>
      </c>
      <c r="C1078">
        <v>150</v>
      </c>
      <c r="D1078" t="s">
        <v>503</v>
      </c>
      <c r="E1078" t="s">
        <v>11</v>
      </c>
      <c r="F1078">
        <v>1</v>
      </c>
      <c r="G1078" t="s">
        <v>18</v>
      </c>
    </row>
    <row r="1079" spans="1:7" x14ac:dyDescent="0.25">
      <c r="A1079">
        <v>60</v>
      </c>
      <c r="B1079" t="s">
        <v>500</v>
      </c>
      <c r="C1079">
        <v>160</v>
      </c>
      <c r="D1079" t="s">
        <v>504</v>
      </c>
      <c r="E1079" t="s">
        <v>11</v>
      </c>
      <c r="F1079">
        <v>1</v>
      </c>
      <c r="G1079" t="s">
        <v>18</v>
      </c>
    </row>
    <row r="1080" spans="1:7" x14ac:dyDescent="0.25">
      <c r="A1080">
        <v>60</v>
      </c>
      <c r="B1080" t="s">
        <v>500</v>
      </c>
      <c r="C1080">
        <v>170</v>
      </c>
      <c r="D1080" t="s">
        <v>142</v>
      </c>
      <c r="E1080" t="s">
        <v>11</v>
      </c>
      <c r="F1080">
        <v>7.5179999999999998</v>
      </c>
      <c r="G1080" t="s">
        <v>15</v>
      </c>
    </row>
    <row r="1081" spans="1:7" x14ac:dyDescent="0.25">
      <c r="A1081">
        <v>60</v>
      </c>
      <c r="B1081" t="s">
        <v>500</v>
      </c>
      <c r="C1081">
        <v>180</v>
      </c>
      <c r="D1081" t="s">
        <v>505</v>
      </c>
      <c r="E1081" t="s">
        <v>11</v>
      </c>
      <c r="F1081">
        <v>1</v>
      </c>
      <c r="G1081" t="s">
        <v>18</v>
      </c>
    </row>
    <row r="1082" spans="1:7" x14ac:dyDescent="0.25">
      <c r="A1082">
        <v>61</v>
      </c>
      <c r="B1082" t="s">
        <v>506</v>
      </c>
      <c r="C1082">
        <v>10</v>
      </c>
      <c r="D1082" t="s">
        <v>507</v>
      </c>
      <c r="E1082" t="s">
        <v>11</v>
      </c>
      <c r="F1082">
        <v>1</v>
      </c>
      <c r="G1082" t="s">
        <v>18</v>
      </c>
    </row>
    <row r="1083" spans="1:7" x14ac:dyDescent="0.25">
      <c r="A1083">
        <v>61</v>
      </c>
      <c r="B1083" t="s">
        <v>506</v>
      </c>
      <c r="C1083">
        <v>20</v>
      </c>
      <c r="D1083" t="s">
        <v>131</v>
      </c>
      <c r="E1083" t="s">
        <v>14</v>
      </c>
      <c r="F1083">
        <v>5.0049999999999999</v>
      </c>
      <c r="G1083" t="s">
        <v>15</v>
      </c>
    </row>
    <row r="1084" spans="1:7" x14ac:dyDescent="0.25">
      <c r="A1084">
        <v>61</v>
      </c>
      <c r="B1084" t="s">
        <v>506</v>
      </c>
      <c r="C1084">
        <v>30</v>
      </c>
      <c r="D1084" t="s">
        <v>102</v>
      </c>
      <c r="E1084" t="s">
        <v>103</v>
      </c>
      <c r="F1084">
        <v>1.3839999999999999</v>
      </c>
      <c r="G1084" t="s">
        <v>15</v>
      </c>
    </row>
    <row r="1085" spans="1:7" x14ac:dyDescent="0.25">
      <c r="A1085">
        <v>61</v>
      </c>
      <c r="B1085" t="s">
        <v>506</v>
      </c>
      <c r="C1085">
        <v>40</v>
      </c>
      <c r="D1085" t="s">
        <v>146</v>
      </c>
      <c r="E1085" t="s">
        <v>11</v>
      </c>
      <c r="F1085">
        <v>1.8540000000000001</v>
      </c>
      <c r="G1085" t="s">
        <v>18</v>
      </c>
    </row>
    <row r="1086" spans="1:7" x14ac:dyDescent="0.25">
      <c r="A1086">
        <v>61</v>
      </c>
      <c r="B1086" t="s">
        <v>506</v>
      </c>
      <c r="C1086">
        <v>50</v>
      </c>
      <c r="D1086" t="s">
        <v>139</v>
      </c>
      <c r="E1086" t="s">
        <v>17</v>
      </c>
      <c r="F1086">
        <v>1.8540000000000001</v>
      </c>
      <c r="G1086" t="s">
        <v>18</v>
      </c>
    </row>
    <row r="1087" spans="1:7" x14ac:dyDescent="0.25">
      <c r="A1087">
        <v>61</v>
      </c>
      <c r="B1087" t="s">
        <v>506</v>
      </c>
      <c r="C1087">
        <v>60</v>
      </c>
      <c r="D1087" t="s">
        <v>508</v>
      </c>
      <c r="E1087" t="s">
        <v>11</v>
      </c>
      <c r="F1087">
        <v>1</v>
      </c>
      <c r="G1087" t="s">
        <v>18</v>
      </c>
    </row>
    <row r="1088" spans="1:7" x14ac:dyDescent="0.25">
      <c r="A1088">
        <v>61</v>
      </c>
      <c r="B1088" t="s">
        <v>506</v>
      </c>
      <c r="C1088">
        <v>70</v>
      </c>
      <c r="D1088" t="s">
        <v>148</v>
      </c>
      <c r="E1088" t="s">
        <v>17</v>
      </c>
      <c r="F1088">
        <v>23.47</v>
      </c>
      <c r="G1088" t="s">
        <v>15</v>
      </c>
    </row>
    <row r="1089" spans="1:7" x14ac:dyDescent="0.25">
      <c r="A1089">
        <v>61</v>
      </c>
      <c r="B1089" t="s">
        <v>506</v>
      </c>
      <c r="C1089">
        <v>80</v>
      </c>
      <c r="D1089" t="s">
        <v>20</v>
      </c>
      <c r="E1089" t="s">
        <v>17</v>
      </c>
      <c r="F1089">
        <v>192.45099999999999</v>
      </c>
      <c r="G1089" t="s">
        <v>15</v>
      </c>
    </row>
    <row r="1090" spans="1:7" x14ac:dyDescent="0.25">
      <c r="A1090">
        <v>61</v>
      </c>
      <c r="B1090" t="s">
        <v>506</v>
      </c>
      <c r="C1090">
        <v>90</v>
      </c>
      <c r="D1090" t="s">
        <v>24</v>
      </c>
      <c r="E1090" t="s">
        <v>11</v>
      </c>
      <c r="F1090">
        <v>1</v>
      </c>
      <c r="G1090" t="s">
        <v>15</v>
      </c>
    </row>
    <row r="1091" spans="1:7" x14ac:dyDescent="0.25">
      <c r="A1091">
        <v>61</v>
      </c>
      <c r="B1091" t="s">
        <v>506</v>
      </c>
      <c r="C1091">
        <v>100</v>
      </c>
      <c r="D1091" t="s">
        <v>141</v>
      </c>
      <c r="E1091" t="s">
        <v>14</v>
      </c>
      <c r="F1091">
        <v>0.14899999999999999</v>
      </c>
      <c r="G1091" t="s">
        <v>15</v>
      </c>
    </row>
    <row r="1092" spans="1:7" x14ac:dyDescent="0.25">
      <c r="A1092">
        <v>61</v>
      </c>
      <c r="B1092" t="s">
        <v>506</v>
      </c>
      <c r="C1092">
        <v>110</v>
      </c>
      <c r="D1092" t="s">
        <v>140</v>
      </c>
      <c r="E1092" t="s">
        <v>11</v>
      </c>
      <c r="F1092">
        <v>4</v>
      </c>
      <c r="G1092" t="s">
        <v>15</v>
      </c>
    </row>
    <row r="1093" spans="1:7" x14ac:dyDescent="0.25">
      <c r="A1093">
        <v>61</v>
      </c>
      <c r="B1093" t="s">
        <v>506</v>
      </c>
      <c r="C1093">
        <v>120</v>
      </c>
      <c r="D1093" t="s">
        <v>25</v>
      </c>
      <c r="E1093" t="s">
        <v>11</v>
      </c>
      <c r="F1093">
        <v>1</v>
      </c>
      <c r="G1093" t="s">
        <v>15</v>
      </c>
    </row>
    <row r="1094" spans="1:7" x14ac:dyDescent="0.25">
      <c r="A1094">
        <v>61</v>
      </c>
      <c r="B1094" t="s">
        <v>506</v>
      </c>
      <c r="C1094">
        <v>130</v>
      </c>
      <c r="D1094" t="s">
        <v>26</v>
      </c>
      <c r="E1094" t="s">
        <v>11</v>
      </c>
      <c r="F1094">
        <v>1</v>
      </c>
      <c r="G1094" t="s">
        <v>15</v>
      </c>
    </row>
    <row r="1095" spans="1:7" x14ac:dyDescent="0.25">
      <c r="A1095">
        <v>61</v>
      </c>
      <c r="B1095" t="s">
        <v>506</v>
      </c>
      <c r="C1095">
        <v>140</v>
      </c>
      <c r="D1095" t="s">
        <v>100</v>
      </c>
      <c r="E1095" t="s">
        <v>14</v>
      </c>
      <c r="F1095">
        <v>1.1890000000000001</v>
      </c>
      <c r="G1095" t="s">
        <v>15</v>
      </c>
    </row>
    <row r="1096" spans="1:7" x14ac:dyDescent="0.25">
      <c r="A1096">
        <v>61</v>
      </c>
      <c r="B1096" t="s">
        <v>506</v>
      </c>
      <c r="C1096">
        <v>150</v>
      </c>
      <c r="D1096" t="s">
        <v>509</v>
      </c>
      <c r="E1096" t="s">
        <v>11</v>
      </c>
      <c r="F1096">
        <v>1</v>
      </c>
      <c r="G1096" t="s">
        <v>18</v>
      </c>
    </row>
    <row r="1097" spans="1:7" x14ac:dyDescent="0.25">
      <c r="A1097">
        <v>61</v>
      </c>
      <c r="B1097" t="s">
        <v>506</v>
      </c>
      <c r="C1097">
        <v>160</v>
      </c>
      <c r="D1097" t="s">
        <v>510</v>
      </c>
      <c r="E1097" t="s">
        <v>11</v>
      </c>
      <c r="F1097">
        <v>1</v>
      </c>
      <c r="G1097" t="s">
        <v>18</v>
      </c>
    </row>
    <row r="1098" spans="1:7" x14ac:dyDescent="0.25">
      <c r="A1098">
        <v>61</v>
      </c>
      <c r="B1098" t="s">
        <v>506</v>
      </c>
      <c r="C1098">
        <v>170</v>
      </c>
      <c r="D1098" t="s">
        <v>142</v>
      </c>
      <c r="E1098" t="s">
        <v>11</v>
      </c>
      <c r="F1098">
        <v>7.8230000000000004</v>
      </c>
      <c r="G1098" t="s">
        <v>15</v>
      </c>
    </row>
    <row r="1099" spans="1:7" x14ac:dyDescent="0.25">
      <c r="A1099">
        <v>61</v>
      </c>
      <c r="B1099" t="s">
        <v>506</v>
      </c>
      <c r="C1099">
        <v>180</v>
      </c>
      <c r="D1099" t="s">
        <v>511</v>
      </c>
      <c r="E1099" t="s">
        <v>11</v>
      </c>
      <c r="F1099">
        <v>1</v>
      </c>
      <c r="G1099" t="s">
        <v>18</v>
      </c>
    </row>
    <row r="1100" spans="1:7" x14ac:dyDescent="0.25">
      <c r="A1100">
        <v>62</v>
      </c>
      <c r="B1100" t="s">
        <v>512</v>
      </c>
      <c r="C1100">
        <v>10</v>
      </c>
      <c r="D1100" t="s">
        <v>513</v>
      </c>
      <c r="E1100" t="s">
        <v>11</v>
      </c>
      <c r="F1100">
        <v>1</v>
      </c>
      <c r="G1100" t="s">
        <v>18</v>
      </c>
    </row>
    <row r="1101" spans="1:7" x14ac:dyDescent="0.25">
      <c r="A1101">
        <v>62</v>
      </c>
      <c r="B1101" t="s">
        <v>512</v>
      </c>
      <c r="C1101">
        <v>20</v>
      </c>
      <c r="D1101" t="s">
        <v>132</v>
      </c>
      <c r="E1101" t="s">
        <v>14</v>
      </c>
      <c r="F1101">
        <v>2.1179999999999999</v>
      </c>
      <c r="G1101" t="s">
        <v>15</v>
      </c>
    </row>
    <row r="1102" spans="1:7" x14ac:dyDescent="0.25">
      <c r="A1102">
        <v>62</v>
      </c>
      <c r="B1102" t="s">
        <v>512</v>
      </c>
      <c r="C1102">
        <v>30</v>
      </c>
      <c r="D1102" t="s">
        <v>102</v>
      </c>
      <c r="E1102" t="s">
        <v>103</v>
      </c>
      <c r="F1102">
        <v>0.57999999999999996</v>
      </c>
      <c r="G1102" t="s">
        <v>15</v>
      </c>
    </row>
    <row r="1103" spans="1:7" x14ac:dyDescent="0.25">
      <c r="A1103">
        <v>62</v>
      </c>
      <c r="B1103" t="s">
        <v>512</v>
      </c>
      <c r="C1103">
        <v>40</v>
      </c>
      <c r="D1103" t="s">
        <v>146</v>
      </c>
      <c r="E1103" t="s">
        <v>11</v>
      </c>
      <c r="F1103">
        <v>2.0569999999999999</v>
      </c>
      <c r="G1103" t="s">
        <v>18</v>
      </c>
    </row>
    <row r="1104" spans="1:7" x14ac:dyDescent="0.25">
      <c r="A1104">
        <v>62</v>
      </c>
      <c r="B1104" t="s">
        <v>512</v>
      </c>
      <c r="C1104">
        <v>50</v>
      </c>
      <c r="D1104" t="s">
        <v>139</v>
      </c>
      <c r="E1104" t="s">
        <v>17</v>
      </c>
      <c r="F1104">
        <v>2.0569999999999999</v>
      </c>
      <c r="G1104" t="s">
        <v>18</v>
      </c>
    </row>
    <row r="1105" spans="1:7" x14ac:dyDescent="0.25">
      <c r="A1105">
        <v>62</v>
      </c>
      <c r="B1105" t="s">
        <v>512</v>
      </c>
      <c r="C1105">
        <v>60</v>
      </c>
      <c r="D1105" t="s">
        <v>514</v>
      </c>
      <c r="E1105" t="s">
        <v>11</v>
      </c>
      <c r="F1105">
        <v>1</v>
      </c>
      <c r="G1105" t="s">
        <v>18</v>
      </c>
    </row>
    <row r="1106" spans="1:7" x14ac:dyDescent="0.25">
      <c r="A1106">
        <v>62</v>
      </c>
      <c r="B1106" t="s">
        <v>512</v>
      </c>
      <c r="C1106">
        <v>70</v>
      </c>
      <c r="D1106" t="s">
        <v>148</v>
      </c>
      <c r="E1106" t="s">
        <v>17</v>
      </c>
      <c r="F1106">
        <v>17.373999999999999</v>
      </c>
      <c r="G1106" t="s">
        <v>15</v>
      </c>
    </row>
    <row r="1107" spans="1:7" x14ac:dyDescent="0.25">
      <c r="A1107">
        <v>62</v>
      </c>
      <c r="B1107" t="s">
        <v>512</v>
      </c>
      <c r="C1107">
        <v>80</v>
      </c>
      <c r="D1107" t="s">
        <v>20</v>
      </c>
      <c r="E1107" t="s">
        <v>17</v>
      </c>
      <c r="F1107">
        <v>142.464</v>
      </c>
      <c r="G1107" t="s">
        <v>15</v>
      </c>
    </row>
    <row r="1108" spans="1:7" x14ac:dyDescent="0.25">
      <c r="A1108">
        <v>62</v>
      </c>
      <c r="B1108" t="s">
        <v>512</v>
      </c>
      <c r="C1108">
        <v>90</v>
      </c>
      <c r="D1108" t="s">
        <v>24</v>
      </c>
      <c r="E1108" t="s">
        <v>11</v>
      </c>
      <c r="F1108">
        <v>1</v>
      </c>
      <c r="G1108" t="s">
        <v>15</v>
      </c>
    </row>
    <row r="1109" spans="1:7" x14ac:dyDescent="0.25">
      <c r="A1109">
        <v>62</v>
      </c>
      <c r="B1109" t="s">
        <v>512</v>
      </c>
      <c r="C1109">
        <v>100</v>
      </c>
      <c r="D1109" t="s">
        <v>141</v>
      </c>
      <c r="E1109" t="s">
        <v>14</v>
      </c>
      <c r="F1109">
        <v>7.5999999999999998E-2</v>
      </c>
      <c r="G1109" t="s">
        <v>15</v>
      </c>
    </row>
    <row r="1110" spans="1:7" x14ac:dyDescent="0.25">
      <c r="A1110">
        <v>62</v>
      </c>
      <c r="B1110" t="s">
        <v>512</v>
      </c>
      <c r="C1110">
        <v>110</v>
      </c>
      <c r="D1110" t="s">
        <v>140</v>
      </c>
      <c r="E1110" t="s">
        <v>11</v>
      </c>
      <c r="F1110">
        <v>4</v>
      </c>
      <c r="G1110" t="s">
        <v>15</v>
      </c>
    </row>
    <row r="1111" spans="1:7" x14ac:dyDescent="0.25">
      <c r="A1111">
        <v>62</v>
      </c>
      <c r="B1111" t="s">
        <v>512</v>
      </c>
      <c r="C1111">
        <v>120</v>
      </c>
      <c r="D1111" t="s">
        <v>25</v>
      </c>
      <c r="E1111" t="s">
        <v>11</v>
      </c>
      <c r="F1111">
        <v>1</v>
      </c>
      <c r="G1111" t="s">
        <v>15</v>
      </c>
    </row>
    <row r="1112" spans="1:7" x14ac:dyDescent="0.25">
      <c r="A1112">
        <v>62</v>
      </c>
      <c r="B1112" t="s">
        <v>512</v>
      </c>
      <c r="C1112">
        <v>130</v>
      </c>
      <c r="D1112" t="s">
        <v>26</v>
      </c>
      <c r="E1112" t="s">
        <v>11</v>
      </c>
      <c r="F1112">
        <v>1</v>
      </c>
      <c r="G1112" t="s">
        <v>15</v>
      </c>
    </row>
    <row r="1113" spans="1:7" x14ac:dyDescent="0.25">
      <c r="A1113">
        <v>62</v>
      </c>
      <c r="B1113" t="s">
        <v>512</v>
      </c>
      <c r="C1113">
        <v>140</v>
      </c>
      <c r="D1113" t="s">
        <v>100</v>
      </c>
      <c r="E1113" t="s">
        <v>14</v>
      </c>
      <c r="F1113">
        <v>1.216</v>
      </c>
      <c r="G1113" t="s">
        <v>15</v>
      </c>
    </row>
    <row r="1114" spans="1:7" x14ac:dyDescent="0.25">
      <c r="A1114">
        <v>62</v>
      </c>
      <c r="B1114" t="s">
        <v>512</v>
      </c>
      <c r="C1114">
        <v>150</v>
      </c>
      <c r="D1114" t="s">
        <v>515</v>
      </c>
      <c r="E1114" t="s">
        <v>11</v>
      </c>
      <c r="F1114">
        <v>1</v>
      </c>
      <c r="G1114" t="s">
        <v>18</v>
      </c>
    </row>
    <row r="1115" spans="1:7" x14ac:dyDescent="0.25">
      <c r="A1115">
        <v>62</v>
      </c>
      <c r="B1115" t="s">
        <v>512</v>
      </c>
      <c r="C1115">
        <v>160</v>
      </c>
      <c r="D1115" t="s">
        <v>516</v>
      </c>
      <c r="E1115" t="s">
        <v>11</v>
      </c>
      <c r="F1115">
        <v>1</v>
      </c>
      <c r="G1115" t="s">
        <v>18</v>
      </c>
    </row>
    <row r="1116" spans="1:7" x14ac:dyDescent="0.25">
      <c r="A1116">
        <v>62</v>
      </c>
      <c r="B1116" t="s">
        <v>512</v>
      </c>
      <c r="C1116">
        <v>170</v>
      </c>
      <c r="D1116" t="s">
        <v>142</v>
      </c>
      <c r="E1116" t="s">
        <v>11</v>
      </c>
      <c r="F1116">
        <v>5.7910000000000004</v>
      </c>
      <c r="G1116" t="s">
        <v>15</v>
      </c>
    </row>
    <row r="1117" spans="1:7" x14ac:dyDescent="0.25">
      <c r="A1117">
        <v>62</v>
      </c>
      <c r="B1117" t="s">
        <v>512</v>
      </c>
      <c r="C1117">
        <v>180</v>
      </c>
      <c r="D1117" t="s">
        <v>517</v>
      </c>
      <c r="E1117" t="s">
        <v>11</v>
      </c>
      <c r="F1117">
        <v>1</v>
      </c>
      <c r="G1117" t="s">
        <v>18</v>
      </c>
    </row>
    <row r="1118" spans="1:7" x14ac:dyDescent="0.25">
      <c r="A1118">
        <v>63</v>
      </c>
      <c r="B1118" t="s">
        <v>518</v>
      </c>
      <c r="C1118">
        <v>10</v>
      </c>
      <c r="D1118" t="s">
        <v>519</v>
      </c>
      <c r="E1118" t="s">
        <v>11</v>
      </c>
      <c r="F1118">
        <v>1</v>
      </c>
      <c r="G1118" t="s">
        <v>18</v>
      </c>
    </row>
    <row r="1119" spans="1:7" x14ac:dyDescent="0.25">
      <c r="A1119">
        <v>63</v>
      </c>
      <c r="B1119" t="s">
        <v>518</v>
      </c>
      <c r="C1119">
        <v>20</v>
      </c>
      <c r="D1119" t="s">
        <v>132</v>
      </c>
      <c r="E1119" t="s">
        <v>14</v>
      </c>
      <c r="F1119">
        <v>2.5489999999999999</v>
      </c>
      <c r="G1119" t="s">
        <v>15</v>
      </c>
    </row>
    <row r="1120" spans="1:7" x14ac:dyDescent="0.25">
      <c r="A1120">
        <v>63</v>
      </c>
      <c r="B1120" t="s">
        <v>518</v>
      </c>
      <c r="C1120">
        <v>30</v>
      </c>
      <c r="D1120" t="s">
        <v>102</v>
      </c>
      <c r="E1120" t="s">
        <v>103</v>
      </c>
      <c r="F1120">
        <v>0.7</v>
      </c>
      <c r="G1120" t="s">
        <v>15</v>
      </c>
    </row>
    <row r="1121" spans="1:7" x14ac:dyDescent="0.25">
      <c r="A1121">
        <v>63</v>
      </c>
      <c r="B1121" t="s">
        <v>518</v>
      </c>
      <c r="C1121">
        <v>40</v>
      </c>
      <c r="D1121" t="s">
        <v>146</v>
      </c>
      <c r="E1121" t="s">
        <v>11</v>
      </c>
      <c r="F1121">
        <v>2.0569999999999999</v>
      </c>
      <c r="G1121" t="s">
        <v>18</v>
      </c>
    </row>
    <row r="1122" spans="1:7" x14ac:dyDescent="0.25">
      <c r="A1122">
        <v>63</v>
      </c>
      <c r="B1122" t="s">
        <v>518</v>
      </c>
      <c r="C1122">
        <v>50</v>
      </c>
      <c r="D1122" t="s">
        <v>139</v>
      </c>
      <c r="E1122" t="s">
        <v>17</v>
      </c>
      <c r="F1122">
        <v>2.0569999999999999</v>
      </c>
      <c r="G1122" t="s">
        <v>18</v>
      </c>
    </row>
    <row r="1123" spans="1:7" x14ac:dyDescent="0.25">
      <c r="A1123">
        <v>63</v>
      </c>
      <c r="B1123" t="s">
        <v>518</v>
      </c>
      <c r="C1123">
        <v>60</v>
      </c>
      <c r="D1123" t="s">
        <v>520</v>
      </c>
      <c r="E1123" t="s">
        <v>11</v>
      </c>
      <c r="F1123">
        <v>1</v>
      </c>
      <c r="G1123" t="s">
        <v>18</v>
      </c>
    </row>
    <row r="1124" spans="1:7" x14ac:dyDescent="0.25">
      <c r="A1124">
        <v>63</v>
      </c>
      <c r="B1124" t="s">
        <v>518</v>
      </c>
      <c r="C1124">
        <v>70</v>
      </c>
      <c r="D1124" t="s">
        <v>148</v>
      </c>
      <c r="E1124" t="s">
        <v>17</v>
      </c>
      <c r="F1124">
        <v>18.288</v>
      </c>
      <c r="G1124" t="s">
        <v>15</v>
      </c>
    </row>
    <row r="1125" spans="1:7" x14ac:dyDescent="0.25">
      <c r="A1125">
        <v>63</v>
      </c>
      <c r="B1125" t="s">
        <v>518</v>
      </c>
      <c r="C1125">
        <v>80</v>
      </c>
      <c r="D1125" t="s">
        <v>20</v>
      </c>
      <c r="E1125" t="s">
        <v>17</v>
      </c>
      <c r="F1125">
        <v>149.96199999999999</v>
      </c>
      <c r="G1125" t="s">
        <v>15</v>
      </c>
    </row>
    <row r="1126" spans="1:7" x14ac:dyDescent="0.25">
      <c r="A1126">
        <v>63</v>
      </c>
      <c r="B1126" t="s">
        <v>518</v>
      </c>
      <c r="C1126">
        <v>90</v>
      </c>
      <c r="D1126" t="s">
        <v>24</v>
      </c>
      <c r="E1126" t="s">
        <v>11</v>
      </c>
      <c r="F1126">
        <v>1</v>
      </c>
      <c r="G1126" t="s">
        <v>15</v>
      </c>
    </row>
    <row r="1127" spans="1:7" x14ac:dyDescent="0.25">
      <c r="A1127">
        <v>63</v>
      </c>
      <c r="B1127" t="s">
        <v>518</v>
      </c>
      <c r="C1127">
        <v>100</v>
      </c>
      <c r="D1127" t="s">
        <v>141</v>
      </c>
      <c r="E1127" t="s">
        <v>14</v>
      </c>
      <c r="F1127">
        <v>8.5999999999999993E-2</v>
      </c>
      <c r="G1127" t="s">
        <v>15</v>
      </c>
    </row>
    <row r="1128" spans="1:7" x14ac:dyDescent="0.25">
      <c r="A1128">
        <v>63</v>
      </c>
      <c r="B1128" t="s">
        <v>518</v>
      </c>
      <c r="C1128">
        <v>110</v>
      </c>
      <c r="D1128" t="s">
        <v>140</v>
      </c>
      <c r="E1128" t="s">
        <v>11</v>
      </c>
      <c r="F1128">
        <v>4</v>
      </c>
      <c r="G1128" t="s">
        <v>15</v>
      </c>
    </row>
    <row r="1129" spans="1:7" x14ac:dyDescent="0.25">
      <c r="A1129">
        <v>63</v>
      </c>
      <c r="B1129" t="s">
        <v>518</v>
      </c>
      <c r="C1129">
        <v>120</v>
      </c>
      <c r="D1129" t="s">
        <v>25</v>
      </c>
      <c r="E1129" t="s">
        <v>11</v>
      </c>
      <c r="F1129">
        <v>1</v>
      </c>
      <c r="G1129" t="s">
        <v>15</v>
      </c>
    </row>
    <row r="1130" spans="1:7" x14ac:dyDescent="0.25">
      <c r="A1130">
        <v>63</v>
      </c>
      <c r="B1130" t="s">
        <v>518</v>
      </c>
      <c r="C1130">
        <v>130</v>
      </c>
      <c r="D1130" t="s">
        <v>26</v>
      </c>
      <c r="E1130" t="s">
        <v>11</v>
      </c>
      <c r="F1130">
        <v>1</v>
      </c>
      <c r="G1130" t="s">
        <v>15</v>
      </c>
    </row>
    <row r="1131" spans="1:7" x14ac:dyDescent="0.25">
      <c r="A1131">
        <v>63</v>
      </c>
      <c r="B1131" t="s">
        <v>518</v>
      </c>
      <c r="C1131">
        <v>140</v>
      </c>
      <c r="D1131" t="s">
        <v>100</v>
      </c>
      <c r="E1131" t="s">
        <v>14</v>
      </c>
      <c r="F1131">
        <v>1.216</v>
      </c>
      <c r="G1131" t="s">
        <v>15</v>
      </c>
    </row>
    <row r="1132" spans="1:7" x14ac:dyDescent="0.25">
      <c r="A1132">
        <v>63</v>
      </c>
      <c r="B1132" t="s">
        <v>518</v>
      </c>
      <c r="C1132">
        <v>150</v>
      </c>
      <c r="D1132" t="s">
        <v>521</v>
      </c>
      <c r="E1132" t="s">
        <v>11</v>
      </c>
      <c r="F1132">
        <v>1</v>
      </c>
      <c r="G1132" t="s">
        <v>18</v>
      </c>
    </row>
    <row r="1133" spans="1:7" x14ac:dyDescent="0.25">
      <c r="A1133">
        <v>63</v>
      </c>
      <c r="B1133" t="s">
        <v>518</v>
      </c>
      <c r="C1133">
        <v>160</v>
      </c>
      <c r="D1133" t="s">
        <v>522</v>
      </c>
      <c r="E1133" t="s">
        <v>11</v>
      </c>
      <c r="F1133">
        <v>1</v>
      </c>
      <c r="G1133" t="s">
        <v>18</v>
      </c>
    </row>
    <row r="1134" spans="1:7" x14ac:dyDescent="0.25">
      <c r="A1134">
        <v>63</v>
      </c>
      <c r="B1134" t="s">
        <v>518</v>
      </c>
      <c r="C1134">
        <v>170</v>
      </c>
      <c r="D1134" t="s">
        <v>142</v>
      </c>
      <c r="E1134" t="s">
        <v>11</v>
      </c>
      <c r="F1134">
        <v>6.0960000000000001</v>
      </c>
      <c r="G1134" t="s">
        <v>15</v>
      </c>
    </row>
    <row r="1135" spans="1:7" x14ac:dyDescent="0.25">
      <c r="A1135">
        <v>63</v>
      </c>
      <c r="B1135" t="s">
        <v>518</v>
      </c>
      <c r="C1135">
        <v>180</v>
      </c>
      <c r="D1135" t="s">
        <v>523</v>
      </c>
      <c r="E1135" t="s">
        <v>11</v>
      </c>
      <c r="F1135">
        <v>1</v>
      </c>
      <c r="G1135" t="s">
        <v>18</v>
      </c>
    </row>
    <row r="1136" spans="1:7" x14ac:dyDescent="0.25">
      <c r="A1136">
        <v>64</v>
      </c>
      <c r="B1136" t="s">
        <v>524</v>
      </c>
      <c r="C1136">
        <v>10</v>
      </c>
      <c r="D1136" t="s">
        <v>525</v>
      </c>
      <c r="E1136" t="s">
        <v>11</v>
      </c>
      <c r="F1136">
        <v>1</v>
      </c>
      <c r="G1136" t="s">
        <v>18</v>
      </c>
    </row>
    <row r="1137" spans="1:7" x14ac:dyDescent="0.25">
      <c r="A1137">
        <v>64</v>
      </c>
      <c r="B1137" t="s">
        <v>524</v>
      </c>
      <c r="C1137">
        <v>20</v>
      </c>
      <c r="D1137" t="s">
        <v>132</v>
      </c>
      <c r="E1137" t="s">
        <v>14</v>
      </c>
      <c r="F1137">
        <v>2.98</v>
      </c>
      <c r="G1137" t="s">
        <v>15</v>
      </c>
    </row>
    <row r="1138" spans="1:7" x14ac:dyDescent="0.25">
      <c r="A1138">
        <v>64</v>
      </c>
      <c r="B1138" t="s">
        <v>524</v>
      </c>
      <c r="C1138">
        <v>30</v>
      </c>
      <c r="D1138" t="s">
        <v>102</v>
      </c>
      <c r="E1138" t="s">
        <v>103</v>
      </c>
      <c r="F1138">
        <v>0.82</v>
      </c>
      <c r="G1138" t="s">
        <v>15</v>
      </c>
    </row>
    <row r="1139" spans="1:7" x14ac:dyDescent="0.25">
      <c r="A1139">
        <v>64</v>
      </c>
      <c r="B1139" t="s">
        <v>524</v>
      </c>
      <c r="C1139">
        <v>40</v>
      </c>
      <c r="D1139" t="s">
        <v>146</v>
      </c>
      <c r="E1139" t="s">
        <v>11</v>
      </c>
      <c r="F1139">
        <v>2.0569999999999999</v>
      </c>
      <c r="G1139" t="s">
        <v>18</v>
      </c>
    </row>
    <row r="1140" spans="1:7" x14ac:dyDescent="0.25">
      <c r="A1140">
        <v>64</v>
      </c>
      <c r="B1140" t="s">
        <v>524</v>
      </c>
      <c r="C1140">
        <v>50</v>
      </c>
      <c r="D1140" t="s">
        <v>139</v>
      </c>
      <c r="E1140" t="s">
        <v>17</v>
      </c>
      <c r="F1140">
        <v>2.0569999999999999</v>
      </c>
      <c r="G1140" t="s">
        <v>18</v>
      </c>
    </row>
    <row r="1141" spans="1:7" x14ac:dyDescent="0.25">
      <c r="A1141">
        <v>64</v>
      </c>
      <c r="B1141" t="s">
        <v>524</v>
      </c>
      <c r="C1141">
        <v>60</v>
      </c>
      <c r="D1141" t="s">
        <v>526</v>
      </c>
      <c r="E1141" t="s">
        <v>11</v>
      </c>
      <c r="F1141">
        <v>1</v>
      </c>
      <c r="G1141" t="s">
        <v>18</v>
      </c>
    </row>
    <row r="1142" spans="1:7" x14ac:dyDescent="0.25">
      <c r="A1142">
        <v>64</v>
      </c>
      <c r="B1142" t="s">
        <v>524</v>
      </c>
      <c r="C1142">
        <v>70</v>
      </c>
      <c r="D1142" t="s">
        <v>148</v>
      </c>
      <c r="E1142" t="s">
        <v>17</v>
      </c>
      <c r="F1142">
        <v>19.202000000000002</v>
      </c>
      <c r="G1142" t="s">
        <v>15</v>
      </c>
    </row>
    <row r="1143" spans="1:7" x14ac:dyDescent="0.25">
      <c r="A1143">
        <v>64</v>
      </c>
      <c r="B1143" t="s">
        <v>524</v>
      </c>
      <c r="C1143">
        <v>80</v>
      </c>
      <c r="D1143" t="s">
        <v>20</v>
      </c>
      <c r="E1143" t="s">
        <v>17</v>
      </c>
      <c r="F1143">
        <v>157.46</v>
      </c>
      <c r="G1143" t="s">
        <v>15</v>
      </c>
    </row>
    <row r="1144" spans="1:7" x14ac:dyDescent="0.25">
      <c r="A1144">
        <v>64</v>
      </c>
      <c r="B1144" t="s">
        <v>524</v>
      </c>
      <c r="C1144">
        <v>90</v>
      </c>
      <c r="D1144" t="s">
        <v>24</v>
      </c>
      <c r="E1144" t="s">
        <v>11</v>
      </c>
      <c r="F1144">
        <v>1</v>
      </c>
      <c r="G1144" t="s">
        <v>15</v>
      </c>
    </row>
    <row r="1145" spans="1:7" x14ac:dyDescent="0.25">
      <c r="A1145">
        <v>64</v>
      </c>
      <c r="B1145" t="s">
        <v>524</v>
      </c>
      <c r="C1145">
        <v>100</v>
      </c>
      <c r="D1145" t="s">
        <v>141</v>
      </c>
      <c r="E1145" t="s">
        <v>14</v>
      </c>
      <c r="F1145">
        <v>9.7000000000000003E-2</v>
      </c>
      <c r="G1145" t="s">
        <v>15</v>
      </c>
    </row>
    <row r="1146" spans="1:7" x14ac:dyDescent="0.25">
      <c r="A1146">
        <v>64</v>
      </c>
      <c r="B1146" t="s">
        <v>524</v>
      </c>
      <c r="C1146">
        <v>110</v>
      </c>
      <c r="D1146" t="s">
        <v>140</v>
      </c>
      <c r="E1146" t="s">
        <v>11</v>
      </c>
      <c r="F1146">
        <v>4</v>
      </c>
      <c r="G1146" t="s">
        <v>15</v>
      </c>
    </row>
    <row r="1147" spans="1:7" x14ac:dyDescent="0.25">
      <c r="A1147">
        <v>64</v>
      </c>
      <c r="B1147" t="s">
        <v>524</v>
      </c>
      <c r="C1147">
        <v>120</v>
      </c>
      <c r="D1147" t="s">
        <v>25</v>
      </c>
      <c r="E1147" t="s">
        <v>11</v>
      </c>
      <c r="F1147">
        <v>1</v>
      </c>
      <c r="G1147" t="s">
        <v>15</v>
      </c>
    </row>
    <row r="1148" spans="1:7" x14ac:dyDescent="0.25">
      <c r="A1148">
        <v>64</v>
      </c>
      <c r="B1148" t="s">
        <v>524</v>
      </c>
      <c r="C1148">
        <v>130</v>
      </c>
      <c r="D1148" t="s">
        <v>26</v>
      </c>
      <c r="E1148" t="s">
        <v>11</v>
      </c>
      <c r="F1148">
        <v>1</v>
      </c>
      <c r="G1148" t="s">
        <v>15</v>
      </c>
    </row>
    <row r="1149" spans="1:7" x14ac:dyDescent="0.25">
      <c r="A1149">
        <v>64</v>
      </c>
      <c r="B1149" t="s">
        <v>524</v>
      </c>
      <c r="C1149">
        <v>140</v>
      </c>
      <c r="D1149" t="s">
        <v>100</v>
      </c>
      <c r="E1149" t="s">
        <v>14</v>
      </c>
      <c r="F1149">
        <v>1.216</v>
      </c>
      <c r="G1149" t="s">
        <v>15</v>
      </c>
    </row>
    <row r="1150" spans="1:7" x14ac:dyDescent="0.25">
      <c r="A1150">
        <v>64</v>
      </c>
      <c r="B1150" t="s">
        <v>524</v>
      </c>
      <c r="C1150">
        <v>150</v>
      </c>
      <c r="D1150" t="s">
        <v>527</v>
      </c>
      <c r="E1150" t="s">
        <v>11</v>
      </c>
      <c r="F1150">
        <v>1</v>
      </c>
      <c r="G1150" t="s">
        <v>18</v>
      </c>
    </row>
    <row r="1151" spans="1:7" x14ac:dyDescent="0.25">
      <c r="A1151">
        <v>64</v>
      </c>
      <c r="B1151" t="s">
        <v>524</v>
      </c>
      <c r="C1151">
        <v>160</v>
      </c>
      <c r="D1151" t="s">
        <v>528</v>
      </c>
      <c r="E1151" t="s">
        <v>11</v>
      </c>
      <c r="F1151">
        <v>1</v>
      </c>
      <c r="G1151" t="s">
        <v>18</v>
      </c>
    </row>
    <row r="1152" spans="1:7" x14ac:dyDescent="0.25">
      <c r="A1152">
        <v>64</v>
      </c>
      <c r="B1152" t="s">
        <v>524</v>
      </c>
      <c r="C1152">
        <v>170</v>
      </c>
      <c r="D1152" t="s">
        <v>142</v>
      </c>
      <c r="E1152" t="s">
        <v>11</v>
      </c>
      <c r="F1152">
        <v>6.4009999999999998</v>
      </c>
      <c r="G1152" t="s">
        <v>15</v>
      </c>
    </row>
    <row r="1153" spans="1:7" x14ac:dyDescent="0.25">
      <c r="A1153">
        <v>64</v>
      </c>
      <c r="B1153" t="s">
        <v>524</v>
      </c>
      <c r="C1153">
        <v>180</v>
      </c>
      <c r="D1153" t="s">
        <v>529</v>
      </c>
      <c r="E1153" t="s">
        <v>11</v>
      </c>
      <c r="F1153">
        <v>1</v>
      </c>
      <c r="G1153" t="s">
        <v>18</v>
      </c>
    </row>
    <row r="1154" spans="1:7" x14ac:dyDescent="0.25">
      <c r="A1154">
        <v>65</v>
      </c>
      <c r="B1154" t="s">
        <v>530</v>
      </c>
      <c r="C1154">
        <v>10</v>
      </c>
      <c r="D1154" t="s">
        <v>531</v>
      </c>
      <c r="E1154" t="s">
        <v>11</v>
      </c>
      <c r="F1154">
        <v>1</v>
      </c>
      <c r="G1154" t="s">
        <v>18</v>
      </c>
    </row>
    <row r="1155" spans="1:7" x14ac:dyDescent="0.25">
      <c r="A1155">
        <v>65</v>
      </c>
      <c r="B1155" t="s">
        <v>530</v>
      </c>
      <c r="C1155">
        <v>20</v>
      </c>
      <c r="D1155" t="s">
        <v>132</v>
      </c>
      <c r="E1155" t="s">
        <v>14</v>
      </c>
      <c r="F1155">
        <v>3.411</v>
      </c>
      <c r="G1155" t="s">
        <v>15</v>
      </c>
    </row>
    <row r="1156" spans="1:7" x14ac:dyDescent="0.25">
      <c r="A1156">
        <v>65</v>
      </c>
      <c r="B1156" t="s">
        <v>530</v>
      </c>
      <c r="C1156">
        <v>30</v>
      </c>
      <c r="D1156" t="s">
        <v>102</v>
      </c>
      <c r="E1156" t="s">
        <v>103</v>
      </c>
      <c r="F1156">
        <v>0.94</v>
      </c>
      <c r="G1156" t="s">
        <v>15</v>
      </c>
    </row>
    <row r="1157" spans="1:7" x14ac:dyDescent="0.25">
      <c r="A1157">
        <v>65</v>
      </c>
      <c r="B1157" t="s">
        <v>530</v>
      </c>
      <c r="C1157">
        <v>40</v>
      </c>
      <c r="D1157" t="s">
        <v>146</v>
      </c>
      <c r="E1157" t="s">
        <v>11</v>
      </c>
      <c r="F1157">
        <v>2.0569999999999999</v>
      </c>
      <c r="G1157" t="s">
        <v>18</v>
      </c>
    </row>
    <row r="1158" spans="1:7" x14ac:dyDescent="0.25">
      <c r="A1158">
        <v>65</v>
      </c>
      <c r="B1158" t="s">
        <v>530</v>
      </c>
      <c r="C1158">
        <v>50</v>
      </c>
      <c r="D1158" t="s">
        <v>139</v>
      </c>
      <c r="E1158" t="s">
        <v>17</v>
      </c>
      <c r="F1158">
        <v>2.0569999999999999</v>
      </c>
      <c r="G1158" t="s">
        <v>18</v>
      </c>
    </row>
    <row r="1159" spans="1:7" x14ac:dyDescent="0.25">
      <c r="A1159">
        <v>65</v>
      </c>
      <c r="B1159" t="s">
        <v>530</v>
      </c>
      <c r="C1159">
        <v>60</v>
      </c>
      <c r="D1159" t="s">
        <v>532</v>
      </c>
      <c r="E1159" t="s">
        <v>11</v>
      </c>
      <c r="F1159">
        <v>1</v>
      </c>
      <c r="G1159" t="s">
        <v>18</v>
      </c>
    </row>
    <row r="1160" spans="1:7" x14ac:dyDescent="0.25">
      <c r="A1160">
        <v>65</v>
      </c>
      <c r="B1160" t="s">
        <v>530</v>
      </c>
      <c r="C1160">
        <v>70</v>
      </c>
      <c r="D1160" t="s">
        <v>148</v>
      </c>
      <c r="E1160" t="s">
        <v>17</v>
      </c>
      <c r="F1160">
        <v>20.117000000000001</v>
      </c>
      <c r="G1160" t="s">
        <v>15</v>
      </c>
    </row>
    <row r="1161" spans="1:7" x14ac:dyDescent="0.25">
      <c r="A1161">
        <v>65</v>
      </c>
      <c r="B1161" t="s">
        <v>530</v>
      </c>
      <c r="C1161">
        <v>80</v>
      </c>
      <c r="D1161" t="s">
        <v>20</v>
      </c>
      <c r="E1161" t="s">
        <v>17</v>
      </c>
      <c r="F1161">
        <v>164.958</v>
      </c>
      <c r="G1161" t="s">
        <v>15</v>
      </c>
    </row>
    <row r="1162" spans="1:7" x14ac:dyDescent="0.25">
      <c r="A1162">
        <v>65</v>
      </c>
      <c r="B1162" t="s">
        <v>530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65</v>
      </c>
      <c r="B1163" t="s">
        <v>530</v>
      </c>
      <c r="C1163">
        <v>100</v>
      </c>
      <c r="D1163" t="s">
        <v>141</v>
      </c>
      <c r="E1163" t="s">
        <v>14</v>
      </c>
      <c r="F1163">
        <v>0.107</v>
      </c>
      <c r="G1163" t="s">
        <v>15</v>
      </c>
    </row>
    <row r="1164" spans="1:7" x14ac:dyDescent="0.25">
      <c r="A1164">
        <v>65</v>
      </c>
      <c r="B1164" t="s">
        <v>530</v>
      </c>
      <c r="C1164">
        <v>110</v>
      </c>
      <c r="D1164" t="s">
        <v>140</v>
      </c>
      <c r="E1164" t="s">
        <v>11</v>
      </c>
      <c r="F1164">
        <v>4</v>
      </c>
      <c r="G1164" t="s">
        <v>15</v>
      </c>
    </row>
    <row r="1165" spans="1:7" x14ac:dyDescent="0.25">
      <c r="A1165">
        <v>65</v>
      </c>
      <c r="B1165" t="s">
        <v>530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65</v>
      </c>
      <c r="B1166" t="s">
        <v>530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65</v>
      </c>
      <c r="B1167" t="s">
        <v>530</v>
      </c>
      <c r="C1167">
        <v>140</v>
      </c>
      <c r="D1167" t="s">
        <v>100</v>
      </c>
      <c r="E1167" t="s">
        <v>14</v>
      </c>
      <c r="F1167">
        <v>1.216</v>
      </c>
      <c r="G1167" t="s">
        <v>15</v>
      </c>
    </row>
    <row r="1168" spans="1:7" x14ac:dyDescent="0.25">
      <c r="A1168">
        <v>65</v>
      </c>
      <c r="B1168" t="s">
        <v>530</v>
      </c>
      <c r="C1168">
        <v>150</v>
      </c>
      <c r="D1168" t="s">
        <v>533</v>
      </c>
      <c r="E1168" t="s">
        <v>11</v>
      </c>
      <c r="F1168">
        <v>1</v>
      </c>
      <c r="G1168" t="s">
        <v>18</v>
      </c>
    </row>
    <row r="1169" spans="1:7" x14ac:dyDescent="0.25">
      <c r="A1169">
        <v>65</v>
      </c>
      <c r="B1169" t="s">
        <v>530</v>
      </c>
      <c r="C1169">
        <v>160</v>
      </c>
      <c r="D1169" t="s">
        <v>534</v>
      </c>
      <c r="E1169" t="s">
        <v>11</v>
      </c>
      <c r="F1169">
        <v>1</v>
      </c>
      <c r="G1169" t="s">
        <v>18</v>
      </c>
    </row>
    <row r="1170" spans="1:7" x14ac:dyDescent="0.25">
      <c r="A1170">
        <v>65</v>
      </c>
      <c r="B1170" t="s">
        <v>530</v>
      </c>
      <c r="C1170">
        <v>170</v>
      </c>
      <c r="D1170" t="s">
        <v>142</v>
      </c>
      <c r="E1170" t="s">
        <v>11</v>
      </c>
      <c r="F1170">
        <v>6.7060000000000004</v>
      </c>
      <c r="G1170" t="s">
        <v>15</v>
      </c>
    </row>
    <row r="1171" spans="1:7" x14ac:dyDescent="0.25">
      <c r="A1171">
        <v>65</v>
      </c>
      <c r="B1171" t="s">
        <v>530</v>
      </c>
      <c r="C1171">
        <v>180</v>
      </c>
      <c r="D1171" t="s">
        <v>535</v>
      </c>
      <c r="E1171" t="s">
        <v>11</v>
      </c>
      <c r="F1171">
        <v>1</v>
      </c>
      <c r="G1171" t="s">
        <v>18</v>
      </c>
    </row>
    <row r="1172" spans="1:7" x14ac:dyDescent="0.25">
      <c r="A1172">
        <v>66</v>
      </c>
      <c r="B1172" t="s">
        <v>536</v>
      </c>
      <c r="C1172">
        <v>10</v>
      </c>
      <c r="D1172" t="s">
        <v>537</v>
      </c>
      <c r="E1172" t="s">
        <v>11</v>
      </c>
      <c r="F1172">
        <v>1</v>
      </c>
      <c r="G1172" t="s">
        <v>18</v>
      </c>
    </row>
    <row r="1173" spans="1:7" x14ac:dyDescent="0.25">
      <c r="A1173">
        <v>66</v>
      </c>
      <c r="B1173" t="s">
        <v>536</v>
      </c>
      <c r="C1173">
        <v>20</v>
      </c>
      <c r="D1173" t="s">
        <v>132</v>
      </c>
      <c r="E1173" t="s">
        <v>14</v>
      </c>
      <c r="F1173">
        <v>4.2720000000000002</v>
      </c>
      <c r="G1173" t="s">
        <v>15</v>
      </c>
    </row>
    <row r="1174" spans="1:7" x14ac:dyDescent="0.25">
      <c r="A1174">
        <v>66</v>
      </c>
      <c r="B1174" t="s">
        <v>536</v>
      </c>
      <c r="C1174">
        <v>30</v>
      </c>
      <c r="D1174" t="s">
        <v>102</v>
      </c>
      <c r="E1174" t="s">
        <v>103</v>
      </c>
      <c r="F1174">
        <v>1.18</v>
      </c>
      <c r="G1174" t="s">
        <v>15</v>
      </c>
    </row>
    <row r="1175" spans="1:7" x14ac:dyDescent="0.25">
      <c r="A1175">
        <v>66</v>
      </c>
      <c r="B1175" t="s">
        <v>536</v>
      </c>
      <c r="C1175">
        <v>40</v>
      </c>
      <c r="D1175" t="s">
        <v>146</v>
      </c>
      <c r="E1175" t="s">
        <v>11</v>
      </c>
      <c r="F1175">
        <v>2.0569999999999999</v>
      </c>
      <c r="G1175" t="s">
        <v>18</v>
      </c>
    </row>
    <row r="1176" spans="1:7" x14ac:dyDescent="0.25">
      <c r="A1176">
        <v>66</v>
      </c>
      <c r="B1176" t="s">
        <v>536</v>
      </c>
      <c r="C1176">
        <v>50</v>
      </c>
      <c r="D1176" t="s">
        <v>139</v>
      </c>
      <c r="E1176" t="s">
        <v>17</v>
      </c>
      <c r="F1176">
        <v>2.0569999999999999</v>
      </c>
      <c r="G1176" t="s">
        <v>18</v>
      </c>
    </row>
    <row r="1177" spans="1:7" x14ac:dyDescent="0.25">
      <c r="A1177">
        <v>66</v>
      </c>
      <c r="B1177" t="s">
        <v>536</v>
      </c>
      <c r="C1177">
        <v>60</v>
      </c>
      <c r="D1177" t="s">
        <v>538</v>
      </c>
      <c r="E1177" t="s">
        <v>11</v>
      </c>
      <c r="F1177">
        <v>1</v>
      </c>
      <c r="G1177" t="s">
        <v>18</v>
      </c>
    </row>
    <row r="1178" spans="1:7" x14ac:dyDescent="0.25">
      <c r="A1178">
        <v>66</v>
      </c>
      <c r="B1178" t="s">
        <v>536</v>
      </c>
      <c r="C1178">
        <v>70</v>
      </c>
      <c r="D1178" t="s">
        <v>148</v>
      </c>
      <c r="E1178" t="s">
        <v>17</v>
      </c>
      <c r="F1178">
        <v>21.946000000000002</v>
      </c>
      <c r="G1178" t="s">
        <v>15</v>
      </c>
    </row>
    <row r="1179" spans="1:7" x14ac:dyDescent="0.25">
      <c r="A1179">
        <v>66</v>
      </c>
      <c r="B1179" t="s">
        <v>536</v>
      </c>
      <c r="C1179">
        <v>80</v>
      </c>
      <c r="D1179" t="s">
        <v>20</v>
      </c>
      <c r="E1179" t="s">
        <v>17</v>
      </c>
      <c r="F1179">
        <v>179.95400000000001</v>
      </c>
      <c r="G1179" t="s">
        <v>15</v>
      </c>
    </row>
    <row r="1180" spans="1:7" x14ac:dyDescent="0.25">
      <c r="A1180">
        <v>66</v>
      </c>
      <c r="B1180" t="s">
        <v>536</v>
      </c>
      <c r="C1180">
        <v>90</v>
      </c>
      <c r="D1180" t="s">
        <v>24</v>
      </c>
      <c r="E1180" t="s">
        <v>11</v>
      </c>
      <c r="F1180">
        <v>1</v>
      </c>
      <c r="G1180" t="s">
        <v>15</v>
      </c>
    </row>
    <row r="1181" spans="1:7" x14ac:dyDescent="0.25">
      <c r="A1181">
        <v>66</v>
      </c>
      <c r="B1181" t="s">
        <v>536</v>
      </c>
      <c r="C1181">
        <v>100</v>
      </c>
      <c r="D1181" t="s">
        <v>141</v>
      </c>
      <c r="E1181" t="s">
        <v>14</v>
      </c>
      <c r="F1181">
        <v>0.128</v>
      </c>
      <c r="G1181" t="s">
        <v>15</v>
      </c>
    </row>
    <row r="1182" spans="1:7" x14ac:dyDescent="0.25">
      <c r="A1182">
        <v>66</v>
      </c>
      <c r="B1182" t="s">
        <v>536</v>
      </c>
      <c r="C1182">
        <v>110</v>
      </c>
      <c r="D1182" t="s">
        <v>140</v>
      </c>
      <c r="E1182" t="s">
        <v>11</v>
      </c>
      <c r="F1182">
        <v>4</v>
      </c>
      <c r="G1182" t="s">
        <v>15</v>
      </c>
    </row>
    <row r="1183" spans="1:7" x14ac:dyDescent="0.25">
      <c r="A1183">
        <v>66</v>
      </c>
      <c r="B1183" t="s">
        <v>536</v>
      </c>
      <c r="C1183">
        <v>120</v>
      </c>
      <c r="D1183" t="s">
        <v>25</v>
      </c>
      <c r="E1183" t="s">
        <v>11</v>
      </c>
      <c r="F1183">
        <v>1</v>
      </c>
      <c r="G1183" t="s">
        <v>15</v>
      </c>
    </row>
    <row r="1184" spans="1:7" x14ac:dyDescent="0.25">
      <c r="A1184">
        <v>66</v>
      </c>
      <c r="B1184" t="s">
        <v>536</v>
      </c>
      <c r="C1184">
        <v>130</v>
      </c>
      <c r="D1184" t="s">
        <v>26</v>
      </c>
      <c r="E1184" t="s">
        <v>11</v>
      </c>
      <c r="F1184">
        <v>1</v>
      </c>
      <c r="G1184" t="s">
        <v>15</v>
      </c>
    </row>
    <row r="1185" spans="1:7" x14ac:dyDescent="0.25">
      <c r="A1185">
        <v>66</v>
      </c>
      <c r="B1185" t="s">
        <v>536</v>
      </c>
      <c r="C1185">
        <v>140</v>
      </c>
      <c r="D1185" t="s">
        <v>100</v>
      </c>
      <c r="E1185" t="s">
        <v>14</v>
      </c>
      <c r="F1185">
        <v>1.216</v>
      </c>
      <c r="G1185" t="s">
        <v>15</v>
      </c>
    </row>
    <row r="1186" spans="1:7" x14ac:dyDescent="0.25">
      <c r="A1186">
        <v>66</v>
      </c>
      <c r="B1186" t="s">
        <v>536</v>
      </c>
      <c r="C1186">
        <v>150</v>
      </c>
      <c r="D1186" t="s">
        <v>539</v>
      </c>
      <c r="E1186" t="s">
        <v>11</v>
      </c>
      <c r="F1186">
        <v>1</v>
      </c>
      <c r="G1186" t="s">
        <v>18</v>
      </c>
    </row>
    <row r="1187" spans="1:7" x14ac:dyDescent="0.25">
      <c r="A1187">
        <v>66</v>
      </c>
      <c r="B1187" t="s">
        <v>536</v>
      </c>
      <c r="C1187">
        <v>160</v>
      </c>
      <c r="D1187" t="s">
        <v>540</v>
      </c>
      <c r="E1187" t="s">
        <v>11</v>
      </c>
      <c r="F1187">
        <v>1</v>
      </c>
      <c r="G1187" t="s">
        <v>18</v>
      </c>
    </row>
    <row r="1188" spans="1:7" x14ac:dyDescent="0.25">
      <c r="A1188">
        <v>66</v>
      </c>
      <c r="B1188" t="s">
        <v>536</v>
      </c>
      <c r="C1188">
        <v>170</v>
      </c>
      <c r="D1188" t="s">
        <v>142</v>
      </c>
      <c r="E1188" t="s">
        <v>11</v>
      </c>
      <c r="F1188">
        <v>7.3150000000000004</v>
      </c>
      <c r="G1188" t="s">
        <v>15</v>
      </c>
    </row>
    <row r="1189" spans="1:7" x14ac:dyDescent="0.25">
      <c r="A1189">
        <v>66</v>
      </c>
      <c r="B1189" t="s">
        <v>536</v>
      </c>
      <c r="C1189">
        <v>180</v>
      </c>
      <c r="D1189" t="s">
        <v>541</v>
      </c>
      <c r="E1189" t="s">
        <v>11</v>
      </c>
      <c r="F1189">
        <v>1</v>
      </c>
      <c r="G1189" t="s">
        <v>18</v>
      </c>
    </row>
    <row r="1190" spans="1:7" x14ac:dyDescent="0.25">
      <c r="A1190">
        <v>67</v>
      </c>
      <c r="B1190" t="s">
        <v>542</v>
      </c>
      <c r="C1190">
        <v>10</v>
      </c>
      <c r="D1190" t="s">
        <v>543</v>
      </c>
      <c r="E1190" t="s">
        <v>11</v>
      </c>
      <c r="F1190">
        <v>1</v>
      </c>
      <c r="G1190" t="s">
        <v>18</v>
      </c>
    </row>
    <row r="1191" spans="1:7" x14ac:dyDescent="0.25">
      <c r="A1191">
        <v>67</v>
      </c>
      <c r="B1191" t="s">
        <v>542</v>
      </c>
      <c r="C1191">
        <v>20</v>
      </c>
      <c r="D1191" t="s">
        <v>132</v>
      </c>
      <c r="E1191" t="s">
        <v>14</v>
      </c>
      <c r="F1191">
        <v>4.7030000000000003</v>
      </c>
      <c r="G1191" t="s">
        <v>15</v>
      </c>
    </row>
    <row r="1192" spans="1:7" x14ac:dyDescent="0.25">
      <c r="A1192">
        <v>67</v>
      </c>
      <c r="B1192" t="s">
        <v>542</v>
      </c>
      <c r="C1192">
        <v>30</v>
      </c>
      <c r="D1192" t="s">
        <v>102</v>
      </c>
      <c r="E1192" t="s">
        <v>103</v>
      </c>
      <c r="F1192">
        <v>1.3</v>
      </c>
      <c r="G1192" t="s">
        <v>15</v>
      </c>
    </row>
    <row r="1193" spans="1:7" x14ac:dyDescent="0.25">
      <c r="A1193">
        <v>67</v>
      </c>
      <c r="B1193" t="s">
        <v>542</v>
      </c>
      <c r="C1193">
        <v>40</v>
      </c>
      <c r="D1193" t="s">
        <v>146</v>
      </c>
      <c r="E1193" t="s">
        <v>11</v>
      </c>
      <c r="F1193">
        <v>2.0569999999999999</v>
      </c>
      <c r="G1193" t="s">
        <v>18</v>
      </c>
    </row>
    <row r="1194" spans="1:7" x14ac:dyDescent="0.25">
      <c r="A1194">
        <v>67</v>
      </c>
      <c r="B1194" t="s">
        <v>542</v>
      </c>
      <c r="C1194">
        <v>50</v>
      </c>
      <c r="D1194" t="s">
        <v>139</v>
      </c>
      <c r="E1194" t="s">
        <v>17</v>
      </c>
      <c r="F1194">
        <v>2.0569999999999999</v>
      </c>
      <c r="G1194" t="s">
        <v>18</v>
      </c>
    </row>
    <row r="1195" spans="1:7" x14ac:dyDescent="0.25">
      <c r="A1195">
        <v>67</v>
      </c>
      <c r="B1195" t="s">
        <v>542</v>
      </c>
      <c r="C1195">
        <v>60</v>
      </c>
      <c r="D1195" t="s">
        <v>544</v>
      </c>
      <c r="E1195" t="s">
        <v>11</v>
      </c>
      <c r="F1195">
        <v>1</v>
      </c>
      <c r="G1195" t="s">
        <v>18</v>
      </c>
    </row>
    <row r="1196" spans="1:7" x14ac:dyDescent="0.25">
      <c r="A1196">
        <v>67</v>
      </c>
      <c r="B1196" t="s">
        <v>542</v>
      </c>
      <c r="C1196">
        <v>70</v>
      </c>
      <c r="D1196" t="s">
        <v>148</v>
      </c>
      <c r="E1196" t="s">
        <v>17</v>
      </c>
      <c r="F1196">
        <v>22.86</v>
      </c>
      <c r="G1196" t="s">
        <v>15</v>
      </c>
    </row>
    <row r="1197" spans="1:7" x14ac:dyDescent="0.25">
      <c r="A1197">
        <v>67</v>
      </c>
      <c r="B1197" t="s">
        <v>542</v>
      </c>
      <c r="C1197">
        <v>80</v>
      </c>
      <c r="D1197" t="s">
        <v>20</v>
      </c>
      <c r="E1197" t="s">
        <v>17</v>
      </c>
      <c r="F1197">
        <v>187.452</v>
      </c>
      <c r="G1197" t="s">
        <v>15</v>
      </c>
    </row>
    <row r="1198" spans="1:7" x14ac:dyDescent="0.25">
      <c r="A1198">
        <v>67</v>
      </c>
      <c r="B1198" t="s">
        <v>542</v>
      </c>
      <c r="C1198">
        <v>90</v>
      </c>
      <c r="D1198" t="s">
        <v>24</v>
      </c>
      <c r="E1198" t="s">
        <v>11</v>
      </c>
      <c r="F1198">
        <v>1</v>
      </c>
      <c r="G1198" t="s">
        <v>15</v>
      </c>
    </row>
    <row r="1199" spans="1:7" x14ac:dyDescent="0.25">
      <c r="A1199">
        <v>67</v>
      </c>
      <c r="B1199" t="s">
        <v>542</v>
      </c>
      <c r="C1199">
        <v>100</v>
      </c>
      <c r="D1199" t="s">
        <v>141</v>
      </c>
      <c r="E1199" t="s">
        <v>14</v>
      </c>
      <c r="F1199">
        <v>0.13800000000000001</v>
      </c>
      <c r="G1199" t="s">
        <v>15</v>
      </c>
    </row>
    <row r="1200" spans="1:7" x14ac:dyDescent="0.25">
      <c r="A1200">
        <v>67</v>
      </c>
      <c r="B1200" t="s">
        <v>542</v>
      </c>
      <c r="C1200">
        <v>110</v>
      </c>
      <c r="D1200" t="s">
        <v>140</v>
      </c>
      <c r="E1200" t="s">
        <v>11</v>
      </c>
      <c r="F1200">
        <v>4</v>
      </c>
      <c r="G1200" t="s">
        <v>15</v>
      </c>
    </row>
    <row r="1201" spans="1:7" x14ac:dyDescent="0.25">
      <c r="A1201">
        <v>67</v>
      </c>
      <c r="B1201" t="s">
        <v>542</v>
      </c>
      <c r="C1201">
        <v>120</v>
      </c>
      <c r="D1201" t="s">
        <v>25</v>
      </c>
      <c r="E1201" t="s">
        <v>11</v>
      </c>
      <c r="F1201">
        <v>1</v>
      </c>
      <c r="G1201" t="s">
        <v>15</v>
      </c>
    </row>
    <row r="1202" spans="1:7" x14ac:dyDescent="0.25">
      <c r="A1202">
        <v>67</v>
      </c>
      <c r="B1202" t="s">
        <v>542</v>
      </c>
      <c r="C1202">
        <v>130</v>
      </c>
      <c r="D1202" t="s">
        <v>26</v>
      </c>
      <c r="E1202" t="s">
        <v>11</v>
      </c>
      <c r="F1202">
        <v>1</v>
      </c>
      <c r="G1202" t="s">
        <v>15</v>
      </c>
    </row>
    <row r="1203" spans="1:7" x14ac:dyDescent="0.25">
      <c r="A1203">
        <v>67</v>
      </c>
      <c r="B1203" t="s">
        <v>542</v>
      </c>
      <c r="C1203">
        <v>140</v>
      </c>
      <c r="D1203" t="s">
        <v>100</v>
      </c>
      <c r="E1203" t="s">
        <v>14</v>
      </c>
      <c r="F1203">
        <v>1.216</v>
      </c>
      <c r="G1203" t="s">
        <v>15</v>
      </c>
    </row>
    <row r="1204" spans="1:7" x14ac:dyDescent="0.25">
      <c r="A1204">
        <v>67</v>
      </c>
      <c r="B1204" t="s">
        <v>542</v>
      </c>
      <c r="C1204">
        <v>150</v>
      </c>
      <c r="D1204" t="s">
        <v>545</v>
      </c>
      <c r="E1204" t="s">
        <v>11</v>
      </c>
      <c r="F1204">
        <v>1</v>
      </c>
      <c r="G1204" t="s">
        <v>18</v>
      </c>
    </row>
    <row r="1205" spans="1:7" x14ac:dyDescent="0.25">
      <c r="A1205">
        <v>67</v>
      </c>
      <c r="B1205" t="s">
        <v>542</v>
      </c>
      <c r="C1205">
        <v>160</v>
      </c>
      <c r="D1205" t="s">
        <v>546</v>
      </c>
      <c r="E1205" t="s">
        <v>11</v>
      </c>
      <c r="F1205">
        <v>1</v>
      </c>
      <c r="G1205" t="s">
        <v>18</v>
      </c>
    </row>
    <row r="1206" spans="1:7" x14ac:dyDescent="0.25">
      <c r="A1206">
        <v>67</v>
      </c>
      <c r="B1206" t="s">
        <v>542</v>
      </c>
      <c r="C1206">
        <v>170</v>
      </c>
      <c r="D1206" t="s">
        <v>142</v>
      </c>
      <c r="E1206" t="s">
        <v>11</v>
      </c>
      <c r="F1206">
        <v>7.62</v>
      </c>
      <c r="G1206" t="s">
        <v>15</v>
      </c>
    </row>
    <row r="1207" spans="1:7" x14ac:dyDescent="0.25">
      <c r="A1207">
        <v>67</v>
      </c>
      <c r="B1207" t="s">
        <v>542</v>
      </c>
      <c r="C1207">
        <v>180</v>
      </c>
      <c r="D1207" t="s">
        <v>547</v>
      </c>
      <c r="E1207" t="s">
        <v>11</v>
      </c>
      <c r="F1207">
        <v>1</v>
      </c>
      <c r="G1207" t="s">
        <v>18</v>
      </c>
    </row>
    <row r="1208" spans="1:7" x14ac:dyDescent="0.25">
      <c r="A1208">
        <v>68</v>
      </c>
      <c r="B1208" t="s">
        <v>548</v>
      </c>
      <c r="C1208">
        <v>10</v>
      </c>
      <c r="D1208" t="s">
        <v>549</v>
      </c>
      <c r="E1208" t="s">
        <v>11</v>
      </c>
      <c r="F1208">
        <v>1</v>
      </c>
      <c r="G1208" t="s">
        <v>18</v>
      </c>
    </row>
    <row r="1209" spans="1:7" x14ac:dyDescent="0.25">
      <c r="A1209">
        <v>68</v>
      </c>
      <c r="B1209" t="s">
        <v>548</v>
      </c>
      <c r="C1209">
        <v>20</v>
      </c>
      <c r="D1209" t="s">
        <v>132</v>
      </c>
      <c r="E1209" t="s">
        <v>14</v>
      </c>
      <c r="F1209">
        <v>5.1340000000000003</v>
      </c>
      <c r="G1209" t="s">
        <v>15</v>
      </c>
    </row>
    <row r="1210" spans="1:7" x14ac:dyDescent="0.25">
      <c r="A1210">
        <v>68</v>
      </c>
      <c r="B1210" t="s">
        <v>548</v>
      </c>
      <c r="C1210">
        <v>30</v>
      </c>
      <c r="D1210" t="s">
        <v>102</v>
      </c>
      <c r="E1210" t="s">
        <v>103</v>
      </c>
      <c r="F1210">
        <v>1.42</v>
      </c>
      <c r="G1210" t="s">
        <v>15</v>
      </c>
    </row>
    <row r="1211" spans="1:7" x14ac:dyDescent="0.25">
      <c r="A1211">
        <v>68</v>
      </c>
      <c r="B1211" t="s">
        <v>548</v>
      </c>
      <c r="C1211">
        <v>40</v>
      </c>
      <c r="D1211" t="s">
        <v>146</v>
      </c>
      <c r="E1211" t="s">
        <v>11</v>
      </c>
      <c r="F1211">
        <v>2.0569999999999999</v>
      </c>
      <c r="G1211" t="s">
        <v>18</v>
      </c>
    </row>
    <row r="1212" spans="1:7" x14ac:dyDescent="0.25">
      <c r="A1212">
        <v>68</v>
      </c>
      <c r="B1212" t="s">
        <v>548</v>
      </c>
      <c r="C1212">
        <v>50</v>
      </c>
      <c r="D1212" t="s">
        <v>139</v>
      </c>
      <c r="E1212" t="s">
        <v>17</v>
      </c>
      <c r="F1212">
        <v>2.0569999999999999</v>
      </c>
      <c r="G1212" t="s">
        <v>18</v>
      </c>
    </row>
    <row r="1213" spans="1:7" x14ac:dyDescent="0.25">
      <c r="A1213">
        <v>68</v>
      </c>
      <c r="B1213" t="s">
        <v>548</v>
      </c>
      <c r="C1213">
        <v>60</v>
      </c>
      <c r="D1213" t="s">
        <v>550</v>
      </c>
      <c r="E1213" t="s">
        <v>11</v>
      </c>
      <c r="F1213">
        <v>1</v>
      </c>
      <c r="G1213" t="s">
        <v>18</v>
      </c>
    </row>
    <row r="1214" spans="1:7" x14ac:dyDescent="0.25">
      <c r="A1214">
        <v>68</v>
      </c>
      <c r="B1214" t="s">
        <v>548</v>
      </c>
      <c r="C1214">
        <v>70</v>
      </c>
      <c r="D1214" t="s">
        <v>148</v>
      </c>
      <c r="E1214" t="s">
        <v>17</v>
      </c>
      <c r="F1214">
        <v>23.774000000000001</v>
      </c>
      <c r="G1214" t="s">
        <v>15</v>
      </c>
    </row>
    <row r="1215" spans="1:7" x14ac:dyDescent="0.25">
      <c r="A1215">
        <v>68</v>
      </c>
      <c r="B1215" t="s">
        <v>548</v>
      </c>
      <c r="C1215">
        <v>80</v>
      </c>
      <c r="D1215" t="s">
        <v>20</v>
      </c>
      <c r="E1215" t="s">
        <v>17</v>
      </c>
      <c r="F1215">
        <v>194.95</v>
      </c>
      <c r="G1215" t="s">
        <v>15</v>
      </c>
    </row>
    <row r="1216" spans="1:7" x14ac:dyDescent="0.25">
      <c r="A1216">
        <v>68</v>
      </c>
      <c r="B1216" t="s">
        <v>548</v>
      </c>
      <c r="C1216">
        <v>90</v>
      </c>
      <c r="D1216" t="s">
        <v>24</v>
      </c>
      <c r="E1216" t="s">
        <v>11</v>
      </c>
      <c r="F1216">
        <v>1</v>
      </c>
      <c r="G1216" t="s">
        <v>15</v>
      </c>
    </row>
    <row r="1217" spans="1:7" x14ac:dyDescent="0.25">
      <c r="A1217">
        <v>68</v>
      </c>
      <c r="B1217" t="s">
        <v>548</v>
      </c>
      <c r="C1217">
        <v>100</v>
      </c>
      <c r="D1217" t="s">
        <v>141</v>
      </c>
      <c r="E1217" t="s">
        <v>14</v>
      </c>
      <c r="F1217">
        <v>0.14899999999999999</v>
      </c>
      <c r="G1217" t="s">
        <v>15</v>
      </c>
    </row>
    <row r="1218" spans="1:7" x14ac:dyDescent="0.25">
      <c r="A1218">
        <v>68</v>
      </c>
      <c r="B1218" t="s">
        <v>548</v>
      </c>
      <c r="C1218">
        <v>110</v>
      </c>
      <c r="D1218" t="s">
        <v>140</v>
      </c>
      <c r="E1218" t="s">
        <v>11</v>
      </c>
      <c r="F1218">
        <v>4</v>
      </c>
      <c r="G1218" t="s">
        <v>15</v>
      </c>
    </row>
    <row r="1219" spans="1:7" x14ac:dyDescent="0.25">
      <c r="A1219">
        <v>68</v>
      </c>
      <c r="B1219" t="s">
        <v>548</v>
      </c>
      <c r="C1219">
        <v>120</v>
      </c>
      <c r="D1219" t="s">
        <v>25</v>
      </c>
      <c r="E1219" t="s">
        <v>11</v>
      </c>
      <c r="F1219">
        <v>1</v>
      </c>
      <c r="G1219" t="s">
        <v>15</v>
      </c>
    </row>
    <row r="1220" spans="1:7" x14ac:dyDescent="0.25">
      <c r="A1220">
        <v>68</v>
      </c>
      <c r="B1220" t="s">
        <v>548</v>
      </c>
      <c r="C1220">
        <v>130</v>
      </c>
      <c r="D1220" t="s">
        <v>26</v>
      </c>
      <c r="E1220" t="s">
        <v>11</v>
      </c>
      <c r="F1220">
        <v>1</v>
      </c>
      <c r="G1220" t="s">
        <v>15</v>
      </c>
    </row>
    <row r="1221" spans="1:7" x14ac:dyDescent="0.25">
      <c r="A1221">
        <v>68</v>
      </c>
      <c r="B1221" t="s">
        <v>548</v>
      </c>
      <c r="C1221">
        <v>140</v>
      </c>
      <c r="D1221" t="s">
        <v>100</v>
      </c>
      <c r="E1221" t="s">
        <v>14</v>
      </c>
      <c r="F1221">
        <v>1.216</v>
      </c>
      <c r="G1221" t="s">
        <v>15</v>
      </c>
    </row>
    <row r="1222" spans="1:7" x14ac:dyDescent="0.25">
      <c r="A1222">
        <v>68</v>
      </c>
      <c r="B1222" t="s">
        <v>548</v>
      </c>
      <c r="C1222">
        <v>150</v>
      </c>
      <c r="D1222" t="s">
        <v>551</v>
      </c>
      <c r="E1222" t="s">
        <v>11</v>
      </c>
      <c r="F1222">
        <v>1</v>
      </c>
      <c r="G1222" t="s">
        <v>18</v>
      </c>
    </row>
    <row r="1223" spans="1:7" x14ac:dyDescent="0.25">
      <c r="A1223">
        <v>68</v>
      </c>
      <c r="B1223" t="s">
        <v>548</v>
      </c>
      <c r="C1223">
        <v>160</v>
      </c>
      <c r="D1223" t="s">
        <v>552</v>
      </c>
      <c r="E1223" t="s">
        <v>11</v>
      </c>
      <c r="F1223">
        <v>1</v>
      </c>
      <c r="G1223" t="s">
        <v>18</v>
      </c>
    </row>
    <row r="1224" spans="1:7" x14ac:dyDescent="0.25">
      <c r="A1224">
        <v>68</v>
      </c>
      <c r="B1224" t="s">
        <v>548</v>
      </c>
      <c r="C1224">
        <v>170</v>
      </c>
      <c r="D1224" t="s">
        <v>142</v>
      </c>
      <c r="E1224" t="s">
        <v>11</v>
      </c>
      <c r="F1224">
        <v>7.9249999999999998</v>
      </c>
      <c r="G1224" t="s">
        <v>15</v>
      </c>
    </row>
    <row r="1225" spans="1:7" x14ac:dyDescent="0.25">
      <c r="A1225">
        <v>68</v>
      </c>
      <c r="B1225" t="s">
        <v>548</v>
      </c>
      <c r="C1225">
        <v>180</v>
      </c>
      <c r="D1225" t="s">
        <v>553</v>
      </c>
      <c r="E1225" t="s">
        <v>11</v>
      </c>
      <c r="F1225">
        <v>1</v>
      </c>
      <c r="G1225" t="s">
        <v>18</v>
      </c>
    </row>
    <row r="1226" spans="1:7" x14ac:dyDescent="0.25">
      <c r="A1226">
        <v>69</v>
      </c>
      <c r="B1226" t="s">
        <v>554</v>
      </c>
      <c r="C1226">
        <v>10</v>
      </c>
      <c r="D1226" t="s">
        <v>555</v>
      </c>
      <c r="E1226" t="s">
        <v>11</v>
      </c>
      <c r="F1226">
        <v>1</v>
      </c>
      <c r="G1226" t="s">
        <v>18</v>
      </c>
    </row>
    <row r="1227" spans="1:7" x14ac:dyDescent="0.25">
      <c r="A1227">
        <v>69</v>
      </c>
      <c r="B1227" t="s">
        <v>554</v>
      </c>
      <c r="C1227">
        <v>20</v>
      </c>
      <c r="D1227" t="s">
        <v>132</v>
      </c>
      <c r="E1227" t="s">
        <v>14</v>
      </c>
      <c r="F1227">
        <v>2.2250000000000001</v>
      </c>
      <c r="G1227" t="s">
        <v>15</v>
      </c>
    </row>
    <row r="1228" spans="1:7" x14ac:dyDescent="0.25">
      <c r="A1228">
        <v>69</v>
      </c>
      <c r="B1228" t="s">
        <v>554</v>
      </c>
      <c r="C1228">
        <v>30</v>
      </c>
      <c r="D1228" t="s">
        <v>102</v>
      </c>
      <c r="E1228" t="s">
        <v>103</v>
      </c>
      <c r="F1228">
        <v>0.60899999999999999</v>
      </c>
      <c r="G1228" t="s">
        <v>15</v>
      </c>
    </row>
    <row r="1229" spans="1:7" x14ac:dyDescent="0.25">
      <c r="A1229">
        <v>69</v>
      </c>
      <c r="B1229" t="s">
        <v>554</v>
      </c>
      <c r="C1229">
        <v>40</v>
      </c>
      <c r="D1229" t="s">
        <v>146</v>
      </c>
      <c r="E1229" t="s">
        <v>11</v>
      </c>
      <c r="F1229">
        <v>2.1589999999999998</v>
      </c>
      <c r="G1229" t="s">
        <v>18</v>
      </c>
    </row>
    <row r="1230" spans="1:7" x14ac:dyDescent="0.25">
      <c r="A1230">
        <v>69</v>
      </c>
      <c r="B1230" t="s">
        <v>554</v>
      </c>
      <c r="C1230">
        <v>50</v>
      </c>
      <c r="D1230" t="s">
        <v>139</v>
      </c>
      <c r="E1230" t="s">
        <v>17</v>
      </c>
      <c r="F1230">
        <v>2.1589999999999998</v>
      </c>
      <c r="G1230" t="s">
        <v>18</v>
      </c>
    </row>
    <row r="1231" spans="1:7" x14ac:dyDescent="0.25">
      <c r="A1231">
        <v>69</v>
      </c>
      <c r="B1231" t="s">
        <v>554</v>
      </c>
      <c r="C1231">
        <v>60</v>
      </c>
      <c r="D1231" t="s">
        <v>556</v>
      </c>
      <c r="E1231" t="s">
        <v>11</v>
      </c>
      <c r="F1231">
        <v>1</v>
      </c>
      <c r="G1231" t="s">
        <v>18</v>
      </c>
    </row>
    <row r="1232" spans="1:7" x14ac:dyDescent="0.25">
      <c r="A1232">
        <v>69</v>
      </c>
      <c r="B1232" t="s">
        <v>554</v>
      </c>
      <c r="C1232">
        <v>70</v>
      </c>
      <c r="D1232" t="s">
        <v>148</v>
      </c>
      <c r="E1232" t="s">
        <v>17</v>
      </c>
      <c r="F1232">
        <v>17.983000000000001</v>
      </c>
      <c r="G1232" t="s">
        <v>15</v>
      </c>
    </row>
    <row r="1233" spans="1:7" x14ac:dyDescent="0.25">
      <c r="A1233">
        <v>69</v>
      </c>
      <c r="B1233" t="s">
        <v>554</v>
      </c>
      <c r="C1233">
        <v>80</v>
      </c>
      <c r="D1233" t="s">
        <v>20</v>
      </c>
      <c r="E1233" t="s">
        <v>17</v>
      </c>
      <c r="F1233">
        <v>147.46199999999999</v>
      </c>
      <c r="G1233" t="s">
        <v>15</v>
      </c>
    </row>
    <row r="1234" spans="1:7" x14ac:dyDescent="0.25">
      <c r="A1234">
        <v>69</v>
      </c>
      <c r="B1234" t="s">
        <v>554</v>
      </c>
      <c r="C1234">
        <v>90</v>
      </c>
      <c r="D1234" t="s">
        <v>24</v>
      </c>
      <c r="E1234" t="s">
        <v>11</v>
      </c>
      <c r="F1234">
        <v>1</v>
      </c>
      <c r="G1234" t="s">
        <v>15</v>
      </c>
    </row>
    <row r="1235" spans="1:7" x14ac:dyDescent="0.25">
      <c r="A1235">
        <v>69</v>
      </c>
      <c r="B1235" t="s">
        <v>554</v>
      </c>
      <c r="C1235">
        <v>100</v>
      </c>
      <c r="D1235" t="s">
        <v>141</v>
      </c>
      <c r="E1235" t="s">
        <v>14</v>
      </c>
      <c r="F1235">
        <v>7.5999999999999998E-2</v>
      </c>
      <c r="G1235" t="s">
        <v>15</v>
      </c>
    </row>
    <row r="1236" spans="1:7" x14ac:dyDescent="0.25">
      <c r="A1236">
        <v>69</v>
      </c>
      <c r="B1236" t="s">
        <v>554</v>
      </c>
      <c r="C1236">
        <v>110</v>
      </c>
      <c r="D1236" t="s">
        <v>140</v>
      </c>
      <c r="E1236" t="s">
        <v>11</v>
      </c>
      <c r="F1236">
        <v>4</v>
      </c>
      <c r="G1236" t="s">
        <v>15</v>
      </c>
    </row>
    <row r="1237" spans="1:7" x14ac:dyDescent="0.25">
      <c r="A1237">
        <v>69</v>
      </c>
      <c r="B1237" t="s">
        <v>554</v>
      </c>
      <c r="C1237">
        <v>120</v>
      </c>
      <c r="D1237" t="s">
        <v>25</v>
      </c>
      <c r="E1237" t="s">
        <v>11</v>
      </c>
      <c r="F1237">
        <v>1</v>
      </c>
      <c r="G1237" t="s">
        <v>15</v>
      </c>
    </row>
    <row r="1238" spans="1:7" x14ac:dyDescent="0.25">
      <c r="A1238">
        <v>69</v>
      </c>
      <c r="B1238" t="s">
        <v>554</v>
      </c>
      <c r="C1238">
        <v>130</v>
      </c>
      <c r="D1238" t="s">
        <v>26</v>
      </c>
      <c r="E1238" t="s">
        <v>11</v>
      </c>
      <c r="F1238">
        <v>1</v>
      </c>
      <c r="G1238" t="s">
        <v>15</v>
      </c>
    </row>
    <row r="1239" spans="1:7" x14ac:dyDescent="0.25">
      <c r="A1239">
        <v>69</v>
      </c>
      <c r="B1239" t="s">
        <v>554</v>
      </c>
      <c r="C1239">
        <v>140</v>
      </c>
      <c r="D1239" t="s">
        <v>100</v>
      </c>
      <c r="E1239" t="s">
        <v>14</v>
      </c>
      <c r="F1239">
        <v>1.27</v>
      </c>
      <c r="G1239" t="s">
        <v>15</v>
      </c>
    </row>
    <row r="1240" spans="1:7" x14ac:dyDescent="0.25">
      <c r="A1240">
        <v>69</v>
      </c>
      <c r="B1240" t="s">
        <v>554</v>
      </c>
      <c r="C1240">
        <v>150</v>
      </c>
      <c r="D1240" t="s">
        <v>557</v>
      </c>
      <c r="E1240" t="s">
        <v>11</v>
      </c>
      <c r="F1240">
        <v>1</v>
      </c>
      <c r="G1240" t="s">
        <v>18</v>
      </c>
    </row>
    <row r="1241" spans="1:7" x14ac:dyDescent="0.25">
      <c r="A1241">
        <v>69</v>
      </c>
      <c r="B1241" t="s">
        <v>554</v>
      </c>
      <c r="C1241">
        <v>160</v>
      </c>
      <c r="D1241" t="s">
        <v>558</v>
      </c>
      <c r="E1241" t="s">
        <v>11</v>
      </c>
      <c r="F1241">
        <v>1</v>
      </c>
      <c r="G1241" t="s">
        <v>18</v>
      </c>
    </row>
    <row r="1242" spans="1:7" x14ac:dyDescent="0.25">
      <c r="A1242">
        <v>69</v>
      </c>
      <c r="B1242" t="s">
        <v>554</v>
      </c>
      <c r="C1242">
        <v>170</v>
      </c>
      <c r="D1242" t="s">
        <v>142</v>
      </c>
      <c r="E1242" t="s">
        <v>11</v>
      </c>
      <c r="F1242">
        <v>5.9939999999999998</v>
      </c>
      <c r="G1242" t="s">
        <v>15</v>
      </c>
    </row>
    <row r="1243" spans="1:7" x14ac:dyDescent="0.25">
      <c r="A1243">
        <v>69</v>
      </c>
      <c r="B1243" t="s">
        <v>554</v>
      </c>
      <c r="C1243">
        <v>180</v>
      </c>
      <c r="D1243" t="s">
        <v>559</v>
      </c>
      <c r="E1243" t="s">
        <v>11</v>
      </c>
      <c r="F1243">
        <v>1</v>
      </c>
      <c r="G1243" t="s">
        <v>18</v>
      </c>
    </row>
    <row r="1244" spans="1:7" x14ac:dyDescent="0.25">
      <c r="A1244">
        <v>70</v>
      </c>
      <c r="B1244" t="s">
        <v>560</v>
      </c>
      <c r="C1244">
        <v>10</v>
      </c>
      <c r="D1244" t="s">
        <v>561</v>
      </c>
      <c r="E1244" t="s">
        <v>11</v>
      </c>
      <c r="F1244">
        <v>1</v>
      </c>
      <c r="G1244" t="s">
        <v>18</v>
      </c>
    </row>
    <row r="1245" spans="1:7" x14ac:dyDescent="0.25">
      <c r="A1245">
        <v>70</v>
      </c>
      <c r="B1245" t="s">
        <v>560</v>
      </c>
      <c r="C1245">
        <v>20</v>
      </c>
      <c r="D1245" t="s">
        <v>132</v>
      </c>
      <c r="E1245" t="s">
        <v>14</v>
      </c>
      <c r="F1245">
        <v>2.677</v>
      </c>
      <c r="G1245" t="s">
        <v>15</v>
      </c>
    </row>
    <row r="1246" spans="1:7" x14ac:dyDescent="0.25">
      <c r="A1246">
        <v>70</v>
      </c>
      <c r="B1246" t="s">
        <v>560</v>
      </c>
      <c r="C1246">
        <v>30</v>
      </c>
      <c r="D1246" t="s">
        <v>102</v>
      </c>
      <c r="E1246" t="s">
        <v>103</v>
      </c>
      <c r="F1246">
        <v>0.73499999999999999</v>
      </c>
      <c r="G1246" t="s">
        <v>15</v>
      </c>
    </row>
    <row r="1247" spans="1:7" x14ac:dyDescent="0.25">
      <c r="A1247">
        <v>70</v>
      </c>
      <c r="B1247" t="s">
        <v>560</v>
      </c>
      <c r="C1247">
        <v>40</v>
      </c>
      <c r="D1247" t="s">
        <v>146</v>
      </c>
      <c r="E1247" t="s">
        <v>11</v>
      </c>
      <c r="F1247">
        <v>2.1589999999999998</v>
      </c>
      <c r="G1247" t="s">
        <v>18</v>
      </c>
    </row>
    <row r="1248" spans="1:7" x14ac:dyDescent="0.25">
      <c r="A1248">
        <v>70</v>
      </c>
      <c r="B1248" t="s">
        <v>560</v>
      </c>
      <c r="C1248">
        <v>50</v>
      </c>
      <c r="D1248" t="s">
        <v>139</v>
      </c>
      <c r="E1248" t="s">
        <v>17</v>
      </c>
      <c r="F1248">
        <v>2.1589999999999998</v>
      </c>
      <c r="G1248" t="s">
        <v>18</v>
      </c>
    </row>
    <row r="1249" spans="1:7" x14ac:dyDescent="0.25">
      <c r="A1249">
        <v>70</v>
      </c>
      <c r="B1249" t="s">
        <v>560</v>
      </c>
      <c r="C1249">
        <v>60</v>
      </c>
      <c r="D1249" t="s">
        <v>562</v>
      </c>
      <c r="E1249" t="s">
        <v>11</v>
      </c>
      <c r="F1249">
        <v>1</v>
      </c>
      <c r="G1249" t="s">
        <v>18</v>
      </c>
    </row>
    <row r="1250" spans="1:7" x14ac:dyDescent="0.25">
      <c r="A1250">
        <v>70</v>
      </c>
      <c r="B1250" t="s">
        <v>560</v>
      </c>
      <c r="C1250">
        <v>70</v>
      </c>
      <c r="D1250" t="s">
        <v>148</v>
      </c>
      <c r="E1250" t="s">
        <v>17</v>
      </c>
      <c r="F1250">
        <v>18.898</v>
      </c>
      <c r="G1250" t="s">
        <v>15</v>
      </c>
    </row>
    <row r="1251" spans="1:7" x14ac:dyDescent="0.25">
      <c r="A1251">
        <v>70</v>
      </c>
      <c r="B1251" t="s">
        <v>560</v>
      </c>
      <c r="C1251">
        <v>80</v>
      </c>
      <c r="D1251" t="s">
        <v>20</v>
      </c>
      <c r="E1251" t="s">
        <v>17</v>
      </c>
      <c r="F1251">
        <v>154.96</v>
      </c>
      <c r="G1251" t="s">
        <v>15</v>
      </c>
    </row>
    <row r="1252" spans="1:7" x14ac:dyDescent="0.25">
      <c r="A1252">
        <v>70</v>
      </c>
      <c r="B1252" t="s">
        <v>560</v>
      </c>
      <c r="C1252">
        <v>90</v>
      </c>
      <c r="D1252" t="s">
        <v>24</v>
      </c>
      <c r="E1252" t="s">
        <v>11</v>
      </c>
      <c r="F1252">
        <v>1</v>
      </c>
      <c r="G1252" t="s">
        <v>15</v>
      </c>
    </row>
    <row r="1253" spans="1:7" x14ac:dyDescent="0.25">
      <c r="A1253">
        <v>70</v>
      </c>
      <c r="B1253" t="s">
        <v>560</v>
      </c>
      <c r="C1253">
        <v>100</v>
      </c>
      <c r="D1253" t="s">
        <v>141</v>
      </c>
      <c r="E1253" t="s">
        <v>14</v>
      </c>
      <c r="F1253">
        <v>8.5999999999999993E-2</v>
      </c>
      <c r="G1253" t="s">
        <v>15</v>
      </c>
    </row>
    <row r="1254" spans="1:7" x14ac:dyDescent="0.25">
      <c r="A1254">
        <v>70</v>
      </c>
      <c r="B1254" t="s">
        <v>560</v>
      </c>
      <c r="C1254">
        <v>110</v>
      </c>
      <c r="D1254" t="s">
        <v>140</v>
      </c>
      <c r="E1254" t="s">
        <v>11</v>
      </c>
      <c r="F1254">
        <v>4</v>
      </c>
      <c r="G1254" t="s">
        <v>15</v>
      </c>
    </row>
    <row r="1255" spans="1:7" x14ac:dyDescent="0.25">
      <c r="A1255">
        <v>70</v>
      </c>
      <c r="B1255" t="s">
        <v>560</v>
      </c>
      <c r="C1255">
        <v>120</v>
      </c>
      <c r="D1255" t="s">
        <v>25</v>
      </c>
      <c r="E1255" t="s">
        <v>11</v>
      </c>
      <c r="F1255">
        <v>1</v>
      </c>
      <c r="G1255" t="s">
        <v>15</v>
      </c>
    </row>
    <row r="1256" spans="1:7" x14ac:dyDescent="0.25">
      <c r="A1256">
        <v>70</v>
      </c>
      <c r="B1256" t="s">
        <v>560</v>
      </c>
      <c r="C1256">
        <v>130</v>
      </c>
      <c r="D1256" t="s">
        <v>26</v>
      </c>
      <c r="E1256" t="s">
        <v>11</v>
      </c>
      <c r="F1256">
        <v>1</v>
      </c>
      <c r="G1256" t="s">
        <v>15</v>
      </c>
    </row>
    <row r="1257" spans="1:7" x14ac:dyDescent="0.25">
      <c r="A1257">
        <v>70</v>
      </c>
      <c r="B1257" t="s">
        <v>560</v>
      </c>
      <c r="C1257">
        <v>140</v>
      </c>
      <c r="D1257" t="s">
        <v>100</v>
      </c>
      <c r="E1257" t="s">
        <v>14</v>
      </c>
      <c r="F1257">
        <v>1.27</v>
      </c>
      <c r="G1257" t="s">
        <v>15</v>
      </c>
    </row>
    <row r="1258" spans="1:7" x14ac:dyDescent="0.25">
      <c r="A1258">
        <v>70</v>
      </c>
      <c r="B1258" t="s">
        <v>560</v>
      </c>
      <c r="C1258">
        <v>150</v>
      </c>
      <c r="D1258" t="s">
        <v>563</v>
      </c>
      <c r="E1258" t="s">
        <v>11</v>
      </c>
      <c r="F1258">
        <v>1</v>
      </c>
      <c r="G1258" t="s">
        <v>18</v>
      </c>
    </row>
    <row r="1259" spans="1:7" x14ac:dyDescent="0.25">
      <c r="A1259">
        <v>70</v>
      </c>
      <c r="B1259" t="s">
        <v>560</v>
      </c>
      <c r="C1259">
        <v>160</v>
      </c>
      <c r="D1259" t="s">
        <v>564</v>
      </c>
      <c r="E1259" t="s">
        <v>11</v>
      </c>
      <c r="F1259">
        <v>1</v>
      </c>
      <c r="G1259" t="s">
        <v>18</v>
      </c>
    </row>
    <row r="1260" spans="1:7" x14ac:dyDescent="0.25">
      <c r="A1260">
        <v>70</v>
      </c>
      <c r="B1260" t="s">
        <v>560</v>
      </c>
      <c r="C1260">
        <v>170</v>
      </c>
      <c r="D1260" t="s">
        <v>142</v>
      </c>
      <c r="E1260" t="s">
        <v>11</v>
      </c>
      <c r="F1260">
        <v>6.2990000000000004</v>
      </c>
      <c r="G1260" t="s">
        <v>15</v>
      </c>
    </row>
    <row r="1261" spans="1:7" x14ac:dyDescent="0.25">
      <c r="A1261">
        <v>70</v>
      </c>
      <c r="B1261" t="s">
        <v>560</v>
      </c>
      <c r="C1261">
        <v>180</v>
      </c>
      <c r="D1261" t="s">
        <v>565</v>
      </c>
      <c r="E1261" t="s">
        <v>11</v>
      </c>
      <c r="F1261">
        <v>1</v>
      </c>
      <c r="G1261" t="s">
        <v>18</v>
      </c>
    </row>
    <row r="1262" spans="1:7" x14ac:dyDescent="0.25">
      <c r="A1262">
        <v>71</v>
      </c>
      <c r="B1262" t="s">
        <v>566</v>
      </c>
      <c r="C1262">
        <v>10</v>
      </c>
      <c r="D1262" t="s">
        <v>567</v>
      </c>
      <c r="E1262" t="s">
        <v>11</v>
      </c>
      <c r="F1262">
        <v>1</v>
      </c>
      <c r="G1262" t="s">
        <v>18</v>
      </c>
    </row>
    <row r="1263" spans="1:7" x14ac:dyDescent="0.25">
      <c r="A1263">
        <v>71</v>
      </c>
      <c r="B1263" t="s">
        <v>566</v>
      </c>
      <c r="C1263">
        <v>20</v>
      </c>
      <c r="D1263" t="s">
        <v>132</v>
      </c>
      <c r="E1263" t="s">
        <v>14</v>
      </c>
      <c r="F1263">
        <v>3.13</v>
      </c>
      <c r="G1263" t="s">
        <v>15</v>
      </c>
    </row>
    <row r="1264" spans="1:7" x14ac:dyDescent="0.25">
      <c r="A1264">
        <v>71</v>
      </c>
      <c r="B1264" t="s">
        <v>566</v>
      </c>
      <c r="C1264">
        <v>30</v>
      </c>
      <c r="D1264" t="s">
        <v>102</v>
      </c>
      <c r="E1264" t="s">
        <v>103</v>
      </c>
      <c r="F1264">
        <v>0.86099999999999999</v>
      </c>
      <c r="G1264" t="s">
        <v>15</v>
      </c>
    </row>
    <row r="1265" spans="1:7" x14ac:dyDescent="0.25">
      <c r="A1265">
        <v>71</v>
      </c>
      <c r="B1265" t="s">
        <v>566</v>
      </c>
      <c r="C1265">
        <v>40</v>
      </c>
      <c r="D1265" t="s">
        <v>146</v>
      </c>
      <c r="E1265" t="s">
        <v>11</v>
      </c>
      <c r="F1265">
        <v>2.1589999999999998</v>
      </c>
      <c r="G1265" t="s">
        <v>18</v>
      </c>
    </row>
    <row r="1266" spans="1:7" x14ac:dyDescent="0.25">
      <c r="A1266">
        <v>71</v>
      </c>
      <c r="B1266" t="s">
        <v>566</v>
      </c>
      <c r="C1266">
        <v>50</v>
      </c>
      <c r="D1266" t="s">
        <v>139</v>
      </c>
      <c r="E1266" t="s">
        <v>17</v>
      </c>
      <c r="F1266">
        <v>2.1589999999999998</v>
      </c>
      <c r="G1266" t="s">
        <v>18</v>
      </c>
    </row>
    <row r="1267" spans="1:7" x14ac:dyDescent="0.25">
      <c r="A1267">
        <v>71</v>
      </c>
      <c r="B1267" t="s">
        <v>566</v>
      </c>
      <c r="C1267">
        <v>60</v>
      </c>
      <c r="D1267" t="s">
        <v>568</v>
      </c>
      <c r="E1267" t="s">
        <v>11</v>
      </c>
      <c r="F1267">
        <v>1</v>
      </c>
      <c r="G1267" t="s">
        <v>18</v>
      </c>
    </row>
    <row r="1268" spans="1:7" x14ac:dyDescent="0.25">
      <c r="A1268">
        <v>71</v>
      </c>
      <c r="B1268" t="s">
        <v>566</v>
      </c>
      <c r="C1268">
        <v>70</v>
      </c>
      <c r="D1268" t="s">
        <v>148</v>
      </c>
      <c r="E1268" t="s">
        <v>17</v>
      </c>
      <c r="F1268">
        <v>19.812000000000001</v>
      </c>
      <c r="G1268" t="s">
        <v>15</v>
      </c>
    </row>
    <row r="1269" spans="1:7" x14ac:dyDescent="0.25">
      <c r="A1269">
        <v>71</v>
      </c>
      <c r="B1269" t="s">
        <v>566</v>
      </c>
      <c r="C1269">
        <v>80</v>
      </c>
      <c r="D1269" t="s">
        <v>20</v>
      </c>
      <c r="E1269" t="s">
        <v>17</v>
      </c>
      <c r="F1269">
        <v>162.458</v>
      </c>
      <c r="G1269" t="s">
        <v>15</v>
      </c>
    </row>
    <row r="1270" spans="1:7" x14ac:dyDescent="0.25">
      <c r="A1270">
        <v>71</v>
      </c>
      <c r="B1270" t="s">
        <v>566</v>
      </c>
      <c r="C1270">
        <v>90</v>
      </c>
      <c r="D1270" t="s">
        <v>24</v>
      </c>
      <c r="E1270" t="s">
        <v>11</v>
      </c>
      <c r="F1270">
        <v>1</v>
      </c>
      <c r="G1270" t="s">
        <v>15</v>
      </c>
    </row>
    <row r="1271" spans="1:7" x14ac:dyDescent="0.25">
      <c r="A1271">
        <v>71</v>
      </c>
      <c r="B1271" t="s">
        <v>566</v>
      </c>
      <c r="C1271">
        <v>100</v>
      </c>
      <c r="D1271" t="s">
        <v>141</v>
      </c>
      <c r="E1271" t="s">
        <v>14</v>
      </c>
      <c r="F1271">
        <v>9.7000000000000003E-2</v>
      </c>
      <c r="G1271" t="s">
        <v>15</v>
      </c>
    </row>
    <row r="1272" spans="1:7" x14ac:dyDescent="0.25">
      <c r="A1272">
        <v>71</v>
      </c>
      <c r="B1272" t="s">
        <v>566</v>
      </c>
      <c r="C1272">
        <v>110</v>
      </c>
      <c r="D1272" t="s">
        <v>140</v>
      </c>
      <c r="E1272" t="s">
        <v>11</v>
      </c>
      <c r="F1272">
        <v>4</v>
      </c>
      <c r="G1272" t="s">
        <v>15</v>
      </c>
    </row>
    <row r="1273" spans="1:7" x14ac:dyDescent="0.25">
      <c r="A1273">
        <v>71</v>
      </c>
      <c r="B1273" t="s">
        <v>566</v>
      </c>
      <c r="C1273">
        <v>120</v>
      </c>
      <c r="D1273" t="s">
        <v>25</v>
      </c>
      <c r="E1273" t="s">
        <v>11</v>
      </c>
      <c r="F1273">
        <v>1</v>
      </c>
      <c r="G1273" t="s">
        <v>15</v>
      </c>
    </row>
    <row r="1274" spans="1:7" x14ac:dyDescent="0.25">
      <c r="A1274">
        <v>71</v>
      </c>
      <c r="B1274" t="s">
        <v>566</v>
      </c>
      <c r="C1274">
        <v>130</v>
      </c>
      <c r="D1274" t="s">
        <v>26</v>
      </c>
      <c r="E1274" t="s">
        <v>11</v>
      </c>
      <c r="F1274">
        <v>1</v>
      </c>
      <c r="G1274" t="s">
        <v>15</v>
      </c>
    </row>
    <row r="1275" spans="1:7" x14ac:dyDescent="0.25">
      <c r="A1275">
        <v>71</v>
      </c>
      <c r="B1275" t="s">
        <v>566</v>
      </c>
      <c r="C1275">
        <v>140</v>
      </c>
      <c r="D1275" t="s">
        <v>100</v>
      </c>
      <c r="E1275" t="s">
        <v>14</v>
      </c>
      <c r="F1275">
        <v>1.27</v>
      </c>
      <c r="G1275" t="s">
        <v>15</v>
      </c>
    </row>
    <row r="1276" spans="1:7" x14ac:dyDescent="0.25">
      <c r="A1276">
        <v>71</v>
      </c>
      <c r="B1276" t="s">
        <v>566</v>
      </c>
      <c r="C1276">
        <v>150</v>
      </c>
      <c r="D1276" t="s">
        <v>569</v>
      </c>
      <c r="E1276" t="s">
        <v>11</v>
      </c>
      <c r="F1276">
        <v>1</v>
      </c>
      <c r="G1276" t="s">
        <v>18</v>
      </c>
    </row>
    <row r="1277" spans="1:7" x14ac:dyDescent="0.25">
      <c r="A1277">
        <v>71</v>
      </c>
      <c r="B1277" t="s">
        <v>566</v>
      </c>
      <c r="C1277">
        <v>160</v>
      </c>
      <c r="D1277" t="s">
        <v>570</v>
      </c>
      <c r="E1277" t="s">
        <v>11</v>
      </c>
      <c r="F1277">
        <v>1</v>
      </c>
      <c r="G1277" t="s">
        <v>18</v>
      </c>
    </row>
    <row r="1278" spans="1:7" x14ac:dyDescent="0.25">
      <c r="A1278">
        <v>71</v>
      </c>
      <c r="B1278" t="s">
        <v>566</v>
      </c>
      <c r="C1278">
        <v>170</v>
      </c>
      <c r="D1278" t="s">
        <v>142</v>
      </c>
      <c r="E1278" t="s">
        <v>11</v>
      </c>
      <c r="F1278">
        <v>6.6040000000000001</v>
      </c>
      <c r="G1278" t="s">
        <v>15</v>
      </c>
    </row>
    <row r="1279" spans="1:7" x14ac:dyDescent="0.25">
      <c r="A1279">
        <v>71</v>
      </c>
      <c r="B1279" t="s">
        <v>566</v>
      </c>
      <c r="C1279">
        <v>180</v>
      </c>
      <c r="D1279" t="s">
        <v>571</v>
      </c>
      <c r="E1279" t="s">
        <v>11</v>
      </c>
      <c r="F1279">
        <v>1</v>
      </c>
      <c r="G1279" t="s">
        <v>18</v>
      </c>
    </row>
    <row r="1280" spans="1:7" x14ac:dyDescent="0.25">
      <c r="A1280">
        <v>72</v>
      </c>
      <c r="B1280" t="s">
        <v>572</v>
      </c>
      <c r="C1280">
        <v>10</v>
      </c>
      <c r="D1280" t="s">
        <v>573</v>
      </c>
      <c r="E1280" t="s">
        <v>11</v>
      </c>
      <c r="F1280">
        <v>1</v>
      </c>
      <c r="G1280" t="s">
        <v>18</v>
      </c>
    </row>
    <row r="1281" spans="1:7" x14ac:dyDescent="0.25">
      <c r="A1281">
        <v>72</v>
      </c>
      <c r="B1281" t="s">
        <v>572</v>
      </c>
      <c r="C1281">
        <v>20</v>
      </c>
      <c r="D1281" t="s">
        <v>132</v>
      </c>
      <c r="E1281" t="s">
        <v>14</v>
      </c>
      <c r="F1281">
        <v>3.5819999999999999</v>
      </c>
      <c r="G1281" t="s">
        <v>15</v>
      </c>
    </row>
    <row r="1282" spans="1:7" x14ac:dyDescent="0.25">
      <c r="A1282">
        <v>72</v>
      </c>
      <c r="B1282" t="s">
        <v>572</v>
      </c>
      <c r="C1282">
        <v>30</v>
      </c>
      <c r="D1282" t="s">
        <v>102</v>
      </c>
      <c r="E1282" t="s">
        <v>103</v>
      </c>
      <c r="F1282">
        <v>0.98699999999999999</v>
      </c>
      <c r="G1282" t="s">
        <v>15</v>
      </c>
    </row>
    <row r="1283" spans="1:7" x14ac:dyDescent="0.25">
      <c r="A1283">
        <v>72</v>
      </c>
      <c r="B1283" t="s">
        <v>572</v>
      </c>
      <c r="C1283">
        <v>40</v>
      </c>
      <c r="D1283" t="s">
        <v>146</v>
      </c>
      <c r="E1283" t="s">
        <v>11</v>
      </c>
      <c r="F1283">
        <v>2.1589999999999998</v>
      </c>
      <c r="G1283" t="s">
        <v>18</v>
      </c>
    </row>
    <row r="1284" spans="1:7" x14ac:dyDescent="0.25">
      <c r="A1284">
        <v>72</v>
      </c>
      <c r="B1284" t="s">
        <v>572</v>
      </c>
      <c r="C1284">
        <v>50</v>
      </c>
      <c r="D1284" t="s">
        <v>139</v>
      </c>
      <c r="E1284" t="s">
        <v>17</v>
      </c>
      <c r="F1284">
        <v>2.1589999999999998</v>
      </c>
      <c r="G1284" t="s">
        <v>18</v>
      </c>
    </row>
    <row r="1285" spans="1:7" x14ac:dyDescent="0.25">
      <c r="A1285">
        <v>72</v>
      </c>
      <c r="B1285" t="s">
        <v>572</v>
      </c>
      <c r="C1285">
        <v>60</v>
      </c>
      <c r="D1285" t="s">
        <v>574</v>
      </c>
      <c r="E1285" t="s">
        <v>11</v>
      </c>
      <c r="F1285">
        <v>1</v>
      </c>
      <c r="G1285" t="s">
        <v>18</v>
      </c>
    </row>
    <row r="1286" spans="1:7" x14ac:dyDescent="0.25">
      <c r="A1286">
        <v>72</v>
      </c>
      <c r="B1286" t="s">
        <v>572</v>
      </c>
      <c r="C1286">
        <v>70</v>
      </c>
      <c r="D1286" t="s">
        <v>148</v>
      </c>
      <c r="E1286" t="s">
        <v>17</v>
      </c>
      <c r="F1286">
        <v>20.725999999999999</v>
      </c>
      <c r="G1286" t="s">
        <v>15</v>
      </c>
    </row>
    <row r="1287" spans="1:7" x14ac:dyDescent="0.25">
      <c r="A1287">
        <v>72</v>
      </c>
      <c r="B1287" t="s">
        <v>572</v>
      </c>
      <c r="C1287">
        <v>80</v>
      </c>
      <c r="D1287" t="s">
        <v>20</v>
      </c>
      <c r="E1287" t="s">
        <v>17</v>
      </c>
      <c r="F1287">
        <v>169.95599999999999</v>
      </c>
      <c r="G1287" t="s">
        <v>15</v>
      </c>
    </row>
    <row r="1288" spans="1:7" x14ac:dyDescent="0.25">
      <c r="A1288">
        <v>72</v>
      </c>
      <c r="B1288" t="s">
        <v>572</v>
      </c>
      <c r="C1288">
        <v>90</v>
      </c>
      <c r="D1288" t="s">
        <v>24</v>
      </c>
      <c r="E1288" t="s">
        <v>11</v>
      </c>
      <c r="F1288">
        <v>1</v>
      </c>
      <c r="G1288" t="s">
        <v>15</v>
      </c>
    </row>
    <row r="1289" spans="1:7" x14ac:dyDescent="0.25">
      <c r="A1289">
        <v>72</v>
      </c>
      <c r="B1289" t="s">
        <v>572</v>
      </c>
      <c r="C1289">
        <v>100</v>
      </c>
      <c r="D1289" t="s">
        <v>141</v>
      </c>
      <c r="E1289" t="s">
        <v>14</v>
      </c>
      <c r="F1289">
        <v>0.107</v>
      </c>
      <c r="G1289" t="s">
        <v>15</v>
      </c>
    </row>
    <row r="1290" spans="1:7" x14ac:dyDescent="0.25">
      <c r="A1290">
        <v>72</v>
      </c>
      <c r="B1290" t="s">
        <v>572</v>
      </c>
      <c r="C1290">
        <v>110</v>
      </c>
      <c r="D1290" t="s">
        <v>140</v>
      </c>
      <c r="E1290" t="s">
        <v>11</v>
      </c>
      <c r="F1290">
        <v>4</v>
      </c>
      <c r="G1290" t="s">
        <v>15</v>
      </c>
    </row>
    <row r="1291" spans="1:7" x14ac:dyDescent="0.25">
      <c r="A1291">
        <v>72</v>
      </c>
      <c r="B1291" t="s">
        <v>572</v>
      </c>
      <c r="C1291">
        <v>120</v>
      </c>
      <c r="D1291" t="s">
        <v>25</v>
      </c>
      <c r="E1291" t="s">
        <v>11</v>
      </c>
      <c r="F1291">
        <v>1</v>
      </c>
      <c r="G1291" t="s">
        <v>15</v>
      </c>
    </row>
    <row r="1292" spans="1:7" x14ac:dyDescent="0.25">
      <c r="A1292">
        <v>72</v>
      </c>
      <c r="B1292" t="s">
        <v>572</v>
      </c>
      <c r="C1292">
        <v>130</v>
      </c>
      <c r="D1292" t="s">
        <v>26</v>
      </c>
      <c r="E1292" t="s">
        <v>11</v>
      </c>
      <c r="F1292">
        <v>1</v>
      </c>
      <c r="G1292" t="s">
        <v>15</v>
      </c>
    </row>
    <row r="1293" spans="1:7" x14ac:dyDescent="0.25">
      <c r="A1293">
        <v>72</v>
      </c>
      <c r="B1293" t="s">
        <v>572</v>
      </c>
      <c r="C1293">
        <v>140</v>
      </c>
      <c r="D1293" t="s">
        <v>100</v>
      </c>
      <c r="E1293" t="s">
        <v>14</v>
      </c>
      <c r="F1293">
        <v>1.27</v>
      </c>
      <c r="G1293" t="s">
        <v>15</v>
      </c>
    </row>
    <row r="1294" spans="1:7" x14ac:dyDescent="0.25">
      <c r="A1294">
        <v>72</v>
      </c>
      <c r="B1294" t="s">
        <v>572</v>
      </c>
      <c r="C1294">
        <v>150</v>
      </c>
      <c r="D1294" t="s">
        <v>575</v>
      </c>
      <c r="E1294" t="s">
        <v>11</v>
      </c>
      <c r="F1294">
        <v>1</v>
      </c>
      <c r="G1294" t="s">
        <v>18</v>
      </c>
    </row>
    <row r="1295" spans="1:7" x14ac:dyDescent="0.25">
      <c r="A1295">
        <v>72</v>
      </c>
      <c r="B1295" t="s">
        <v>572</v>
      </c>
      <c r="C1295">
        <v>160</v>
      </c>
      <c r="D1295" t="s">
        <v>576</v>
      </c>
      <c r="E1295" t="s">
        <v>11</v>
      </c>
      <c r="F1295">
        <v>1</v>
      </c>
      <c r="G1295" t="s">
        <v>18</v>
      </c>
    </row>
    <row r="1296" spans="1:7" x14ac:dyDescent="0.25">
      <c r="A1296">
        <v>72</v>
      </c>
      <c r="B1296" t="s">
        <v>572</v>
      </c>
      <c r="C1296">
        <v>170</v>
      </c>
      <c r="D1296" t="s">
        <v>142</v>
      </c>
      <c r="E1296" t="s">
        <v>11</v>
      </c>
      <c r="F1296">
        <v>6.9089999999999998</v>
      </c>
      <c r="G1296" t="s">
        <v>15</v>
      </c>
    </row>
    <row r="1297" spans="1:7" x14ac:dyDescent="0.25">
      <c r="A1297">
        <v>72</v>
      </c>
      <c r="B1297" t="s">
        <v>572</v>
      </c>
      <c r="C1297">
        <v>180</v>
      </c>
      <c r="D1297" t="s">
        <v>577</v>
      </c>
      <c r="E1297" t="s">
        <v>11</v>
      </c>
      <c r="F1297">
        <v>1</v>
      </c>
      <c r="G1297" t="s">
        <v>18</v>
      </c>
    </row>
    <row r="1298" spans="1:7" x14ac:dyDescent="0.25">
      <c r="A1298">
        <v>73</v>
      </c>
      <c r="B1298" t="s">
        <v>578</v>
      </c>
      <c r="C1298">
        <v>10</v>
      </c>
      <c r="D1298" t="s">
        <v>579</v>
      </c>
      <c r="E1298" t="s">
        <v>11</v>
      </c>
      <c r="F1298">
        <v>1</v>
      </c>
      <c r="G1298" t="s">
        <v>18</v>
      </c>
    </row>
    <row r="1299" spans="1:7" x14ac:dyDescent="0.25">
      <c r="A1299">
        <v>73</v>
      </c>
      <c r="B1299" t="s">
        <v>578</v>
      </c>
      <c r="C1299">
        <v>20</v>
      </c>
      <c r="D1299" t="s">
        <v>132</v>
      </c>
      <c r="E1299" t="s">
        <v>14</v>
      </c>
      <c r="F1299">
        <v>4.4870000000000001</v>
      </c>
      <c r="G1299" t="s">
        <v>15</v>
      </c>
    </row>
    <row r="1300" spans="1:7" x14ac:dyDescent="0.25">
      <c r="A1300">
        <v>73</v>
      </c>
      <c r="B1300" t="s">
        <v>578</v>
      </c>
      <c r="C1300">
        <v>30</v>
      </c>
      <c r="D1300" t="s">
        <v>102</v>
      </c>
      <c r="E1300" t="s">
        <v>103</v>
      </c>
      <c r="F1300">
        <v>1.24</v>
      </c>
      <c r="G1300" t="s">
        <v>15</v>
      </c>
    </row>
    <row r="1301" spans="1:7" x14ac:dyDescent="0.25">
      <c r="A1301">
        <v>73</v>
      </c>
      <c r="B1301" t="s">
        <v>578</v>
      </c>
      <c r="C1301">
        <v>40</v>
      </c>
      <c r="D1301" t="s">
        <v>146</v>
      </c>
      <c r="E1301" t="s">
        <v>11</v>
      </c>
      <c r="F1301">
        <v>2.1589999999999998</v>
      </c>
      <c r="G1301" t="s">
        <v>18</v>
      </c>
    </row>
    <row r="1302" spans="1:7" x14ac:dyDescent="0.25">
      <c r="A1302">
        <v>73</v>
      </c>
      <c r="B1302" t="s">
        <v>578</v>
      </c>
      <c r="C1302">
        <v>50</v>
      </c>
      <c r="D1302" t="s">
        <v>139</v>
      </c>
      <c r="E1302" t="s">
        <v>17</v>
      </c>
      <c r="F1302">
        <v>2.1589999999999998</v>
      </c>
      <c r="G1302" t="s">
        <v>18</v>
      </c>
    </row>
    <row r="1303" spans="1:7" x14ac:dyDescent="0.25">
      <c r="A1303">
        <v>73</v>
      </c>
      <c r="B1303" t="s">
        <v>578</v>
      </c>
      <c r="C1303">
        <v>60</v>
      </c>
      <c r="D1303" t="s">
        <v>580</v>
      </c>
      <c r="E1303" t="s">
        <v>11</v>
      </c>
      <c r="F1303">
        <v>1</v>
      </c>
      <c r="G1303" t="s">
        <v>18</v>
      </c>
    </row>
    <row r="1304" spans="1:7" x14ac:dyDescent="0.25">
      <c r="A1304">
        <v>73</v>
      </c>
      <c r="B1304" t="s">
        <v>578</v>
      </c>
      <c r="C1304">
        <v>70</v>
      </c>
      <c r="D1304" t="s">
        <v>148</v>
      </c>
      <c r="E1304" t="s">
        <v>17</v>
      </c>
      <c r="F1304">
        <v>22.555</v>
      </c>
      <c r="G1304" t="s">
        <v>15</v>
      </c>
    </row>
    <row r="1305" spans="1:7" x14ac:dyDescent="0.25">
      <c r="A1305">
        <v>73</v>
      </c>
      <c r="B1305" t="s">
        <v>578</v>
      </c>
      <c r="C1305">
        <v>80</v>
      </c>
      <c r="D1305" t="s">
        <v>20</v>
      </c>
      <c r="E1305" t="s">
        <v>17</v>
      </c>
      <c r="F1305">
        <v>184.953</v>
      </c>
      <c r="G1305" t="s">
        <v>15</v>
      </c>
    </row>
    <row r="1306" spans="1:7" x14ac:dyDescent="0.25">
      <c r="A1306">
        <v>73</v>
      </c>
      <c r="B1306" t="s">
        <v>578</v>
      </c>
      <c r="C1306">
        <v>90</v>
      </c>
      <c r="D1306" t="s">
        <v>24</v>
      </c>
      <c r="E1306" t="s">
        <v>11</v>
      </c>
      <c r="F1306">
        <v>1</v>
      </c>
      <c r="G1306" t="s">
        <v>15</v>
      </c>
    </row>
    <row r="1307" spans="1:7" x14ac:dyDescent="0.25">
      <c r="A1307">
        <v>73</v>
      </c>
      <c r="B1307" t="s">
        <v>578</v>
      </c>
      <c r="C1307">
        <v>100</v>
      </c>
      <c r="D1307" t="s">
        <v>141</v>
      </c>
      <c r="E1307" t="s">
        <v>14</v>
      </c>
      <c r="F1307">
        <v>0.128</v>
      </c>
      <c r="G1307" t="s">
        <v>15</v>
      </c>
    </row>
    <row r="1308" spans="1:7" x14ac:dyDescent="0.25">
      <c r="A1308">
        <v>73</v>
      </c>
      <c r="B1308" t="s">
        <v>578</v>
      </c>
      <c r="C1308">
        <v>110</v>
      </c>
      <c r="D1308" t="s">
        <v>140</v>
      </c>
      <c r="E1308" t="s">
        <v>11</v>
      </c>
      <c r="F1308">
        <v>4</v>
      </c>
      <c r="G1308" t="s">
        <v>15</v>
      </c>
    </row>
    <row r="1309" spans="1:7" x14ac:dyDescent="0.25">
      <c r="A1309">
        <v>73</v>
      </c>
      <c r="B1309" t="s">
        <v>578</v>
      </c>
      <c r="C1309">
        <v>120</v>
      </c>
      <c r="D1309" t="s">
        <v>25</v>
      </c>
      <c r="E1309" t="s">
        <v>11</v>
      </c>
      <c r="F1309">
        <v>1</v>
      </c>
      <c r="G1309" t="s">
        <v>15</v>
      </c>
    </row>
    <row r="1310" spans="1:7" x14ac:dyDescent="0.25">
      <c r="A1310">
        <v>73</v>
      </c>
      <c r="B1310" t="s">
        <v>578</v>
      </c>
      <c r="C1310">
        <v>130</v>
      </c>
      <c r="D1310" t="s">
        <v>26</v>
      </c>
      <c r="E1310" t="s">
        <v>11</v>
      </c>
      <c r="F1310">
        <v>1</v>
      </c>
      <c r="G1310" t="s">
        <v>15</v>
      </c>
    </row>
    <row r="1311" spans="1:7" x14ac:dyDescent="0.25">
      <c r="A1311">
        <v>73</v>
      </c>
      <c r="B1311" t="s">
        <v>578</v>
      </c>
      <c r="C1311">
        <v>140</v>
      </c>
      <c r="D1311" t="s">
        <v>100</v>
      </c>
      <c r="E1311" t="s">
        <v>14</v>
      </c>
      <c r="F1311">
        <v>1.27</v>
      </c>
      <c r="G1311" t="s">
        <v>15</v>
      </c>
    </row>
    <row r="1312" spans="1:7" x14ac:dyDescent="0.25">
      <c r="A1312">
        <v>73</v>
      </c>
      <c r="B1312" t="s">
        <v>578</v>
      </c>
      <c r="C1312">
        <v>150</v>
      </c>
      <c r="D1312" t="s">
        <v>581</v>
      </c>
      <c r="E1312" t="s">
        <v>11</v>
      </c>
      <c r="F1312">
        <v>1</v>
      </c>
      <c r="G1312" t="s">
        <v>18</v>
      </c>
    </row>
    <row r="1313" spans="1:7" x14ac:dyDescent="0.25">
      <c r="A1313">
        <v>73</v>
      </c>
      <c r="B1313" t="s">
        <v>578</v>
      </c>
      <c r="C1313">
        <v>160</v>
      </c>
      <c r="D1313" t="s">
        <v>582</v>
      </c>
      <c r="E1313" t="s">
        <v>11</v>
      </c>
      <c r="F1313">
        <v>1</v>
      </c>
      <c r="G1313" t="s">
        <v>18</v>
      </c>
    </row>
    <row r="1314" spans="1:7" x14ac:dyDescent="0.25">
      <c r="A1314">
        <v>73</v>
      </c>
      <c r="B1314" t="s">
        <v>578</v>
      </c>
      <c r="C1314">
        <v>170</v>
      </c>
      <c r="D1314" t="s">
        <v>142</v>
      </c>
      <c r="E1314" t="s">
        <v>11</v>
      </c>
      <c r="F1314">
        <v>7.5179999999999998</v>
      </c>
      <c r="G1314" t="s">
        <v>15</v>
      </c>
    </row>
    <row r="1315" spans="1:7" x14ac:dyDescent="0.25">
      <c r="A1315">
        <v>73</v>
      </c>
      <c r="B1315" t="s">
        <v>578</v>
      </c>
      <c r="C1315">
        <v>180</v>
      </c>
      <c r="D1315" t="s">
        <v>583</v>
      </c>
      <c r="E1315" t="s">
        <v>11</v>
      </c>
      <c r="F1315">
        <v>1</v>
      </c>
      <c r="G1315" t="s">
        <v>18</v>
      </c>
    </row>
    <row r="1316" spans="1:7" x14ac:dyDescent="0.25">
      <c r="A1316">
        <v>74</v>
      </c>
      <c r="B1316" t="s">
        <v>584</v>
      </c>
      <c r="C1316">
        <v>10</v>
      </c>
      <c r="D1316" t="s">
        <v>585</v>
      </c>
      <c r="E1316" t="s">
        <v>11</v>
      </c>
      <c r="F1316">
        <v>1</v>
      </c>
      <c r="G1316" t="s">
        <v>18</v>
      </c>
    </row>
    <row r="1317" spans="1:7" x14ac:dyDescent="0.25">
      <c r="A1317">
        <v>74</v>
      </c>
      <c r="B1317" t="s">
        <v>584</v>
      </c>
      <c r="C1317">
        <v>20</v>
      </c>
      <c r="D1317" t="s">
        <v>132</v>
      </c>
      <c r="E1317" t="s">
        <v>14</v>
      </c>
      <c r="F1317">
        <v>4.9400000000000004</v>
      </c>
      <c r="G1317" t="s">
        <v>15</v>
      </c>
    </row>
    <row r="1318" spans="1:7" x14ac:dyDescent="0.25">
      <c r="A1318">
        <v>74</v>
      </c>
      <c r="B1318" t="s">
        <v>584</v>
      </c>
      <c r="C1318">
        <v>30</v>
      </c>
      <c r="D1318" t="s">
        <v>102</v>
      </c>
      <c r="E1318" t="s">
        <v>103</v>
      </c>
      <c r="F1318">
        <v>1.3660000000000001</v>
      </c>
      <c r="G1318" t="s">
        <v>15</v>
      </c>
    </row>
    <row r="1319" spans="1:7" x14ac:dyDescent="0.25">
      <c r="A1319">
        <v>74</v>
      </c>
      <c r="B1319" t="s">
        <v>584</v>
      </c>
      <c r="C1319">
        <v>40</v>
      </c>
      <c r="D1319" t="s">
        <v>146</v>
      </c>
      <c r="E1319" t="s">
        <v>11</v>
      </c>
      <c r="F1319">
        <v>2.1589999999999998</v>
      </c>
      <c r="G1319" t="s">
        <v>18</v>
      </c>
    </row>
    <row r="1320" spans="1:7" x14ac:dyDescent="0.25">
      <c r="A1320">
        <v>74</v>
      </c>
      <c r="B1320" t="s">
        <v>584</v>
      </c>
      <c r="C1320">
        <v>50</v>
      </c>
      <c r="D1320" t="s">
        <v>139</v>
      </c>
      <c r="E1320" t="s">
        <v>17</v>
      </c>
      <c r="F1320">
        <v>2.1589999999999998</v>
      </c>
      <c r="G1320" t="s">
        <v>18</v>
      </c>
    </row>
    <row r="1321" spans="1:7" x14ac:dyDescent="0.25">
      <c r="A1321">
        <v>74</v>
      </c>
      <c r="B1321" t="s">
        <v>584</v>
      </c>
      <c r="C1321">
        <v>60</v>
      </c>
      <c r="D1321" t="s">
        <v>586</v>
      </c>
      <c r="E1321" t="s">
        <v>11</v>
      </c>
      <c r="F1321">
        <v>1</v>
      </c>
      <c r="G1321" t="s">
        <v>18</v>
      </c>
    </row>
    <row r="1322" spans="1:7" x14ac:dyDescent="0.25">
      <c r="A1322">
        <v>74</v>
      </c>
      <c r="B1322" t="s">
        <v>584</v>
      </c>
      <c r="C1322">
        <v>70</v>
      </c>
      <c r="D1322" t="s">
        <v>148</v>
      </c>
      <c r="E1322" t="s">
        <v>17</v>
      </c>
      <c r="F1322">
        <v>23.47</v>
      </c>
      <c r="G1322" t="s">
        <v>15</v>
      </c>
    </row>
    <row r="1323" spans="1:7" x14ac:dyDescent="0.25">
      <c r="A1323">
        <v>74</v>
      </c>
      <c r="B1323" t="s">
        <v>584</v>
      </c>
      <c r="C1323">
        <v>80</v>
      </c>
      <c r="D1323" t="s">
        <v>20</v>
      </c>
      <c r="E1323" t="s">
        <v>17</v>
      </c>
      <c r="F1323">
        <v>192.45099999999999</v>
      </c>
      <c r="G1323" t="s">
        <v>15</v>
      </c>
    </row>
    <row r="1324" spans="1:7" x14ac:dyDescent="0.25">
      <c r="A1324">
        <v>74</v>
      </c>
      <c r="B1324" t="s">
        <v>584</v>
      </c>
      <c r="C1324">
        <v>90</v>
      </c>
      <c r="D1324" t="s">
        <v>24</v>
      </c>
      <c r="E1324" t="s">
        <v>11</v>
      </c>
      <c r="F1324">
        <v>1</v>
      </c>
      <c r="G1324" t="s">
        <v>15</v>
      </c>
    </row>
    <row r="1325" spans="1:7" x14ac:dyDescent="0.25">
      <c r="A1325">
        <v>74</v>
      </c>
      <c r="B1325" t="s">
        <v>584</v>
      </c>
      <c r="C1325">
        <v>100</v>
      </c>
      <c r="D1325" t="s">
        <v>141</v>
      </c>
      <c r="E1325" t="s">
        <v>14</v>
      </c>
      <c r="F1325">
        <v>0.13800000000000001</v>
      </c>
      <c r="G1325" t="s">
        <v>15</v>
      </c>
    </row>
    <row r="1326" spans="1:7" x14ac:dyDescent="0.25">
      <c r="A1326">
        <v>74</v>
      </c>
      <c r="B1326" t="s">
        <v>584</v>
      </c>
      <c r="C1326">
        <v>110</v>
      </c>
      <c r="D1326" t="s">
        <v>140</v>
      </c>
      <c r="E1326" t="s">
        <v>11</v>
      </c>
      <c r="F1326">
        <v>4</v>
      </c>
      <c r="G1326" t="s">
        <v>15</v>
      </c>
    </row>
    <row r="1327" spans="1:7" x14ac:dyDescent="0.25">
      <c r="A1327">
        <v>74</v>
      </c>
      <c r="B1327" t="s">
        <v>584</v>
      </c>
      <c r="C1327">
        <v>120</v>
      </c>
      <c r="D1327" t="s">
        <v>25</v>
      </c>
      <c r="E1327" t="s">
        <v>11</v>
      </c>
      <c r="F1327">
        <v>1</v>
      </c>
      <c r="G1327" t="s">
        <v>15</v>
      </c>
    </row>
    <row r="1328" spans="1:7" x14ac:dyDescent="0.25">
      <c r="A1328">
        <v>74</v>
      </c>
      <c r="B1328" t="s">
        <v>584</v>
      </c>
      <c r="C1328">
        <v>130</v>
      </c>
      <c r="D1328" t="s">
        <v>26</v>
      </c>
      <c r="E1328" t="s">
        <v>11</v>
      </c>
      <c r="F1328">
        <v>1</v>
      </c>
      <c r="G1328" t="s">
        <v>15</v>
      </c>
    </row>
    <row r="1329" spans="1:7" x14ac:dyDescent="0.25">
      <c r="A1329">
        <v>74</v>
      </c>
      <c r="B1329" t="s">
        <v>584</v>
      </c>
      <c r="C1329">
        <v>140</v>
      </c>
      <c r="D1329" t="s">
        <v>100</v>
      </c>
      <c r="E1329" t="s">
        <v>14</v>
      </c>
      <c r="F1329">
        <v>1.27</v>
      </c>
      <c r="G1329" t="s">
        <v>15</v>
      </c>
    </row>
    <row r="1330" spans="1:7" x14ac:dyDescent="0.25">
      <c r="A1330">
        <v>74</v>
      </c>
      <c r="B1330" t="s">
        <v>584</v>
      </c>
      <c r="C1330">
        <v>150</v>
      </c>
      <c r="D1330" t="s">
        <v>587</v>
      </c>
      <c r="E1330" t="s">
        <v>11</v>
      </c>
      <c r="F1330">
        <v>1</v>
      </c>
      <c r="G1330" t="s">
        <v>18</v>
      </c>
    </row>
    <row r="1331" spans="1:7" x14ac:dyDescent="0.25">
      <c r="A1331">
        <v>74</v>
      </c>
      <c r="B1331" t="s">
        <v>584</v>
      </c>
      <c r="C1331">
        <v>160</v>
      </c>
      <c r="D1331" t="s">
        <v>588</v>
      </c>
      <c r="E1331" t="s">
        <v>11</v>
      </c>
      <c r="F1331">
        <v>1</v>
      </c>
      <c r="G1331" t="s">
        <v>18</v>
      </c>
    </row>
    <row r="1332" spans="1:7" x14ac:dyDescent="0.25">
      <c r="A1332">
        <v>74</v>
      </c>
      <c r="B1332" t="s">
        <v>584</v>
      </c>
      <c r="C1332">
        <v>170</v>
      </c>
      <c r="D1332" t="s">
        <v>142</v>
      </c>
      <c r="E1332" t="s">
        <v>11</v>
      </c>
      <c r="F1332">
        <v>7.8230000000000004</v>
      </c>
      <c r="G1332" t="s">
        <v>15</v>
      </c>
    </row>
    <row r="1333" spans="1:7" x14ac:dyDescent="0.25">
      <c r="A1333">
        <v>74</v>
      </c>
      <c r="B1333" t="s">
        <v>584</v>
      </c>
      <c r="C1333">
        <v>180</v>
      </c>
      <c r="D1333" t="s">
        <v>589</v>
      </c>
      <c r="E1333" t="s">
        <v>11</v>
      </c>
      <c r="F1333">
        <v>1</v>
      </c>
      <c r="G1333" t="s">
        <v>18</v>
      </c>
    </row>
    <row r="1334" spans="1:7" x14ac:dyDescent="0.25">
      <c r="A1334">
        <v>75</v>
      </c>
      <c r="B1334" t="s">
        <v>590</v>
      </c>
      <c r="C1334">
        <v>10</v>
      </c>
      <c r="D1334" t="s">
        <v>591</v>
      </c>
      <c r="E1334" t="s">
        <v>11</v>
      </c>
      <c r="F1334">
        <v>1</v>
      </c>
      <c r="G1334" t="s">
        <v>18</v>
      </c>
    </row>
    <row r="1335" spans="1:7" x14ac:dyDescent="0.25">
      <c r="A1335">
        <v>75</v>
      </c>
      <c r="B1335" t="s">
        <v>590</v>
      </c>
      <c r="C1335">
        <v>20</v>
      </c>
      <c r="D1335" t="s">
        <v>132</v>
      </c>
      <c r="E1335" t="s">
        <v>14</v>
      </c>
      <c r="F1335">
        <v>5.3920000000000003</v>
      </c>
      <c r="G1335" t="s">
        <v>15</v>
      </c>
    </row>
    <row r="1336" spans="1:7" x14ac:dyDescent="0.25">
      <c r="A1336">
        <v>75</v>
      </c>
      <c r="B1336" t="s">
        <v>590</v>
      </c>
      <c r="C1336">
        <v>30</v>
      </c>
      <c r="D1336" t="s">
        <v>102</v>
      </c>
      <c r="E1336" t="s">
        <v>103</v>
      </c>
      <c r="F1336">
        <v>1.492</v>
      </c>
      <c r="G1336" t="s">
        <v>15</v>
      </c>
    </row>
    <row r="1337" spans="1:7" x14ac:dyDescent="0.25">
      <c r="A1337">
        <v>75</v>
      </c>
      <c r="B1337" t="s">
        <v>590</v>
      </c>
      <c r="C1337">
        <v>40</v>
      </c>
      <c r="D1337" t="s">
        <v>146</v>
      </c>
      <c r="E1337" t="s">
        <v>11</v>
      </c>
      <c r="F1337">
        <v>2.1589999999999998</v>
      </c>
      <c r="G1337" t="s">
        <v>18</v>
      </c>
    </row>
    <row r="1338" spans="1:7" x14ac:dyDescent="0.25">
      <c r="A1338">
        <v>75</v>
      </c>
      <c r="B1338" t="s">
        <v>590</v>
      </c>
      <c r="C1338">
        <v>50</v>
      </c>
      <c r="D1338" t="s">
        <v>139</v>
      </c>
      <c r="E1338" t="s">
        <v>17</v>
      </c>
      <c r="F1338">
        <v>2.1589999999999998</v>
      </c>
      <c r="G1338" t="s">
        <v>18</v>
      </c>
    </row>
    <row r="1339" spans="1:7" x14ac:dyDescent="0.25">
      <c r="A1339">
        <v>75</v>
      </c>
      <c r="B1339" t="s">
        <v>590</v>
      </c>
      <c r="C1339">
        <v>60</v>
      </c>
      <c r="D1339" t="s">
        <v>592</v>
      </c>
      <c r="E1339" t="s">
        <v>11</v>
      </c>
      <c r="F1339">
        <v>1</v>
      </c>
      <c r="G1339" t="s">
        <v>18</v>
      </c>
    </row>
    <row r="1340" spans="1:7" x14ac:dyDescent="0.25">
      <c r="A1340">
        <v>75</v>
      </c>
      <c r="B1340" t="s">
        <v>590</v>
      </c>
      <c r="C1340">
        <v>70</v>
      </c>
      <c r="D1340" t="s">
        <v>148</v>
      </c>
      <c r="E1340" t="s">
        <v>17</v>
      </c>
      <c r="F1340">
        <v>24.384</v>
      </c>
      <c r="G1340" t="s">
        <v>15</v>
      </c>
    </row>
    <row r="1341" spans="1:7" x14ac:dyDescent="0.25">
      <c r="A1341">
        <v>75</v>
      </c>
      <c r="B1341" t="s">
        <v>590</v>
      </c>
      <c r="C1341">
        <v>80</v>
      </c>
      <c r="D1341" t="s">
        <v>20</v>
      </c>
      <c r="E1341" t="s">
        <v>17</v>
      </c>
      <c r="F1341">
        <v>199.94900000000001</v>
      </c>
      <c r="G1341" t="s">
        <v>15</v>
      </c>
    </row>
    <row r="1342" spans="1:7" x14ac:dyDescent="0.25">
      <c r="A1342">
        <v>75</v>
      </c>
      <c r="B1342" t="s">
        <v>590</v>
      </c>
      <c r="C1342">
        <v>90</v>
      </c>
      <c r="D1342" t="s">
        <v>24</v>
      </c>
      <c r="E1342" t="s">
        <v>11</v>
      </c>
      <c r="F1342">
        <v>1</v>
      </c>
      <c r="G1342" t="s">
        <v>15</v>
      </c>
    </row>
    <row r="1343" spans="1:7" x14ac:dyDescent="0.25">
      <c r="A1343">
        <v>75</v>
      </c>
      <c r="B1343" t="s">
        <v>590</v>
      </c>
      <c r="C1343">
        <v>100</v>
      </c>
      <c r="D1343" t="s">
        <v>141</v>
      </c>
      <c r="E1343" t="s">
        <v>14</v>
      </c>
      <c r="F1343">
        <v>0.14899999999999999</v>
      </c>
      <c r="G1343" t="s">
        <v>15</v>
      </c>
    </row>
    <row r="1344" spans="1:7" x14ac:dyDescent="0.25">
      <c r="A1344">
        <v>75</v>
      </c>
      <c r="B1344" t="s">
        <v>590</v>
      </c>
      <c r="C1344">
        <v>110</v>
      </c>
      <c r="D1344" t="s">
        <v>140</v>
      </c>
      <c r="E1344" t="s">
        <v>11</v>
      </c>
      <c r="F1344">
        <v>4</v>
      </c>
      <c r="G1344" t="s">
        <v>15</v>
      </c>
    </row>
    <row r="1345" spans="1:7" x14ac:dyDescent="0.25">
      <c r="A1345">
        <v>75</v>
      </c>
      <c r="B1345" t="s">
        <v>590</v>
      </c>
      <c r="C1345">
        <v>120</v>
      </c>
      <c r="D1345" t="s">
        <v>25</v>
      </c>
      <c r="E1345" t="s">
        <v>11</v>
      </c>
      <c r="F1345">
        <v>1</v>
      </c>
      <c r="G1345" t="s">
        <v>15</v>
      </c>
    </row>
    <row r="1346" spans="1:7" x14ac:dyDescent="0.25">
      <c r="A1346">
        <v>75</v>
      </c>
      <c r="B1346" t="s">
        <v>590</v>
      </c>
      <c r="C1346">
        <v>130</v>
      </c>
      <c r="D1346" t="s">
        <v>26</v>
      </c>
      <c r="E1346" t="s">
        <v>11</v>
      </c>
      <c r="F1346">
        <v>1</v>
      </c>
      <c r="G1346" t="s">
        <v>15</v>
      </c>
    </row>
    <row r="1347" spans="1:7" x14ac:dyDescent="0.25">
      <c r="A1347">
        <v>75</v>
      </c>
      <c r="B1347" t="s">
        <v>590</v>
      </c>
      <c r="C1347">
        <v>140</v>
      </c>
      <c r="D1347" t="s">
        <v>100</v>
      </c>
      <c r="E1347" t="s">
        <v>14</v>
      </c>
      <c r="F1347">
        <v>1.27</v>
      </c>
      <c r="G1347" t="s">
        <v>15</v>
      </c>
    </row>
    <row r="1348" spans="1:7" x14ac:dyDescent="0.25">
      <c r="A1348">
        <v>75</v>
      </c>
      <c r="B1348" t="s">
        <v>590</v>
      </c>
      <c r="C1348">
        <v>150</v>
      </c>
      <c r="D1348" t="s">
        <v>593</v>
      </c>
      <c r="E1348" t="s">
        <v>11</v>
      </c>
      <c r="F1348">
        <v>1</v>
      </c>
      <c r="G1348" t="s">
        <v>18</v>
      </c>
    </row>
    <row r="1349" spans="1:7" x14ac:dyDescent="0.25">
      <c r="A1349">
        <v>75</v>
      </c>
      <c r="B1349" t="s">
        <v>590</v>
      </c>
      <c r="C1349">
        <v>160</v>
      </c>
      <c r="D1349" t="s">
        <v>594</v>
      </c>
      <c r="E1349" t="s">
        <v>11</v>
      </c>
      <c r="F1349">
        <v>1</v>
      </c>
      <c r="G1349" t="s">
        <v>18</v>
      </c>
    </row>
    <row r="1350" spans="1:7" x14ac:dyDescent="0.25">
      <c r="A1350">
        <v>75</v>
      </c>
      <c r="B1350" t="s">
        <v>590</v>
      </c>
      <c r="C1350">
        <v>170</v>
      </c>
      <c r="D1350" t="s">
        <v>142</v>
      </c>
      <c r="E1350" t="s">
        <v>11</v>
      </c>
      <c r="F1350">
        <v>8.1280000000000001</v>
      </c>
      <c r="G1350" t="s">
        <v>15</v>
      </c>
    </row>
    <row r="1351" spans="1:7" x14ac:dyDescent="0.25">
      <c r="A1351">
        <v>75</v>
      </c>
      <c r="B1351" t="s">
        <v>590</v>
      </c>
      <c r="C1351">
        <v>180</v>
      </c>
      <c r="D1351" t="s">
        <v>595</v>
      </c>
      <c r="E1351" t="s">
        <v>11</v>
      </c>
      <c r="F1351">
        <v>1</v>
      </c>
      <c r="G1351" t="s">
        <v>18</v>
      </c>
    </row>
    <row r="1352" spans="1:7" x14ac:dyDescent="0.25">
      <c r="A1352">
        <v>76</v>
      </c>
      <c r="B1352" t="s">
        <v>596</v>
      </c>
      <c r="C1352">
        <v>10</v>
      </c>
      <c r="D1352" t="s">
        <v>145</v>
      </c>
      <c r="E1352" t="s">
        <v>11</v>
      </c>
      <c r="F1352">
        <v>1</v>
      </c>
      <c r="G1352" t="s">
        <v>18</v>
      </c>
    </row>
    <row r="1353" spans="1:7" x14ac:dyDescent="0.25">
      <c r="A1353">
        <v>76</v>
      </c>
      <c r="B1353" t="s">
        <v>596</v>
      </c>
      <c r="C1353">
        <v>20</v>
      </c>
      <c r="D1353" t="s">
        <v>114</v>
      </c>
      <c r="E1353" t="s">
        <v>14</v>
      </c>
      <c r="F1353">
        <v>2.2930000000000001</v>
      </c>
      <c r="G1353" t="s">
        <v>15</v>
      </c>
    </row>
    <row r="1354" spans="1:7" x14ac:dyDescent="0.25">
      <c r="A1354">
        <v>76</v>
      </c>
      <c r="B1354" t="s">
        <v>596</v>
      </c>
      <c r="C1354">
        <v>30</v>
      </c>
      <c r="D1354" t="s">
        <v>102</v>
      </c>
      <c r="E1354" t="s">
        <v>103</v>
      </c>
      <c r="F1354">
        <v>0.57499999999999996</v>
      </c>
      <c r="G1354" t="s">
        <v>15</v>
      </c>
    </row>
    <row r="1355" spans="1:7" x14ac:dyDescent="0.25">
      <c r="A1355">
        <v>76</v>
      </c>
      <c r="B1355" t="s">
        <v>596</v>
      </c>
      <c r="C1355">
        <v>40</v>
      </c>
      <c r="D1355" t="s">
        <v>597</v>
      </c>
      <c r="E1355" t="s">
        <v>11</v>
      </c>
      <c r="F1355">
        <v>0.86399999999999999</v>
      </c>
      <c r="G1355" t="s">
        <v>18</v>
      </c>
    </row>
    <row r="1356" spans="1:7" x14ac:dyDescent="0.25">
      <c r="A1356">
        <v>76</v>
      </c>
      <c r="B1356" t="s">
        <v>596</v>
      </c>
      <c r="C1356">
        <v>50</v>
      </c>
      <c r="D1356" t="s">
        <v>139</v>
      </c>
      <c r="E1356" t="s">
        <v>17</v>
      </c>
      <c r="F1356">
        <v>0.86399999999999999</v>
      </c>
      <c r="G1356" t="s">
        <v>18</v>
      </c>
    </row>
    <row r="1357" spans="1:7" x14ac:dyDescent="0.25">
      <c r="A1357">
        <v>76</v>
      </c>
      <c r="B1357" t="s">
        <v>596</v>
      </c>
      <c r="C1357">
        <v>60</v>
      </c>
      <c r="D1357" t="s">
        <v>598</v>
      </c>
      <c r="E1357" t="s">
        <v>11</v>
      </c>
      <c r="F1357">
        <v>1</v>
      </c>
      <c r="G1357" t="s">
        <v>18</v>
      </c>
    </row>
    <row r="1358" spans="1:7" x14ac:dyDescent="0.25">
      <c r="A1358">
        <v>76</v>
      </c>
      <c r="B1358" t="s">
        <v>596</v>
      </c>
      <c r="C1358">
        <v>70</v>
      </c>
      <c r="D1358" t="s">
        <v>599</v>
      </c>
      <c r="E1358" t="s">
        <v>17</v>
      </c>
      <c r="F1358">
        <v>16.611999999999998</v>
      </c>
      <c r="G1358" t="s">
        <v>15</v>
      </c>
    </row>
    <row r="1359" spans="1:7" x14ac:dyDescent="0.25">
      <c r="A1359">
        <v>76</v>
      </c>
      <c r="B1359" t="s">
        <v>596</v>
      </c>
      <c r="C1359">
        <v>80</v>
      </c>
      <c r="D1359" t="s">
        <v>20</v>
      </c>
      <c r="E1359" t="s">
        <v>17</v>
      </c>
      <c r="F1359">
        <v>136.215</v>
      </c>
      <c r="G1359" t="s">
        <v>15</v>
      </c>
    </row>
    <row r="1360" spans="1:7" x14ac:dyDescent="0.25">
      <c r="A1360">
        <v>76</v>
      </c>
      <c r="B1360" t="s">
        <v>596</v>
      </c>
      <c r="C1360">
        <v>90</v>
      </c>
      <c r="D1360" t="s">
        <v>24</v>
      </c>
      <c r="E1360" t="s">
        <v>11</v>
      </c>
      <c r="F1360">
        <v>1</v>
      </c>
      <c r="G1360" t="s">
        <v>15</v>
      </c>
    </row>
    <row r="1361" spans="1:7" x14ac:dyDescent="0.25">
      <c r="A1361">
        <v>76</v>
      </c>
      <c r="B1361" t="s">
        <v>596</v>
      </c>
      <c r="C1361">
        <v>100</v>
      </c>
      <c r="D1361" t="s">
        <v>141</v>
      </c>
      <c r="E1361" t="s">
        <v>14</v>
      </c>
      <c r="F1361">
        <v>8.1000000000000003E-2</v>
      </c>
      <c r="G1361" t="s">
        <v>15</v>
      </c>
    </row>
    <row r="1362" spans="1:7" x14ac:dyDescent="0.25">
      <c r="A1362">
        <v>76</v>
      </c>
      <c r="B1362" t="s">
        <v>596</v>
      </c>
      <c r="C1362">
        <v>110</v>
      </c>
      <c r="D1362" t="s">
        <v>140</v>
      </c>
      <c r="E1362" t="s">
        <v>11</v>
      </c>
      <c r="F1362">
        <v>4</v>
      </c>
      <c r="G1362" t="s">
        <v>15</v>
      </c>
    </row>
    <row r="1363" spans="1:7" x14ac:dyDescent="0.25">
      <c r="A1363">
        <v>76</v>
      </c>
      <c r="B1363" t="s">
        <v>596</v>
      </c>
      <c r="C1363">
        <v>120</v>
      </c>
      <c r="D1363" t="s">
        <v>25</v>
      </c>
      <c r="E1363" t="s">
        <v>11</v>
      </c>
      <c r="F1363">
        <v>1</v>
      </c>
      <c r="G1363" t="s">
        <v>15</v>
      </c>
    </row>
    <row r="1364" spans="1:7" x14ac:dyDescent="0.25">
      <c r="A1364">
        <v>76</v>
      </c>
      <c r="B1364" t="s">
        <v>596</v>
      </c>
      <c r="C1364">
        <v>130</v>
      </c>
      <c r="D1364" t="s">
        <v>26</v>
      </c>
      <c r="E1364" t="s">
        <v>11</v>
      </c>
      <c r="F1364">
        <v>1</v>
      </c>
      <c r="G1364" t="s">
        <v>15</v>
      </c>
    </row>
    <row r="1365" spans="1:7" x14ac:dyDescent="0.25">
      <c r="A1365">
        <v>76</v>
      </c>
      <c r="B1365" t="s">
        <v>596</v>
      </c>
      <c r="C1365">
        <v>140</v>
      </c>
      <c r="D1365" t="s">
        <v>100</v>
      </c>
      <c r="E1365" t="s">
        <v>14</v>
      </c>
      <c r="F1365">
        <v>0.58099999999999996</v>
      </c>
      <c r="G1365" t="s">
        <v>15</v>
      </c>
    </row>
    <row r="1366" spans="1:7" x14ac:dyDescent="0.25">
      <c r="A1366">
        <v>76</v>
      </c>
      <c r="B1366" t="s">
        <v>596</v>
      </c>
      <c r="C1366">
        <v>150</v>
      </c>
      <c r="D1366" t="s">
        <v>149</v>
      </c>
      <c r="E1366" t="s">
        <v>11</v>
      </c>
      <c r="F1366">
        <v>1</v>
      </c>
      <c r="G1366" t="s">
        <v>18</v>
      </c>
    </row>
    <row r="1367" spans="1:7" x14ac:dyDescent="0.25">
      <c r="A1367">
        <v>76</v>
      </c>
      <c r="B1367" t="s">
        <v>596</v>
      </c>
      <c r="C1367">
        <v>160</v>
      </c>
      <c r="D1367" t="s">
        <v>150</v>
      </c>
      <c r="E1367" t="s">
        <v>11</v>
      </c>
      <c r="F1367">
        <v>1</v>
      </c>
      <c r="G1367" t="s">
        <v>18</v>
      </c>
    </row>
    <row r="1368" spans="1:7" x14ac:dyDescent="0.25">
      <c r="A1368">
        <v>76</v>
      </c>
      <c r="B1368" t="s">
        <v>596</v>
      </c>
      <c r="C1368">
        <v>170</v>
      </c>
      <c r="D1368" t="s">
        <v>142</v>
      </c>
      <c r="E1368" t="s">
        <v>11</v>
      </c>
      <c r="F1368">
        <v>5.5369999999999999</v>
      </c>
      <c r="G1368" t="s">
        <v>15</v>
      </c>
    </row>
    <row r="1369" spans="1:7" x14ac:dyDescent="0.25">
      <c r="A1369">
        <v>76</v>
      </c>
      <c r="B1369" t="s">
        <v>596</v>
      </c>
      <c r="C1369">
        <v>180</v>
      </c>
      <c r="D1369" t="s">
        <v>151</v>
      </c>
      <c r="E1369" t="s">
        <v>11</v>
      </c>
      <c r="F1369">
        <v>1</v>
      </c>
      <c r="G1369" t="s">
        <v>18</v>
      </c>
    </row>
    <row r="1370" spans="1:7" x14ac:dyDescent="0.25">
      <c r="A1370">
        <v>77</v>
      </c>
      <c r="B1370" t="s">
        <v>600</v>
      </c>
      <c r="C1370">
        <v>10</v>
      </c>
      <c r="D1370" t="s">
        <v>153</v>
      </c>
      <c r="E1370" t="s">
        <v>11</v>
      </c>
      <c r="F1370">
        <v>1</v>
      </c>
      <c r="G1370" t="s">
        <v>18</v>
      </c>
    </row>
    <row r="1371" spans="1:7" x14ac:dyDescent="0.25">
      <c r="A1371">
        <v>77</v>
      </c>
      <c r="B1371" t="s">
        <v>600</v>
      </c>
      <c r="C1371">
        <v>20</v>
      </c>
      <c r="D1371" t="s">
        <v>115</v>
      </c>
      <c r="E1371" t="s">
        <v>14</v>
      </c>
      <c r="F1371">
        <v>2.68</v>
      </c>
      <c r="G1371" t="s">
        <v>15</v>
      </c>
    </row>
    <row r="1372" spans="1:7" x14ac:dyDescent="0.25">
      <c r="A1372">
        <v>77</v>
      </c>
      <c r="B1372" t="s">
        <v>600</v>
      </c>
      <c r="C1372">
        <v>30</v>
      </c>
      <c r="D1372" t="s">
        <v>102</v>
      </c>
      <c r="E1372" t="s">
        <v>103</v>
      </c>
      <c r="F1372">
        <v>0.68300000000000005</v>
      </c>
      <c r="G1372" t="s">
        <v>15</v>
      </c>
    </row>
    <row r="1373" spans="1:7" x14ac:dyDescent="0.25">
      <c r="A1373">
        <v>77</v>
      </c>
      <c r="B1373" t="s">
        <v>600</v>
      </c>
      <c r="C1373">
        <v>40</v>
      </c>
      <c r="D1373" t="s">
        <v>597</v>
      </c>
      <c r="E1373" t="s">
        <v>11</v>
      </c>
      <c r="F1373">
        <v>1.016</v>
      </c>
      <c r="G1373" t="s">
        <v>18</v>
      </c>
    </row>
    <row r="1374" spans="1:7" x14ac:dyDescent="0.25">
      <c r="A1374">
        <v>77</v>
      </c>
      <c r="B1374" t="s">
        <v>600</v>
      </c>
      <c r="C1374">
        <v>50</v>
      </c>
      <c r="D1374" t="s">
        <v>139</v>
      </c>
      <c r="E1374" t="s">
        <v>17</v>
      </c>
      <c r="F1374">
        <v>1.016</v>
      </c>
      <c r="G1374" t="s">
        <v>18</v>
      </c>
    </row>
    <row r="1375" spans="1:7" x14ac:dyDescent="0.25">
      <c r="A1375">
        <v>77</v>
      </c>
      <c r="B1375" t="s">
        <v>600</v>
      </c>
      <c r="C1375">
        <v>60</v>
      </c>
      <c r="D1375" t="s">
        <v>601</v>
      </c>
      <c r="E1375" t="s">
        <v>11</v>
      </c>
      <c r="F1375">
        <v>1</v>
      </c>
      <c r="G1375" t="s">
        <v>18</v>
      </c>
    </row>
    <row r="1376" spans="1:7" x14ac:dyDescent="0.25">
      <c r="A1376">
        <v>77</v>
      </c>
      <c r="B1376" t="s">
        <v>600</v>
      </c>
      <c r="C1376">
        <v>70</v>
      </c>
      <c r="D1376" t="s">
        <v>599</v>
      </c>
      <c r="E1376" t="s">
        <v>17</v>
      </c>
      <c r="F1376">
        <v>17.526</v>
      </c>
      <c r="G1376" t="s">
        <v>15</v>
      </c>
    </row>
    <row r="1377" spans="1:7" x14ac:dyDescent="0.25">
      <c r="A1377">
        <v>77</v>
      </c>
      <c r="B1377" t="s">
        <v>600</v>
      </c>
      <c r="C1377">
        <v>80</v>
      </c>
      <c r="D1377" t="s">
        <v>20</v>
      </c>
      <c r="E1377" t="s">
        <v>17</v>
      </c>
      <c r="F1377">
        <v>143.71299999999999</v>
      </c>
      <c r="G1377" t="s">
        <v>15</v>
      </c>
    </row>
    <row r="1378" spans="1:7" x14ac:dyDescent="0.25">
      <c r="A1378">
        <v>77</v>
      </c>
      <c r="B1378" t="s">
        <v>600</v>
      </c>
      <c r="C1378">
        <v>90</v>
      </c>
      <c r="D1378" t="s">
        <v>24</v>
      </c>
      <c r="E1378" t="s">
        <v>11</v>
      </c>
      <c r="F1378">
        <v>1</v>
      </c>
      <c r="G1378" t="s">
        <v>15</v>
      </c>
    </row>
    <row r="1379" spans="1:7" x14ac:dyDescent="0.25">
      <c r="A1379">
        <v>77</v>
      </c>
      <c r="B1379" t="s">
        <v>600</v>
      </c>
      <c r="C1379">
        <v>100</v>
      </c>
      <c r="D1379" t="s">
        <v>141</v>
      </c>
      <c r="E1379" t="s">
        <v>14</v>
      </c>
      <c r="F1379">
        <v>9.1999999999999998E-2</v>
      </c>
      <c r="G1379" t="s">
        <v>15</v>
      </c>
    </row>
    <row r="1380" spans="1:7" x14ac:dyDescent="0.25">
      <c r="A1380">
        <v>77</v>
      </c>
      <c r="B1380" t="s">
        <v>600</v>
      </c>
      <c r="C1380">
        <v>110</v>
      </c>
      <c r="D1380" t="s">
        <v>140</v>
      </c>
      <c r="E1380" t="s">
        <v>11</v>
      </c>
      <c r="F1380">
        <v>4</v>
      </c>
      <c r="G1380" t="s">
        <v>15</v>
      </c>
    </row>
    <row r="1381" spans="1:7" x14ac:dyDescent="0.25">
      <c r="A1381">
        <v>77</v>
      </c>
      <c r="B1381" t="s">
        <v>600</v>
      </c>
      <c r="C1381">
        <v>120</v>
      </c>
      <c r="D1381" t="s">
        <v>25</v>
      </c>
      <c r="E1381" t="s">
        <v>11</v>
      </c>
      <c r="F1381">
        <v>1</v>
      </c>
      <c r="G1381" t="s">
        <v>15</v>
      </c>
    </row>
    <row r="1382" spans="1:7" x14ac:dyDescent="0.25">
      <c r="A1382">
        <v>77</v>
      </c>
      <c r="B1382" t="s">
        <v>600</v>
      </c>
      <c r="C1382">
        <v>130</v>
      </c>
      <c r="D1382" t="s">
        <v>26</v>
      </c>
      <c r="E1382" t="s">
        <v>11</v>
      </c>
      <c r="F1382">
        <v>1</v>
      </c>
      <c r="G1382" t="s">
        <v>15</v>
      </c>
    </row>
    <row r="1383" spans="1:7" x14ac:dyDescent="0.25">
      <c r="A1383">
        <v>77</v>
      </c>
      <c r="B1383" t="s">
        <v>600</v>
      </c>
      <c r="C1383">
        <v>140</v>
      </c>
      <c r="D1383" t="s">
        <v>100</v>
      </c>
      <c r="E1383" t="s">
        <v>14</v>
      </c>
      <c r="F1383">
        <v>0.66200000000000003</v>
      </c>
      <c r="G1383" t="s">
        <v>15</v>
      </c>
    </row>
    <row r="1384" spans="1:7" x14ac:dyDescent="0.25">
      <c r="A1384">
        <v>77</v>
      </c>
      <c r="B1384" t="s">
        <v>600</v>
      </c>
      <c r="C1384">
        <v>150</v>
      </c>
      <c r="D1384" t="s">
        <v>155</v>
      </c>
      <c r="E1384" t="s">
        <v>11</v>
      </c>
      <c r="F1384">
        <v>1</v>
      </c>
      <c r="G1384" t="s">
        <v>18</v>
      </c>
    </row>
    <row r="1385" spans="1:7" x14ac:dyDescent="0.25">
      <c r="A1385">
        <v>77</v>
      </c>
      <c r="B1385" t="s">
        <v>600</v>
      </c>
      <c r="C1385">
        <v>160</v>
      </c>
      <c r="D1385" t="s">
        <v>156</v>
      </c>
      <c r="E1385" t="s">
        <v>11</v>
      </c>
      <c r="F1385">
        <v>1</v>
      </c>
      <c r="G1385" t="s">
        <v>18</v>
      </c>
    </row>
    <row r="1386" spans="1:7" x14ac:dyDescent="0.25">
      <c r="A1386">
        <v>77</v>
      </c>
      <c r="B1386" t="s">
        <v>600</v>
      </c>
      <c r="C1386">
        <v>170</v>
      </c>
      <c r="D1386" t="s">
        <v>142</v>
      </c>
      <c r="E1386" t="s">
        <v>11</v>
      </c>
      <c r="F1386">
        <v>5.8419999999999996</v>
      </c>
      <c r="G1386" t="s">
        <v>15</v>
      </c>
    </row>
    <row r="1387" spans="1:7" x14ac:dyDescent="0.25">
      <c r="A1387">
        <v>77</v>
      </c>
      <c r="B1387" t="s">
        <v>600</v>
      </c>
      <c r="C1387">
        <v>180</v>
      </c>
      <c r="D1387" t="s">
        <v>157</v>
      </c>
      <c r="E1387" t="s">
        <v>11</v>
      </c>
      <c r="F1387">
        <v>1</v>
      </c>
      <c r="G1387" t="s">
        <v>18</v>
      </c>
    </row>
    <row r="1388" spans="1:7" x14ac:dyDescent="0.25">
      <c r="A1388">
        <v>78</v>
      </c>
      <c r="B1388" t="s">
        <v>602</v>
      </c>
      <c r="C1388">
        <v>10</v>
      </c>
      <c r="D1388" t="s">
        <v>159</v>
      </c>
      <c r="E1388" t="s">
        <v>11</v>
      </c>
      <c r="F1388">
        <v>1</v>
      </c>
      <c r="G1388" t="s">
        <v>18</v>
      </c>
    </row>
    <row r="1389" spans="1:7" x14ac:dyDescent="0.25">
      <c r="A1389">
        <v>78</v>
      </c>
      <c r="B1389" t="s">
        <v>602</v>
      </c>
      <c r="C1389">
        <v>20</v>
      </c>
      <c r="D1389" t="s">
        <v>116</v>
      </c>
      <c r="E1389" t="s">
        <v>14</v>
      </c>
      <c r="F1389">
        <v>3.0680000000000001</v>
      </c>
      <c r="G1389" t="s">
        <v>15</v>
      </c>
    </row>
    <row r="1390" spans="1:7" x14ac:dyDescent="0.25">
      <c r="A1390">
        <v>78</v>
      </c>
      <c r="B1390" t="s">
        <v>602</v>
      </c>
      <c r="C1390">
        <v>30</v>
      </c>
      <c r="D1390" t="s">
        <v>102</v>
      </c>
      <c r="E1390" t="s">
        <v>103</v>
      </c>
      <c r="F1390">
        <v>0.79100000000000004</v>
      </c>
      <c r="G1390" t="s">
        <v>15</v>
      </c>
    </row>
    <row r="1391" spans="1:7" x14ac:dyDescent="0.25">
      <c r="A1391">
        <v>78</v>
      </c>
      <c r="B1391" t="s">
        <v>602</v>
      </c>
      <c r="C1391">
        <v>40</v>
      </c>
      <c r="D1391" t="s">
        <v>597</v>
      </c>
      <c r="E1391" t="s">
        <v>11</v>
      </c>
      <c r="F1391">
        <v>1.1679999999999999</v>
      </c>
      <c r="G1391" t="s">
        <v>18</v>
      </c>
    </row>
    <row r="1392" spans="1:7" x14ac:dyDescent="0.25">
      <c r="A1392">
        <v>78</v>
      </c>
      <c r="B1392" t="s">
        <v>602</v>
      </c>
      <c r="C1392">
        <v>50</v>
      </c>
      <c r="D1392" t="s">
        <v>139</v>
      </c>
      <c r="E1392" t="s">
        <v>17</v>
      </c>
      <c r="F1392">
        <v>1.1679999999999999</v>
      </c>
      <c r="G1392" t="s">
        <v>18</v>
      </c>
    </row>
    <row r="1393" spans="1:7" x14ac:dyDescent="0.25">
      <c r="A1393">
        <v>78</v>
      </c>
      <c r="B1393" t="s">
        <v>602</v>
      </c>
      <c r="C1393">
        <v>60</v>
      </c>
      <c r="D1393" t="s">
        <v>603</v>
      </c>
      <c r="E1393" t="s">
        <v>11</v>
      </c>
      <c r="F1393">
        <v>1</v>
      </c>
      <c r="G1393" t="s">
        <v>18</v>
      </c>
    </row>
    <row r="1394" spans="1:7" x14ac:dyDescent="0.25">
      <c r="A1394">
        <v>78</v>
      </c>
      <c r="B1394" t="s">
        <v>602</v>
      </c>
      <c r="C1394">
        <v>70</v>
      </c>
      <c r="D1394" t="s">
        <v>599</v>
      </c>
      <c r="E1394" t="s">
        <v>17</v>
      </c>
      <c r="F1394">
        <v>18.440000000000001</v>
      </c>
      <c r="G1394" t="s">
        <v>15</v>
      </c>
    </row>
    <row r="1395" spans="1:7" x14ac:dyDescent="0.25">
      <c r="A1395">
        <v>78</v>
      </c>
      <c r="B1395" t="s">
        <v>602</v>
      </c>
      <c r="C1395">
        <v>80</v>
      </c>
      <c r="D1395" t="s">
        <v>20</v>
      </c>
      <c r="E1395" t="s">
        <v>17</v>
      </c>
      <c r="F1395">
        <v>151.21100000000001</v>
      </c>
      <c r="G1395" t="s">
        <v>15</v>
      </c>
    </row>
    <row r="1396" spans="1:7" x14ac:dyDescent="0.25">
      <c r="A1396">
        <v>78</v>
      </c>
      <c r="B1396" t="s">
        <v>602</v>
      </c>
      <c r="C1396">
        <v>90</v>
      </c>
      <c r="D1396" t="s">
        <v>24</v>
      </c>
      <c r="E1396" t="s">
        <v>11</v>
      </c>
      <c r="F1396">
        <v>1</v>
      </c>
      <c r="G1396" t="s">
        <v>15</v>
      </c>
    </row>
    <row r="1397" spans="1:7" x14ac:dyDescent="0.25">
      <c r="A1397">
        <v>78</v>
      </c>
      <c r="B1397" t="s">
        <v>602</v>
      </c>
      <c r="C1397">
        <v>100</v>
      </c>
      <c r="D1397" t="s">
        <v>141</v>
      </c>
      <c r="E1397" t="s">
        <v>14</v>
      </c>
      <c r="F1397">
        <v>0.10199999999999999</v>
      </c>
      <c r="G1397" t="s">
        <v>15</v>
      </c>
    </row>
    <row r="1398" spans="1:7" x14ac:dyDescent="0.25">
      <c r="A1398">
        <v>78</v>
      </c>
      <c r="B1398" t="s">
        <v>602</v>
      </c>
      <c r="C1398">
        <v>110</v>
      </c>
      <c r="D1398" t="s">
        <v>140</v>
      </c>
      <c r="E1398" t="s">
        <v>11</v>
      </c>
      <c r="F1398">
        <v>4</v>
      </c>
      <c r="G1398" t="s">
        <v>15</v>
      </c>
    </row>
    <row r="1399" spans="1:7" x14ac:dyDescent="0.25">
      <c r="A1399">
        <v>78</v>
      </c>
      <c r="B1399" t="s">
        <v>602</v>
      </c>
      <c r="C1399">
        <v>120</v>
      </c>
      <c r="D1399" t="s">
        <v>25</v>
      </c>
      <c r="E1399" t="s">
        <v>11</v>
      </c>
      <c r="F1399">
        <v>1</v>
      </c>
      <c r="G1399" t="s">
        <v>15</v>
      </c>
    </row>
    <row r="1400" spans="1:7" x14ac:dyDescent="0.25">
      <c r="A1400">
        <v>78</v>
      </c>
      <c r="B1400" t="s">
        <v>602</v>
      </c>
      <c r="C1400">
        <v>130</v>
      </c>
      <c r="D1400" t="s">
        <v>26</v>
      </c>
      <c r="E1400" t="s">
        <v>11</v>
      </c>
      <c r="F1400">
        <v>1</v>
      </c>
      <c r="G1400" t="s">
        <v>15</v>
      </c>
    </row>
    <row r="1401" spans="1:7" x14ac:dyDescent="0.25">
      <c r="A1401">
        <v>78</v>
      </c>
      <c r="B1401" t="s">
        <v>602</v>
      </c>
      <c r="C1401">
        <v>140</v>
      </c>
      <c r="D1401" t="s">
        <v>100</v>
      </c>
      <c r="E1401" t="s">
        <v>14</v>
      </c>
      <c r="F1401">
        <v>0.74299999999999999</v>
      </c>
      <c r="G1401" t="s">
        <v>15</v>
      </c>
    </row>
    <row r="1402" spans="1:7" x14ac:dyDescent="0.25">
      <c r="A1402">
        <v>78</v>
      </c>
      <c r="B1402" t="s">
        <v>602</v>
      </c>
      <c r="C1402">
        <v>150</v>
      </c>
      <c r="D1402" t="s">
        <v>161</v>
      </c>
      <c r="E1402" t="s">
        <v>11</v>
      </c>
      <c r="F1402">
        <v>1</v>
      </c>
      <c r="G1402" t="s">
        <v>18</v>
      </c>
    </row>
    <row r="1403" spans="1:7" x14ac:dyDescent="0.25">
      <c r="A1403">
        <v>78</v>
      </c>
      <c r="B1403" t="s">
        <v>602</v>
      </c>
      <c r="C1403">
        <v>160</v>
      </c>
      <c r="D1403" t="s">
        <v>162</v>
      </c>
      <c r="E1403" t="s">
        <v>11</v>
      </c>
      <c r="F1403">
        <v>1</v>
      </c>
      <c r="G1403" t="s">
        <v>18</v>
      </c>
    </row>
    <row r="1404" spans="1:7" x14ac:dyDescent="0.25">
      <c r="A1404">
        <v>78</v>
      </c>
      <c r="B1404" t="s">
        <v>602</v>
      </c>
      <c r="C1404">
        <v>170</v>
      </c>
      <c r="D1404" t="s">
        <v>142</v>
      </c>
      <c r="E1404" t="s">
        <v>11</v>
      </c>
      <c r="F1404">
        <v>6.1470000000000002</v>
      </c>
      <c r="G1404" t="s">
        <v>15</v>
      </c>
    </row>
    <row r="1405" spans="1:7" x14ac:dyDescent="0.25">
      <c r="A1405">
        <v>78</v>
      </c>
      <c r="B1405" t="s">
        <v>602</v>
      </c>
      <c r="C1405">
        <v>180</v>
      </c>
      <c r="D1405" t="s">
        <v>163</v>
      </c>
      <c r="E1405" t="s">
        <v>11</v>
      </c>
      <c r="F1405">
        <v>1</v>
      </c>
      <c r="G1405" t="s">
        <v>18</v>
      </c>
    </row>
    <row r="1406" spans="1:7" x14ac:dyDescent="0.25">
      <c r="A1406">
        <v>79</v>
      </c>
      <c r="B1406" t="s">
        <v>604</v>
      </c>
      <c r="C1406">
        <v>10</v>
      </c>
      <c r="D1406" t="s">
        <v>165</v>
      </c>
      <c r="E1406" t="s">
        <v>11</v>
      </c>
      <c r="F1406">
        <v>1</v>
      </c>
      <c r="G1406" t="s">
        <v>18</v>
      </c>
    </row>
    <row r="1407" spans="1:7" x14ac:dyDescent="0.25">
      <c r="A1407">
        <v>79</v>
      </c>
      <c r="B1407" t="s">
        <v>604</v>
      </c>
      <c r="C1407">
        <v>20</v>
      </c>
      <c r="D1407" t="s">
        <v>117</v>
      </c>
      <c r="E1407" t="s">
        <v>14</v>
      </c>
      <c r="F1407">
        <v>3.843</v>
      </c>
      <c r="G1407" t="s">
        <v>15</v>
      </c>
    </row>
    <row r="1408" spans="1:7" x14ac:dyDescent="0.25">
      <c r="A1408">
        <v>79</v>
      </c>
      <c r="B1408" t="s">
        <v>604</v>
      </c>
      <c r="C1408">
        <v>30</v>
      </c>
      <c r="D1408" t="s">
        <v>102</v>
      </c>
      <c r="E1408" t="s">
        <v>103</v>
      </c>
      <c r="F1408">
        <v>0.89900000000000002</v>
      </c>
      <c r="G1408" t="s">
        <v>15</v>
      </c>
    </row>
    <row r="1409" spans="1:7" x14ac:dyDescent="0.25">
      <c r="A1409">
        <v>79</v>
      </c>
      <c r="B1409" t="s">
        <v>604</v>
      </c>
      <c r="C1409">
        <v>40</v>
      </c>
      <c r="D1409" t="s">
        <v>597</v>
      </c>
      <c r="E1409" t="s">
        <v>11</v>
      </c>
      <c r="F1409">
        <v>1.321</v>
      </c>
      <c r="G1409" t="s">
        <v>18</v>
      </c>
    </row>
    <row r="1410" spans="1:7" x14ac:dyDescent="0.25">
      <c r="A1410">
        <v>79</v>
      </c>
      <c r="B1410" t="s">
        <v>604</v>
      </c>
      <c r="C1410">
        <v>50</v>
      </c>
      <c r="D1410" t="s">
        <v>139</v>
      </c>
      <c r="E1410" t="s">
        <v>17</v>
      </c>
      <c r="F1410">
        <v>1.321</v>
      </c>
      <c r="G1410" t="s">
        <v>18</v>
      </c>
    </row>
    <row r="1411" spans="1:7" x14ac:dyDescent="0.25">
      <c r="A1411">
        <v>79</v>
      </c>
      <c r="B1411" t="s">
        <v>604</v>
      </c>
      <c r="C1411">
        <v>60</v>
      </c>
      <c r="D1411" t="s">
        <v>605</v>
      </c>
      <c r="E1411" t="s">
        <v>11</v>
      </c>
      <c r="F1411">
        <v>1</v>
      </c>
      <c r="G1411" t="s">
        <v>18</v>
      </c>
    </row>
    <row r="1412" spans="1:7" x14ac:dyDescent="0.25">
      <c r="A1412">
        <v>79</v>
      </c>
      <c r="B1412" t="s">
        <v>604</v>
      </c>
      <c r="C1412">
        <v>70</v>
      </c>
      <c r="D1412" t="s">
        <v>599</v>
      </c>
      <c r="E1412" t="s">
        <v>17</v>
      </c>
      <c r="F1412">
        <v>19.355</v>
      </c>
      <c r="G1412" t="s">
        <v>15</v>
      </c>
    </row>
    <row r="1413" spans="1:7" x14ac:dyDescent="0.25">
      <c r="A1413">
        <v>79</v>
      </c>
      <c r="B1413" t="s">
        <v>604</v>
      </c>
      <c r="C1413">
        <v>80</v>
      </c>
      <c r="D1413" t="s">
        <v>20</v>
      </c>
      <c r="E1413" t="s">
        <v>17</v>
      </c>
      <c r="F1413">
        <v>158.709</v>
      </c>
      <c r="G1413" t="s">
        <v>15</v>
      </c>
    </row>
    <row r="1414" spans="1:7" x14ac:dyDescent="0.25">
      <c r="A1414">
        <v>79</v>
      </c>
      <c r="B1414" t="s">
        <v>604</v>
      </c>
      <c r="C1414">
        <v>90</v>
      </c>
      <c r="D1414" t="s">
        <v>24</v>
      </c>
      <c r="E1414" t="s">
        <v>11</v>
      </c>
      <c r="F1414">
        <v>1</v>
      </c>
      <c r="G1414" t="s">
        <v>15</v>
      </c>
    </row>
    <row r="1415" spans="1:7" x14ac:dyDescent="0.25">
      <c r="A1415">
        <v>79</v>
      </c>
      <c r="B1415" t="s">
        <v>604</v>
      </c>
      <c r="C1415">
        <v>100</v>
      </c>
      <c r="D1415" t="s">
        <v>141</v>
      </c>
      <c r="E1415" t="s">
        <v>14</v>
      </c>
      <c r="F1415">
        <v>0.112</v>
      </c>
      <c r="G1415" t="s">
        <v>15</v>
      </c>
    </row>
    <row r="1416" spans="1:7" x14ac:dyDescent="0.25">
      <c r="A1416">
        <v>79</v>
      </c>
      <c r="B1416" t="s">
        <v>604</v>
      </c>
      <c r="C1416">
        <v>110</v>
      </c>
      <c r="D1416" t="s">
        <v>140</v>
      </c>
      <c r="E1416" t="s">
        <v>11</v>
      </c>
      <c r="F1416">
        <v>4</v>
      </c>
      <c r="G1416" t="s">
        <v>15</v>
      </c>
    </row>
    <row r="1417" spans="1:7" x14ac:dyDescent="0.25">
      <c r="A1417">
        <v>79</v>
      </c>
      <c r="B1417" t="s">
        <v>604</v>
      </c>
      <c r="C1417">
        <v>120</v>
      </c>
      <c r="D1417" t="s">
        <v>25</v>
      </c>
      <c r="E1417" t="s">
        <v>11</v>
      </c>
      <c r="F1417">
        <v>1</v>
      </c>
      <c r="G1417" t="s">
        <v>15</v>
      </c>
    </row>
    <row r="1418" spans="1:7" x14ac:dyDescent="0.25">
      <c r="A1418">
        <v>79</v>
      </c>
      <c r="B1418" t="s">
        <v>604</v>
      </c>
      <c r="C1418">
        <v>130</v>
      </c>
      <c r="D1418" t="s">
        <v>26</v>
      </c>
      <c r="E1418" t="s">
        <v>11</v>
      </c>
      <c r="F1418">
        <v>1</v>
      </c>
      <c r="G1418" t="s">
        <v>15</v>
      </c>
    </row>
    <row r="1419" spans="1:7" x14ac:dyDescent="0.25">
      <c r="A1419">
        <v>79</v>
      </c>
      <c r="B1419" t="s">
        <v>604</v>
      </c>
      <c r="C1419">
        <v>140</v>
      </c>
      <c r="D1419" t="s">
        <v>100</v>
      </c>
      <c r="E1419" t="s">
        <v>14</v>
      </c>
      <c r="F1419">
        <v>0.82399999999999995</v>
      </c>
      <c r="G1419" t="s">
        <v>15</v>
      </c>
    </row>
    <row r="1420" spans="1:7" x14ac:dyDescent="0.25">
      <c r="A1420">
        <v>79</v>
      </c>
      <c r="B1420" t="s">
        <v>604</v>
      </c>
      <c r="C1420">
        <v>150</v>
      </c>
      <c r="D1420" t="s">
        <v>167</v>
      </c>
      <c r="E1420" t="s">
        <v>11</v>
      </c>
      <c r="F1420">
        <v>1</v>
      </c>
      <c r="G1420" t="s">
        <v>18</v>
      </c>
    </row>
    <row r="1421" spans="1:7" x14ac:dyDescent="0.25">
      <c r="A1421">
        <v>79</v>
      </c>
      <c r="B1421" t="s">
        <v>604</v>
      </c>
      <c r="C1421">
        <v>160</v>
      </c>
      <c r="D1421" t="s">
        <v>168</v>
      </c>
      <c r="E1421" t="s">
        <v>11</v>
      </c>
      <c r="F1421">
        <v>1</v>
      </c>
      <c r="G1421" t="s">
        <v>18</v>
      </c>
    </row>
    <row r="1422" spans="1:7" x14ac:dyDescent="0.25">
      <c r="A1422">
        <v>79</v>
      </c>
      <c r="B1422" t="s">
        <v>604</v>
      </c>
      <c r="C1422">
        <v>170</v>
      </c>
      <c r="D1422" t="s">
        <v>142</v>
      </c>
      <c r="E1422" t="s">
        <v>11</v>
      </c>
      <c r="F1422">
        <v>6.452</v>
      </c>
      <c r="G1422" t="s">
        <v>15</v>
      </c>
    </row>
    <row r="1423" spans="1:7" x14ac:dyDescent="0.25">
      <c r="A1423">
        <v>79</v>
      </c>
      <c r="B1423" t="s">
        <v>604</v>
      </c>
      <c r="C1423">
        <v>180</v>
      </c>
      <c r="D1423" t="s">
        <v>169</v>
      </c>
      <c r="E1423" t="s">
        <v>11</v>
      </c>
      <c r="F1423">
        <v>1</v>
      </c>
      <c r="G1423" t="s">
        <v>18</v>
      </c>
    </row>
    <row r="1424" spans="1:7" x14ac:dyDescent="0.25">
      <c r="A1424">
        <v>80</v>
      </c>
      <c r="B1424" t="s">
        <v>606</v>
      </c>
      <c r="C1424">
        <v>10</v>
      </c>
      <c r="D1424" t="s">
        <v>171</v>
      </c>
      <c r="E1424" t="s">
        <v>11</v>
      </c>
      <c r="F1424">
        <v>1</v>
      </c>
      <c r="G1424" t="s">
        <v>18</v>
      </c>
    </row>
    <row r="1425" spans="1:7" x14ac:dyDescent="0.25">
      <c r="A1425">
        <v>80</v>
      </c>
      <c r="B1425" t="s">
        <v>606</v>
      </c>
      <c r="C1425">
        <v>20</v>
      </c>
      <c r="D1425" t="s">
        <v>117</v>
      </c>
      <c r="E1425" t="s">
        <v>14</v>
      </c>
      <c r="F1425">
        <v>3.843</v>
      </c>
      <c r="G1425" t="s">
        <v>15</v>
      </c>
    </row>
    <row r="1426" spans="1:7" x14ac:dyDescent="0.25">
      <c r="A1426">
        <v>80</v>
      </c>
      <c r="B1426" t="s">
        <v>606</v>
      </c>
      <c r="C1426">
        <v>30</v>
      </c>
      <c r="D1426" t="s">
        <v>102</v>
      </c>
      <c r="E1426" t="s">
        <v>103</v>
      </c>
      <c r="F1426">
        <v>0.95299999999999996</v>
      </c>
      <c r="G1426" t="s">
        <v>15</v>
      </c>
    </row>
    <row r="1427" spans="1:7" x14ac:dyDescent="0.25">
      <c r="A1427">
        <v>80</v>
      </c>
      <c r="B1427" t="s">
        <v>606</v>
      </c>
      <c r="C1427">
        <v>40</v>
      </c>
      <c r="D1427" t="s">
        <v>597</v>
      </c>
      <c r="E1427" t="s">
        <v>11</v>
      </c>
      <c r="F1427">
        <v>1.397</v>
      </c>
      <c r="G1427" t="s">
        <v>18</v>
      </c>
    </row>
    <row r="1428" spans="1:7" x14ac:dyDescent="0.25">
      <c r="A1428">
        <v>80</v>
      </c>
      <c r="B1428" t="s">
        <v>606</v>
      </c>
      <c r="C1428">
        <v>50</v>
      </c>
      <c r="D1428" t="s">
        <v>139</v>
      </c>
      <c r="E1428" t="s">
        <v>17</v>
      </c>
      <c r="F1428">
        <v>1.397</v>
      </c>
      <c r="G1428" t="s">
        <v>18</v>
      </c>
    </row>
    <row r="1429" spans="1:7" x14ac:dyDescent="0.25">
      <c r="A1429">
        <v>80</v>
      </c>
      <c r="B1429" t="s">
        <v>606</v>
      </c>
      <c r="C1429">
        <v>60</v>
      </c>
      <c r="D1429" t="s">
        <v>607</v>
      </c>
      <c r="E1429" t="s">
        <v>11</v>
      </c>
      <c r="F1429">
        <v>1</v>
      </c>
      <c r="G1429" t="s">
        <v>18</v>
      </c>
    </row>
    <row r="1430" spans="1:7" x14ac:dyDescent="0.25">
      <c r="A1430">
        <v>80</v>
      </c>
      <c r="B1430" t="s">
        <v>606</v>
      </c>
      <c r="C1430">
        <v>70</v>
      </c>
      <c r="D1430" t="s">
        <v>599</v>
      </c>
      <c r="E1430" t="s">
        <v>17</v>
      </c>
      <c r="F1430">
        <v>19.812000000000001</v>
      </c>
      <c r="G1430" t="s">
        <v>15</v>
      </c>
    </row>
    <row r="1431" spans="1:7" x14ac:dyDescent="0.25">
      <c r="A1431">
        <v>80</v>
      </c>
      <c r="B1431" t="s">
        <v>606</v>
      </c>
      <c r="C1431">
        <v>80</v>
      </c>
      <c r="D1431" t="s">
        <v>20</v>
      </c>
      <c r="E1431" t="s">
        <v>17</v>
      </c>
      <c r="F1431">
        <v>162.458</v>
      </c>
      <c r="G1431" t="s">
        <v>15</v>
      </c>
    </row>
    <row r="1432" spans="1:7" x14ac:dyDescent="0.25">
      <c r="A1432">
        <v>80</v>
      </c>
      <c r="B1432" t="s">
        <v>606</v>
      </c>
      <c r="C1432">
        <v>90</v>
      </c>
      <c r="D1432" t="s">
        <v>24</v>
      </c>
      <c r="E1432" t="s">
        <v>11</v>
      </c>
      <c r="F1432">
        <v>1</v>
      </c>
      <c r="G1432" t="s">
        <v>15</v>
      </c>
    </row>
    <row r="1433" spans="1:7" x14ac:dyDescent="0.25">
      <c r="A1433">
        <v>80</v>
      </c>
      <c r="B1433" t="s">
        <v>606</v>
      </c>
      <c r="C1433">
        <v>100</v>
      </c>
      <c r="D1433" t="s">
        <v>141</v>
      </c>
      <c r="E1433" t="s">
        <v>14</v>
      </c>
      <c r="F1433">
        <v>0.11700000000000001</v>
      </c>
      <c r="G1433" t="s">
        <v>15</v>
      </c>
    </row>
    <row r="1434" spans="1:7" x14ac:dyDescent="0.25">
      <c r="A1434">
        <v>80</v>
      </c>
      <c r="B1434" t="s">
        <v>606</v>
      </c>
      <c r="C1434">
        <v>110</v>
      </c>
      <c r="D1434" t="s">
        <v>140</v>
      </c>
      <c r="E1434" t="s">
        <v>11</v>
      </c>
      <c r="F1434">
        <v>4</v>
      </c>
      <c r="G1434" t="s">
        <v>15</v>
      </c>
    </row>
    <row r="1435" spans="1:7" x14ac:dyDescent="0.25">
      <c r="A1435">
        <v>80</v>
      </c>
      <c r="B1435" t="s">
        <v>606</v>
      </c>
      <c r="C1435">
        <v>120</v>
      </c>
      <c r="D1435" t="s">
        <v>25</v>
      </c>
      <c r="E1435" t="s">
        <v>11</v>
      </c>
      <c r="F1435">
        <v>1</v>
      </c>
      <c r="G1435" t="s">
        <v>15</v>
      </c>
    </row>
    <row r="1436" spans="1:7" x14ac:dyDescent="0.25">
      <c r="A1436">
        <v>80</v>
      </c>
      <c r="B1436" t="s">
        <v>606</v>
      </c>
      <c r="C1436">
        <v>130</v>
      </c>
      <c r="D1436" t="s">
        <v>26</v>
      </c>
      <c r="E1436" t="s">
        <v>11</v>
      </c>
      <c r="F1436">
        <v>1</v>
      </c>
      <c r="G1436" t="s">
        <v>15</v>
      </c>
    </row>
    <row r="1437" spans="1:7" x14ac:dyDescent="0.25">
      <c r="A1437">
        <v>80</v>
      </c>
      <c r="B1437" t="s">
        <v>606</v>
      </c>
      <c r="C1437">
        <v>140</v>
      </c>
      <c r="D1437" t="s">
        <v>100</v>
      </c>
      <c r="E1437" t="s">
        <v>14</v>
      </c>
      <c r="F1437">
        <v>0.86499999999999999</v>
      </c>
      <c r="G1437" t="s">
        <v>15</v>
      </c>
    </row>
    <row r="1438" spans="1:7" x14ac:dyDescent="0.25">
      <c r="A1438">
        <v>80</v>
      </c>
      <c r="B1438" t="s">
        <v>606</v>
      </c>
      <c r="C1438">
        <v>150</v>
      </c>
      <c r="D1438" t="s">
        <v>173</v>
      </c>
      <c r="E1438" t="s">
        <v>11</v>
      </c>
      <c r="F1438">
        <v>1</v>
      </c>
      <c r="G1438" t="s">
        <v>18</v>
      </c>
    </row>
    <row r="1439" spans="1:7" x14ac:dyDescent="0.25">
      <c r="A1439">
        <v>80</v>
      </c>
      <c r="B1439" t="s">
        <v>606</v>
      </c>
      <c r="C1439">
        <v>160</v>
      </c>
      <c r="D1439" t="s">
        <v>174</v>
      </c>
      <c r="E1439" t="s">
        <v>11</v>
      </c>
      <c r="F1439">
        <v>1</v>
      </c>
      <c r="G1439" t="s">
        <v>18</v>
      </c>
    </row>
    <row r="1440" spans="1:7" x14ac:dyDescent="0.25">
      <c r="A1440">
        <v>80</v>
      </c>
      <c r="B1440" t="s">
        <v>606</v>
      </c>
      <c r="C1440">
        <v>170</v>
      </c>
      <c r="D1440" t="s">
        <v>142</v>
      </c>
      <c r="E1440" t="s">
        <v>11</v>
      </c>
      <c r="F1440">
        <v>6.6040000000000001</v>
      </c>
      <c r="G1440" t="s">
        <v>15</v>
      </c>
    </row>
    <row r="1441" spans="1:7" x14ac:dyDescent="0.25">
      <c r="A1441">
        <v>80</v>
      </c>
      <c r="B1441" t="s">
        <v>606</v>
      </c>
      <c r="C1441">
        <v>180</v>
      </c>
      <c r="D1441" t="s">
        <v>175</v>
      </c>
      <c r="E1441" t="s">
        <v>11</v>
      </c>
      <c r="F1441">
        <v>1</v>
      </c>
      <c r="G1441" t="s">
        <v>18</v>
      </c>
    </row>
    <row r="1442" spans="1:7" x14ac:dyDescent="0.25">
      <c r="A1442">
        <v>81</v>
      </c>
      <c r="B1442" t="s">
        <v>608</v>
      </c>
      <c r="C1442">
        <v>10</v>
      </c>
      <c r="D1442" t="s">
        <v>177</v>
      </c>
      <c r="E1442" t="s">
        <v>11</v>
      </c>
      <c r="F1442">
        <v>1</v>
      </c>
      <c r="G1442" t="s">
        <v>18</v>
      </c>
    </row>
    <row r="1443" spans="1:7" x14ac:dyDescent="0.25">
      <c r="A1443">
        <v>81</v>
      </c>
      <c r="B1443" t="s">
        <v>608</v>
      </c>
      <c r="C1443">
        <v>20</v>
      </c>
      <c r="D1443" t="s">
        <v>117</v>
      </c>
      <c r="E1443" t="s">
        <v>14</v>
      </c>
      <c r="F1443">
        <v>3.843</v>
      </c>
      <c r="G1443" t="s">
        <v>15</v>
      </c>
    </row>
    <row r="1444" spans="1:7" x14ac:dyDescent="0.25">
      <c r="A1444">
        <v>81</v>
      </c>
      <c r="B1444" t="s">
        <v>608</v>
      </c>
      <c r="C1444">
        <v>30</v>
      </c>
      <c r="D1444" t="s">
        <v>102</v>
      </c>
      <c r="E1444" t="s">
        <v>103</v>
      </c>
      <c r="F1444">
        <v>1.006</v>
      </c>
      <c r="G1444" t="s">
        <v>15</v>
      </c>
    </row>
    <row r="1445" spans="1:7" x14ac:dyDescent="0.25">
      <c r="A1445">
        <v>81</v>
      </c>
      <c r="B1445" t="s">
        <v>608</v>
      </c>
      <c r="C1445">
        <v>40</v>
      </c>
      <c r="D1445" t="s">
        <v>597</v>
      </c>
      <c r="E1445" t="s">
        <v>11</v>
      </c>
      <c r="F1445">
        <v>1.4730000000000001</v>
      </c>
      <c r="G1445" t="s">
        <v>18</v>
      </c>
    </row>
    <row r="1446" spans="1:7" x14ac:dyDescent="0.25">
      <c r="A1446">
        <v>81</v>
      </c>
      <c r="B1446" t="s">
        <v>608</v>
      </c>
      <c r="C1446">
        <v>50</v>
      </c>
      <c r="D1446" t="s">
        <v>139</v>
      </c>
      <c r="E1446" t="s">
        <v>17</v>
      </c>
      <c r="F1446">
        <v>1.4730000000000001</v>
      </c>
      <c r="G1446" t="s">
        <v>18</v>
      </c>
    </row>
    <row r="1447" spans="1:7" x14ac:dyDescent="0.25">
      <c r="A1447">
        <v>81</v>
      </c>
      <c r="B1447" t="s">
        <v>608</v>
      </c>
      <c r="C1447">
        <v>60</v>
      </c>
      <c r="D1447" t="s">
        <v>609</v>
      </c>
      <c r="E1447" t="s">
        <v>11</v>
      </c>
      <c r="F1447">
        <v>1</v>
      </c>
      <c r="G1447" t="s">
        <v>18</v>
      </c>
    </row>
    <row r="1448" spans="1:7" x14ac:dyDescent="0.25">
      <c r="A1448">
        <v>81</v>
      </c>
      <c r="B1448" t="s">
        <v>608</v>
      </c>
      <c r="C1448">
        <v>70</v>
      </c>
      <c r="D1448" t="s">
        <v>599</v>
      </c>
      <c r="E1448" t="s">
        <v>17</v>
      </c>
      <c r="F1448">
        <v>20.268999999999998</v>
      </c>
      <c r="G1448" t="s">
        <v>15</v>
      </c>
    </row>
    <row r="1449" spans="1:7" x14ac:dyDescent="0.25">
      <c r="A1449">
        <v>81</v>
      </c>
      <c r="B1449" t="s">
        <v>608</v>
      </c>
      <c r="C1449">
        <v>80</v>
      </c>
      <c r="D1449" t="s">
        <v>20</v>
      </c>
      <c r="E1449" t="s">
        <v>17</v>
      </c>
      <c r="F1449">
        <v>166.20699999999999</v>
      </c>
      <c r="G1449" t="s">
        <v>15</v>
      </c>
    </row>
    <row r="1450" spans="1:7" x14ac:dyDescent="0.25">
      <c r="A1450">
        <v>81</v>
      </c>
      <c r="B1450" t="s">
        <v>608</v>
      </c>
      <c r="C1450">
        <v>90</v>
      </c>
      <c r="D1450" t="s">
        <v>24</v>
      </c>
      <c r="E1450" t="s">
        <v>11</v>
      </c>
      <c r="F1450">
        <v>1</v>
      </c>
      <c r="G1450" t="s">
        <v>15</v>
      </c>
    </row>
    <row r="1451" spans="1:7" x14ac:dyDescent="0.25">
      <c r="A1451">
        <v>81</v>
      </c>
      <c r="B1451" t="s">
        <v>608</v>
      </c>
      <c r="C1451">
        <v>100</v>
      </c>
      <c r="D1451" t="s">
        <v>141</v>
      </c>
      <c r="E1451" t="s">
        <v>14</v>
      </c>
      <c r="F1451">
        <v>0.123</v>
      </c>
      <c r="G1451" t="s">
        <v>15</v>
      </c>
    </row>
    <row r="1452" spans="1:7" x14ac:dyDescent="0.25">
      <c r="A1452">
        <v>81</v>
      </c>
      <c r="B1452" t="s">
        <v>608</v>
      </c>
      <c r="C1452">
        <v>110</v>
      </c>
      <c r="D1452" t="s">
        <v>140</v>
      </c>
      <c r="E1452" t="s">
        <v>11</v>
      </c>
      <c r="F1452">
        <v>4</v>
      </c>
      <c r="G1452" t="s">
        <v>15</v>
      </c>
    </row>
    <row r="1453" spans="1:7" x14ac:dyDescent="0.25">
      <c r="A1453">
        <v>81</v>
      </c>
      <c r="B1453" t="s">
        <v>608</v>
      </c>
      <c r="C1453">
        <v>120</v>
      </c>
      <c r="D1453" t="s">
        <v>25</v>
      </c>
      <c r="E1453" t="s">
        <v>11</v>
      </c>
      <c r="F1453">
        <v>1</v>
      </c>
      <c r="G1453" t="s">
        <v>15</v>
      </c>
    </row>
    <row r="1454" spans="1:7" x14ac:dyDescent="0.25">
      <c r="A1454">
        <v>81</v>
      </c>
      <c r="B1454" t="s">
        <v>608</v>
      </c>
      <c r="C1454">
        <v>130</v>
      </c>
      <c r="D1454" t="s">
        <v>26</v>
      </c>
      <c r="E1454" t="s">
        <v>11</v>
      </c>
      <c r="F1454">
        <v>1</v>
      </c>
      <c r="G1454" t="s">
        <v>15</v>
      </c>
    </row>
    <row r="1455" spans="1:7" x14ac:dyDescent="0.25">
      <c r="A1455">
        <v>81</v>
      </c>
      <c r="B1455" t="s">
        <v>608</v>
      </c>
      <c r="C1455">
        <v>140</v>
      </c>
      <c r="D1455" t="s">
        <v>100</v>
      </c>
      <c r="E1455" t="s">
        <v>14</v>
      </c>
      <c r="F1455">
        <v>0.90500000000000003</v>
      </c>
      <c r="G1455" t="s">
        <v>15</v>
      </c>
    </row>
    <row r="1456" spans="1:7" x14ac:dyDescent="0.25">
      <c r="A1456">
        <v>81</v>
      </c>
      <c r="B1456" t="s">
        <v>608</v>
      </c>
      <c r="C1456">
        <v>150</v>
      </c>
      <c r="D1456" t="s">
        <v>179</v>
      </c>
      <c r="E1456" t="s">
        <v>11</v>
      </c>
      <c r="F1456">
        <v>1</v>
      </c>
      <c r="G1456" t="s">
        <v>18</v>
      </c>
    </row>
    <row r="1457" spans="1:7" x14ac:dyDescent="0.25">
      <c r="A1457">
        <v>81</v>
      </c>
      <c r="B1457" t="s">
        <v>608</v>
      </c>
      <c r="C1457">
        <v>160</v>
      </c>
      <c r="D1457" t="s">
        <v>180</v>
      </c>
      <c r="E1457" t="s">
        <v>11</v>
      </c>
      <c r="F1457">
        <v>1</v>
      </c>
      <c r="G1457" t="s">
        <v>18</v>
      </c>
    </row>
    <row r="1458" spans="1:7" x14ac:dyDescent="0.25">
      <c r="A1458">
        <v>81</v>
      </c>
      <c r="B1458" t="s">
        <v>608</v>
      </c>
      <c r="C1458">
        <v>170</v>
      </c>
      <c r="D1458" t="s">
        <v>142</v>
      </c>
      <c r="E1458" t="s">
        <v>11</v>
      </c>
      <c r="F1458">
        <v>6.7560000000000002</v>
      </c>
      <c r="G1458" t="s">
        <v>15</v>
      </c>
    </row>
    <row r="1459" spans="1:7" x14ac:dyDescent="0.25">
      <c r="A1459">
        <v>81</v>
      </c>
      <c r="B1459" t="s">
        <v>608</v>
      </c>
      <c r="C1459">
        <v>180</v>
      </c>
      <c r="D1459" t="s">
        <v>181</v>
      </c>
      <c r="E1459" t="s">
        <v>11</v>
      </c>
      <c r="F1459">
        <v>1</v>
      </c>
      <c r="G1459" t="s">
        <v>18</v>
      </c>
    </row>
    <row r="1460" spans="1:7" x14ac:dyDescent="0.25">
      <c r="A1460">
        <v>82</v>
      </c>
      <c r="B1460" t="s">
        <v>610</v>
      </c>
      <c r="C1460">
        <v>10</v>
      </c>
      <c r="D1460" t="s">
        <v>183</v>
      </c>
      <c r="E1460" t="s">
        <v>11</v>
      </c>
      <c r="F1460">
        <v>1</v>
      </c>
      <c r="G1460" t="s">
        <v>18</v>
      </c>
    </row>
    <row r="1461" spans="1:7" x14ac:dyDescent="0.25">
      <c r="A1461">
        <v>82</v>
      </c>
      <c r="B1461" t="s">
        <v>610</v>
      </c>
      <c r="C1461">
        <v>20</v>
      </c>
      <c r="D1461" t="s">
        <v>118</v>
      </c>
      <c r="E1461" t="s">
        <v>14</v>
      </c>
      <c r="F1461">
        <v>4.2300000000000004</v>
      </c>
      <c r="G1461" t="s">
        <v>15</v>
      </c>
    </row>
    <row r="1462" spans="1:7" x14ac:dyDescent="0.25">
      <c r="A1462">
        <v>82</v>
      </c>
      <c r="B1462" t="s">
        <v>610</v>
      </c>
      <c r="C1462">
        <v>30</v>
      </c>
      <c r="D1462" t="s">
        <v>102</v>
      </c>
      <c r="E1462" t="s">
        <v>103</v>
      </c>
      <c r="F1462">
        <v>1.1140000000000001</v>
      </c>
      <c r="G1462" t="s">
        <v>15</v>
      </c>
    </row>
    <row r="1463" spans="1:7" x14ac:dyDescent="0.25">
      <c r="A1463">
        <v>82</v>
      </c>
      <c r="B1463" t="s">
        <v>610</v>
      </c>
      <c r="C1463">
        <v>40</v>
      </c>
      <c r="D1463" t="s">
        <v>597</v>
      </c>
      <c r="E1463" t="s">
        <v>11</v>
      </c>
      <c r="F1463">
        <v>1.6259999999999999</v>
      </c>
      <c r="G1463" t="s">
        <v>18</v>
      </c>
    </row>
    <row r="1464" spans="1:7" x14ac:dyDescent="0.25">
      <c r="A1464">
        <v>82</v>
      </c>
      <c r="B1464" t="s">
        <v>610</v>
      </c>
      <c r="C1464">
        <v>50</v>
      </c>
      <c r="D1464" t="s">
        <v>139</v>
      </c>
      <c r="E1464" t="s">
        <v>17</v>
      </c>
      <c r="F1464">
        <v>1.6259999999999999</v>
      </c>
      <c r="G1464" t="s">
        <v>18</v>
      </c>
    </row>
    <row r="1465" spans="1:7" x14ac:dyDescent="0.25">
      <c r="A1465">
        <v>82</v>
      </c>
      <c r="B1465" t="s">
        <v>610</v>
      </c>
      <c r="C1465">
        <v>60</v>
      </c>
      <c r="D1465" t="s">
        <v>611</v>
      </c>
      <c r="E1465" t="s">
        <v>11</v>
      </c>
      <c r="F1465">
        <v>1</v>
      </c>
      <c r="G1465" t="s">
        <v>18</v>
      </c>
    </row>
    <row r="1466" spans="1:7" x14ac:dyDescent="0.25">
      <c r="A1466">
        <v>82</v>
      </c>
      <c r="B1466" t="s">
        <v>610</v>
      </c>
      <c r="C1466">
        <v>70</v>
      </c>
      <c r="D1466" t="s">
        <v>599</v>
      </c>
      <c r="E1466" t="s">
        <v>17</v>
      </c>
      <c r="F1466">
        <v>21.184000000000001</v>
      </c>
      <c r="G1466" t="s">
        <v>15</v>
      </c>
    </row>
    <row r="1467" spans="1:7" x14ac:dyDescent="0.25">
      <c r="A1467">
        <v>82</v>
      </c>
      <c r="B1467" t="s">
        <v>610</v>
      </c>
      <c r="C1467">
        <v>80</v>
      </c>
      <c r="D1467" t="s">
        <v>20</v>
      </c>
      <c r="E1467" t="s">
        <v>17</v>
      </c>
      <c r="F1467">
        <v>173.70599999999999</v>
      </c>
      <c r="G1467" t="s">
        <v>15</v>
      </c>
    </row>
    <row r="1468" spans="1:7" x14ac:dyDescent="0.25">
      <c r="A1468">
        <v>82</v>
      </c>
      <c r="B1468" t="s">
        <v>610</v>
      </c>
      <c r="C1468">
        <v>90</v>
      </c>
      <c r="D1468" t="s">
        <v>24</v>
      </c>
      <c r="E1468" t="s">
        <v>11</v>
      </c>
      <c r="F1468">
        <v>1</v>
      </c>
      <c r="G1468" t="s">
        <v>15</v>
      </c>
    </row>
    <row r="1469" spans="1:7" x14ac:dyDescent="0.25">
      <c r="A1469">
        <v>82</v>
      </c>
      <c r="B1469" t="s">
        <v>610</v>
      </c>
      <c r="C1469">
        <v>100</v>
      </c>
      <c r="D1469" t="s">
        <v>141</v>
      </c>
      <c r="E1469" t="s">
        <v>14</v>
      </c>
      <c r="F1469">
        <v>0.13300000000000001</v>
      </c>
      <c r="G1469" t="s">
        <v>15</v>
      </c>
    </row>
    <row r="1470" spans="1:7" x14ac:dyDescent="0.25">
      <c r="A1470">
        <v>82</v>
      </c>
      <c r="B1470" t="s">
        <v>610</v>
      </c>
      <c r="C1470">
        <v>110</v>
      </c>
      <c r="D1470" t="s">
        <v>140</v>
      </c>
      <c r="E1470" t="s">
        <v>11</v>
      </c>
      <c r="F1470">
        <v>4</v>
      </c>
      <c r="G1470" t="s">
        <v>15</v>
      </c>
    </row>
    <row r="1471" spans="1:7" x14ac:dyDescent="0.25">
      <c r="A1471">
        <v>82</v>
      </c>
      <c r="B1471" t="s">
        <v>610</v>
      </c>
      <c r="C1471">
        <v>120</v>
      </c>
      <c r="D1471" t="s">
        <v>25</v>
      </c>
      <c r="E1471" t="s">
        <v>11</v>
      </c>
      <c r="F1471">
        <v>1</v>
      </c>
      <c r="G1471" t="s">
        <v>15</v>
      </c>
    </row>
    <row r="1472" spans="1:7" x14ac:dyDescent="0.25">
      <c r="A1472">
        <v>82</v>
      </c>
      <c r="B1472" t="s">
        <v>610</v>
      </c>
      <c r="C1472">
        <v>130</v>
      </c>
      <c r="D1472" t="s">
        <v>26</v>
      </c>
      <c r="E1472" t="s">
        <v>11</v>
      </c>
      <c r="F1472">
        <v>1</v>
      </c>
      <c r="G1472" t="s">
        <v>15</v>
      </c>
    </row>
    <row r="1473" spans="1:7" x14ac:dyDescent="0.25">
      <c r="A1473">
        <v>82</v>
      </c>
      <c r="B1473" t="s">
        <v>610</v>
      </c>
      <c r="C1473">
        <v>140</v>
      </c>
      <c r="D1473" t="s">
        <v>100</v>
      </c>
      <c r="E1473" t="s">
        <v>14</v>
      </c>
      <c r="F1473">
        <v>0.98599999999999999</v>
      </c>
      <c r="G1473" t="s">
        <v>15</v>
      </c>
    </row>
    <row r="1474" spans="1:7" x14ac:dyDescent="0.25">
      <c r="A1474">
        <v>82</v>
      </c>
      <c r="B1474" t="s">
        <v>610</v>
      </c>
      <c r="C1474">
        <v>150</v>
      </c>
      <c r="D1474" t="s">
        <v>185</v>
      </c>
      <c r="E1474" t="s">
        <v>11</v>
      </c>
      <c r="F1474">
        <v>1</v>
      </c>
      <c r="G1474" t="s">
        <v>18</v>
      </c>
    </row>
    <row r="1475" spans="1:7" x14ac:dyDescent="0.25">
      <c r="A1475">
        <v>82</v>
      </c>
      <c r="B1475" t="s">
        <v>610</v>
      </c>
      <c r="C1475">
        <v>160</v>
      </c>
      <c r="D1475" t="s">
        <v>186</v>
      </c>
      <c r="E1475" t="s">
        <v>11</v>
      </c>
      <c r="F1475">
        <v>1</v>
      </c>
      <c r="G1475" t="s">
        <v>18</v>
      </c>
    </row>
    <row r="1476" spans="1:7" x14ac:dyDescent="0.25">
      <c r="A1476">
        <v>82</v>
      </c>
      <c r="B1476" t="s">
        <v>610</v>
      </c>
      <c r="C1476">
        <v>170</v>
      </c>
      <c r="D1476" t="s">
        <v>142</v>
      </c>
      <c r="E1476" t="s">
        <v>11</v>
      </c>
      <c r="F1476">
        <v>7.0609999999999999</v>
      </c>
      <c r="G1476" t="s">
        <v>15</v>
      </c>
    </row>
    <row r="1477" spans="1:7" x14ac:dyDescent="0.25">
      <c r="A1477">
        <v>82</v>
      </c>
      <c r="B1477" t="s">
        <v>610</v>
      </c>
      <c r="C1477">
        <v>180</v>
      </c>
      <c r="D1477" t="s">
        <v>187</v>
      </c>
      <c r="E1477" t="s">
        <v>11</v>
      </c>
      <c r="F1477">
        <v>1</v>
      </c>
      <c r="G1477" t="s">
        <v>18</v>
      </c>
    </row>
    <row r="1478" spans="1:7" x14ac:dyDescent="0.25">
      <c r="A1478">
        <v>83</v>
      </c>
      <c r="B1478" t="s">
        <v>612</v>
      </c>
      <c r="C1478">
        <v>10</v>
      </c>
      <c r="D1478" t="s">
        <v>189</v>
      </c>
      <c r="E1478" t="s">
        <v>11</v>
      </c>
      <c r="F1478">
        <v>1</v>
      </c>
      <c r="G1478" t="s">
        <v>18</v>
      </c>
    </row>
    <row r="1479" spans="1:7" x14ac:dyDescent="0.25">
      <c r="A1479">
        <v>83</v>
      </c>
      <c r="B1479" t="s">
        <v>612</v>
      </c>
      <c r="C1479">
        <v>20</v>
      </c>
      <c r="D1479" t="s">
        <v>119</v>
      </c>
      <c r="E1479" t="s">
        <v>14</v>
      </c>
      <c r="F1479">
        <v>4.6180000000000003</v>
      </c>
      <c r="G1479" t="s">
        <v>15</v>
      </c>
    </row>
    <row r="1480" spans="1:7" x14ac:dyDescent="0.25">
      <c r="A1480">
        <v>83</v>
      </c>
      <c r="B1480" t="s">
        <v>612</v>
      </c>
      <c r="C1480">
        <v>30</v>
      </c>
      <c r="D1480" t="s">
        <v>102</v>
      </c>
      <c r="E1480" t="s">
        <v>103</v>
      </c>
      <c r="F1480">
        <v>1.222</v>
      </c>
      <c r="G1480" t="s">
        <v>15</v>
      </c>
    </row>
    <row r="1481" spans="1:7" x14ac:dyDescent="0.25">
      <c r="A1481">
        <v>83</v>
      </c>
      <c r="B1481" t="s">
        <v>612</v>
      </c>
      <c r="C1481">
        <v>40</v>
      </c>
      <c r="D1481" t="s">
        <v>597</v>
      </c>
      <c r="E1481" t="s">
        <v>11</v>
      </c>
      <c r="F1481">
        <v>1.778</v>
      </c>
      <c r="G1481" t="s">
        <v>18</v>
      </c>
    </row>
    <row r="1482" spans="1:7" x14ac:dyDescent="0.25">
      <c r="A1482">
        <v>83</v>
      </c>
      <c r="B1482" t="s">
        <v>612</v>
      </c>
      <c r="C1482">
        <v>50</v>
      </c>
      <c r="D1482" t="s">
        <v>139</v>
      </c>
      <c r="E1482" t="s">
        <v>17</v>
      </c>
      <c r="F1482">
        <v>1.778</v>
      </c>
      <c r="G1482" t="s">
        <v>18</v>
      </c>
    </row>
    <row r="1483" spans="1:7" x14ac:dyDescent="0.25">
      <c r="A1483">
        <v>83</v>
      </c>
      <c r="B1483" t="s">
        <v>612</v>
      </c>
      <c r="C1483">
        <v>60</v>
      </c>
      <c r="D1483" t="s">
        <v>613</v>
      </c>
      <c r="E1483" t="s">
        <v>11</v>
      </c>
      <c r="F1483">
        <v>1</v>
      </c>
      <c r="G1483" t="s">
        <v>18</v>
      </c>
    </row>
    <row r="1484" spans="1:7" x14ac:dyDescent="0.25">
      <c r="A1484">
        <v>83</v>
      </c>
      <c r="B1484" t="s">
        <v>612</v>
      </c>
      <c r="C1484">
        <v>70</v>
      </c>
      <c r="D1484" t="s">
        <v>599</v>
      </c>
      <c r="E1484" t="s">
        <v>17</v>
      </c>
      <c r="F1484">
        <v>22.097999999999999</v>
      </c>
      <c r="G1484" t="s">
        <v>15</v>
      </c>
    </row>
    <row r="1485" spans="1:7" x14ac:dyDescent="0.25">
      <c r="A1485">
        <v>83</v>
      </c>
      <c r="B1485" t="s">
        <v>612</v>
      </c>
      <c r="C1485">
        <v>80</v>
      </c>
      <c r="D1485" t="s">
        <v>20</v>
      </c>
      <c r="E1485" t="s">
        <v>17</v>
      </c>
      <c r="F1485">
        <v>181.20400000000001</v>
      </c>
      <c r="G1485" t="s">
        <v>15</v>
      </c>
    </row>
    <row r="1486" spans="1:7" x14ac:dyDescent="0.25">
      <c r="A1486">
        <v>83</v>
      </c>
      <c r="B1486" t="s">
        <v>612</v>
      </c>
      <c r="C1486">
        <v>90</v>
      </c>
      <c r="D1486" t="s">
        <v>24</v>
      </c>
      <c r="E1486" t="s">
        <v>11</v>
      </c>
      <c r="F1486">
        <v>1</v>
      </c>
      <c r="G1486" t="s">
        <v>15</v>
      </c>
    </row>
    <row r="1487" spans="1:7" x14ac:dyDescent="0.25">
      <c r="A1487">
        <v>83</v>
      </c>
      <c r="B1487" t="s">
        <v>612</v>
      </c>
      <c r="C1487">
        <v>100</v>
      </c>
      <c r="D1487" t="s">
        <v>141</v>
      </c>
      <c r="E1487" t="s">
        <v>14</v>
      </c>
      <c r="F1487">
        <v>0.14299999999999999</v>
      </c>
      <c r="G1487" t="s">
        <v>15</v>
      </c>
    </row>
    <row r="1488" spans="1:7" x14ac:dyDescent="0.25">
      <c r="A1488">
        <v>83</v>
      </c>
      <c r="B1488" t="s">
        <v>612</v>
      </c>
      <c r="C1488">
        <v>110</v>
      </c>
      <c r="D1488" t="s">
        <v>140</v>
      </c>
      <c r="E1488" t="s">
        <v>11</v>
      </c>
      <c r="F1488">
        <v>4</v>
      </c>
      <c r="G1488" t="s">
        <v>15</v>
      </c>
    </row>
    <row r="1489" spans="1:7" x14ac:dyDescent="0.25">
      <c r="A1489">
        <v>83</v>
      </c>
      <c r="B1489" t="s">
        <v>612</v>
      </c>
      <c r="C1489">
        <v>120</v>
      </c>
      <c r="D1489" t="s">
        <v>25</v>
      </c>
      <c r="E1489" t="s">
        <v>11</v>
      </c>
      <c r="F1489">
        <v>1</v>
      </c>
      <c r="G1489" t="s">
        <v>15</v>
      </c>
    </row>
    <row r="1490" spans="1:7" x14ac:dyDescent="0.25">
      <c r="A1490">
        <v>83</v>
      </c>
      <c r="B1490" t="s">
        <v>612</v>
      </c>
      <c r="C1490">
        <v>130</v>
      </c>
      <c r="D1490" t="s">
        <v>26</v>
      </c>
      <c r="E1490" t="s">
        <v>11</v>
      </c>
      <c r="F1490">
        <v>1</v>
      </c>
      <c r="G1490" t="s">
        <v>15</v>
      </c>
    </row>
    <row r="1491" spans="1:7" x14ac:dyDescent="0.25">
      <c r="A1491">
        <v>83</v>
      </c>
      <c r="B1491" t="s">
        <v>612</v>
      </c>
      <c r="C1491">
        <v>140</v>
      </c>
      <c r="D1491" t="s">
        <v>100</v>
      </c>
      <c r="E1491" t="s">
        <v>14</v>
      </c>
      <c r="F1491">
        <v>1.0669999999999999</v>
      </c>
      <c r="G1491" t="s">
        <v>15</v>
      </c>
    </row>
    <row r="1492" spans="1:7" x14ac:dyDescent="0.25">
      <c r="A1492">
        <v>83</v>
      </c>
      <c r="B1492" t="s">
        <v>612</v>
      </c>
      <c r="C1492">
        <v>150</v>
      </c>
      <c r="D1492" t="s">
        <v>191</v>
      </c>
      <c r="E1492" t="s">
        <v>11</v>
      </c>
      <c r="F1492">
        <v>1</v>
      </c>
      <c r="G1492" t="s">
        <v>18</v>
      </c>
    </row>
    <row r="1493" spans="1:7" x14ac:dyDescent="0.25">
      <c r="A1493">
        <v>83</v>
      </c>
      <c r="B1493" t="s">
        <v>612</v>
      </c>
      <c r="C1493">
        <v>160</v>
      </c>
      <c r="D1493" t="s">
        <v>192</v>
      </c>
      <c r="E1493" t="s">
        <v>11</v>
      </c>
      <c r="F1493">
        <v>1</v>
      </c>
      <c r="G1493" t="s">
        <v>18</v>
      </c>
    </row>
    <row r="1494" spans="1:7" x14ac:dyDescent="0.25">
      <c r="A1494">
        <v>83</v>
      </c>
      <c r="B1494" t="s">
        <v>612</v>
      </c>
      <c r="C1494">
        <v>170</v>
      </c>
      <c r="D1494" t="s">
        <v>142</v>
      </c>
      <c r="E1494" t="s">
        <v>11</v>
      </c>
      <c r="F1494">
        <v>7.3659999999999997</v>
      </c>
      <c r="G1494" t="s">
        <v>15</v>
      </c>
    </row>
    <row r="1495" spans="1:7" x14ac:dyDescent="0.25">
      <c r="A1495">
        <v>83</v>
      </c>
      <c r="B1495" t="s">
        <v>612</v>
      </c>
      <c r="C1495">
        <v>180</v>
      </c>
      <c r="D1495" t="s">
        <v>193</v>
      </c>
      <c r="E1495" t="s">
        <v>11</v>
      </c>
      <c r="F1495">
        <v>1</v>
      </c>
      <c r="G1495" t="s">
        <v>18</v>
      </c>
    </row>
    <row r="1496" spans="1:7" x14ac:dyDescent="0.25">
      <c r="A1496">
        <v>84</v>
      </c>
      <c r="B1496" t="s">
        <v>614</v>
      </c>
      <c r="C1496">
        <v>10</v>
      </c>
      <c r="D1496" t="s">
        <v>195</v>
      </c>
      <c r="E1496" t="s">
        <v>11</v>
      </c>
      <c r="F1496">
        <v>1</v>
      </c>
      <c r="G1496" t="s">
        <v>18</v>
      </c>
    </row>
    <row r="1497" spans="1:7" x14ac:dyDescent="0.25">
      <c r="A1497">
        <v>84</v>
      </c>
      <c r="B1497" t="s">
        <v>614</v>
      </c>
      <c r="C1497">
        <v>20</v>
      </c>
      <c r="D1497" t="s">
        <v>120</v>
      </c>
      <c r="E1497" t="s">
        <v>14</v>
      </c>
      <c r="F1497">
        <v>2.3889999999999998</v>
      </c>
      <c r="G1497" t="s">
        <v>15</v>
      </c>
    </row>
    <row r="1498" spans="1:7" x14ac:dyDescent="0.25">
      <c r="A1498">
        <v>84</v>
      </c>
      <c r="B1498" t="s">
        <v>614</v>
      </c>
      <c r="C1498">
        <v>30</v>
      </c>
      <c r="D1498" t="s">
        <v>102</v>
      </c>
      <c r="E1498" t="s">
        <v>103</v>
      </c>
      <c r="F1498">
        <v>0.59899999999999998</v>
      </c>
      <c r="G1498" t="s">
        <v>15</v>
      </c>
    </row>
    <row r="1499" spans="1:7" x14ac:dyDescent="0.25">
      <c r="A1499">
        <v>84</v>
      </c>
      <c r="B1499" t="s">
        <v>614</v>
      </c>
      <c r="C1499">
        <v>40</v>
      </c>
      <c r="D1499" t="s">
        <v>597</v>
      </c>
      <c r="E1499" t="s">
        <v>11</v>
      </c>
      <c r="F1499">
        <v>0.86399999999999999</v>
      </c>
      <c r="G1499" t="s">
        <v>18</v>
      </c>
    </row>
    <row r="1500" spans="1:7" x14ac:dyDescent="0.25">
      <c r="A1500">
        <v>84</v>
      </c>
      <c r="B1500" t="s">
        <v>614</v>
      </c>
      <c r="C1500">
        <v>50</v>
      </c>
      <c r="D1500" t="s">
        <v>139</v>
      </c>
      <c r="E1500" t="s">
        <v>17</v>
      </c>
      <c r="F1500">
        <v>0.86399999999999999</v>
      </c>
      <c r="G1500" t="s">
        <v>18</v>
      </c>
    </row>
    <row r="1501" spans="1:7" x14ac:dyDescent="0.25">
      <c r="A1501">
        <v>84</v>
      </c>
      <c r="B1501" t="s">
        <v>614</v>
      </c>
      <c r="C1501">
        <v>60</v>
      </c>
      <c r="D1501" t="s">
        <v>615</v>
      </c>
      <c r="E1501" t="s">
        <v>11</v>
      </c>
      <c r="F1501">
        <v>1</v>
      </c>
      <c r="G1501" t="s">
        <v>18</v>
      </c>
    </row>
    <row r="1502" spans="1:7" x14ac:dyDescent="0.25">
      <c r="A1502">
        <v>84</v>
      </c>
      <c r="B1502" t="s">
        <v>614</v>
      </c>
      <c r="C1502">
        <v>70</v>
      </c>
      <c r="D1502" t="s">
        <v>599</v>
      </c>
      <c r="E1502" t="s">
        <v>17</v>
      </c>
      <c r="F1502">
        <v>17.068999999999999</v>
      </c>
      <c r="G1502" t="s">
        <v>15</v>
      </c>
    </row>
    <row r="1503" spans="1:7" x14ac:dyDescent="0.25">
      <c r="A1503">
        <v>84</v>
      </c>
      <c r="B1503" t="s">
        <v>614</v>
      </c>
      <c r="C1503">
        <v>80</v>
      </c>
      <c r="D1503" t="s">
        <v>20</v>
      </c>
      <c r="E1503" t="s">
        <v>17</v>
      </c>
      <c r="F1503">
        <v>139.964</v>
      </c>
      <c r="G1503" t="s">
        <v>15</v>
      </c>
    </row>
    <row r="1504" spans="1:7" x14ac:dyDescent="0.25">
      <c r="A1504">
        <v>84</v>
      </c>
      <c r="B1504" t="s">
        <v>614</v>
      </c>
      <c r="C1504">
        <v>90</v>
      </c>
      <c r="D1504" t="s">
        <v>24</v>
      </c>
      <c r="E1504" t="s">
        <v>11</v>
      </c>
      <c r="F1504">
        <v>1</v>
      </c>
      <c r="G1504" t="s">
        <v>15</v>
      </c>
    </row>
    <row r="1505" spans="1:7" x14ac:dyDescent="0.25">
      <c r="A1505">
        <v>84</v>
      </c>
      <c r="B1505" t="s">
        <v>614</v>
      </c>
      <c r="C1505">
        <v>100</v>
      </c>
      <c r="D1505" t="s">
        <v>141</v>
      </c>
      <c r="E1505" t="s">
        <v>14</v>
      </c>
      <c r="F1505">
        <v>8.1000000000000003E-2</v>
      </c>
      <c r="G1505" t="s">
        <v>15</v>
      </c>
    </row>
    <row r="1506" spans="1:7" x14ac:dyDescent="0.25">
      <c r="A1506">
        <v>84</v>
      </c>
      <c r="B1506" t="s">
        <v>614</v>
      </c>
      <c r="C1506">
        <v>110</v>
      </c>
      <c r="D1506" t="s">
        <v>140</v>
      </c>
      <c r="E1506" t="s">
        <v>11</v>
      </c>
      <c r="F1506">
        <v>4</v>
      </c>
      <c r="G1506" t="s">
        <v>15</v>
      </c>
    </row>
    <row r="1507" spans="1:7" x14ac:dyDescent="0.25">
      <c r="A1507">
        <v>84</v>
      </c>
      <c r="B1507" t="s">
        <v>614</v>
      </c>
      <c r="C1507">
        <v>120</v>
      </c>
      <c r="D1507" t="s">
        <v>25</v>
      </c>
      <c r="E1507" t="s">
        <v>11</v>
      </c>
      <c r="F1507">
        <v>1</v>
      </c>
      <c r="G1507" t="s">
        <v>15</v>
      </c>
    </row>
    <row r="1508" spans="1:7" x14ac:dyDescent="0.25">
      <c r="A1508">
        <v>84</v>
      </c>
      <c r="B1508" t="s">
        <v>614</v>
      </c>
      <c r="C1508">
        <v>130</v>
      </c>
      <c r="D1508" t="s">
        <v>26</v>
      </c>
      <c r="E1508" t="s">
        <v>11</v>
      </c>
      <c r="F1508">
        <v>1</v>
      </c>
      <c r="G1508" t="s">
        <v>15</v>
      </c>
    </row>
    <row r="1509" spans="1:7" x14ac:dyDescent="0.25">
      <c r="A1509">
        <v>84</v>
      </c>
      <c r="B1509" t="s">
        <v>614</v>
      </c>
      <c r="C1509">
        <v>140</v>
      </c>
      <c r="D1509" t="s">
        <v>100</v>
      </c>
      <c r="E1509" t="s">
        <v>14</v>
      </c>
      <c r="F1509">
        <v>0.58099999999999996</v>
      </c>
      <c r="G1509" t="s">
        <v>15</v>
      </c>
    </row>
    <row r="1510" spans="1:7" x14ac:dyDescent="0.25">
      <c r="A1510">
        <v>84</v>
      </c>
      <c r="B1510" t="s">
        <v>614</v>
      </c>
      <c r="C1510">
        <v>150</v>
      </c>
      <c r="D1510" t="s">
        <v>197</v>
      </c>
      <c r="E1510" t="s">
        <v>11</v>
      </c>
      <c r="F1510">
        <v>1</v>
      </c>
      <c r="G1510" t="s">
        <v>18</v>
      </c>
    </row>
    <row r="1511" spans="1:7" x14ac:dyDescent="0.25">
      <c r="A1511">
        <v>84</v>
      </c>
      <c r="B1511" t="s">
        <v>614</v>
      </c>
      <c r="C1511">
        <v>160</v>
      </c>
      <c r="D1511" t="s">
        <v>198</v>
      </c>
      <c r="E1511" t="s">
        <v>11</v>
      </c>
      <c r="F1511">
        <v>1</v>
      </c>
      <c r="G1511" t="s">
        <v>18</v>
      </c>
    </row>
    <row r="1512" spans="1:7" x14ac:dyDescent="0.25">
      <c r="A1512">
        <v>84</v>
      </c>
      <c r="B1512" t="s">
        <v>614</v>
      </c>
      <c r="C1512">
        <v>170</v>
      </c>
      <c r="D1512" t="s">
        <v>142</v>
      </c>
      <c r="E1512" t="s">
        <v>11</v>
      </c>
      <c r="F1512">
        <v>5.69</v>
      </c>
      <c r="G1512" t="s">
        <v>15</v>
      </c>
    </row>
    <row r="1513" spans="1:7" x14ac:dyDescent="0.25">
      <c r="A1513">
        <v>84</v>
      </c>
      <c r="B1513" t="s">
        <v>614</v>
      </c>
      <c r="C1513">
        <v>180</v>
      </c>
      <c r="D1513" t="s">
        <v>199</v>
      </c>
      <c r="E1513" t="s">
        <v>11</v>
      </c>
      <c r="F1513">
        <v>1</v>
      </c>
      <c r="G1513" t="s">
        <v>18</v>
      </c>
    </row>
    <row r="1514" spans="1:7" x14ac:dyDescent="0.25">
      <c r="A1514">
        <v>85</v>
      </c>
      <c r="B1514" t="s">
        <v>616</v>
      </c>
      <c r="C1514">
        <v>10</v>
      </c>
      <c r="D1514" t="s">
        <v>201</v>
      </c>
      <c r="E1514" t="s">
        <v>11</v>
      </c>
      <c r="F1514">
        <v>1</v>
      </c>
      <c r="G1514" t="s">
        <v>18</v>
      </c>
    </row>
    <row r="1515" spans="1:7" x14ac:dyDescent="0.25">
      <c r="A1515">
        <v>85</v>
      </c>
      <c r="B1515" t="s">
        <v>616</v>
      </c>
      <c r="C1515">
        <v>20</v>
      </c>
      <c r="D1515" t="s">
        <v>121</v>
      </c>
      <c r="E1515" t="s">
        <v>14</v>
      </c>
      <c r="F1515">
        <v>2.7930000000000001</v>
      </c>
      <c r="G1515" t="s">
        <v>15</v>
      </c>
    </row>
    <row r="1516" spans="1:7" x14ac:dyDescent="0.25">
      <c r="A1516">
        <v>85</v>
      </c>
      <c r="B1516" t="s">
        <v>616</v>
      </c>
      <c r="C1516">
        <v>30</v>
      </c>
      <c r="D1516" t="s">
        <v>102</v>
      </c>
      <c r="E1516" t="s">
        <v>103</v>
      </c>
      <c r="F1516">
        <v>0.71199999999999997</v>
      </c>
      <c r="G1516" t="s">
        <v>15</v>
      </c>
    </row>
    <row r="1517" spans="1:7" x14ac:dyDescent="0.25">
      <c r="A1517">
        <v>85</v>
      </c>
      <c r="B1517" t="s">
        <v>616</v>
      </c>
      <c r="C1517">
        <v>40</v>
      </c>
      <c r="D1517" t="s">
        <v>597</v>
      </c>
      <c r="E1517" t="s">
        <v>11</v>
      </c>
      <c r="F1517">
        <v>1.016</v>
      </c>
      <c r="G1517" t="s">
        <v>18</v>
      </c>
    </row>
    <row r="1518" spans="1:7" x14ac:dyDescent="0.25">
      <c r="A1518">
        <v>85</v>
      </c>
      <c r="B1518" t="s">
        <v>616</v>
      </c>
      <c r="C1518">
        <v>50</v>
      </c>
      <c r="D1518" t="s">
        <v>139</v>
      </c>
      <c r="E1518" t="s">
        <v>17</v>
      </c>
      <c r="F1518">
        <v>1.016</v>
      </c>
      <c r="G1518" t="s">
        <v>18</v>
      </c>
    </row>
    <row r="1519" spans="1:7" x14ac:dyDescent="0.25">
      <c r="A1519">
        <v>85</v>
      </c>
      <c r="B1519" t="s">
        <v>616</v>
      </c>
      <c r="C1519">
        <v>60</v>
      </c>
      <c r="D1519" t="s">
        <v>617</v>
      </c>
      <c r="E1519" t="s">
        <v>11</v>
      </c>
      <c r="F1519">
        <v>1</v>
      </c>
      <c r="G1519" t="s">
        <v>18</v>
      </c>
    </row>
    <row r="1520" spans="1:7" x14ac:dyDescent="0.25">
      <c r="A1520">
        <v>85</v>
      </c>
      <c r="B1520" t="s">
        <v>616</v>
      </c>
      <c r="C1520">
        <v>70</v>
      </c>
      <c r="D1520" t="s">
        <v>599</v>
      </c>
      <c r="E1520" t="s">
        <v>17</v>
      </c>
      <c r="F1520">
        <v>17.983000000000001</v>
      </c>
      <c r="G1520" t="s">
        <v>15</v>
      </c>
    </row>
    <row r="1521" spans="1:7" x14ac:dyDescent="0.25">
      <c r="A1521">
        <v>85</v>
      </c>
      <c r="B1521" t="s">
        <v>616</v>
      </c>
      <c r="C1521">
        <v>80</v>
      </c>
      <c r="D1521" t="s">
        <v>20</v>
      </c>
      <c r="E1521" t="s">
        <v>17</v>
      </c>
      <c r="F1521">
        <v>147.46199999999999</v>
      </c>
      <c r="G1521" t="s">
        <v>15</v>
      </c>
    </row>
    <row r="1522" spans="1:7" x14ac:dyDescent="0.25">
      <c r="A1522">
        <v>85</v>
      </c>
      <c r="B1522" t="s">
        <v>616</v>
      </c>
      <c r="C1522">
        <v>90</v>
      </c>
      <c r="D1522" t="s">
        <v>24</v>
      </c>
      <c r="E1522" t="s">
        <v>11</v>
      </c>
      <c r="F1522">
        <v>1</v>
      </c>
      <c r="G1522" t="s">
        <v>15</v>
      </c>
    </row>
    <row r="1523" spans="1:7" x14ac:dyDescent="0.25">
      <c r="A1523">
        <v>85</v>
      </c>
      <c r="B1523" t="s">
        <v>616</v>
      </c>
      <c r="C1523">
        <v>100</v>
      </c>
      <c r="D1523" t="s">
        <v>141</v>
      </c>
      <c r="E1523" t="s">
        <v>14</v>
      </c>
      <c r="F1523">
        <v>9.1999999999999998E-2</v>
      </c>
      <c r="G1523" t="s">
        <v>15</v>
      </c>
    </row>
    <row r="1524" spans="1:7" x14ac:dyDescent="0.25">
      <c r="A1524">
        <v>85</v>
      </c>
      <c r="B1524" t="s">
        <v>616</v>
      </c>
      <c r="C1524">
        <v>110</v>
      </c>
      <c r="D1524" t="s">
        <v>140</v>
      </c>
      <c r="E1524" t="s">
        <v>11</v>
      </c>
      <c r="F1524">
        <v>4</v>
      </c>
      <c r="G1524" t="s">
        <v>15</v>
      </c>
    </row>
    <row r="1525" spans="1:7" x14ac:dyDescent="0.25">
      <c r="A1525">
        <v>85</v>
      </c>
      <c r="B1525" t="s">
        <v>616</v>
      </c>
      <c r="C1525">
        <v>120</v>
      </c>
      <c r="D1525" t="s">
        <v>25</v>
      </c>
      <c r="E1525" t="s">
        <v>11</v>
      </c>
      <c r="F1525">
        <v>1</v>
      </c>
      <c r="G1525" t="s">
        <v>15</v>
      </c>
    </row>
    <row r="1526" spans="1:7" x14ac:dyDescent="0.25">
      <c r="A1526">
        <v>85</v>
      </c>
      <c r="B1526" t="s">
        <v>616</v>
      </c>
      <c r="C1526">
        <v>130</v>
      </c>
      <c r="D1526" t="s">
        <v>26</v>
      </c>
      <c r="E1526" t="s">
        <v>11</v>
      </c>
      <c r="F1526">
        <v>1</v>
      </c>
      <c r="G1526" t="s">
        <v>15</v>
      </c>
    </row>
    <row r="1527" spans="1:7" x14ac:dyDescent="0.25">
      <c r="A1527">
        <v>85</v>
      </c>
      <c r="B1527" t="s">
        <v>616</v>
      </c>
      <c r="C1527">
        <v>140</v>
      </c>
      <c r="D1527" t="s">
        <v>100</v>
      </c>
      <c r="E1527" t="s">
        <v>14</v>
      </c>
      <c r="F1527">
        <v>0.66200000000000003</v>
      </c>
      <c r="G1527" t="s">
        <v>15</v>
      </c>
    </row>
    <row r="1528" spans="1:7" x14ac:dyDescent="0.25">
      <c r="A1528">
        <v>85</v>
      </c>
      <c r="B1528" t="s">
        <v>616</v>
      </c>
      <c r="C1528">
        <v>150</v>
      </c>
      <c r="D1528" t="s">
        <v>203</v>
      </c>
      <c r="E1528" t="s">
        <v>11</v>
      </c>
      <c r="F1528">
        <v>1</v>
      </c>
      <c r="G1528" t="s">
        <v>18</v>
      </c>
    </row>
    <row r="1529" spans="1:7" x14ac:dyDescent="0.25">
      <c r="A1529">
        <v>85</v>
      </c>
      <c r="B1529" t="s">
        <v>616</v>
      </c>
      <c r="C1529">
        <v>160</v>
      </c>
      <c r="D1529" t="s">
        <v>204</v>
      </c>
      <c r="E1529" t="s">
        <v>11</v>
      </c>
      <c r="F1529">
        <v>1</v>
      </c>
      <c r="G1529" t="s">
        <v>18</v>
      </c>
    </row>
    <row r="1530" spans="1:7" x14ac:dyDescent="0.25">
      <c r="A1530">
        <v>85</v>
      </c>
      <c r="B1530" t="s">
        <v>616</v>
      </c>
      <c r="C1530">
        <v>170</v>
      </c>
      <c r="D1530" t="s">
        <v>142</v>
      </c>
      <c r="E1530" t="s">
        <v>11</v>
      </c>
      <c r="F1530">
        <v>5.9939999999999998</v>
      </c>
      <c r="G1530" t="s">
        <v>15</v>
      </c>
    </row>
    <row r="1531" spans="1:7" x14ac:dyDescent="0.25">
      <c r="A1531">
        <v>85</v>
      </c>
      <c r="B1531" t="s">
        <v>616</v>
      </c>
      <c r="C1531">
        <v>180</v>
      </c>
      <c r="D1531" t="s">
        <v>205</v>
      </c>
      <c r="E1531" t="s">
        <v>11</v>
      </c>
      <c r="F1531">
        <v>1</v>
      </c>
      <c r="G1531" t="s">
        <v>18</v>
      </c>
    </row>
    <row r="1532" spans="1:7" x14ac:dyDescent="0.25">
      <c r="A1532">
        <v>86</v>
      </c>
      <c r="B1532" t="s">
        <v>618</v>
      </c>
      <c r="C1532">
        <v>10</v>
      </c>
      <c r="D1532" t="s">
        <v>207</v>
      </c>
      <c r="E1532" t="s">
        <v>11</v>
      </c>
      <c r="F1532">
        <v>1</v>
      </c>
      <c r="G1532" t="s">
        <v>18</v>
      </c>
    </row>
    <row r="1533" spans="1:7" x14ac:dyDescent="0.25">
      <c r="A1533">
        <v>86</v>
      </c>
      <c r="B1533" t="s">
        <v>618</v>
      </c>
      <c r="C1533">
        <v>20</v>
      </c>
      <c r="D1533" t="s">
        <v>122</v>
      </c>
      <c r="E1533" t="s">
        <v>14</v>
      </c>
      <c r="F1533">
        <v>3.1960000000000002</v>
      </c>
      <c r="G1533" t="s">
        <v>15</v>
      </c>
    </row>
    <row r="1534" spans="1:7" x14ac:dyDescent="0.25">
      <c r="A1534">
        <v>86</v>
      </c>
      <c r="B1534" t="s">
        <v>618</v>
      </c>
      <c r="C1534">
        <v>30</v>
      </c>
      <c r="D1534" t="s">
        <v>102</v>
      </c>
      <c r="E1534" t="s">
        <v>103</v>
      </c>
      <c r="F1534">
        <v>0.82399999999999995</v>
      </c>
      <c r="G1534" t="s">
        <v>15</v>
      </c>
    </row>
    <row r="1535" spans="1:7" x14ac:dyDescent="0.25">
      <c r="A1535">
        <v>86</v>
      </c>
      <c r="B1535" t="s">
        <v>618</v>
      </c>
      <c r="C1535">
        <v>40</v>
      </c>
      <c r="D1535" t="s">
        <v>597</v>
      </c>
      <c r="E1535" t="s">
        <v>11</v>
      </c>
      <c r="F1535">
        <v>1.1679999999999999</v>
      </c>
      <c r="G1535" t="s">
        <v>18</v>
      </c>
    </row>
    <row r="1536" spans="1:7" x14ac:dyDescent="0.25">
      <c r="A1536">
        <v>86</v>
      </c>
      <c r="B1536" t="s">
        <v>618</v>
      </c>
      <c r="C1536">
        <v>50</v>
      </c>
      <c r="D1536" t="s">
        <v>139</v>
      </c>
      <c r="E1536" t="s">
        <v>17</v>
      </c>
      <c r="F1536">
        <v>1.1679999999999999</v>
      </c>
      <c r="G1536" t="s">
        <v>18</v>
      </c>
    </row>
    <row r="1537" spans="1:7" x14ac:dyDescent="0.25">
      <c r="A1537">
        <v>86</v>
      </c>
      <c r="B1537" t="s">
        <v>618</v>
      </c>
      <c r="C1537">
        <v>60</v>
      </c>
      <c r="D1537" t="s">
        <v>619</v>
      </c>
      <c r="E1537" t="s">
        <v>11</v>
      </c>
      <c r="F1537">
        <v>1</v>
      </c>
      <c r="G1537" t="s">
        <v>18</v>
      </c>
    </row>
    <row r="1538" spans="1:7" x14ac:dyDescent="0.25">
      <c r="A1538">
        <v>86</v>
      </c>
      <c r="B1538" t="s">
        <v>618</v>
      </c>
      <c r="C1538">
        <v>70</v>
      </c>
      <c r="D1538" t="s">
        <v>599</v>
      </c>
      <c r="E1538" t="s">
        <v>17</v>
      </c>
      <c r="F1538">
        <v>18.898</v>
      </c>
      <c r="G1538" t="s">
        <v>15</v>
      </c>
    </row>
    <row r="1539" spans="1:7" x14ac:dyDescent="0.25">
      <c r="A1539">
        <v>86</v>
      </c>
      <c r="B1539" t="s">
        <v>618</v>
      </c>
      <c r="C1539">
        <v>80</v>
      </c>
      <c r="D1539" t="s">
        <v>20</v>
      </c>
      <c r="E1539" t="s">
        <v>17</v>
      </c>
      <c r="F1539">
        <v>154.96</v>
      </c>
      <c r="G1539" t="s">
        <v>15</v>
      </c>
    </row>
    <row r="1540" spans="1:7" x14ac:dyDescent="0.25">
      <c r="A1540">
        <v>86</v>
      </c>
      <c r="B1540" t="s">
        <v>618</v>
      </c>
      <c r="C1540">
        <v>90</v>
      </c>
      <c r="D1540" t="s">
        <v>24</v>
      </c>
      <c r="E1540" t="s">
        <v>11</v>
      </c>
      <c r="F1540">
        <v>1</v>
      </c>
      <c r="G1540" t="s">
        <v>15</v>
      </c>
    </row>
    <row r="1541" spans="1:7" x14ac:dyDescent="0.25">
      <c r="A1541">
        <v>86</v>
      </c>
      <c r="B1541" t="s">
        <v>618</v>
      </c>
      <c r="C1541">
        <v>100</v>
      </c>
      <c r="D1541" t="s">
        <v>141</v>
      </c>
      <c r="E1541" t="s">
        <v>14</v>
      </c>
      <c r="F1541">
        <v>0.10199999999999999</v>
      </c>
      <c r="G1541" t="s">
        <v>15</v>
      </c>
    </row>
    <row r="1542" spans="1:7" x14ac:dyDescent="0.25">
      <c r="A1542">
        <v>86</v>
      </c>
      <c r="B1542" t="s">
        <v>618</v>
      </c>
      <c r="C1542">
        <v>110</v>
      </c>
      <c r="D1542" t="s">
        <v>140</v>
      </c>
      <c r="E1542" t="s">
        <v>11</v>
      </c>
      <c r="F1542">
        <v>4</v>
      </c>
      <c r="G1542" t="s">
        <v>15</v>
      </c>
    </row>
    <row r="1543" spans="1:7" x14ac:dyDescent="0.25">
      <c r="A1543">
        <v>86</v>
      </c>
      <c r="B1543" t="s">
        <v>618</v>
      </c>
      <c r="C1543">
        <v>120</v>
      </c>
      <c r="D1543" t="s">
        <v>25</v>
      </c>
      <c r="E1543" t="s">
        <v>11</v>
      </c>
      <c r="F1543">
        <v>1</v>
      </c>
      <c r="G1543" t="s">
        <v>15</v>
      </c>
    </row>
    <row r="1544" spans="1:7" x14ac:dyDescent="0.25">
      <c r="A1544">
        <v>86</v>
      </c>
      <c r="B1544" t="s">
        <v>618</v>
      </c>
      <c r="C1544">
        <v>130</v>
      </c>
      <c r="D1544" t="s">
        <v>26</v>
      </c>
      <c r="E1544" t="s">
        <v>11</v>
      </c>
      <c r="F1544">
        <v>1</v>
      </c>
      <c r="G1544" t="s">
        <v>15</v>
      </c>
    </row>
    <row r="1545" spans="1:7" x14ac:dyDescent="0.25">
      <c r="A1545">
        <v>86</v>
      </c>
      <c r="B1545" t="s">
        <v>618</v>
      </c>
      <c r="C1545">
        <v>140</v>
      </c>
      <c r="D1545" t="s">
        <v>100</v>
      </c>
      <c r="E1545" t="s">
        <v>14</v>
      </c>
      <c r="F1545">
        <v>0.74299999999999999</v>
      </c>
      <c r="G1545" t="s">
        <v>15</v>
      </c>
    </row>
    <row r="1546" spans="1:7" x14ac:dyDescent="0.25">
      <c r="A1546">
        <v>86</v>
      </c>
      <c r="B1546" t="s">
        <v>618</v>
      </c>
      <c r="C1546">
        <v>150</v>
      </c>
      <c r="D1546" t="s">
        <v>209</v>
      </c>
      <c r="E1546" t="s">
        <v>11</v>
      </c>
      <c r="F1546">
        <v>1</v>
      </c>
      <c r="G1546" t="s">
        <v>18</v>
      </c>
    </row>
    <row r="1547" spans="1:7" x14ac:dyDescent="0.25">
      <c r="A1547">
        <v>86</v>
      </c>
      <c r="B1547" t="s">
        <v>618</v>
      </c>
      <c r="C1547">
        <v>160</v>
      </c>
      <c r="D1547" t="s">
        <v>210</v>
      </c>
      <c r="E1547" t="s">
        <v>11</v>
      </c>
      <c r="F1547">
        <v>1</v>
      </c>
      <c r="G1547" t="s">
        <v>18</v>
      </c>
    </row>
    <row r="1548" spans="1:7" x14ac:dyDescent="0.25">
      <c r="A1548">
        <v>86</v>
      </c>
      <c r="B1548" t="s">
        <v>618</v>
      </c>
      <c r="C1548">
        <v>170</v>
      </c>
      <c r="D1548" t="s">
        <v>142</v>
      </c>
      <c r="E1548" t="s">
        <v>11</v>
      </c>
      <c r="F1548">
        <v>6.2990000000000004</v>
      </c>
      <c r="G1548" t="s">
        <v>15</v>
      </c>
    </row>
    <row r="1549" spans="1:7" x14ac:dyDescent="0.25">
      <c r="A1549">
        <v>86</v>
      </c>
      <c r="B1549" t="s">
        <v>618</v>
      </c>
      <c r="C1549">
        <v>180</v>
      </c>
      <c r="D1549" t="s">
        <v>211</v>
      </c>
      <c r="E1549" t="s">
        <v>11</v>
      </c>
      <c r="F1549">
        <v>1</v>
      </c>
      <c r="G1549" t="s">
        <v>18</v>
      </c>
    </row>
    <row r="1550" spans="1:7" x14ac:dyDescent="0.25">
      <c r="A1550">
        <v>87</v>
      </c>
      <c r="B1550" t="s">
        <v>620</v>
      </c>
      <c r="C1550">
        <v>10</v>
      </c>
      <c r="D1550" t="s">
        <v>213</v>
      </c>
      <c r="E1550" t="s">
        <v>11</v>
      </c>
      <c r="F1550">
        <v>1</v>
      </c>
      <c r="G1550" t="s">
        <v>18</v>
      </c>
    </row>
    <row r="1551" spans="1:7" x14ac:dyDescent="0.25">
      <c r="A1551">
        <v>87</v>
      </c>
      <c r="B1551" t="s">
        <v>620</v>
      </c>
      <c r="C1551">
        <v>20</v>
      </c>
      <c r="D1551" t="s">
        <v>123</v>
      </c>
      <c r="E1551" t="s">
        <v>14</v>
      </c>
      <c r="F1551">
        <v>4.0039999999999996</v>
      </c>
      <c r="G1551" t="s">
        <v>15</v>
      </c>
    </row>
    <row r="1552" spans="1:7" x14ac:dyDescent="0.25">
      <c r="A1552">
        <v>87</v>
      </c>
      <c r="B1552" t="s">
        <v>620</v>
      </c>
      <c r="C1552">
        <v>30</v>
      </c>
      <c r="D1552" t="s">
        <v>102</v>
      </c>
      <c r="E1552" t="s">
        <v>103</v>
      </c>
      <c r="F1552">
        <v>0.93700000000000006</v>
      </c>
      <c r="G1552" t="s">
        <v>15</v>
      </c>
    </row>
    <row r="1553" spans="1:7" x14ac:dyDescent="0.25">
      <c r="A1553">
        <v>87</v>
      </c>
      <c r="B1553" t="s">
        <v>620</v>
      </c>
      <c r="C1553">
        <v>40</v>
      </c>
      <c r="D1553" t="s">
        <v>597</v>
      </c>
      <c r="E1553" t="s">
        <v>11</v>
      </c>
      <c r="F1553">
        <v>1.321</v>
      </c>
      <c r="G1553" t="s">
        <v>18</v>
      </c>
    </row>
    <row r="1554" spans="1:7" x14ac:dyDescent="0.25">
      <c r="A1554">
        <v>87</v>
      </c>
      <c r="B1554" t="s">
        <v>620</v>
      </c>
      <c r="C1554">
        <v>50</v>
      </c>
      <c r="D1554" t="s">
        <v>139</v>
      </c>
      <c r="E1554" t="s">
        <v>17</v>
      </c>
      <c r="F1554">
        <v>1.321</v>
      </c>
      <c r="G1554" t="s">
        <v>18</v>
      </c>
    </row>
    <row r="1555" spans="1:7" x14ac:dyDescent="0.25">
      <c r="A1555">
        <v>87</v>
      </c>
      <c r="B1555" t="s">
        <v>620</v>
      </c>
      <c r="C1555">
        <v>60</v>
      </c>
      <c r="D1555" t="s">
        <v>621</v>
      </c>
      <c r="E1555" t="s">
        <v>11</v>
      </c>
      <c r="F1555">
        <v>1</v>
      </c>
      <c r="G1555" t="s">
        <v>18</v>
      </c>
    </row>
    <row r="1556" spans="1:7" x14ac:dyDescent="0.25">
      <c r="A1556">
        <v>87</v>
      </c>
      <c r="B1556" t="s">
        <v>620</v>
      </c>
      <c r="C1556">
        <v>70</v>
      </c>
      <c r="D1556" t="s">
        <v>599</v>
      </c>
      <c r="E1556" t="s">
        <v>17</v>
      </c>
      <c r="F1556">
        <v>19.812000000000001</v>
      </c>
      <c r="G1556" t="s">
        <v>15</v>
      </c>
    </row>
    <row r="1557" spans="1:7" x14ac:dyDescent="0.25">
      <c r="A1557">
        <v>87</v>
      </c>
      <c r="B1557" t="s">
        <v>620</v>
      </c>
      <c r="C1557">
        <v>80</v>
      </c>
      <c r="D1557" t="s">
        <v>20</v>
      </c>
      <c r="E1557" t="s">
        <v>17</v>
      </c>
      <c r="F1557">
        <v>162.458</v>
      </c>
      <c r="G1557" t="s">
        <v>15</v>
      </c>
    </row>
    <row r="1558" spans="1:7" x14ac:dyDescent="0.25">
      <c r="A1558">
        <v>87</v>
      </c>
      <c r="B1558" t="s">
        <v>620</v>
      </c>
      <c r="C1558">
        <v>90</v>
      </c>
      <c r="D1558" t="s">
        <v>24</v>
      </c>
      <c r="E1558" t="s">
        <v>11</v>
      </c>
      <c r="F1558">
        <v>1</v>
      </c>
      <c r="G1558" t="s">
        <v>15</v>
      </c>
    </row>
    <row r="1559" spans="1:7" x14ac:dyDescent="0.25">
      <c r="A1559">
        <v>87</v>
      </c>
      <c r="B1559" t="s">
        <v>620</v>
      </c>
      <c r="C1559">
        <v>100</v>
      </c>
      <c r="D1559" t="s">
        <v>141</v>
      </c>
      <c r="E1559" t="s">
        <v>14</v>
      </c>
      <c r="F1559">
        <v>0.112</v>
      </c>
      <c r="G1559" t="s">
        <v>15</v>
      </c>
    </row>
    <row r="1560" spans="1:7" x14ac:dyDescent="0.25">
      <c r="A1560">
        <v>87</v>
      </c>
      <c r="B1560" t="s">
        <v>620</v>
      </c>
      <c r="C1560">
        <v>110</v>
      </c>
      <c r="D1560" t="s">
        <v>140</v>
      </c>
      <c r="E1560" t="s">
        <v>11</v>
      </c>
      <c r="F1560">
        <v>4</v>
      </c>
      <c r="G1560" t="s">
        <v>15</v>
      </c>
    </row>
    <row r="1561" spans="1:7" x14ac:dyDescent="0.25">
      <c r="A1561">
        <v>87</v>
      </c>
      <c r="B1561" t="s">
        <v>620</v>
      </c>
      <c r="C1561">
        <v>120</v>
      </c>
      <c r="D1561" t="s">
        <v>25</v>
      </c>
      <c r="E1561" t="s">
        <v>11</v>
      </c>
      <c r="F1561">
        <v>1</v>
      </c>
      <c r="G1561" t="s">
        <v>15</v>
      </c>
    </row>
    <row r="1562" spans="1:7" x14ac:dyDescent="0.25">
      <c r="A1562">
        <v>87</v>
      </c>
      <c r="B1562" t="s">
        <v>620</v>
      </c>
      <c r="C1562">
        <v>130</v>
      </c>
      <c r="D1562" t="s">
        <v>26</v>
      </c>
      <c r="E1562" t="s">
        <v>11</v>
      </c>
      <c r="F1562">
        <v>1</v>
      </c>
      <c r="G1562" t="s">
        <v>15</v>
      </c>
    </row>
    <row r="1563" spans="1:7" x14ac:dyDescent="0.25">
      <c r="A1563">
        <v>87</v>
      </c>
      <c r="B1563" t="s">
        <v>620</v>
      </c>
      <c r="C1563">
        <v>140</v>
      </c>
      <c r="D1563" t="s">
        <v>100</v>
      </c>
      <c r="E1563" t="s">
        <v>14</v>
      </c>
      <c r="F1563">
        <v>0.82399999999999995</v>
      </c>
      <c r="G1563" t="s">
        <v>15</v>
      </c>
    </row>
    <row r="1564" spans="1:7" x14ac:dyDescent="0.25">
      <c r="A1564">
        <v>87</v>
      </c>
      <c r="B1564" t="s">
        <v>620</v>
      </c>
      <c r="C1564">
        <v>150</v>
      </c>
      <c r="D1564" t="s">
        <v>215</v>
      </c>
      <c r="E1564" t="s">
        <v>11</v>
      </c>
      <c r="F1564">
        <v>1</v>
      </c>
      <c r="G1564" t="s">
        <v>18</v>
      </c>
    </row>
    <row r="1565" spans="1:7" x14ac:dyDescent="0.25">
      <c r="A1565">
        <v>87</v>
      </c>
      <c r="B1565" t="s">
        <v>620</v>
      </c>
      <c r="C1565">
        <v>160</v>
      </c>
      <c r="D1565" t="s">
        <v>216</v>
      </c>
      <c r="E1565" t="s">
        <v>11</v>
      </c>
      <c r="F1565">
        <v>1</v>
      </c>
      <c r="G1565" t="s">
        <v>18</v>
      </c>
    </row>
    <row r="1566" spans="1:7" x14ac:dyDescent="0.25">
      <c r="A1566">
        <v>87</v>
      </c>
      <c r="B1566" t="s">
        <v>620</v>
      </c>
      <c r="C1566">
        <v>170</v>
      </c>
      <c r="D1566" t="s">
        <v>142</v>
      </c>
      <c r="E1566" t="s">
        <v>11</v>
      </c>
      <c r="F1566">
        <v>6.6040000000000001</v>
      </c>
      <c r="G1566" t="s">
        <v>15</v>
      </c>
    </row>
    <row r="1567" spans="1:7" x14ac:dyDescent="0.25">
      <c r="A1567">
        <v>87</v>
      </c>
      <c r="B1567" t="s">
        <v>620</v>
      </c>
      <c r="C1567">
        <v>180</v>
      </c>
      <c r="D1567" t="s">
        <v>217</v>
      </c>
      <c r="E1567" t="s">
        <v>11</v>
      </c>
      <c r="F1567">
        <v>1</v>
      </c>
      <c r="G1567" t="s">
        <v>18</v>
      </c>
    </row>
    <row r="1568" spans="1:7" x14ac:dyDescent="0.25">
      <c r="A1568">
        <v>88</v>
      </c>
      <c r="B1568" t="s">
        <v>622</v>
      </c>
      <c r="C1568">
        <v>10</v>
      </c>
      <c r="D1568" t="s">
        <v>219</v>
      </c>
      <c r="E1568" t="s">
        <v>11</v>
      </c>
      <c r="F1568">
        <v>1</v>
      </c>
      <c r="G1568" t="s">
        <v>18</v>
      </c>
    </row>
    <row r="1569" spans="1:7" x14ac:dyDescent="0.25">
      <c r="A1569">
        <v>88</v>
      </c>
      <c r="B1569" t="s">
        <v>622</v>
      </c>
      <c r="C1569">
        <v>20</v>
      </c>
      <c r="D1569" t="s">
        <v>123</v>
      </c>
      <c r="E1569" t="s">
        <v>14</v>
      </c>
      <c r="F1569">
        <v>4.0039999999999996</v>
      </c>
      <c r="G1569" t="s">
        <v>15</v>
      </c>
    </row>
    <row r="1570" spans="1:7" x14ac:dyDescent="0.25">
      <c r="A1570">
        <v>88</v>
      </c>
      <c r="B1570" t="s">
        <v>622</v>
      </c>
      <c r="C1570">
        <v>30</v>
      </c>
      <c r="D1570" t="s">
        <v>102</v>
      </c>
      <c r="E1570" t="s">
        <v>103</v>
      </c>
      <c r="F1570">
        <v>0.99299999999999999</v>
      </c>
      <c r="G1570" t="s">
        <v>15</v>
      </c>
    </row>
    <row r="1571" spans="1:7" x14ac:dyDescent="0.25">
      <c r="A1571">
        <v>88</v>
      </c>
      <c r="B1571" t="s">
        <v>622</v>
      </c>
      <c r="C1571">
        <v>40</v>
      </c>
      <c r="D1571" t="s">
        <v>597</v>
      </c>
      <c r="E1571" t="s">
        <v>11</v>
      </c>
      <c r="F1571">
        <v>1.397</v>
      </c>
      <c r="G1571" t="s">
        <v>18</v>
      </c>
    </row>
    <row r="1572" spans="1:7" x14ac:dyDescent="0.25">
      <c r="A1572">
        <v>88</v>
      </c>
      <c r="B1572" t="s">
        <v>622</v>
      </c>
      <c r="C1572">
        <v>50</v>
      </c>
      <c r="D1572" t="s">
        <v>139</v>
      </c>
      <c r="E1572" t="s">
        <v>17</v>
      </c>
      <c r="F1572">
        <v>1.397</v>
      </c>
      <c r="G1572" t="s">
        <v>18</v>
      </c>
    </row>
    <row r="1573" spans="1:7" x14ac:dyDescent="0.25">
      <c r="A1573">
        <v>88</v>
      </c>
      <c r="B1573" t="s">
        <v>622</v>
      </c>
      <c r="C1573">
        <v>60</v>
      </c>
      <c r="D1573" t="s">
        <v>623</v>
      </c>
      <c r="E1573" t="s">
        <v>11</v>
      </c>
      <c r="F1573">
        <v>1</v>
      </c>
      <c r="G1573" t="s">
        <v>18</v>
      </c>
    </row>
    <row r="1574" spans="1:7" x14ac:dyDescent="0.25">
      <c r="A1574">
        <v>88</v>
      </c>
      <c r="B1574" t="s">
        <v>622</v>
      </c>
      <c r="C1574">
        <v>70</v>
      </c>
      <c r="D1574" t="s">
        <v>599</v>
      </c>
      <c r="E1574" t="s">
        <v>17</v>
      </c>
      <c r="F1574">
        <v>20.268999999999998</v>
      </c>
      <c r="G1574" t="s">
        <v>15</v>
      </c>
    </row>
    <row r="1575" spans="1:7" x14ac:dyDescent="0.25">
      <c r="A1575">
        <v>88</v>
      </c>
      <c r="B1575" t="s">
        <v>622</v>
      </c>
      <c r="C1575">
        <v>80</v>
      </c>
      <c r="D1575" t="s">
        <v>20</v>
      </c>
      <c r="E1575" t="s">
        <v>17</v>
      </c>
      <c r="F1575">
        <v>166.20699999999999</v>
      </c>
      <c r="G1575" t="s">
        <v>15</v>
      </c>
    </row>
    <row r="1576" spans="1:7" x14ac:dyDescent="0.25">
      <c r="A1576">
        <v>88</v>
      </c>
      <c r="B1576" t="s">
        <v>622</v>
      </c>
      <c r="C1576">
        <v>90</v>
      </c>
      <c r="D1576" t="s">
        <v>24</v>
      </c>
      <c r="E1576" t="s">
        <v>11</v>
      </c>
      <c r="F1576">
        <v>1</v>
      </c>
      <c r="G1576" t="s">
        <v>15</v>
      </c>
    </row>
    <row r="1577" spans="1:7" x14ac:dyDescent="0.25">
      <c r="A1577">
        <v>88</v>
      </c>
      <c r="B1577" t="s">
        <v>622</v>
      </c>
      <c r="C1577">
        <v>100</v>
      </c>
      <c r="D1577" t="s">
        <v>141</v>
      </c>
      <c r="E1577" t="s">
        <v>14</v>
      </c>
      <c r="F1577">
        <v>0.11700000000000001</v>
      </c>
      <c r="G1577" t="s">
        <v>15</v>
      </c>
    </row>
    <row r="1578" spans="1:7" x14ac:dyDescent="0.25">
      <c r="A1578">
        <v>88</v>
      </c>
      <c r="B1578" t="s">
        <v>622</v>
      </c>
      <c r="C1578">
        <v>110</v>
      </c>
      <c r="D1578" t="s">
        <v>140</v>
      </c>
      <c r="E1578" t="s">
        <v>11</v>
      </c>
      <c r="F1578">
        <v>4</v>
      </c>
      <c r="G1578" t="s">
        <v>15</v>
      </c>
    </row>
    <row r="1579" spans="1:7" x14ac:dyDescent="0.25">
      <c r="A1579">
        <v>88</v>
      </c>
      <c r="B1579" t="s">
        <v>622</v>
      </c>
      <c r="C1579">
        <v>120</v>
      </c>
      <c r="D1579" t="s">
        <v>25</v>
      </c>
      <c r="E1579" t="s">
        <v>11</v>
      </c>
      <c r="F1579">
        <v>1</v>
      </c>
      <c r="G1579" t="s">
        <v>15</v>
      </c>
    </row>
    <row r="1580" spans="1:7" x14ac:dyDescent="0.25">
      <c r="A1580">
        <v>88</v>
      </c>
      <c r="B1580" t="s">
        <v>622</v>
      </c>
      <c r="C1580">
        <v>130</v>
      </c>
      <c r="D1580" t="s">
        <v>26</v>
      </c>
      <c r="E1580" t="s">
        <v>11</v>
      </c>
      <c r="F1580">
        <v>1</v>
      </c>
      <c r="G1580" t="s">
        <v>15</v>
      </c>
    </row>
    <row r="1581" spans="1:7" x14ac:dyDescent="0.25">
      <c r="A1581">
        <v>88</v>
      </c>
      <c r="B1581" t="s">
        <v>622</v>
      </c>
      <c r="C1581">
        <v>140</v>
      </c>
      <c r="D1581" t="s">
        <v>100</v>
      </c>
      <c r="E1581" t="s">
        <v>14</v>
      </c>
      <c r="F1581">
        <v>0.86499999999999999</v>
      </c>
      <c r="G1581" t="s">
        <v>15</v>
      </c>
    </row>
    <row r="1582" spans="1:7" x14ac:dyDescent="0.25">
      <c r="A1582">
        <v>88</v>
      </c>
      <c r="B1582" t="s">
        <v>622</v>
      </c>
      <c r="C1582">
        <v>150</v>
      </c>
      <c r="D1582" t="s">
        <v>221</v>
      </c>
      <c r="E1582" t="s">
        <v>11</v>
      </c>
      <c r="F1582">
        <v>1</v>
      </c>
      <c r="G1582" t="s">
        <v>18</v>
      </c>
    </row>
    <row r="1583" spans="1:7" x14ac:dyDescent="0.25">
      <c r="A1583">
        <v>88</v>
      </c>
      <c r="B1583" t="s">
        <v>622</v>
      </c>
      <c r="C1583">
        <v>160</v>
      </c>
      <c r="D1583" t="s">
        <v>222</v>
      </c>
      <c r="E1583" t="s">
        <v>11</v>
      </c>
      <c r="F1583">
        <v>1</v>
      </c>
      <c r="G1583" t="s">
        <v>18</v>
      </c>
    </row>
    <row r="1584" spans="1:7" x14ac:dyDescent="0.25">
      <c r="A1584">
        <v>88</v>
      </c>
      <c r="B1584" t="s">
        <v>622</v>
      </c>
      <c r="C1584">
        <v>170</v>
      </c>
      <c r="D1584" t="s">
        <v>142</v>
      </c>
      <c r="E1584" t="s">
        <v>11</v>
      </c>
      <c r="F1584">
        <v>6.7560000000000002</v>
      </c>
      <c r="G1584" t="s">
        <v>15</v>
      </c>
    </row>
    <row r="1585" spans="1:7" x14ac:dyDescent="0.25">
      <c r="A1585">
        <v>88</v>
      </c>
      <c r="B1585" t="s">
        <v>622</v>
      </c>
      <c r="C1585">
        <v>180</v>
      </c>
      <c r="D1585" t="s">
        <v>223</v>
      </c>
      <c r="E1585" t="s">
        <v>11</v>
      </c>
      <c r="F1585">
        <v>1</v>
      </c>
      <c r="G1585" t="s">
        <v>18</v>
      </c>
    </row>
    <row r="1586" spans="1:7" x14ac:dyDescent="0.25">
      <c r="A1586">
        <v>89</v>
      </c>
      <c r="B1586" t="s">
        <v>624</v>
      </c>
      <c r="C1586">
        <v>10</v>
      </c>
      <c r="D1586" t="s">
        <v>225</v>
      </c>
      <c r="E1586" t="s">
        <v>11</v>
      </c>
      <c r="F1586">
        <v>1</v>
      </c>
      <c r="G1586" t="s">
        <v>18</v>
      </c>
    </row>
    <row r="1587" spans="1:7" x14ac:dyDescent="0.25">
      <c r="A1587">
        <v>89</v>
      </c>
      <c r="B1587" t="s">
        <v>624</v>
      </c>
      <c r="C1587">
        <v>20</v>
      </c>
      <c r="D1587" t="s">
        <v>123</v>
      </c>
      <c r="E1587" t="s">
        <v>14</v>
      </c>
      <c r="F1587">
        <v>4.0039999999999996</v>
      </c>
      <c r="G1587" t="s">
        <v>15</v>
      </c>
    </row>
    <row r="1588" spans="1:7" x14ac:dyDescent="0.25">
      <c r="A1588">
        <v>89</v>
      </c>
      <c r="B1588" t="s">
        <v>624</v>
      </c>
      <c r="C1588">
        <v>30</v>
      </c>
      <c r="D1588" t="s">
        <v>102</v>
      </c>
      <c r="E1588" t="s">
        <v>103</v>
      </c>
      <c r="F1588">
        <v>1.0489999999999999</v>
      </c>
      <c r="G1588" t="s">
        <v>15</v>
      </c>
    </row>
    <row r="1589" spans="1:7" x14ac:dyDescent="0.25">
      <c r="A1589">
        <v>89</v>
      </c>
      <c r="B1589" t="s">
        <v>624</v>
      </c>
      <c r="C1589">
        <v>40</v>
      </c>
      <c r="D1589" t="s">
        <v>597</v>
      </c>
      <c r="E1589" t="s">
        <v>11</v>
      </c>
      <c r="F1589">
        <v>1.4730000000000001</v>
      </c>
      <c r="G1589" t="s">
        <v>18</v>
      </c>
    </row>
    <row r="1590" spans="1:7" x14ac:dyDescent="0.25">
      <c r="A1590">
        <v>89</v>
      </c>
      <c r="B1590" t="s">
        <v>624</v>
      </c>
      <c r="C1590">
        <v>50</v>
      </c>
      <c r="D1590" t="s">
        <v>139</v>
      </c>
      <c r="E1590" t="s">
        <v>17</v>
      </c>
      <c r="F1590">
        <v>1.4730000000000001</v>
      </c>
      <c r="G1590" t="s">
        <v>18</v>
      </c>
    </row>
    <row r="1591" spans="1:7" x14ac:dyDescent="0.25">
      <c r="A1591">
        <v>89</v>
      </c>
      <c r="B1591" t="s">
        <v>624</v>
      </c>
      <c r="C1591">
        <v>60</v>
      </c>
      <c r="D1591" t="s">
        <v>625</v>
      </c>
      <c r="E1591" t="s">
        <v>11</v>
      </c>
      <c r="F1591">
        <v>1</v>
      </c>
      <c r="G1591" t="s">
        <v>18</v>
      </c>
    </row>
    <row r="1592" spans="1:7" x14ac:dyDescent="0.25">
      <c r="A1592">
        <v>89</v>
      </c>
      <c r="B1592" t="s">
        <v>624</v>
      </c>
      <c r="C1592">
        <v>70</v>
      </c>
      <c r="D1592" t="s">
        <v>599</v>
      </c>
      <c r="E1592" t="s">
        <v>17</v>
      </c>
      <c r="F1592">
        <v>20.725999999999999</v>
      </c>
      <c r="G1592" t="s">
        <v>15</v>
      </c>
    </row>
    <row r="1593" spans="1:7" x14ac:dyDescent="0.25">
      <c r="A1593">
        <v>89</v>
      </c>
      <c r="B1593" t="s">
        <v>624</v>
      </c>
      <c r="C1593">
        <v>80</v>
      </c>
      <c r="D1593" t="s">
        <v>20</v>
      </c>
      <c r="E1593" t="s">
        <v>17</v>
      </c>
      <c r="F1593">
        <v>169.95599999999999</v>
      </c>
      <c r="G1593" t="s">
        <v>15</v>
      </c>
    </row>
    <row r="1594" spans="1:7" x14ac:dyDescent="0.25">
      <c r="A1594">
        <v>89</v>
      </c>
      <c r="B1594" t="s">
        <v>624</v>
      </c>
      <c r="C1594">
        <v>90</v>
      </c>
      <c r="D1594" t="s">
        <v>24</v>
      </c>
      <c r="E1594" t="s">
        <v>11</v>
      </c>
      <c r="F1594">
        <v>1</v>
      </c>
      <c r="G1594" t="s">
        <v>15</v>
      </c>
    </row>
    <row r="1595" spans="1:7" x14ac:dyDescent="0.25">
      <c r="A1595">
        <v>89</v>
      </c>
      <c r="B1595" t="s">
        <v>624</v>
      </c>
      <c r="C1595">
        <v>100</v>
      </c>
      <c r="D1595" t="s">
        <v>141</v>
      </c>
      <c r="E1595" t="s">
        <v>14</v>
      </c>
      <c r="F1595">
        <v>0.123</v>
      </c>
      <c r="G1595" t="s">
        <v>15</v>
      </c>
    </row>
    <row r="1596" spans="1:7" x14ac:dyDescent="0.25">
      <c r="A1596">
        <v>89</v>
      </c>
      <c r="B1596" t="s">
        <v>624</v>
      </c>
      <c r="C1596">
        <v>110</v>
      </c>
      <c r="D1596" t="s">
        <v>140</v>
      </c>
      <c r="E1596" t="s">
        <v>11</v>
      </c>
      <c r="F1596">
        <v>4</v>
      </c>
      <c r="G1596" t="s">
        <v>15</v>
      </c>
    </row>
    <row r="1597" spans="1:7" x14ac:dyDescent="0.25">
      <c r="A1597">
        <v>89</v>
      </c>
      <c r="B1597" t="s">
        <v>624</v>
      </c>
      <c r="C1597">
        <v>120</v>
      </c>
      <c r="D1597" t="s">
        <v>25</v>
      </c>
      <c r="E1597" t="s">
        <v>11</v>
      </c>
      <c r="F1597">
        <v>1</v>
      </c>
      <c r="G1597" t="s">
        <v>15</v>
      </c>
    </row>
    <row r="1598" spans="1:7" x14ac:dyDescent="0.25">
      <c r="A1598">
        <v>89</v>
      </c>
      <c r="B1598" t="s">
        <v>624</v>
      </c>
      <c r="C1598">
        <v>130</v>
      </c>
      <c r="D1598" t="s">
        <v>26</v>
      </c>
      <c r="E1598" t="s">
        <v>11</v>
      </c>
      <c r="F1598">
        <v>1</v>
      </c>
      <c r="G1598" t="s">
        <v>15</v>
      </c>
    </row>
    <row r="1599" spans="1:7" x14ac:dyDescent="0.25">
      <c r="A1599">
        <v>89</v>
      </c>
      <c r="B1599" t="s">
        <v>624</v>
      </c>
      <c r="C1599">
        <v>140</v>
      </c>
      <c r="D1599" t="s">
        <v>100</v>
      </c>
      <c r="E1599" t="s">
        <v>14</v>
      </c>
      <c r="F1599">
        <v>0.90500000000000003</v>
      </c>
      <c r="G1599" t="s">
        <v>15</v>
      </c>
    </row>
    <row r="1600" spans="1:7" x14ac:dyDescent="0.25">
      <c r="A1600">
        <v>89</v>
      </c>
      <c r="B1600" t="s">
        <v>624</v>
      </c>
      <c r="C1600">
        <v>150</v>
      </c>
      <c r="D1600" t="s">
        <v>227</v>
      </c>
      <c r="E1600" t="s">
        <v>11</v>
      </c>
      <c r="F1600">
        <v>1</v>
      </c>
      <c r="G1600" t="s">
        <v>18</v>
      </c>
    </row>
    <row r="1601" spans="1:7" x14ac:dyDescent="0.25">
      <c r="A1601">
        <v>89</v>
      </c>
      <c r="B1601" t="s">
        <v>624</v>
      </c>
      <c r="C1601">
        <v>160</v>
      </c>
      <c r="D1601" t="s">
        <v>228</v>
      </c>
      <c r="E1601" t="s">
        <v>11</v>
      </c>
      <c r="F1601">
        <v>1</v>
      </c>
      <c r="G1601" t="s">
        <v>18</v>
      </c>
    </row>
    <row r="1602" spans="1:7" x14ac:dyDescent="0.25">
      <c r="A1602">
        <v>89</v>
      </c>
      <c r="B1602" t="s">
        <v>624</v>
      </c>
      <c r="C1602">
        <v>170</v>
      </c>
      <c r="D1602" t="s">
        <v>142</v>
      </c>
      <c r="E1602" t="s">
        <v>11</v>
      </c>
      <c r="F1602">
        <v>6.9089999999999998</v>
      </c>
      <c r="G1602" t="s">
        <v>15</v>
      </c>
    </row>
    <row r="1603" spans="1:7" x14ac:dyDescent="0.25">
      <c r="A1603">
        <v>89</v>
      </c>
      <c r="B1603" t="s">
        <v>624</v>
      </c>
      <c r="C1603">
        <v>180</v>
      </c>
      <c r="D1603" t="s">
        <v>229</v>
      </c>
      <c r="E1603" t="s">
        <v>11</v>
      </c>
      <c r="F1603">
        <v>1</v>
      </c>
      <c r="G1603" t="s">
        <v>18</v>
      </c>
    </row>
    <row r="1604" spans="1:7" x14ac:dyDescent="0.25">
      <c r="A1604">
        <v>90</v>
      </c>
      <c r="B1604" t="s">
        <v>626</v>
      </c>
      <c r="C1604">
        <v>10</v>
      </c>
      <c r="D1604" t="s">
        <v>231</v>
      </c>
      <c r="E1604" t="s">
        <v>11</v>
      </c>
      <c r="F1604">
        <v>1</v>
      </c>
      <c r="G1604" t="s">
        <v>18</v>
      </c>
    </row>
    <row r="1605" spans="1:7" x14ac:dyDescent="0.25">
      <c r="A1605">
        <v>90</v>
      </c>
      <c r="B1605" t="s">
        <v>626</v>
      </c>
      <c r="C1605">
        <v>20</v>
      </c>
      <c r="D1605" t="s">
        <v>124</v>
      </c>
      <c r="E1605" t="s">
        <v>14</v>
      </c>
      <c r="F1605">
        <v>4.4080000000000004</v>
      </c>
      <c r="G1605" t="s">
        <v>15</v>
      </c>
    </row>
    <row r="1606" spans="1:7" x14ac:dyDescent="0.25">
      <c r="A1606">
        <v>90</v>
      </c>
      <c r="B1606" t="s">
        <v>626</v>
      </c>
      <c r="C1606">
        <v>30</v>
      </c>
      <c r="D1606" t="s">
        <v>102</v>
      </c>
      <c r="E1606" t="s">
        <v>103</v>
      </c>
      <c r="F1606">
        <v>1.161</v>
      </c>
      <c r="G1606" t="s">
        <v>15</v>
      </c>
    </row>
    <row r="1607" spans="1:7" x14ac:dyDescent="0.25">
      <c r="A1607">
        <v>90</v>
      </c>
      <c r="B1607" t="s">
        <v>626</v>
      </c>
      <c r="C1607">
        <v>40</v>
      </c>
      <c r="D1607" t="s">
        <v>597</v>
      </c>
      <c r="E1607" t="s">
        <v>11</v>
      </c>
      <c r="F1607">
        <v>1.6259999999999999</v>
      </c>
      <c r="G1607" t="s">
        <v>18</v>
      </c>
    </row>
    <row r="1608" spans="1:7" x14ac:dyDescent="0.25">
      <c r="A1608">
        <v>90</v>
      </c>
      <c r="B1608" t="s">
        <v>626</v>
      </c>
      <c r="C1608">
        <v>50</v>
      </c>
      <c r="D1608" t="s">
        <v>139</v>
      </c>
      <c r="E1608" t="s">
        <v>17</v>
      </c>
      <c r="F1608">
        <v>1.6259999999999999</v>
      </c>
      <c r="G1608" t="s">
        <v>18</v>
      </c>
    </row>
    <row r="1609" spans="1:7" x14ac:dyDescent="0.25">
      <c r="A1609">
        <v>90</v>
      </c>
      <c r="B1609" t="s">
        <v>626</v>
      </c>
      <c r="C1609">
        <v>60</v>
      </c>
      <c r="D1609" t="s">
        <v>627</v>
      </c>
      <c r="E1609" t="s">
        <v>11</v>
      </c>
      <c r="F1609">
        <v>1</v>
      </c>
      <c r="G1609" t="s">
        <v>18</v>
      </c>
    </row>
    <row r="1610" spans="1:7" x14ac:dyDescent="0.25">
      <c r="A1610">
        <v>90</v>
      </c>
      <c r="B1610" t="s">
        <v>626</v>
      </c>
      <c r="C1610">
        <v>70</v>
      </c>
      <c r="D1610" t="s">
        <v>599</v>
      </c>
      <c r="E1610" t="s">
        <v>17</v>
      </c>
      <c r="F1610">
        <v>21.640999999999998</v>
      </c>
      <c r="G1610" t="s">
        <v>15</v>
      </c>
    </row>
    <row r="1611" spans="1:7" x14ac:dyDescent="0.25">
      <c r="A1611">
        <v>90</v>
      </c>
      <c r="B1611" t="s">
        <v>626</v>
      </c>
      <c r="C1611">
        <v>80</v>
      </c>
      <c r="D1611" t="s">
        <v>20</v>
      </c>
      <c r="E1611" t="s">
        <v>17</v>
      </c>
      <c r="F1611">
        <v>177.45500000000001</v>
      </c>
      <c r="G1611" t="s">
        <v>15</v>
      </c>
    </row>
    <row r="1612" spans="1:7" x14ac:dyDescent="0.25">
      <c r="A1612">
        <v>90</v>
      </c>
      <c r="B1612" t="s">
        <v>626</v>
      </c>
      <c r="C1612">
        <v>90</v>
      </c>
      <c r="D1612" t="s">
        <v>24</v>
      </c>
      <c r="E1612" t="s">
        <v>11</v>
      </c>
      <c r="F1612">
        <v>1</v>
      </c>
      <c r="G1612" t="s">
        <v>15</v>
      </c>
    </row>
    <row r="1613" spans="1:7" x14ac:dyDescent="0.25">
      <c r="A1613">
        <v>90</v>
      </c>
      <c r="B1613" t="s">
        <v>626</v>
      </c>
      <c r="C1613">
        <v>100</v>
      </c>
      <c r="D1613" t="s">
        <v>141</v>
      </c>
      <c r="E1613" t="s">
        <v>14</v>
      </c>
      <c r="F1613">
        <v>0.13300000000000001</v>
      </c>
      <c r="G1613" t="s">
        <v>15</v>
      </c>
    </row>
    <row r="1614" spans="1:7" x14ac:dyDescent="0.25">
      <c r="A1614">
        <v>90</v>
      </c>
      <c r="B1614" t="s">
        <v>626</v>
      </c>
      <c r="C1614">
        <v>110</v>
      </c>
      <c r="D1614" t="s">
        <v>140</v>
      </c>
      <c r="E1614" t="s">
        <v>11</v>
      </c>
      <c r="F1614">
        <v>4</v>
      </c>
      <c r="G1614" t="s">
        <v>15</v>
      </c>
    </row>
    <row r="1615" spans="1:7" x14ac:dyDescent="0.25">
      <c r="A1615">
        <v>90</v>
      </c>
      <c r="B1615" t="s">
        <v>626</v>
      </c>
      <c r="C1615">
        <v>120</v>
      </c>
      <c r="D1615" t="s">
        <v>25</v>
      </c>
      <c r="E1615" t="s">
        <v>11</v>
      </c>
      <c r="F1615">
        <v>1</v>
      </c>
      <c r="G1615" t="s">
        <v>15</v>
      </c>
    </row>
    <row r="1616" spans="1:7" x14ac:dyDescent="0.25">
      <c r="A1616">
        <v>90</v>
      </c>
      <c r="B1616" t="s">
        <v>626</v>
      </c>
      <c r="C1616">
        <v>130</v>
      </c>
      <c r="D1616" t="s">
        <v>26</v>
      </c>
      <c r="E1616" t="s">
        <v>11</v>
      </c>
      <c r="F1616">
        <v>1</v>
      </c>
      <c r="G1616" t="s">
        <v>15</v>
      </c>
    </row>
    <row r="1617" spans="1:7" x14ac:dyDescent="0.25">
      <c r="A1617">
        <v>90</v>
      </c>
      <c r="B1617" t="s">
        <v>626</v>
      </c>
      <c r="C1617">
        <v>140</v>
      </c>
      <c r="D1617" t="s">
        <v>100</v>
      </c>
      <c r="E1617" t="s">
        <v>14</v>
      </c>
      <c r="F1617">
        <v>0.98599999999999999</v>
      </c>
      <c r="G1617" t="s">
        <v>15</v>
      </c>
    </row>
    <row r="1618" spans="1:7" x14ac:dyDescent="0.25">
      <c r="A1618">
        <v>90</v>
      </c>
      <c r="B1618" t="s">
        <v>626</v>
      </c>
      <c r="C1618">
        <v>150</v>
      </c>
      <c r="D1618" t="s">
        <v>233</v>
      </c>
      <c r="E1618" t="s">
        <v>11</v>
      </c>
      <c r="F1618">
        <v>1</v>
      </c>
      <c r="G1618" t="s">
        <v>18</v>
      </c>
    </row>
    <row r="1619" spans="1:7" x14ac:dyDescent="0.25">
      <c r="A1619">
        <v>90</v>
      </c>
      <c r="B1619" t="s">
        <v>626</v>
      </c>
      <c r="C1619">
        <v>160</v>
      </c>
      <c r="D1619" t="s">
        <v>234</v>
      </c>
      <c r="E1619" t="s">
        <v>11</v>
      </c>
      <c r="F1619">
        <v>1</v>
      </c>
      <c r="G1619" t="s">
        <v>18</v>
      </c>
    </row>
    <row r="1620" spans="1:7" x14ac:dyDescent="0.25">
      <c r="A1620">
        <v>90</v>
      </c>
      <c r="B1620" t="s">
        <v>626</v>
      </c>
      <c r="C1620">
        <v>170</v>
      </c>
      <c r="D1620" t="s">
        <v>142</v>
      </c>
      <c r="E1620" t="s">
        <v>11</v>
      </c>
      <c r="F1620">
        <v>7.2140000000000004</v>
      </c>
      <c r="G1620" t="s">
        <v>15</v>
      </c>
    </row>
    <row r="1621" spans="1:7" x14ac:dyDescent="0.25">
      <c r="A1621">
        <v>90</v>
      </c>
      <c r="B1621" t="s">
        <v>626</v>
      </c>
      <c r="C1621">
        <v>180</v>
      </c>
      <c r="D1621" t="s">
        <v>235</v>
      </c>
      <c r="E1621" t="s">
        <v>11</v>
      </c>
      <c r="F1621">
        <v>1</v>
      </c>
      <c r="G1621" t="s">
        <v>18</v>
      </c>
    </row>
    <row r="1622" spans="1:7" x14ac:dyDescent="0.25">
      <c r="A1622">
        <v>91</v>
      </c>
      <c r="B1622" t="s">
        <v>628</v>
      </c>
      <c r="C1622">
        <v>10</v>
      </c>
      <c r="D1622" t="s">
        <v>237</v>
      </c>
      <c r="E1622" t="s">
        <v>11</v>
      </c>
      <c r="F1622">
        <v>1</v>
      </c>
      <c r="G1622" t="s">
        <v>18</v>
      </c>
    </row>
    <row r="1623" spans="1:7" x14ac:dyDescent="0.25">
      <c r="A1623">
        <v>91</v>
      </c>
      <c r="B1623" t="s">
        <v>628</v>
      </c>
      <c r="C1623">
        <v>20</v>
      </c>
      <c r="D1623" t="s">
        <v>125</v>
      </c>
      <c r="E1623" t="s">
        <v>14</v>
      </c>
      <c r="F1623">
        <v>4.8109999999999999</v>
      </c>
      <c r="G1623" t="s">
        <v>15</v>
      </c>
    </row>
    <row r="1624" spans="1:7" x14ac:dyDescent="0.25">
      <c r="A1624">
        <v>91</v>
      </c>
      <c r="B1624" t="s">
        <v>628</v>
      </c>
      <c r="C1624">
        <v>30</v>
      </c>
      <c r="D1624" t="s">
        <v>102</v>
      </c>
      <c r="E1624" t="s">
        <v>103</v>
      </c>
      <c r="F1624">
        <v>1.274</v>
      </c>
      <c r="G1624" t="s">
        <v>15</v>
      </c>
    </row>
    <row r="1625" spans="1:7" x14ac:dyDescent="0.25">
      <c r="A1625">
        <v>91</v>
      </c>
      <c r="B1625" t="s">
        <v>628</v>
      </c>
      <c r="C1625">
        <v>40</v>
      </c>
      <c r="D1625" t="s">
        <v>597</v>
      </c>
      <c r="E1625" t="s">
        <v>11</v>
      </c>
      <c r="F1625">
        <v>1.778</v>
      </c>
      <c r="G1625" t="s">
        <v>18</v>
      </c>
    </row>
    <row r="1626" spans="1:7" x14ac:dyDescent="0.25">
      <c r="A1626">
        <v>91</v>
      </c>
      <c r="B1626" t="s">
        <v>628</v>
      </c>
      <c r="C1626">
        <v>50</v>
      </c>
      <c r="D1626" t="s">
        <v>139</v>
      </c>
      <c r="E1626" t="s">
        <v>17</v>
      </c>
      <c r="F1626">
        <v>1.778</v>
      </c>
      <c r="G1626" t="s">
        <v>18</v>
      </c>
    </row>
    <row r="1627" spans="1:7" x14ac:dyDescent="0.25">
      <c r="A1627">
        <v>91</v>
      </c>
      <c r="B1627" t="s">
        <v>628</v>
      </c>
      <c r="C1627">
        <v>60</v>
      </c>
      <c r="D1627" t="s">
        <v>629</v>
      </c>
      <c r="E1627" t="s">
        <v>11</v>
      </c>
      <c r="F1627">
        <v>1</v>
      </c>
      <c r="G1627" t="s">
        <v>18</v>
      </c>
    </row>
    <row r="1628" spans="1:7" x14ac:dyDescent="0.25">
      <c r="A1628">
        <v>91</v>
      </c>
      <c r="B1628" t="s">
        <v>628</v>
      </c>
      <c r="C1628">
        <v>70</v>
      </c>
      <c r="D1628" t="s">
        <v>599</v>
      </c>
      <c r="E1628" t="s">
        <v>17</v>
      </c>
      <c r="F1628">
        <v>22.555</v>
      </c>
      <c r="G1628" t="s">
        <v>15</v>
      </c>
    </row>
    <row r="1629" spans="1:7" x14ac:dyDescent="0.25">
      <c r="A1629">
        <v>91</v>
      </c>
      <c r="B1629" t="s">
        <v>628</v>
      </c>
      <c r="C1629">
        <v>80</v>
      </c>
      <c r="D1629" t="s">
        <v>20</v>
      </c>
      <c r="E1629" t="s">
        <v>17</v>
      </c>
      <c r="F1629">
        <v>184.953</v>
      </c>
      <c r="G1629" t="s">
        <v>15</v>
      </c>
    </row>
    <row r="1630" spans="1:7" x14ac:dyDescent="0.25">
      <c r="A1630">
        <v>91</v>
      </c>
      <c r="B1630" t="s">
        <v>628</v>
      </c>
      <c r="C1630">
        <v>90</v>
      </c>
      <c r="D1630" t="s">
        <v>24</v>
      </c>
      <c r="E1630" t="s">
        <v>11</v>
      </c>
      <c r="F1630">
        <v>1</v>
      </c>
      <c r="G1630" t="s">
        <v>15</v>
      </c>
    </row>
    <row r="1631" spans="1:7" x14ac:dyDescent="0.25">
      <c r="A1631">
        <v>91</v>
      </c>
      <c r="B1631" t="s">
        <v>628</v>
      </c>
      <c r="C1631">
        <v>100</v>
      </c>
      <c r="D1631" t="s">
        <v>141</v>
      </c>
      <c r="E1631" t="s">
        <v>14</v>
      </c>
      <c r="F1631">
        <v>0.14299999999999999</v>
      </c>
      <c r="G1631" t="s">
        <v>15</v>
      </c>
    </row>
    <row r="1632" spans="1:7" x14ac:dyDescent="0.25">
      <c r="A1632">
        <v>91</v>
      </c>
      <c r="B1632" t="s">
        <v>628</v>
      </c>
      <c r="C1632">
        <v>110</v>
      </c>
      <c r="D1632" t="s">
        <v>140</v>
      </c>
      <c r="E1632" t="s">
        <v>11</v>
      </c>
      <c r="F1632">
        <v>4</v>
      </c>
      <c r="G1632" t="s">
        <v>15</v>
      </c>
    </row>
    <row r="1633" spans="1:7" x14ac:dyDescent="0.25">
      <c r="A1633">
        <v>91</v>
      </c>
      <c r="B1633" t="s">
        <v>628</v>
      </c>
      <c r="C1633">
        <v>120</v>
      </c>
      <c r="D1633" t="s">
        <v>25</v>
      </c>
      <c r="E1633" t="s">
        <v>11</v>
      </c>
      <c r="F1633">
        <v>1</v>
      </c>
      <c r="G1633" t="s">
        <v>15</v>
      </c>
    </row>
    <row r="1634" spans="1:7" x14ac:dyDescent="0.25">
      <c r="A1634">
        <v>91</v>
      </c>
      <c r="B1634" t="s">
        <v>628</v>
      </c>
      <c r="C1634">
        <v>130</v>
      </c>
      <c r="D1634" t="s">
        <v>26</v>
      </c>
      <c r="E1634" t="s">
        <v>11</v>
      </c>
      <c r="F1634">
        <v>1</v>
      </c>
      <c r="G1634" t="s">
        <v>15</v>
      </c>
    </row>
    <row r="1635" spans="1:7" x14ac:dyDescent="0.25">
      <c r="A1635">
        <v>91</v>
      </c>
      <c r="B1635" t="s">
        <v>628</v>
      </c>
      <c r="C1635">
        <v>140</v>
      </c>
      <c r="D1635" t="s">
        <v>100</v>
      </c>
      <c r="E1635" t="s">
        <v>14</v>
      </c>
      <c r="F1635">
        <v>1.0669999999999999</v>
      </c>
      <c r="G1635" t="s">
        <v>15</v>
      </c>
    </row>
    <row r="1636" spans="1:7" x14ac:dyDescent="0.25">
      <c r="A1636">
        <v>91</v>
      </c>
      <c r="B1636" t="s">
        <v>628</v>
      </c>
      <c r="C1636">
        <v>150</v>
      </c>
      <c r="D1636" t="s">
        <v>239</v>
      </c>
      <c r="E1636" t="s">
        <v>11</v>
      </c>
      <c r="F1636">
        <v>1</v>
      </c>
      <c r="G1636" t="s">
        <v>18</v>
      </c>
    </row>
    <row r="1637" spans="1:7" x14ac:dyDescent="0.25">
      <c r="A1637">
        <v>91</v>
      </c>
      <c r="B1637" t="s">
        <v>628</v>
      </c>
      <c r="C1637">
        <v>160</v>
      </c>
      <c r="D1637" t="s">
        <v>240</v>
      </c>
      <c r="E1637" t="s">
        <v>11</v>
      </c>
      <c r="F1637">
        <v>1</v>
      </c>
      <c r="G1637" t="s">
        <v>18</v>
      </c>
    </row>
    <row r="1638" spans="1:7" x14ac:dyDescent="0.25">
      <c r="A1638">
        <v>91</v>
      </c>
      <c r="B1638" t="s">
        <v>628</v>
      </c>
      <c r="C1638">
        <v>170</v>
      </c>
      <c r="D1638" t="s">
        <v>142</v>
      </c>
      <c r="E1638" t="s">
        <v>11</v>
      </c>
      <c r="F1638">
        <v>7.5179999999999998</v>
      </c>
      <c r="G1638" t="s">
        <v>15</v>
      </c>
    </row>
    <row r="1639" spans="1:7" x14ac:dyDescent="0.25">
      <c r="A1639">
        <v>91</v>
      </c>
      <c r="B1639" t="s">
        <v>628</v>
      </c>
      <c r="C1639">
        <v>180</v>
      </c>
      <c r="D1639" t="s">
        <v>241</v>
      </c>
      <c r="E1639" t="s">
        <v>11</v>
      </c>
      <c r="F1639">
        <v>1</v>
      </c>
      <c r="G1639" t="s">
        <v>18</v>
      </c>
    </row>
    <row r="1640" spans="1:7" x14ac:dyDescent="0.25">
      <c r="A1640">
        <v>92</v>
      </c>
      <c r="B1640" t="s">
        <v>630</v>
      </c>
      <c r="C1640">
        <v>10</v>
      </c>
      <c r="D1640" t="s">
        <v>243</v>
      </c>
      <c r="E1640" t="s">
        <v>11</v>
      </c>
      <c r="F1640">
        <v>1</v>
      </c>
      <c r="G1640" t="s">
        <v>18</v>
      </c>
    </row>
    <row r="1641" spans="1:7" x14ac:dyDescent="0.25">
      <c r="A1641">
        <v>92</v>
      </c>
      <c r="B1641" t="s">
        <v>630</v>
      </c>
      <c r="C1641">
        <v>20</v>
      </c>
      <c r="D1641" t="s">
        <v>126</v>
      </c>
      <c r="E1641" t="s">
        <v>14</v>
      </c>
      <c r="F1641">
        <v>2.4849999999999999</v>
      </c>
      <c r="G1641" t="s">
        <v>15</v>
      </c>
    </row>
    <row r="1642" spans="1:7" x14ac:dyDescent="0.25">
      <c r="A1642">
        <v>92</v>
      </c>
      <c r="B1642" t="s">
        <v>630</v>
      </c>
      <c r="C1642">
        <v>30</v>
      </c>
      <c r="D1642" t="s">
        <v>102</v>
      </c>
      <c r="E1642" t="s">
        <v>103</v>
      </c>
      <c r="F1642">
        <v>0.624</v>
      </c>
      <c r="G1642" t="s">
        <v>15</v>
      </c>
    </row>
    <row r="1643" spans="1:7" x14ac:dyDescent="0.25">
      <c r="A1643">
        <v>92</v>
      </c>
      <c r="B1643" t="s">
        <v>630</v>
      </c>
      <c r="C1643">
        <v>40</v>
      </c>
      <c r="D1643" t="s">
        <v>597</v>
      </c>
      <c r="E1643" t="s">
        <v>11</v>
      </c>
      <c r="F1643">
        <v>0.86399999999999999</v>
      </c>
      <c r="G1643" t="s">
        <v>18</v>
      </c>
    </row>
    <row r="1644" spans="1:7" x14ac:dyDescent="0.25">
      <c r="A1644">
        <v>92</v>
      </c>
      <c r="B1644" t="s">
        <v>630</v>
      </c>
      <c r="C1644">
        <v>50</v>
      </c>
      <c r="D1644" t="s">
        <v>139</v>
      </c>
      <c r="E1644" t="s">
        <v>17</v>
      </c>
      <c r="F1644">
        <v>0.86399999999999999</v>
      </c>
      <c r="G1644" t="s">
        <v>18</v>
      </c>
    </row>
    <row r="1645" spans="1:7" x14ac:dyDescent="0.25">
      <c r="A1645">
        <v>92</v>
      </c>
      <c r="B1645" t="s">
        <v>630</v>
      </c>
      <c r="C1645">
        <v>60</v>
      </c>
      <c r="D1645" t="s">
        <v>631</v>
      </c>
      <c r="E1645" t="s">
        <v>11</v>
      </c>
      <c r="F1645">
        <v>1</v>
      </c>
      <c r="G1645" t="s">
        <v>18</v>
      </c>
    </row>
    <row r="1646" spans="1:7" x14ac:dyDescent="0.25">
      <c r="A1646">
        <v>92</v>
      </c>
      <c r="B1646" t="s">
        <v>630</v>
      </c>
      <c r="C1646">
        <v>70</v>
      </c>
      <c r="D1646" t="s">
        <v>599</v>
      </c>
      <c r="E1646" t="s">
        <v>17</v>
      </c>
      <c r="F1646">
        <v>17.526</v>
      </c>
      <c r="G1646" t="s">
        <v>15</v>
      </c>
    </row>
    <row r="1647" spans="1:7" x14ac:dyDescent="0.25">
      <c r="A1647">
        <v>92</v>
      </c>
      <c r="B1647" t="s">
        <v>630</v>
      </c>
      <c r="C1647">
        <v>80</v>
      </c>
      <c r="D1647" t="s">
        <v>20</v>
      </c>
      <c r="E1647" t="s">
        <v>17</v>
      </c>
      <c r="F1647">
        <v>143.71299999999999</v>
      </c>
      <c r="G1647" t="s">
        <v>15</v>
      </c>
    </row>
    <row r="1648" spans="1:7" x14ac:dyDescent="0.25">
      <c r="A1648">
        <v>92</v>
      </c>
      <c r="B1648" t="s">
        <v>630</v>
      </c>
      <c r="C1648">
        <v>90</v>
      </c>
      <c r="D1648" t="s">
        <v>24</v>
      </c>
      <c r="E1648" t="s">
        <v>11</v>
      </c>
      <c r="F1648">
        <v>1</v>
      </c>
      <c r="G1648" t="s">
        <v>15</v>
      </c>
    </row>
    <row r="1649" spans="1:7" x14ac:dyDescent="0.25">
      <c r="A1649">
        <v>92</v>
      </c>
      <c r="B1649" t="s">
        <v>630</v>
      </c>
      <c r="C1649">
        <v>100</v>
      </c>
      <c r="D1649" t="s">
        <v>141</v>
      </c>
      <c r="E1649" t="s">
        <v>14</v>
      </c>
      <c r="F1649">
        <v>8.1000000000000003E-2</v>
      </c>
      <c r="G1649" t="s">
        <v>15</v>
      </c>
    </row>
    <row r="1650" spans="1:7" x14ac:dyDescent="0.25">
      <c r="A1650">
        <v>92</v>
      </c>
      <c r="B1650" t="s">
        <v>630</v>
      </c>
      <c r="C1650">
        <v>110</v>
      </c>
      <c r="D1650" t="s">
        <v>140</v>
      </c>
      <c r="E1650" t="s">
        <v>11</v>
      </c>
      <c r="F1650">
        <v>4</v>
      </c>
      <c r="G1650" t="s">
        <v>15</v>
      </c>
    </row>
    <row r="1651" spans="1:7" x14ac:dyDescent="0.25">
      <c r="A1651">
        <v>92</v>
      </c>
      <c r="B1651" t="s">
        <v>630</v>
      </c>
      <c r="C1651">
        <v>120</v>
      </c>
      <c r="D1651" t="s">
        <v>25</v>
      </c>
      <c r="E1651" t="s">
        <v>11</v>
      </c>
      <c r="F1651">
        <v>1</v>
      </c>
      <c r="G1651" t="s">
        <v>15</v>
      </c>
    </row>
    <row r="1652" spans="1:7" x14ac:dyDescent="0.25">
      <c r="A1652">
        <v>92</v>
      </c>
      <c r="B1652" t="s">
        <v>630</v>
      </c>
      <c r="C1652">
        <v>130</v>
      </c>
      <c r="D1652" t="s">
        <v>26</v>
      </c>
      <c r="E1652" t="s">
        <v>11</v>
      </c>
      <c r="F1652">
        <v>1</v>
      </c>
      <c r="G1652" t="s">
        <v>15</v>
      </c>
    </row>
    <row r="1653" spans="1:7" x14ac:dyDescent="0.25">
      <c r="A1653">
        <v>92</v>
      </c>
      <c r="B1653" t="s">
        <v>630</v>
      </c>
      <c r="C1653">
        <v>140</v>
      </c>
      <c r="D1653" t="s">
        <v>100</v>
      </c>
      <c r="E1653" t="s">
        <v>14</v>
      </c>
      <c r="F1653">
        <v>1.1890000000000001</v>
      </c>
      <c r="G1653" t="s">
        <v>15</v>
      </c>
    </row>
    <row r="1654" spans="1:7" x14ac:dyDescent="0.25">
      <c r="A1654">
        <v>92</v>
      </c>
      <c r="B1654" t="s">
        <v>630</v>
      </c>
      <c r="C1654">
        <v>150</v>
      </c>
      <c r="D1654" t="s">
        <v>245</v>
      </c>
      <c r="E1654" t="s">
        <v>11</v>
      </c>
      <c r="F1654">
        <v>1</v>
      </c>
      <c r="G1654" t="s">
        <v>18</v>
      </c>
    </row>
    <row r="1655" spans="1:7" x14ac:dyDescent="0.25">
      <c r="A1655">
        <v>92</v>
      </c>
      <c r="B1655" t="s">
        <v>630</v>
      </c>
      <c r="C1655">
        <v>160</v>
      </c>
      <c r="D1655" t="s">
        <v>246</v>
      </c>
      <c r="E1655" t="s">
        <v>11</v>
      </c>
      <c r="F1655">
        <v>1</v>
      </c>
      <c r="G1655" t="s">
        <v>18</v>
      </c>
    </row>
    <row r="1656" spans="1:7" x14ac:dyDescent="0.25">
      <c r="A1656">
        <v>92</v>
      </c>
      <c r="B1656" t="s">
        <v>630</v>
      </c>
      <c r="C1656">
        <v>170</v>
      </c>
      <c r="D1656" t="s">
        <v>142</v>
      </c>
      <c r="E1656" t="s">
        <v>11</v>
      </c>
      <c r="F1656">
        <v>5.8419999999999996</v>
      </c>
      <c r="G1656" t="s">
        <v>15</v>
      </c>
    </row>
    <row r="1657" spans="1:7" x14ac:dyDescent="0.25">
      <c r="A1657">
        <v>92</v>
      </c>
      <c r="B1657" t="s">
        <v>630</v>
      </c>
      <c r="C1657">
        <v>180</v>
      </c>
      <c r="D1657" t="s">
        <v>247</v>
      </c>
      <c r="E1657" t="s">
        <v>11</v>
      </c>
      <c r="F1657">
        <v>1</v>
      </c>
      <c r="G1657" t="s">
        <v>18</v>
      </c>
    </row>
    <row r="1658" spans="1:7" x14ac:dyDescent="0.25">
      <c r="A1658">
        <v>93</v>
      </c>
      <c r="B1658" t="s">
        <v>632</v>
      </c>
      <c r="C1658">
        <v>10</v>
      </c>
      <c r="D1658" t="s">
        <v>249</v>
      </c>
      <c r="E1658" t="s">
        <v>11</v>
      </c>
      <c r="F1658">
        <v>1</v>
      </c>
      <c r="G1658" t="s">
        <v>18</v>
      </c>
    </row>
    <row r="1659" spans="1:7" x14ac:dyDescent="0.25">
      <c r="A1659">
        <v>93</v>
      </c>
      <c r="B1659" t="s">
        <v>632</v>
      </c>
      <c r="C1659">
        <v>20</v>
      </c>
      <c r="D1659" t="s">
        <v>127</v>
      </c>
      <c r="E1659" t="s">
        <v>14</v>
      </c>
      <c r="F1659">
        <v>2.9049999999999998</v>
      </c>
      <c r="G1659" t="s">
        <v>15</v>
      </c>
    </row>
    <row r="1660" spans="1:7" x14ac:dyDescent="0.25">
      <c r="A1660">
        <v>93</v>
      </c>
      <c r="B1660" t="s">
        <v>632</v>
      </c>
      <c r="C1660">
        <v>30</v>
      </c>
      <c r="D1660" t="s">
        <v>102</v>
      </c>
      <c r="E1660" t="s">
        <v>103</v>
      </c>
      <c r="F1660">
        <v>0.74099999999999999</v>
      </c>
      <c r="G1660" t="s">
        <v>15</v>
      </c>
    </row>
    <row r="1661" spans="1:7" x14ac:dyDescent="0.25">
      <c r="A1661">
        <v>93</v>
      </c>
      <c r="B1661" t="s">
        <v>632</v>
      </c>
      <c r="C1661">
        <v>40</v>
      </c>
      <c r="D1661" t="s">
        <v>597</v>
      </c>
      <c r="E1661" t="s">
        <v>11</v>
      </c>
      <c r="F1661">
        <v>1.016</v>
      </c>
      <c r="G1661" t="s">
        <v>18</v>
      </c>
    </row>
    <row r="1662" spans="1:7" x14ac:dyDescent="0.25">
      <c r="A1662">
        <v>93</v>
      </c>
      <c r="B1662" t="s">
        <v>632</v>
      </c>
      <c r="C1662">
        <v>50</v>
      </c>
      <c r="D1662" t="s">
        <v>139</v>
      </c>
      <c r="E1662" t="s">
        <v>17</v>
      </c>
      <c r="F1662">
        <v>1.016</v>
      </c>
      <c r="G1662" t="s">
        <v>18</v>
      </c>
    </row>
    <row r="1663" spans="1:7" x14ac:dyDescent="0.25">
      <c r="A1663">
        <v>93</v>
      </c>
      <c r="B1663" t="s">
        <v>632</v>
      </c>
      <c r="C1663">
        <v>60</v>
      </c>
      <c r="D1663" t="s">
        <v>633</v>
      </c>
      <c r="E1663" t="s">
        <v>11</v>
      </c>
      <c r="F1663">
        <v>1</v>
      </c>
      <c r="G1663" t="s">
        <v>18</v>
      </c>
    </row>
    <row r="1664" spans="1:7" x14ac:dyDescent="0.25">
      <c r="A1664">
        <v>93</v>
      </c>
      <c r="B1664" t="s">
        <v>632</v>
      </c>
      <c r="C1664">
        <v>70</v>
      </c>
      <c r="D1664" t="s">
        <v>599</v>
      </c>
      <c r="E1664" t="s">
        <v>17</v>
      </c>
      <c r="F1664">
        <v>18.440000000000001</v>
      </c>
      <c r="G1664" t="s">
        <v>15</v>
      </c>
    </row>
    <row r="1665" spans="1:7" x14ac:dyDescent="0.25">
      <c r="A1665">
        <v>93</v>
      </c>
      <c r="B1665" t="s">
        <v>632</v>
      </c>
      <c r="C1665">
        <v>80</v>
      </c>
      <c r="D1665" t="s">
        <v>20</v>
      </c>
      <c r="E1665" t="s">
        <v>17</v>
      </c>
      <c r="F1665">
        <v>151.21100000000001</v>
      </c>
      <c r="G1665" t="s">
        <v>15</v>
      </c>
    </row>
    <row r="1666" spans="1:7" x14ac:dyDescent="0.25">
      <c r="A1666">
        <v>93</v>
      </c>
      <c r="B1666" t="s">
        <v>632</v>
      </c>
      <c r="C1666">
        <v>90</v>
      </c>
      <c r="D1666" t="s">
        <v>24</v>
      </c>
      <c r="E1666" t="s">
        <v>11</v>
      </c>
      <c r="F1666">
        <v>1</v>
      </c>
      <c r="G1666" t="s">
        <v>15</v>
      </c>
    </row>
    <row r="1667" spans="1:7" x14ac:dyDescent="0.25">
      <c r="A1667">
        <v>93</v>
      </c>
      <c r="B1667" t="s">
        <v>632</v>
      </c>
      <c r="C1667">
        <v>100</v>
      </c>
      <c r="D1667" t="s">
        <v>141</v>
      </c>
      <c r="E1667" t="s">
        <v>14</v>
      </c>
      <c r="F1667">
        <v>9.1999999999999998E-2</v>
      </c>
      <c r="G1667" t="s">
        <v>15</v>
      </c>
    </row>
    <row r="1668" spans="1:7" x14ac:dyDescent="0.25">
      <c r="A1668">
        <v>93</v>
      </c>
      <c r="B1668" t="s">
        <v>632</v>
      </c>
      <c r="C1668">
        <v>110</v>
      </c>
      <c r="D1668" t="s">
        <v>140</v>
      </c>
      <c r="E1668" t="s">
        <v>11</v>
      </c>
      <c r="F1668">
        <v>4</v>
      </c>
      <c r="G1668" t="s">
        <v>15</v>
      </c>
    </row>
    <row r="1669" spans="1:7" x14ac:dyDescent="0.25">
      <c r="A1669">
        <v>93</v>
      </c>
      <c r="B1669" t="s">
        <v>632</v>
      </c>
      <c r="C1669">
        <v>120</v>
      </c>
      <c r="D1669" t="s">
        <v>25</v>
      </c>
      <c r="E1669" t="s">
        <v>11</v>
      </c>
      <c r="F1669">
        <v>1</v>
      </c>
      <c r="G1669" t="s">
        <v>15</v>
      </c>
    </row>
    <row r="1670" spans="1:7" x14ac:dyDescent="0.25">
      <c r="A1670">
        <v>93</v>
      </c>
      <c r="B1670" t="s">
        <v>632</v>
      </c>
      <c r="C1670">
        <v>130</v>
      </c>
      <c r="D1670" t="s">
        <v>26</v>
      </c>
      <c r="E1670" t="s">
        <v>11</v>
      </c>
      <c r="F1670">
        <v>1</v>
      </c>
      <c r="G1670" t="s">
        <v>15</v>
      </c>
    </row>
    <row r="1671" spans="1:7" x14ac:dyDescent="0.25">
      <c r="A1671">
        <v>93</v>
      </c>
      <c r="B1671" t="s">
        <v>632</v>
      </c>
      <c r="C1671">
        <v>140</v>
      </c>
      <c r="D1671" t="s">
        <v>100</v>
      </c>
      <c r="E1671" t="s">
        <v>14</v>
      </c>
      <c r="F1671">
        <v>1.1890000000000001</v>
      </c>
      <c r="G1671" t="s">
        <v>15</v>
      </c>
    </row>
    <row r="1672" spans="1:7" x14ac:dyDescent="0.25">
      <c r="A1672">
        <v>93</v>
      </c>
      <c r="B1672" t="s">
        <v>632</v>
      </c>
      <c r="C1672">
        <v>150</v>
      </c>
      <c r="D1672" t="s">
        <v>251</v>
      </c>
      <c r="E1672" t="s">
        <v>11</v>
      </c>
      <c r="F1672">
        <v>1</v>
      </c>
      <c r="G1672" t="s">
        <v>18</v>
      </c>
    </row>
    <row r="1673" spans="1:7" x14ac:dyDescent="0.25">
      <c r="A1673">
        <v>93</v>
      </c>
      <c r="B1673" t="s">
        <v>632</v>
      </c>
      <c r="C1673">
        <v>160</v>
      </c>
      <c r="D1673" t="s">
        <v>252</v>
      </c>
      <c r="E1673" t="s">
        <v>11</v>
      </c>
      <c r="F1673">
        <v>1</v>
      </c>
      <c r="G1673" t="s">
        <v>18</v>
      </c>
    </row>
    <row r="1674" spans="1:7" x14ac:dyDescent="0.25">
      <c r="A1674">
        <v>93</v>
      </c>
      <c r="B1674" t="s">
        <v>632</v>
      </c>
      <c r="C1674">
        <v>170</v>
      </c>
      <c r="D1674" t="s">
        <v>142</v>
      </c>
      <c r="E1674" t="s">
        <v>11</v>
      </c>
      <c r="F1674">
        <v>6.1470000000000002</v>
      </c>
      <c r="G1674" t="s">
        <v>15</v>
      </c>
    </row>
    <row r="1675" spans="1:7" x14ac:dyDescent="0.25">
      <c r="A1675">
        <v>93</v>
      </c>
      <c r="B1675" t="s">
        <v>632</v>
      </c>
      <c r="C1675">
        <v>180</v>
      </c>
      <c r="D1675" t="s">
        <v>253</v>
      </c>
      <c r="E1675" t="s">
        <v>11</v>
      </c>
      <c r="F1675">
        <v>1</v>
      </c>
      <c r="G1675" t="s">
        <v>18</v>
      </c>
    </row>
    <row r="1676" spans="1:7" x14ac:dyDescent="0.25">
      <c r="A1676">
        <v>94</v>
      </c>
      <c r="B1676" t="s">
        <v>634</v>
      </c>
      <c r="C1676">
        <v>10</v>
      </c>
      <c r="D1676" t="s">
        <v>255</v>
      </c>
      <c r="E1676" t="s">
        <v>11</v>
      </c>
      <c r="F1676">
        <v>1</v>
      </c>
      <c r="G1676" t="s">
        <v>18</v>
      </c>
    </row>
    <row r="1677" spans="1:7" x14ac:dyDescent="0.25">
      <c r="A1677">
        <v>94</v>
      </c>
      <c r="B1677" t="s">
        <v>634</v>
      </c>
      <c r="C1677">
        <v>20</v>
      </c>
      <c r="D1677" t="s">
        <v>128</v>
      </c>
      <c r="E1677" t="s">
        <v>14</v>
      </c>
      <c r="F1677">
        <v>3.3250000000000002</v>
      </c>
      <c r="G1677" t="s">
        <v>15</v>
      </c>
    </row>
    <row r="1678" spans="1:7" x14ac:dyDescent="0.25">
      <c r="A1678">
        <v>94</v>
      </c>
      <c r="B1678" t="s">
        <v>634</v>
      </c>
      <c r="C1678">
        <v>30</v>
      </c>
      <c r="D1678" t="s">
        <v>102</v>
      </c>
      <c r="E1678" t="s">
        <v>103</v>
      </c>
      <c r="F1678">
        <v>0.85799999999999998</v>
      </c>
      <c r="G1678" t="s">
        <v>15</v>
      </c>
    </row>
    <row r="1679" spans="1:7" x14ac:dyDescent="0.25">
      <c r="A1679">
        <v>94</v>
      </c>
      <c r="B1679" t="s">
        <v>634</v>
      </c>
      <c r="C1679">
        <v>40</v>
      </c>
      <c r="D1679" t="s">
        <v>597</v>
      </c>
      <c r="E1679" t="s">
        <v>11</v>
      </c>
      <c r="F1679">
        <v>1.1679999999999999</v>
      </c>
      <c r="G1679" t="s">
        <v>18</v>
      </c>
    </row>
    <row r="1680" spans="1:7" x14ac:dyDescent="0.25">
      <c r="A1680">
        <v>94</v>
      </c>
      <c r="B1680" t="s">
        <v>634</v>
      </c>
      <c r="C1680">
        <v>50</v>
      </c>
      <c r="D1680" t="s">
        <v>139</v>
      </c>
      <c r="E1680" t="s">
        <v>17</v>
      </c>
      <c r="F1680">
        <v>1.1679999999999999</v>
      </c>
      <c r="G1680" t="s">
        <v>18</v>
      </c>
    </row>
    <row r="1681" spans="1:7" x14ac:dyDescent="0.25">
      <c r="A1681">
        <v>94</v>
      </c>
      <c r="B1681" t="s">
        <v>634</v>
      </c>
      <c r="C1681">
        <v>60</v>
      </c>
      <c r="D1681" t="s">
        <v>635</v>
      </c>
      <c r="E1681" t="s">
        <v>11</v>
      </c>
      <c r="F1681">
        <v>1</v>
      </c>
      <c r="G1681" t="s">
        <v>18</v>
      </c>
    </row>
    <row r="1682" spans="1:7" x14ac:dyDescent="0.25">
      <c r="A1682">
        <v>94</v>
      </c>
      <c r="B1682" t="s">
        <v>634</v>
      </c>
      <c r="C1682">
        <v>70</v>
      </c>
      <c r="D1682" t="s">
        <v>599</v>
      </c>
      <c r="E1682" t="s">
        <v>17</v>
      </c>
      <c r="F1682">
        <v>19.355</v>
      </c>
      <c r="G1682" t="s">
        <v>15</v>
      </c>
    </row>
    <row r="1683" spans="1:7" x14ac:dyDescent="0.25">
      <c r="A1683">
        <v>94</v>
      </c>
      <c r="B1683" t="s">
        <v>634</v>
      </c>
      <c r="C1683">
        <v>80</v>
      </c>
      <c r="D1683" t="s">
        <v>20</v>
      </c>
      <c r="E1683" t="s">
        <v>17</v>
      </c>
      <c r="F1683">
        <v>158.709</v>
      </c>
      <c r="G1683" t="s">
        <v>15</v>
      </c>
    </row>
    <row r="1684" spans="1:7" x14ac:dyDescent="0.25">
      <c r="A1684">
        <v>94</v>
      </c>
      <c r="B1684" t="s">
        <v>634</v>
      </c>
      <c r="C1684">
        <v>90</v>
      </c>
      <c r="D1684" t="s">
        <v>24</v>
      </c>
      <c r="E1684" t="s">
        <v>11</v>
      </c>
      <c r="F1684">
        <v>1</v>
      </c>
      <c r="G1684" t="s">
        <v>15</v>
      </c>
    </row>
    <row r="1685" spans="1:7" x14ac:dyDescent="0.25">
      <c r="A1685">
        <v>94</v>
      </c>
      <c r="B1685" t="s">
        <v>634</v>
      </c>
      <c r="C1685">
        <v>100</v>
      </c>
      <c r="D1685" t="s">
        <v>141</v>
      </c>
      <c r="E1685" t="s">
        <v>14</v>
      </c>
      <c r="F1685">
        <v>0.10199999999999999</v>
      </c>
      <c r="G1685" t="s">
        <v>15</v>
      </c>
    </row>
    <row r="1686" spans="1:7" x14ac:dyDescent="0.25">
      <c r="A1686">
        <v>94</v>
      </c>
      <c r="B1686" t="s">
        <v>634</v>
      </c>
      <c r="C1686">
        <v>110</v>
      </c>
      <c r="D1686" t="s">
        <v>140</v>
      </c>
      <c r="E1686" t="s">
        <v>11</v>
      </c>
      <c r="F1686">
        <v>4</v>
      </c>
      <c r="G1686" t="s">
        <v>15</v>
      </c>
    </row>
    <row r="1687" spans="1:7" x14ac:dyDescent="0.25">
      <c r="A1687">
        <v>94</v>
      </c>
      <c r="B1687" t="s">
        <v>634</v>
      </c>
      <c r="C1687">
        <v>120</v>
      </c>
      <c r="D1687" t="s">
        <v>25</v>
      </c>
      <c r="E1687" t="s">
        <v>11</v>
      </c>
      <c r="F1687">
        <v>1</v>
      </c>
      <c r="G1687" t="s">
        <v>15</v>
      </c>
    </row>
    <row r="1688" spans="1:7" x14ac:dyDescent="0.25">
      <c r="A1688">
        <v>94</v>
      </c>
      <c r="B1688" t="s">
        <v>634</v>
      </c>
      <c r="C1688">
        <v>130</v>
      </c>
      <c r="D1688" t="s">
        <v>26</v>
      </c>
      <c r="E1688" t="s">
        <v>11</v>
      </c>
      <c r="F1688">
        <v>1</v>
      </c>
      <c r="G1688" t="s">
        <v>15</v>
      </c>
    </row>
    <row r="1689" spans="1:7" x14ac:dyDescent="0.25">
      <c r="A1689">
        <v>94</v>
      </c>
      <c r="B1689" t="s">
        <v>634</v>
      </c>
      <c r="C1689">
        <v>140</v>
      </c>
      <c r="D1689" t="s">
        <v>100</v>
      </c>
      <c r="E1689" t="s">
        <v>14</v>
      </c>
      <c r="F1689">
        <v>1.1890000000000001</v>
      </c>
      <c r="G1689" t="s">
        <v>15</v>
      </c>
    </row>
    <row r="1690" spans="1:7" x14ac:dyDescent="0.25">
      <c r="A1690">
        <v>94</v>
      </c>
      <c r="B1690" t="s">
        <v>634</v>
      </c>
      <c r="C1690">
        <v>150</v>
      </c>
      <c r="D1690" t="s">
        <v>257</v>
      </c>
      <c r="E1690" t="s">
        <v>11</v>
      </c>
      <c r="F1690">
        <v>1</v>
      </c>
      <c r="G1690" t="s">
        <v>18</v>
      </c>
    </row>
    <row r="1691" spans="1:7" x14ac:dyDescent="0.25">
      <c r="A1691">
        <v>94</v>
      </c>
      <c r="B1691" t="s">
        <v>634</v>
      </c>
      <c r="C1691">
        <v>160</v>
      </c>
      <c r="D1691" t="s">
        <v>258</v>
      </c>
      <c r="E1691" t="s">
        <v>11</v>
      </c>
      <c r="F1691">
        <v>1</v>
      </c>
      <c r="G1691" t="s">
        <v>18</v>
      </c>
    </row>
    <row r="1692" spans="1:7" x14ac:dyDescent="0.25">
      <c r="A1692">
        <v>94</v>
      </c>
      <c r="B1692" t="s">
        <v>634</v>
      </c>
      <c r="C1692">
        <v>170</v>
      </c>
      <c r="D1692" t="s">
        <v>142</v>
      </c>
      <c r="E1692" t="s">
        <v>11</v>
      </c>
      <c r="F1692">
        <v>6.452</v>
      </c>
      <c r="G1692" t="s">
        <v>15</v>
      </c>
    </row>
    <row r="1693" spans="1:7" x14ac:dyDescent="0.25">
      <c r="A1693">
        <v>94</v>
      </c>
      <c r="B1693" t="s">
        <v>634</v>
      </c>
      <c r="C1693">
        <v>180</v>
      </c>
      <c r="D1693" t="s">
        <v>259</v>
      </c>
      <c r="E1693" t="s">
        <v>11</v>
      </c>
      <c r="F1693">
        <v>1</v>
      </c>
      <c r="G1693" t="s">
        <v>18</v>
      </c>
    </row>
    <row r="1694" spans="1:7" x14ac:dyDescent="0.25">
      <c r="A1694">
        <v>95</v>
      </c>
      <c r="B1694" t="s">
        <v>636</v>
      </c>
      <c r="C1694">
        <v>10</v>
      </c>
      <c r="D1694" t="s">
        <v>261</v>
      </c>
      <c r="E1694" t="s">
        <v>11</v>
      </c>
      <c r="F1694">
        <v>1</v>
      </c>
      <c r="G1694" t="s">
        <v>18</v>
      </c>
    </row>
    <row r="1695" spans="1:7" x14ac:dyDescent="0.25">
      <c r="A1695">
        <v>95</v>
      </c>
      <c r="B1695" t="s">
        <v>636</v>
      </c>
      <c r="C1695">
        <v>20</v>
      </c>
      <c r="D1695" t="s">
        <v>129</v>
      </c>
      <c r="E1695" t="s">
        <v>14</v>
      </c>
      <c r="F1695">
        <v>4.165</v>
      </c>
      <c r="G1695" t="s">
        <v>15</v>
      </c>
    </row>
    <row r="1696" spans="1:7" x14ac:dyDescent="0.25">
      <c r="A1696">
        <v>95</v>
      </c>
      <c r="B1696" t="s">
        <v>636</v>
      </c>
      <c r="C1696">
        <v>30</v>
      </c>
      <c r="D1696" t="s">
        <v>102</v>
      </c>
      <c r="E1696" t="s">
        <v>103</v>
      </c>
      <c r="F1696">
        <v>0.97499999999999998</v>
      </c>
      <c r="G1696" t="s">
        <v>15</v>
      </c>
    </row>
    <row r="1697" spans="1:7" x14ac:dyDescent="0.25">
      <c r="A1697">
        <v>95</v>
      </c>
      <c r="B1697" t="s">
        <v>636</v>
      </c>
      <c r="C1697">
        <v>40</v>
      </c>
      <c r="D1697" t="s">
        <v>597</v>
      </c>
      <c r="E1697" t="s">
        <v>11</v>
      </c>
      <c r="F1697">
        <v>1.321</v>
      </c>
      <c r="G1697" t="s">
        <v>18</v>
      </c>
    </row>
    <row r="1698" spans="1:7" x14ac:dyDescent="0.25">
      <c r="A1698">
        <v>95</v>
      </c>
      <c r="B1698" t="s">
        <v>636</v>
      </c>
      <c r="C1698">
        <v>50</v>
      </c>
      <c r="D1698" t="s">
        <v>139</v>
      </c>
      <c r="E1698" t="s">
        <v>17</v>
      </c>
      <c r="F1698">
        <v>1.321</v>
      </c>
      <c r="G1698" t="s">
        <v>18</v>
      </c>
    </row>
    <row r="1699" spans="1:7" x14ac:dyDescent="0.25">
      <c r="A1699">
        <v>95</v>
      </c>
      <c r="B1699" t="s">
        <v>636</v>
      </c>
      <c r="C1699">
        <v>60</v>
      </c>
      <c r="D1699" t="s">
        <v>637</v>
      </c>
      <c r="E1699" t="s">
        <v>11</v>
      </c>
      <c r="F1699">
        <v>1</v>
      </c>
      <c r="G1699" t="s">
        <v>18</v>
      </c>
    </row>
    <row r="1700" spans="1:7" x14ac:dyDescent="0.25">
      <c r="A1700">
        <v>95</v>
      </c>
      <c r="B1700" t="s">
        <v>636</v>
      </c>
      <c r="C1700">
        <v>70</v>
      </c>
      <c r="D1700" t="s">
        <v>599</v>
      </c>
      <c r="E1700" t="s">
        <v>17</v>
      </c>
      <c r="F1700">
        <v>20.268999999999998</v>
      </c>
      <c r="G1700" t="s">
        <v>15</v>
      </c>
    </row>
    <row r="1701" spans="1:7" x14ac:dyDescent="0.25">
      <c r="A1701">
        <v>95</v>
      </c>
      <c r="B1701" t="s">
        <v>636</v>
      </c>
      <c r="C1701">
        <v>80</v>
      </c>
      <c r="D1701" t="s">
        <v>20</v>
      </c>
      <c r="E1701" t="s">
        <v>17</v>
      </c>
      <c r="F1701">
        <v>166.20699999999999</v>
      </c>
      <c r="G1701" t="s">
        <v>15</v>
      </c>
    </row>
    <row r="1702" spans="1:7" x14ac:dyDescent="0.25">
      <c r="A1702">
        <v>95</v>
      </c>
      <c r="B1702" t="s">
        <v>636</v>
      </c>
      <c r="C1702">
        <v>90</v>
      </c>
      <c r="D1702" t="s">
        <v>24</v>
      </c>
      <c r="E1702" t="s">
        <v>11</v>
      </c>
      <c r="F1702">
        <v>1</v>
      </c>
      <c r="G1702" t="s">
        <v>15</v>
      </c>
    </row>
    <row r="1703" spans="1:7" x14ac:dyDescent="0.25">
      <c r="A1703">
        <v>95</v>
      </c>
      <c r="B1703" t="s">
        <v>636</v>
      </c>
      <c r="C1703">
        <v>100</v>
      </c>
      <c r="D1703" t="s">
        <v>141</v>
      </c>
      <c r="E1703" t="s">
        <v>14</v>
      </c>
      <c r="F1703">
        <v>0.112</v>
      </c>
      <c r="G1703" t="s">
        <v>15</v>
      </c>
    </row>
    <row r="1704" spans="1:7" x14ac:dyDescent="0.25">
      <c r="A1704">
        <v>95</v>
      </c>
      <c r="B1704" t="s">
        <v>636</v>
      </c>
      <c r="C1704">
        <v>110</v>
      </c>
      <c r="D1704" t="s">
        <v>140</v>
      </c>
      <c r="E1704" t="s">
        <v>11</v>
      </c>
      <c r="F1704">
        <v>4</v>
      </c>
      <c r="G1704" t="s">
        <v>15</v>
      </c>
    </row>
    <row r="1705" spans="1:7" x14ac:dyDescent="0.25">
      <c r="A1705">
        <v>95</v>
      </c>
      <c r="B1705" t="s">
        <v>636</v>
      </c>
      <c r="C1705">
        <v>120</v>
      </c>
      <c r="D1705" t="s">
        <v>25</v>
      </c>
      <c r="E1705" t="s">
        <v>11</v>
      </c>
      <c r="F1705">
        <v>1</v>
      </c>
      <c r="G1705" t="s">
        <v>15</v>
      </c>
    </row>
    <row r="1706" spans="1:7" x14ac:dyDescent="0.25">
      <c r="A1706">
        <v>95</v>
      </c>
      <c r="B1706" t="s">
        <v>636</v>
      </c>
      <c r="C1706">
        <v>130</v>
      </c>
      <c r="D1706" t="s">
        <v>26</v>
      </c>
      <c r="E1706" t="s">
        <v>11</v>
      </c>
      <c r="F1706">
        <v>1</v>
      </c>
      <c r="G1706" t="s">
        <v>15</v>
      </c>
    </row>
    <row r="1707" spans="1:7" x14ac:dyDescent="0.25">
      <c r="A1707">
        <v>95</v>
      </c>
      <c r="B1707" t="s">
        <v>636</v>
      </c>
      <c r="C1707">
        <v>140</v>
      </c>
      <c r="D1707" t="s">
        <v>100</v>
      </c>
      <c r="E1707" t="s">
        <v>14</v>
      </c>
      <c r="F1707">
        <v>1.1890000000000001</v>
      </c>
      <c r="G1707" t="s">
        <v>15</v>
      </c>
    </row>
    <row r="1708" spans="1:7" x14ac:dyDescent="0.25">
      <c r="A1708">
        <v>95</v>
      </c>
      <c r="B1708" t="s">
        <v>636</v>
      </c>
      <c r="C1708">
        <v>150</v>
      </c>
      <c r="D1708" t="s">
        <v>263</v>
      </c>
      <c r="E1708" t="s">
        <v>11</v>
      </c>
      <c r="F1708">
        <v>1</v>
      </c>
      <c r="G1708" t="s">
        <v>18</v>
      </c>
    </row>
    <row r="1709" spans="1:7" x14ac:dyDescent="0.25">
      <c r="A1709">
        <v>95</v>
      </c>
      <c r="B1709" t="s">
        <v>636</v>
      </c>
      <c r="C1709">
        <v>160</v>
      </c>
      <c r="D1709" t="s">
        <v>264</v>
      </c>
      <c r="E1709" t="s">
        <v>11</v>
      </c>
      <c r="F1709">
        <v>1</v>
      </c>
      <c r="G1709" t="s">
        <v>18</v>
      </c>
    </row>
    <row r="1710" spans="1:7" x14ac:dyDescent="0.25">
      <c r="A1710">
        <v>95</v>
      </c>
      <c r="B1710" t="s">
        <v>636</v>
      </c>
      <c r="C1710">
        <v>170</v>
      </c>
      <c r="D1710" t="s">
        <v>142</v>
      </c>
      <c r="E1710" t="s">
        <v>11</v>
      </c>
      <c r="F1710">
        <v>6.7560000000000002</v>
      </c>
      <c r="G1710" t="s">
        <v>15</v>
      </c>
    </row>
    <row r="1711" spans="1:7" x14ac:dyDescent="0.25">
      <c r="A1711">
        <v>95</v>
      </c>
      <c r="B1711" t="s">
        <v>636</v>
      </c>
      <c r="C1711">
        <v>180</v>
      </c>
      <c r="D1711" t="s">
        <v>265</v>
      </c>
      <c r="E1711" t="s">
        <v>11</v>
      </c>
      <c r="F1711">
        <v>1</v>
      </c>
      <c r="G1711" t="s">
        <v>18</v>
      </c>
    </row>
    <row r="1712" spans="1:7" x14ac:dyDescent="0.25">
      <c r="A1712">
        <v>96</v>
      </c>
      <c r="B1712" t="s">
        <v>638</v>
      </c>
      <c r="C1712">
        <v>10</v>
      </c>
      <c r="D1712" t="s">
        <v>267</v>
      </c>
      <c r="E1712" t="s">
        <v>11</v>
      </c>
      <c r="F1712">
        <v>1</v>
      </c>
      <c r="G1712" t="s">
        <v>18</v>
      </c>
    </row>
    <row r="1713" spans="1:7" x14ac:dyDescent="0.25">
      <c r="A1713">
        <v>96</v>
      </c>
      <c r="B1713" t="s">
        <v>638</v>
      </c>
      <c r="C1713">
        <v>20</v>
      </c>
      <c r="D1713" t="s">
        <v>129</v>
      </c>
      <c r="E1713" t="s">
        <v>14</v>
      </c>
      <c r="F1713">
        <v>4.165</v>
      </c>
      <c r="G1713" t="s">
        <v>15</v>
      </c>
    </row>
    <row r="1714" spans="1:7" x14ac:dyDescent="0.25">
      <c r="A1714">
        <v>96</v>
      </c>
      <c r="B1714" t="s">
        <v>638</v>
      </c>
      <c r="C1714">
        <v>30</v>
      </c>
      <c r="D1714" t="s">
        <v>102</v>
      </c>
      <c r="E1714" t="s">
        <v>103</v>
      </c>
      <c r="F1714">
        <v>1.0329999999999999</v>
      </c>
      <c r="G1714" t="s">
        <v>15</v>
      </c>
    </row>
    <row r="1715" spans="1:7" x14ac:dyDescent="0.25">
      <c r="A1715">
        <v>96</v>
      </c>
      <c r="B1715" t="s">
        <v>638</v>
      </c>
      <c r="C1715">
        <v>40</v>
      </c>
      <c r="D1715" t="s">
        <v>597</v>
      </c>
      <c r="E1715" t="s">
        <v>11</v>
      </c>
      <c r="F1715">
        <v>1.397</v>
      </c>
      <c r="G1715" t="s">
        <v>18</v>
      </c>
    </row>
    <row r="1716" spans="1:7" x14ac:dyDescent="0.25">
      <c r="A1716">
        <v>96</v>
      </c>
      <c r="B1716" t="s">
        <v>638</v>
      </c>
      <c r="C1716">
        <v>50</v>
      </c>
      <c r="D1716" t="s">
        <v>139</v>
      </c>
      <c r="E1716" t="s">
        <v>17</v>
      </c>
      <c r="F1716">
        <v>1.397</v>
      </c>
      <c r="G1716" t="s">
        <v>18</v>
      </c>
    </row>
    <row r="1717" spans="1:7" x14ac:dyDescent="0.25">
      <c r="A1717">
        <v>96</v>
      </c>
      <c r="B1717" t="s">
        <v>638</v>
      </c>
      <c r="C1717">
        <v>60</v>
      </c>
      <c r="D1717" t="s">
        <v>639</v>
      </c>
      <c r="E1717" t="s">
        <v>11</v>
      </c>
      <c r="F1717">
        <v>1</v>
      </c>
      <c r="G1717" t="s">
        <v>18</v>
      </c>
    </row>
    <row r="1718" spans="1:7" x14ac:dyDescent="0.25">
      <c r="A1718">
        <v>96</v>
      </c>
      <c r="B1718" t="s">
        <v>638</v>
      </c>
      <c r="C1718">
        <v>70</v>
      </c>
      <c r="D1718" t="s">
        <v>599</v>
      </c>
      <c r="E1718" t="s">
        <v>17</v>
      </c>
      <c r="F1718">
        <v>20.725999999999999</v>
      </c>
      <c r="G1718" t="s">
        <v>15</v>
      </c>
    </row>
    <row r="1719" spans="1:7" x14ac:dyDescent="0.25">
      <c r="A1719">
        <v>96</v>
      </c>
      <c r="B1719" t="s">
        <v>638</v>
      </c>
      <c r="C1719">
        <v>80</v>
      </c>
      <c r="D1719" t="s">
        <v>20</v>
      </c>
      <c r="E1719" t="s">
        <v>17</v>
      </c>
      <c r="F1719">
        <v>169.95599999999999</v>
      </c>
      <c r="G1719" t="s">
        <v>15</v>
      </c>
    </row>
    <row r="1720" spans="1:7" x14ac:dyDescent="0.25">
      <c r="A1720">
        <v>96</v>
      </c>
      <c r="B1720" t="s">
        <v>638</v>
      </c>
      <c r="C1720">
        <v>90</v>
      </c>
      <c r="D1720" t="s">
        <v>24</v>
      </c>
      <c r="E1720" t="s">
        <v>11</v>
      </c>
      <c r="F1720">
        <v>1</v>
      </c>
      <c r="G1720" t="s">
        <v>15</v>
      </c>
    </row>
    <row r="1721" spans="1:7" x14ac:dyDescent="0.25">
      <c r="A1721">
        <v>96</v>
      </c>
      <c r="B1721" t="s">
        <v>638</v>
      </c>
      <c r="C1721">
        <v>100</v>
      </c>
      <c r="D1721" t="s">
        <v>141</v>
      </c>
      <c r="E1721" t="s">
        <v>14</v>
      </c>
      <c r="F1721">
        <v>0.11700000000000001</v>
      </c>
      <c r="G1721" t="s">
        <v>15</v>
      </c>
    </row>
    <row r="1722" spans="1:7" x14ac:dyDescent="0.25">
      <c r="A1722">
        <v>96</v>
      </c>
      <c r="B1722" t="s">
        <v>638</v>
      </c>
      <c r="C1722">
        <v>110</v>
      </c>
      <c r="D1722" t="s">
        <v>140</v>
      </c>
      <c r="E1722" t="s">
        <v>11</v>
      </c>
      <c r="F1722">
        <v>4</v>
      </c>
      <c r="G1722" t="s">
        <v>15</v>
      </c>
    </row>
    <row r="1723" spans="1:7" x14ac:dyDescent="0.25">
      <c r="A1723">
        <v>96</v>
      </c>
      <c r="B1723" t="s">
        <v>638</v>
      </c>
      <c r="C1723">
        <v>120</v>
      </c>
      <c r="D1723" t="s">
        <v>25</v>
      </c>
      <c r="E1723" t="s">
        <v>11</v>
      </c>
      <c r="F1723">
        <v>1</v>
      </c>
      <c r="G1723" t="s">
        <v>15</v>
      </c>
    </row>
    <row r="1724" spans="1:7" x14ac:dyDescent="0.25">
      <c r="A1724">
        <v>96</v>
      </c>
      <c r="B1724" t="s">
        <v>638</v>
      </c>
      <c r="C1724">
        <v>130</v>
      </c>
      <c r="D1724" t="s">
        <v>26</v>
      </c>
      <c r="E1724" t="s">
        <v>11</v>
      </c>
      <c r="F1724">
        <v>1</v>
      </c>
      <c r="G1724" t="s">
        <v>15</v>
      </c>
    </row>
    <row r="1725" spans="1:7" x14ac:dyDescent="0.25">
      <c r="A1725">
        <v>96</v>
      </c>
      <c r="B1725" t="s">
        <v>638</v>
      </c>
      <c r="C1725">
        <v>140</v>
      </c>
      <c r="D1725" t="s">
        <v>100</v>
      </c>
      <c r="E1725" t="s">
        <v>14</v>
      </c>
      <c r="F1725">
        <v>1.1890000000000001</v>
      </c>
      <c r="G1725" t="s">
        <v>15</v>
      </c>
    </row>
    <row r="1726" spans="1:7" x14ac:dyDescent="0.25">
      <c r="A1726">
        <v>96</v>
      </c>
      <c r="B1726" t="s">
        <v>638</v>
      </c>
      <c r="C1726">
        <v>150</v>
      </c>
      <c r="D1726" t="s">
        <v>269</v>
      </c>
      <c r="E1726" t="s">
        <v>11</v>
      </c>
      <c r="F1726">
        <v>1</v>
      </c>
      <c r="G1726" t="s">
        <v>18</v>
      </c>
    </row>
    <row r="1727" spans="1:7" x14ac:dyDescent="0.25">
      <c r="A1727">
        <v>96</v>
      </c>
      <c r="B1727" t="s">
        <v>638</v>
      </c>
      <c r="C1727">
        <v>160</v>
      </c>
      <c r="D1727" t="s">
        <v>270</v>
      </c>
      <c r="E1727" t="s">
        <v>11</v>
      </c>
      <c r="F1727">
        <v>1</v>
      </c>
      <c r="G1727" t="s">
        <v>18</v>
      </c>
    </row>
    <row r="1728" spans="1:7" x14ac:dyDescent="0.25">
      <c r="A1728">
        <v>96</v>
      </c>
      <c r="B1728" t="s">
        <v>638</v>
      </c>
      <c r="C1728">
        <v>170</v>
      </c>
      <c r="D1728" t="s">
        <v>142</v>
      </c>
      <c r="E1728" t="s">
        <v>11</v>
      </c>
      <c r="F1728">
        <v>6.9089999999999998</v>
      </c>
      <c r="G1728" t="s">
        <v>15</v>
      </c>
    </row>
    <row r="1729" spans="1:7" x14ac:dyDescent="0.25">
      <c r="A1729">
        <v>96</v>
      </c>
      <c r="B1729" t="s">
        <v>638</v>
      </c>
      <c r="C1729">
        <v>180</v>
      </c>
      <c r="D1729" t="s">
        <v>271</v>
      </c>
      <c r="E1729" t="s">
        <v>11</v>
      </c>
      <c r="F1729">
        <v>1</v>
      </c>
      <c r="G1729" t="s">
        <v>18</v>
      </c>
    </row>
    <row r="1730" spans="1:7" x14ac:dyDescent="0.25">
      <c r="A1730">
        <v>97</v>
      </c>
      <c r="B1730" t="s">
        <v>640</v>
      </c>
      <c r="C1730">
        <v>10</v>
      </c>
      <c r="D1730" t="s">
        <v>273</v>
      </c>
      <c r="E1730" t="s">
        <v>11</v>
      </c>
      <c r="F1730">
        <v>1</v>
      </c>
      <c r="G1730" t="s">
        <v>18</v>
      </c>
    </row>
    <row r="1731" spans="1:7" x14ac:dyDescent="0.25">
      <c r="A1731">
        <v>97</v>
      </c>
      <c r="B1731" t="s">
        <v>640</v>
      </c>
      <c r="C1731">
        <v>20</v>
      </c>
      <c r="D1731" t="s">
        <v>129</v>
      </c>
      <c r="E1731" t="s">
        <v>14</v>
      </c>
      <c r="F1731">
        <v>4.165</v>
      </c>
      <c r="G1731" t="s">
        <v>15</v>
      </c>
    </row>
    <row r="1732" spans="1:7" x14ac:dyDescent="0.25">
      <c r="A1732">
        <v>97</v>
      </c>
      <c r="B1732" t="s">
        <v>640</v>
      </c>
      <c r="C1732">
        <v>30</v>
      </c>
      <c r="D1732" t="s">
        <v>102</v>
      </c>
      <c r="E1732" t="s">
        <v>103</v>
      </c>
      <c r="F1732">
        <v>1.091</v>
      </c>
      <c r="G1732" t="s">
        <v>15</v>
      </c>
    </row>
    <row r="1733" spans="1:7" x14ac:dyDescent="0.25">
      <c r="A1733">
        <v>97</v>
      </c>
      <c r="B1733" t="s">
        <v>640</v>
      </c>
      <c r="C1733">
        <v>40</v>
      </c>
      <c r="D1733" t="s">
        <v>597</v>
      </c>
      <c r="E1733" t="s">
        <v>11</v>
      </c>
      <c r="F1733">
        <v>1.4730000000000001</v>
      </c>
      <c r="G1733" t="s">
        <v>18</v>
      </c>
    </row>
    <row r="1734" spans="1:7" x14ac:dyDescent="0.25">
      <c r="A1734">
        <v>97</v>
      </c>
      <c r="B1734" t="s">
        <v>640</v>
      </c>
      <c r="C1734">
        <v>50</v>
      </c>
      <c r="D1734" t="s">
        <v>139</v>
      </c>
      <c r="E1734" t="s">
        <v>17</v>
      </c>
      <c r="F1734">
        <v>1.4730000000000001</v>
      </c>
      <c r="G1734" t="s">
        <v>18</v>
      </c>
    </row>
    <row r="1735" spans="1:7" x14ac:dyDescent="0.25">
      <c r="A1735">
        <v>97</v>
      </c>
      <c r="B1735" t="s">
        <v>640</v>
      </c>
      <c r="C1735">
        <v>60</v>
      </c>
      <c r="D1735" t="s">
        <v>641</v>
      </c>
      <c r="E1735" t="s">
        <v>11</v>
      </c>
      <c r="F1735">
        <v>1</v>
      </c>
      <c r="G1735" t="s">
        <v>18</v>
      </c>
    </row>
    <row r="1736" spans="1:7" x14ac:dyDescent="0.25">
      <c r="A1736">
        <v>97</v>
      </c>
      <c r="B1736" t="s">
        <v>640</v>
      </c>
      <c r="C1736">
        <v>70</v>
      </c>
      <c r="D1736" t="s">
        <v>599</v>
      </c>
      <c r="E1736" t="s">
        <v>17</v>
      </c>
      <c r="F1736">
        <v>21.184000000000001</v>
      </c>
      <c r="G1736" t="s">
        <v>15</v>
      </c>
    </row>
    <row r="1737" spans="1:7" x14ac:dyDescent="0.25">
      <c r="A1737">
        <v>97</v>
      </c>
      <c r="B1737" t="s">
        <v>640</v>
      </c>
      <c r="C1737">
        <v>80</v>
      </c>
      <c r="D1737" t="s">
        <v>20</v>
      </c>
      <c r="E1737" t="s">
        <v>17</v>
      </c>
      <c r="F1737">
        <v>173.70599999999999</v>
      </c>
      <c r="G1737" t="s">
        <v>15</v>
      </c>
    </row>
    <row r="1738" spans="1:7" x14ac:dyDescent="0.25">
      <c r="A1738">
        <v>97</v>
      </c>
      <c r="B1738" t="s">
        <v>640</v>
      </c>
      <c r="C1738">
        <v>90</v>
      </c>
      <c r="D1738" t="s">
        <v>24</v>
      </c>
      <c r="E1738" t="s">
        <v>11</v>
      </c>
      <c r="F1738">
        <v>1</v>
      </c>
      <c r="G1738" t="s">
        <v>15</v>
      </c>
    </row>
    <row r="1739" spans="1:7" x14ac:dyDescent="0.25">
      <c r="A1739">
        <v>97</v>
      </c>
      <c r="B1739" t="s">
        <v>640</v>
      </c>
      <c r="C1739">
        <v>100</v>
      </c>
      <c r="D1739" t="s">
        <v>141</v>
      </c>
      <c r="E1739" t="s">
        <v>14</v>
      </c>
      <c r="F1739">
        <v>0.123</v>
      </c>
      <c r="G1739" t="s">
        <v>15</v>
      </c>
    </row>
    <row r="1740" spans="1:7" x14ac:dyDescent="0.25">
      <c r="A1740">
        <v>97</v>
      </c>
      <c r="B1740" t="s">
        <v>640</v>
      </c>
      <c r="C1740">
        <v>110</v>
      </c>
      <c r="D1740" t="s">
        <v>140</v>
      </c>
      <c r="E1740" t="s">
        <v>11</v>
      </c>
      <c r="F1740">
        <v>4</v>
      </c>
      <c r="G1740" t="s">
        <v>15</v>
      </c>
    </row>
    <row r="1741" spans="1:7" x14ac:dyDescent="0.25">
      <c r="A1741">
        <v>97</v>
      </c>
      <c r="B1741" t="s">
        <v>640</v>
      </c>
      <c r="C1741">
        <v>120</v>
      </c>
      <c r="D1741" t="s">
        <v>25</v>
      </c>
      <c r="E1741" t="s">
        <v>11</v>
      </c>
      <c r="F1741">
        <v>1</v>
      </c>
      <c r="G1741" t="s">
        <v>15</v>
      </c>
    </row>
    <row r="1742" spans="1:7" x14ac:dyDescent="0.25">
      <c r="A1742">
        <v>97</v>
      </c>
      <c r="B1742" t="s">
        <v>640</v>
      </c>
      <c r="C1742">
        <v>130</v>
      </c>
      <c r="D1742" t="s">
        <v>26</v>
      </c>
      <c r="E1742" t="s">
        <v>11</v>
      </c>
      <c r="F1742">
        <v>1</v>
      </c>
      <c r="G1742" t="s">
        <v>15</v>
      </c>
    </row>
    <row r="1743" spans="1:7" x14ac:dyDescent="0.25">
      <c r="A1743">
        <v>97</v>
      </c>
      <c r="B1743" t="s">
        <v>640</v>
      </c>
      <c r="C1743">
        <v>140</v>
      </c>
      <c r="D1743" t="s">
        <v>100</v>
      </c>
      <c r="E1743" t="s">
        <v>14</v>
      </c>
      <c r="F1743">
        <v>1.1890000000000001</v>
      </c>
      <c r="G1743" t="s">
        <v>15</v>
      </c>
    </row>
    <row r="1744" spans="1:7" x14ac:dyDescent="0.25">
      <c r="A1744">
        <v>97</v>
      </c>
      <c r="B1744" t="s">
        <v>640</v>
      </c>
      <c r="C1744">
        <v>150</v>
      </c>
      <c r="D1744" t="s">
        <v>275</v>
      </c>
      <c r="E1744" t="s">
        <v>11</v>
      </c>
      <c r="F1744">
        <v>1</v>
      </c>
      <c r="G1744" t="s">
        <v>18</v>
      </c>
    </row>
    <row r="1745" spans="1:7" x14ac:dyDescent="0.25">
      <c r="A1745">
        <v>97</v>
      </c>
      <c r="B1745" t="s">
        <v>640</v>
      </c>
      <c r="C1745">
        <v>160</v>
      </c>
      <c r="D1745" t="s">
        <v>276</v>
      </c>
      <c r="E1745" t="s">
        <v>11</v>
      </c>
      <c r="F1745">
        <v>1</v>
      </c>
      <c r="G1745" t="s">
        <v>18</v>
      </c>
    </row>
    <row r="1746" spans="1:7" x14ac:dyDescent="0.25">
      <c r="A1746">
        <v>97</v>
      </c>
      <c r="B1746" t="s">
        <v>640</v>
      </c>
      <c r="C1746">
        <v>170</v>
      </c>
      <c r="D1746" t="s">
        <v>142</v>
      </c>
      <c r="E1746" t="s">
        <v>11</v>
      </c>
      <c r="F1746">
        <v>7.0609999999999999</v>
      </c>
      <c r="G1746" t="s">
        <v>15</v>
      </c>
    </row>
    <row r="1747" spans="1:7" x14ac:dyDescent="0.25">
      <c r="A1747">
        <v>97</v>
      </c>
      <c r="B1747" t="s">
        <v>640</v>
      </c>
      <c r="C1747">
        <v>180</v>
      </c>
      <c r="D1747" t="s">
        <v>277</v>
      </c>
      <c r="E1747" t="s">
        <v>11</v>
      </c>
      <c r="F1747">
        <v>1</v>
      </c>
      <c r="G1747" t="s">
        <v>18</v>
      </c>
    </row>
    <row r="1748" spans="1:7" x14ac:dyDescent="0.25">
      <c r="A1748">
        <v>98</v>
      </c>
      <c r="B1748" t="s">
        <v>642</v>
      </c>
      <c r="C1748">
        <v>10</v>
      </c>
      <c r="D1748" t="s">
        <v>279</v>
      </c>
      <c r="E1748" t="s">
        <v>11</v>
      </c>
      <c r="F1748">
        <v>1</v>
      </c>
      <c r="G1748" t="s">
        <v>18</v>
      </c>
    </row>
    <row r="1749" spans="1:7" x14ac:dyDescent="0.25">
      <c r="A1749">
        <v>98</v>
      </c>
      <c r="B1749" t="s">
        <v>642</v>
      </c>
      <c r="C1749">
        <v>20</v>
      </c>
      <c r="D1749" t="s">
        <v>130</v>
      </c>
      <c r="E1749" t="s">
        <v>14</v>
      </c>
      <c r="F1749">
        <v>4.585</v>
      </c>
      <c r="G1749" t="s">
        <v>15</v>
      </c>
    </row>
    <row r="1750" spans="1:7" x14ac:dyDescent="0.25">
      <c r="A1750">
        <v>98</v>
      </c>
      <c r="B1750" t="s">
        <v>642</v>
      </c>
      <c r="C1750">
        <v>30</v>
      </c>
      <c r="D1750" t="s">
        <v>102</v>
      </c>
      <c r="E1750" t="s">
        <v>103</v>
      </c>
      <c r="F1750">
        <v>1.208</v>
      </c>
      <c r="G1750" t="s">
        <v>15</v>
      </c>
    </row>
    <row r="1751" spans="1:7" x14ac:dyDescent="0.25">
      <c r="A1751">
        <v>98</v>
      </c>
      <c r="B1751" t="s">
        <v>642</v>
      </c>
      <c r="C1751">
        <v>40</v>
      </c>
      <c r="D1751" t="s">
        <v>597</v>
      </c>
      <c r="E1751" t="s">
        <v>11</v>
      </c>
      <c r="F1751">
        <v>1.6259999999999999</v>
      </c>
      <c r="G1751" t="s">
        <v>18</v>
      </c>
    </row>
    <row r="1752" spans="1:7" x14ac:dyDescent="0.25">
      <c r="A1752">
        <v>98</v>
      </c>
      <c r="B1752" t="s">
        <v>642</v>
      </c>
      <c r="C1752">
        <v>50</v>
      </c>
      <c r="D1752" t="s">
        <v>139</v>
      </c>
      <c r="E1752" t="s">
        <v>17</v>
      </c>
      <c r="F1752">
        <v>1.6259999999999999</v>
      </c>
      <c r="G1752" t="s">
        <v>18</v>
      </c>
    </row>
    <row r="1753" spans="1:7" x14ac:dyDescent="0.25">
      <c r="A1753">
        <v>98</v>
      </c>
      <c r="B1753" t="s">
        <v>642</v>
      </c>
      <c r="C1753">
        <v>60</v>
      </c>
      <c r="D1753" t="s">
        <v>643</v>
      </c>
      <c r="E1753" t="s">
        <v>11</v>
      </c>
      <c r="F1753">
        <v>1</v>
      </c>
      <c r="G1753" t="s">
        <v>18</v>
      </c>
    </row>
    <row r="1754" spans="1:7" x14ac:dyDescent="0.25">
      <c r="A1754">
        <v>98</v>
      </c>
      <c r="B1754" t="s">
        <v>642</v>
      </c>
      <c r="C1754">
        <v>70</v>
      </c>
      <c r="D1754" t="s">
        <v>599</v>
      </c>
      <c r="E1754" t="s">
        <v>17</v>
      </c>
      <c r="F1754">
        <v>22.097999999999999</v>
      </c>
      <c r="G1754" t="s">
        <v>15</v>
      </c>
    </row>
    <row r="1755" spans="1:7" x14ac:dyDescent="0.25">
      <c r="A1755">
        <v>98</v>
      </c>
      <c r="B1755" t="s">
        <v>642</v>
      </c>
      <c r="C1755">
        <v>80</v>
      </c>
      <c r="D1755" t="s">
        <v>20</v>
      </c>
      <c r="E1755" t="s">
        <v>17</v>
      </c>
      <c r="F1755">
        <v>181.20400000000001</v>
      </c>
      <c r="G1755" t="s">
        <v>15</v>
      </c>
    </row>
    <row r="1756" spans="1:7" x14ac:dyDescent="0.25">
      <c r="A1756">
        <v>98</v>
      </c>
      <c r="B1756" t="s">
        <v>642</v>
      </c>
      <c r="C1756">
        <v>90</v>
      </c>
      <c r="D1756" t="s">
        <v>24</v>
      </c>
      <c r="E1756" t="s">
        <v>11</v>
      </c>
      <c r="F1756">
        <v>1</v>
      </c>
      <c r="G1756" t="s">
        <v>15</v>
      </c>
    </row>
    <row r="1757" spans="1:7" x14ac:dyDescent="0.25">
      <c r="A1757">
        <v>98</v>
      </c>
      <c r="B1757" t="s">
        <v>642</v>
      </c>
      <c r="C1757">
        <v>100</v>
      </c>
      <c r="D1757" t="s">
        <v>141</v>
      </c>
      <c r="E1757" t="s">
        <v>14</v>
      </c>
      <c r="F1757">
        <v>0.13300000000000001</v>
      </c>
      <c r="G1757" t="s">
        <v>15</v>
      </c>
    </row>
    <row r="1758" spans="1:7" x14ac:dyDescent="0.25">
      <c r="A1758">
        <v>98</v>
      </c>
      <c r="B1758" t="s">
        <v>642</v>
      </c>
      <c r="C1758">
        <v>110</v>
      </c>
      <c r="D1758" t="s">
        <v>140</v>
      </c>
      <c r="E1758" t="s">
        <v>11</v>
      </c>
      <c r="F1758">
        <v>4</v>
      </c>
      <c r="G1758" t="s">
        <v>15</v>
      </c>
    </row>
    <row r="1759" spans="1:7" x14ac:dyDescent="0.25">
      <c r="A1759">
        <v>98</v>
      </c>
      <c r="B1759" t="s">
        <v>642</v>
      </c>
      <c r="C1759">
        <v>120</v>
      </c>
      <c r="D1759" t="s">
        <v>25</v>
      </c>
      <c r="E1759" t="s">
        <v>11</v>
      </c>
      <c r="F1759">
        <v>1</v>
      </c>
      <c r="G1759" t="s">
        <v>15</v>
      </c>
    </row>
    <row r="1760" spans="1:7" x14ac:dyDescent="0.25">
      <c r="A1760">
        <v>98</v>
      </c>
      <c r="B1760" t="s">
        <v>642</v>
      </c>
      <c r="C1760">
        <v>130</v>
      </c>
      <c r="D1760" t="s">
        <v>26</v>
      </c>
      <c r="E1760" t="s">
        <v>11</v>
      </c>
      <c r="F1760">
        <v>1</v>
      </c>
      <c r="G1760" t="s">
        <v>15</v>
      </c>
    </row>
    <row r="1761" spans="1:7" x14ac:dyDescent="0.25">
      <c r="A1761">
        <v>98</v>
      </c>
      <c r="B1761" t="s">
        <v>642</v>
      </c>
      <c r="C1761">
        <v>140</v>
      </c>
      <c r="D1761" t="s">
        <v>100</v>
      </c>
      <c r="E1761" t="s">
        <v>14</v>
      </c>
      <c r="F1761">
        <v>1.1890000000000001</v>
      </c>
      <c r="G1761" t="s">
        <v>15</v>
      </c>
    </row>
    <row r="1762" spans="1:7" x14ac:dyDescent="0.25">
      <c r="A1762">
        <v>98</v>
      </c>
      <c r="B1762" t="s">
        <v>642</v>
      </c>
      <c r="C1762">
        <v>150</v>
      </c>
      <c r="D1762" t="s">
        <v>281</v>
      </c>
      <c r="E1762" t="s">
        <v>11</v>
      </c>
      <c r="F1762">
        <v>1</v>
      </c>
      <c r="G1762" t="s">
        <v>18</v>
      </c>
    </row>
    <row r="1763" spans="1:7" x14ac:dyDescent="0.25">
      <c r="A1763">
        <v>98</v>
      </c>
      <c r="B1763" t="s">
        <v>642</v>
      </c>
      <c r="C1763">
        <v>160</v>
      </c>
      <c r="D1763" t="s">
        <v>282</v>
      </c>
      <c r="E1763" t="s">
        <v>11</v>
      </c>
      <c r="F1763">
        <v>1</v>
      </c>
      <c r="G1763" t="s">
        <v>18</v>
      </c>
    </row>
    <row r="1764" spans="1:7" x14ac:dyDescent="0.25">
      <c r="A1764">
        <v>98</v>
      </c>
      <c r="B1764" t="s">
        <v>642</v>
      </c>
      <c r="C1764">
        <v>170</v>
      </c>
      <c r="D1764" t="s">
        <v>142</v>
      </c>
      <c r="E1764" t="s">
        <v>11</v>
      </c>
      <c r="F1764">
        <v>7.3659999999999997</v>
      </c>
      <c r="G1764" t="s">
        <v>15</v>
      </c>
    </row>
    <row r="1765" spans="1:7" x14ac:dyDescent="0.25">
      <c r="A1765">
        <v>98</v>
      </c>
      <c r="B1765" t="s">
        <v>642</v>
      </c>
      <c r="C1765">
        <v>180</v>
      </c>
      <c r="D1765" t="s">
        <v>283</v>
      </c>
      <c r="E1765" t="s">
        <v>11</v>
      </c>
      <c r="F1765">
        <v>1</v>
      </c>
      <c r="G1765" t="s">
        <v>18</v>
      </c>
    </row>
    <row r="1766" spans="1:7" x14ac:dyDescent="0.25">
      <c r="A1766">
        <v>99</v>
      </c>
      <c r="B1766" t="s">
        <v>644</v>
      </c>
      <c r="C1766">
        <v>10</v>
      </c>
      <c r="D1766" t="s">
        <v>285</v>
      </c>
      <c r="E1766" t="s">
        <v>11</v>
      </c>
      <c r="F1766">
        <v>1</v>
      </c>
      <c r="G1766" t="s">
        <v>18</v>
      </c>
    </row>
    <row r="1767" spans="1:7" x14ac:dyDescent="0.25">
      <c r="A1767">
        <v>99</v>
      </c>
      <c r="B1767" t="s">
        <v>644</v>
      </c>
      <c r="C1767">
        <v>20</v>
      </c>
      <c r="D1767" t="s">
        <v>131</v>
      </c>
      <c r="E1767" t="s">
        <v>14</v>
      </c>
      <c r="F1767">
        <v>5.0049999999999999</v>
      </c>
      <c r="G1767" t="s">
        <v>15</v>
      </c>
    </row>
    <row r="1768" spans="1:7" x14ac:dyDescent="0.25">
      <c r="A1768">
        <v>99</v>
      </c>
      <c r="B1768" t="s">
        <v>644</v>
      </c>
      <c r="C1768">
        <v>30</v>
      </c>
      <c r="D1768" t="s">
        <v>102</v>
      </c>
      <c r="E1768" t="s">
        <v>103</v>
      </c>
      <c r="F1768">
        <v>1.325</v>
      </c>
      <c r="G1768" t="s">
        <v>15</v>
      </c>
    </row>
    <row r="1769" spans="1:7" x14ac:dyDescent="0.25">
      <c r="A1769">
        <v>99</v>
      </c>
      <c r="B1769" t="s">
        <v>644</v>
      </c>
      <c r="C1769">
        <v>40</v>
      </c>
      <c r="D1769" t="s">
        <v>597</v>
      </c>
      <c r="E1769" t="s">
        <v>11</v>
      </c>
      <c r="F1769">
        <v>1.778</v>
      </c>
      <c r="G1769" t="s">
        <v>18</v>
      </c>
    </row>
    <row r="1770" spans="1:7" x14ac:dyDescent="0.25">
      <c r="A1770">
        <v>99</v>
      </c>
      <c r="B1770" t="s">
        <v>644</v>
      </c>
      <c r="C1770">
        <v>50</v>
      </c>
      <c r="D1770" t="s">
        <v>139</v>
      </c>
      <c r="E1770" t="s">
        <v>17</v>
      </c>
      <c r="F1770">
        <v>1.778</v>
      </c>
      <c r="G1770" t="s">
        <v>18</v>
      </c>
    </row>
    <row r="1771" spans="1:7" x14ac:dyDescent="0.25">
      <c r="A1771">
        <v>99</v>
      </c>
      <c r="B1771" t="s">
        <v>644</v>
      </c>
      <c r="C1771">
        <v>60</v>
      </c>
      <c r="D1771" t="s">
        <v>645</v>
      </c>
      <c r="E1771" t="s">
        <v>11</v>
      </c>
      <c r="F1771">
        <v>1</v>
      </c>
      <c r="G1771" t="s">
        <v>18</v>
      </c>
    </row>
    <row r="1772" spans="1:7" x14ac:dyDescent="0.25">
      <c r="A1772">
        <v>99</v>
      </c>
      <c r="B1772" t="s">
        <v>644</v>
      </c>
      <c r="C1772">
        <v>70</v>
      </c>
      <c r="D1772" t="s">
        <v>599</v>
      </c>
      <c r="E1772" t="s">
        <v>17</v>
      </c>
      <c r="F1772">
        <v>23.012</v>
      </c>
      <c r="G1772" t="s">
        <v>15</v>
      </c>
    </row>
    <row r="1773" spans="1:7" x14ac:dyDescent="0.25">
      <c r="A1773">
        <v>99</v>
      </c>
      <c r="B1773" t="s">
        <v>644</v>
      </c>
      <c r="C1773">
        <v>80</v>
      </c>
      <c r="D1773" t="s">
        <v>20</v>
      </c>
      <c r="E1773" t="s">
        <v>17</v>
      </c>
      <c r="F1773">
        <v>188.702</v>
      </c>
      <c r="G1773" t="s">
        <v>15</v>
      </c>
    </row>
    <row r="1774" spans="1:7" x14ac:dyDescent="0.25">
      <c r="A1774">
        <v>99</v>
      </c>
      <c r="B1774" t="s">
        <v>644</v>
      </c>
      <c r="C1774">
        <v>90</v>
      </c>
      <c r="D1774" t="s">
        <v>24</v>
      </c>
      <c r="E1774" t="s">
        <v>11</v>
      </c>
      <c r="F1774">
        <v>1</v>
      </c>
      <c r="G1774" t="s">
        <v>15</v>
      </c>
    </row>
    <row r="1775" spans="1:7" x14ac:dyDescent="0.25">
      <c r="A1775">
        <v>99</v>
      </c>
      <c r="B1775" t="s">
        <v>644</v>
      </c>
      <c r="C1775">
        <v>100</v>
      </c>
      <c r="D1775" t="s">
        <v>141</v>
      </c>
      <c r="E1775" t="s">
        <v>14</v>
      </c>
      <c r="F1775">
        <v>0.14299999999999999</v>
      </c>
      <c r="G1775" t="s">
        <v>15</v>
      </c>
    </row>
    <row r="1776" spans="1:7" x14ac:dyDescent="0.25">
      <c r="A1776">
        <v>99</v>
      </c>
      <c r="B1776" t="s">
        <v>644</v>
      </c>
      <c r="C1776">
        <v>110</v>
      </c>
      <c r="D1776" t="s">
        <v>140</v>
      </c>
      <c r="E1776" t="s">
        <v>11</v>
      </c>
      <c r="F1776">
        <v>4</v>
      </c>
      <c r="G1776" t="s">
        <v>15</v>
      </c>
    </row>
    <row r="1777" spans="1:7" x14ac:dyDescent="0.25">
      <c r="A1777">
        <v>99</v>
      </c>
      <c r="B1777" t="s">
        <v>644</v>
      </c>
      <c r="C1777">
        <v>120</v>
      </c>
      <c r="D1777" t="s">
        <v>25</v>
      </c>
      <c r="E1777" t="s">
        <v>11</v>
      </c>
      <c r="F1777">
        <v>1</v>
      </c>
      <c r="G1777" t="s">
        <v>15</v>
      </c>
    </row>
    <row r="1778" spans="1:7" x14ac:dyDescent="0.25">
      <c r="A1778">
        <v>99</v>
      </c>
      <c r="B1778" t="s">
        <v>644</v>
      </c>
      <c r="C1778">
        <v>130</v>
      </c>
      <c r="D1778" t="s">
        <v>26</v>
      </c>
      <c r="E1778" t="s">
        <v>11</v>
      </c>
      <c r="F1778">
        <v>1</v>
      </c>
      <c r="G1778" t="s">
        <v>15</v>
      </c>
    </row>
    <row r="1779" spans="1:7" x14ac:dyDescent="0.25">
      <c r="A1779">
        <v>99</v>
      </c>
      <c r="B1779" t="s">
        <v>644</v>
      </c>
      <c r="C1779">
        <v>140</v>
      </c>
      <c r="D1779" t="s">
        <v>100</v>
      </c>
      <c r="E1779" t="s">
        <v>14</v>
      </c>
      <c r="F1779">
        <v>1.1890000000000001</v>
      </c>
      <c r="G1779" t="s">
        <v>15</v>
      </c>
    </row>
    <row r="1780" spans="1:7" x14ac:dyDescent="0.25">
      <c r="A1780">
        <v>99</v>
      </c>
      <c r="B1780" t="s">
        <v>644</v>
      </c>
      <c r="C1780">
        <v>150</v>
      </c>
      <c r="D1780" t="s">
        <v>287</v>
      </c>
      <c r="E1780" t="s">
        <v>11</v>
      </c>
      <c r="F1780">
        <v>1</v>
      </c>
      <c r="G1780" t="s">
        <v>18</v>
      </c>
    </row>
    <row r="1781" spans="1:7" x14ac:dyDescent="0.25">
      <c r="A1781">
        <v>99</v>
      </c>
      <c r="B1781" t="s">
        <v>644</v>
      </c>
      <c r="C1781">
        <v>160</v>
      </c>
      <c r="D1781" t="s">
        <v>288</v>
      </c>
      <c r="E1781" t="s">
        <v>11</v>
      </c>
      <c r="F1781">
        <v>1</v>
      </c>
      <c r="G1781" t="s">
        <v>18</v>
      </c>
    </row>
    <row r="1782" spans="1:7" x14ac:dyDescent="0.25">
      <c r="A1782">
        <v>99</v>
      </c>
      <c r="B1782" t="s">
        <v>644</v>
      </c>
      <c r="C1782">
        <v>170</v>
      </c>
      <c r="D1782" t="s">
        <v>142</v>
      </c>
      <c r="E1782" t="s">
        <v>11</v>
      </c>
      <c r="F1782">
        <v>7.6710000000000003</v>
      </c>
      <c r="G1782" t="s">
        <v>15</v>
      </c>
    </row>
    <row r="1783" spans="1:7" x14ac:dyDescent="0.25">
      <c r="A1783">
        <v>99</v>
      </c>
      <c r="B1783" t="s">
        <v>644</v>
      </c>
      <c r="C1783">
        <v>180</v>
      </c>
      <c r="D1783" t="s">
        <v>289</v>
      </c>
      <c r="E1783" t="s">
        <v>11</v>
      </c>
      <c r="F1783">
        <v>1</v>
      </c>
      <c r="G1783" t="s">
        <v>18</v>
      </c>
    </row>
    <row r="1784" spans="1:7" x14ac:dyDescent="0.25">
      <c r="A1784">
        <v>100</v>
      </c>
      <c r="B1784" t="s">
        <v>646</v>
      </c>
      <c r="C1784">
        <v>10</v>
      </c>
      <c r="D1784" t="s">
        <v>291</v>
      </c>
      <c r="E1784" t="s">
        <v>11</v>
      </c>
      <c r="F1784">
        <v>1</v>
      </c>
      <c r="G1784" t="s">
        <v>18</v>
      </c>
    </row>
    <row r="1785" spans="1:7" x14ac:dyDescent="0.25">
      <c r="A1785">
        <v>100</v>
      </c>
      <c r="B1785" t="s">
        <v>646</v>
      </c>
      <c r="C1785">
        <v>20</v>
      </c>
      <c r="D1785" t="s">
        <v>132</v>
      </c>
      <c r="E1785" t="s">
        <v>14</v>
      </c>
      <c r="F1785">
        <v>2.5489999999999999</v>
      </c>
      <c r="G1785" t="s">
        <v>15</v>
      </c>
    </row>
    <row r="1786" spans="1:7" x14ac:dyDescent="0.25">
      <c r="A1786">
        <v>100</v>
      </c>
      <c r="B1786" t="s">
        <v>646</v>
      </c>
      <c r="C1786">
        <v>30</v>
      </c>
      <c r="D1786" t="s">
        <v>102</v>
      </c>
      <c r="E1786" t="s">
        <v>103</v>
      </c>
      <c r="F1786">
        <v>0.64</v>
      </c>
      <c r="G1786" t="s">
        <v>15</v>
      </c>
    </row>
    <row r="1787" spans="1:7" x14ac:dyDescent="0.25">
      <c r="A1787">
        <v>100</v>
      </c>
      <c r="B1787" t="s">
        <v>646</v>
      </c>
      <c r="C1787">
        <v>40</v>
      </c>
      <c r="D1787" t="s">
        <v>597</v>
      </c>
      <c r="E1787" t="s">
        <v>11</v>
      </c>
      <c r="F1787">
        <v>2.0569999999999999</v>
      </c>
      <c r="G1787" t="s">
        <v>18</v>
      </c>
    </row>
    <row r="1788" spans="1:7" x14ac:dyDescent="0.25">
      <c r="A1788">
        <v>100</v>
      </c>
      <c r="B1788" t="s">
        <v>646</v>
      </c>
      <c r="C1788">
        <v>50</v>
      </c>
      <c r="D1788" t="s">
        <v>139</v>
      </c>
      <c r="E1788" t="s">
        <v>17</v>
      </c>
      <c r="F1788">
        <v>2.0569999999999999</v>
      </c>
      <c r="G1788" t="s">
        <v>18</v>
      </c>
    </row>
    <row r="1789" spans="1:7" x14ac:dyDescent="0.25">
      <c r="A1789">
        <v>100</v>
      </c>
      <c r="B1789" t="s">
        <v>646</v>
      </c>
      <c r="C1789">
        <v>60</v>
      </c>
      <c r="D1789" t="s">
        <v>647</v>
      </c>
      <c r="E1789" t="s">
        <v>11</v>
      </c>
      <c r="F1789">
        <v>1</v>
      </c>
      <c r="G1789" t="s">
        <v>18</v>
      </c>
    </row>
    <row r="1790" spans="1:7" x14ac:dyDescent="0.25">
      <c r="A1790">
        <v>100</v>
      </c>
      <c r="B1790" t="s">
        <v>646</v>
      </c>
      <c r="C1790">
        <v>70</v>
      </c>
      <c r="D1790" t="s">
        <v>599</v>
      </c>
      <c r="E1790" t="s">
        <v>17</v>
      </c>
      <c r="F1790">
        <v>17.831</v>
      </c>
      <c r="G1790" t="s">
        <v>15</v>
      </c>
    </row>
    <row r="1791" spans="1:7" x14ac:dyDescent="0.25">
      <c r="A1791">
        <v>100</v>
      </c>
      <c r="B1791" t="s">
        <v>646</v>
      </c>
      <c r="C1791">
        <v>80</v>
      </c>
      <c r="D1791" t="s">
        <v>20</v>
      </c>
      <c r="E1791" t="s">
        <v>17</v>
      </c>
      <c r="F1791">
        <v>146.21299999999999</v>
      </c>
      <c r="G1791" t="s">
        <v>15</v>
      </c>
    </row>
    <row r="1792" spans="1:7" x14ac:dyDescent="0.25">
      <c r="A1792">
        <v>100</v>
      </c>
      <c r="B1792" t="s">
        <v>646</v>
      </c>
      <c r="C1792">
        <v>90</v>
      </c>
      <c r="D1792" t="s">
        <v>24</v>
      </c>
      <c r="E1792" t="s">
        <v>11</v>
      </c>
      <c r="F1792">
        <v>1</v>
      </c>
      <c r="G1792" t="s">
        <v>15</v>
      </c>
    </row>
    <row r="1793" spans="1:7" x14ac:dyDescent="0.25">
      <c r="A1793">
        <v>100</v>
      </c>
      <c r="B1793" t="s">
        <v>646</v>
      </c>
      <c r="C1793">
        <v>100</v>
      </c>
      <c r="D1793" t="s">
        <v>141</v>
      </c>
      <c r="E1793" t="s">
        <v>14</v>
      </c>
      <c r="F1793">
        <v>8.1000000000000003E-2</v>
      </c>
      <c r="G1793" t="s">
        <v>15</v>
      </c>
    </row>
    <row r="1794" spans="1:7" x14ac:dyDescent="0.25">
      <c r="A1794">
        <v>100</v>
      </c>
      <c r="B1794" t="s">
        <v>646</v>
      </c>
      <c r="C1794">
        <v>110</v>
      </c>
      <c r="D1794" t="s">
        <v>140</v>
      </c>
      <c r="E1794" t="s">
        <v>11</v>
      </c>
      <c r="F1794">
        <v>4</v>
      </c>
      <c r="G1794" t="s">
        <v>15</v>
      </c>
    </row>
    <row r="1795" spans="1:7" x14ac:dyDescent="0.25">
      <c r="A1795">
        <v>100</v>
      </c>
      <c r="B1795" t="s">
        <v>646</v>
      </c>
      <c r="C1795">
        <v>120</v>
      </c>
      <c r="D1795" t="s">
        <v>25</v>
      </c>
      <c r="E1795" t="s">
        <v>11</v>
      </c>
      <c r="F1795">
        <v>1</v>
      </c>
      <c r="G1795" t="s">
        <v>15</v>
      </c>
    </row>
    <row r="1796" spans="1:7" x14ac:dyDescent="0.25">
      <c r="A1796">
        <v>100</v>
      </c>
      <c r="B1796" t="s">
        <v>646</v>
      </c>
      <c r="C1796">
        <v>130</v>
      </c>
      <c r="D1796" t="s">
        <v>26</v>
      </c>
      <c r="E1796" t="s">
        <v>11</v>
      </c>
      <c r="F1796">
        <v>1</v>
      </c>
      <c r="G1796" t="s">
        <v>15</v>
      </c>
    </row>
    <row r="1797" spans="1:7" x14ac:dyDescent="0.25">
      <c r="A1797">
        <v>100</v>
      </c>
      <c r="B1797" t="s">
        <v>646</v>
      </c>
      <c r="C1797">
        <v>140</v>
      </c>
      <c r="D1797" t="s">
        <v>100</v>
      </c>
      <c r="E1797" t="s">
        <v>14</v>
      </c>
      <c r="F1797">
        <v>1.216</v>
      </c>
      <c r="G1797" t="s">
        <v>15</v>
      </c>
    </row>
    <row r="1798" spans="1:7" x14ac:dyDescent="0.25">
      <c r="A1798">
        <v>100</v>
      </c>
      <c r="B1798" t="s">
        <v>646</v>
      </c>
      <c r="C1798">
        <v>150</v>
      </c>
      <c r="D1798" t="s">
        <v>293</v>
      </c>
      <c r="E1798" t="s">
        <v>11</v>
      </c>
      <c r="F1798">
        <v>1</v>
      </c>
      <c r="G1798" t="s">
        <v>18</v>
      </c>
    </row>
    <row r="1799" spans="1:7" x14ac:dyDescent="0.25">
      <c r="A1799">
        <v>100</v>
      </c>
      <c r="B1799" t="s">
        <v>646</v>
      </c>
      <c r="C1799">
        <v>160</v>
      </c>
      <c r="D1799" t="s">
        <v>294</v>
      </c>
      <c r="E1799" t="s">
        <v>11</v>
      </c>
      <c r="F1799">
        <v>1</v>
      </c>
      <c r="G1799" t="s">
        <v>18</v>
      </c>
    </row>
    <row r="1800" spans="1:7" x14ac:dyDescent="0.25">
      <c r="A1800">
        <v>100</v>
      </c>
      <c r="B1800" t="s">
        <v>646</v>
      </c>
      <c r="C1800">
        <v>170</v>
      </c>
      <c r="D1800" t="s">
        <v>142</v>
      </c>
      <c r="E1800" t="s">
        <v>11</v>
      </c>
      <c r="F1800">
        <v>5.944</v>
      </c>
      <c r="G1800" t="s">
        <v>15</v>
      </c>
    </row>
    <row r="1801" spans="1:7" x14ac:dyDescent="0.25">
      <c r="A1801">
        <v>100</v>
      </c>
      <c r="B1801" t="s">
        <v>646</v>
      </c>
      <c r="C1801">
        <v>180</v>
      </c>
      <c r="D1801" t="s">
        <v>295</v>
      </c>
      <c r="E1801" t="s">
        <v>11</v>
      </c>
      <c r="F1801">
        <v>1</v>
      </c>
      <c r="G1801" t="s">
        <v>18</v>
      </c>
    </row>
    <row r="1802" spans="1:7" x14ac:dyDescent="0.25">
      <c r="A1802">
        <v>101</v>
      </c>
      <c r="B1802" t="s">
        <v>648</v>
      </c>
      <c r="C1802">
        <v>10</v>
      </c>
      <c r="D1802" t="s">
        <v>297</v>
      </c>
      <c r="E1802" t="s">
        <v>11</v>
      </c>
      <c r="F1802">
        <v>1</v>
      </c>
      <c r="G1802" t="s">
        <v>18</v>
      </c>
    </row>
    <row r="1803" spans="1:7" x14ac:dyDescent="0.25">
      <c r="A1803">
        <v>101</v>
      </c>
      <c r="B1803" t="s">
        <v>648</v>
      </c>
      <c r="C1803">
        <v>20</v>
      </c>
      <c r="D1803" t="s">
        <v>132</v>
      </c>
      <c r="E1803" t="s">
        <v>14</v>
      </c>
      <c r="F1803">
        <v>2.98</v>
      </c>
      <c r="G1803" t="s">
        <v>15</v>
      </c>
    </row>
    <row r="1804" spans="1:7" x14ac:dyDescent="0.25">
      <c r="A1804">
        <v>101</v>
      </c>
      <c r="B1804" t="s">
        <v>648</v>
      </c>
      <c r="C1804">
        <v>30</v>
      </c>
      <c r="D1804" t="s">
        <v>102</v>
      </c>
      <c r="E1804" t="s">
        <v>103</v>
      </c>
      <c r="F1804">
        <v>0.76</v>
      </c>
      <c r="G1804" t="s">
        <v>15</v>
      </c>
    </row>
    <row r="1805" spans="1:7" x14ac:dyDescent="0.25">
      <c r="A1805">
        <v>101</v>
      </c>
      <c r="B1805" t="s">
        <v>648</v>
      </c>
      <c r="C1805">
        <v>40</v>
      </c>
      <c r="D1805" t="s">
        <v>597</v>
      </c>
      <c r="E1805" t="s">
        <v>11</v>
      </c>
      <c r="F1805">
        <v>2.0569999999999999</v>
      </c>
      <c r="G1805" t="s">
        <v>18</v>
      </c>
    </row>
    <row r="1806" spans="1:7" x14ac:dyDescent="0.25">
      <c r="A1806">
        <v>101</v>
      </c>
      <c r="B1806" t="s">
        <v>648</v>
      </c>
      <c r="C1806">
        <v>50</v>
      </c>
      <c r="D1806" t="s">
        <v>139</v>
      </c>
      <c r="E1806" t="s">
        <v>17</v>
      </c>
      <c r="F1806">
        <v>2.0569999999999999</v>
      </c>
      <c r="G1806" t="s">
        <v>18</v>
      </c>
    </row>
    <row r="1807" spans="1:7" x14ac:dyDescent="0.25">
      <c r="A1807">
        <v>101</v>
      </c>
      <c r="B1807" t="s">
        <v>648</v>
      </c>
      <c r="C1807">
        <v>60</v>
      </c>
      <c r="D1807" t="s">
        <v>649</v>
      </c>
      <c r="E1807" t="s">
        <v>11</v>
      </c>
      <c r="F1807">
        <v>1</v>
      </c>
      <c r="G1807" t="s">
        <v>18</v>
      </c>
    </row>
    <row r="1808" spans="1:7" x14ac:dyDescent="0.25">
      <c r="A1808">
        <v>101</v>
      </c>
      <c r="B1808" t="s">
        <v>648</v>
      </c>
      <c r="C1808">
        <v>70</v>
      </c>
      <c r="D1808" t="s">
        <v>599</v>
      </c>
      <c r="E1808" t="s">
        <v>17</v>
      </c>
      <c r="F1808">
        <v>18.745000000000001</v>
      </c>
      <c r="G1808" t="s">
        <v>15</v>
      </c>
    </row>
    <row r="1809" spans="1:7" x14ac:dyDescent="0.25">
      <c r="A1809">
        <v>101</v>
      </c>
      <c r="B1809" t="s">
        <v>648</v>
      </c>
      <c r="C1809">
        <v>80</v>
      </c>
      <c r="D1809" t="s">
        <v>20</v>
      </c>
      <c r="E1809" t="s">
        <v>17</v>
      </c>
      <c r="F1809">
        <v>153.71100000000001</v>
      </c>
      <c r="G1809" t="s">
        <v>15</v>
      </c>
    </row>
    <row r="1810" spans="1:7" x14ac:dyDescent="0.25">
      <c r="A1810">
        <v>101</v>
      </c>
      <c r="B1810" t="s">
        <v>648</v>
      </c>
      <c r="C1810">
        <v>90</v>
      </c>
      <c r="D1810" t="s">
        <v>24</v>
      </c>
      <c r="E1810" t="s">
        <v>11</v>
      </c>
      <c r="F1810">
        <v>1</v>
      </c>
      <c r="G1810" t="s">
        <v>15</v>
      </c>
    </row>
    <row r="1811" spans="1:7" x14ac:dyDescent="0.25">
      <c r="A1811">
        <v>101</v>
      </c>
      <c r="B1811" t="s">
        <v>648</v>
      </c>
      <c r="C1811">
        <v>100</v>
      </c>
      <c r="D1811" t="s">
        <v>141</v>
      </c>
      <c r="E1811" t="s">
        <v>14</v>
      </c>
      <c r="F1811">
        <v>9.1999999999999998E-2</v>
      </c>
      <c r="G1811" t="s">
        <v>15</v>
      </c>
    </row>
    <row r="1812" spans="1:7" x14ac:dyDescent="0.25">
      <c r="A1812">
        <v>101</v>
      </c>
      <c r="B1812" t="s">
        <v>648</v>
      </c>
      <c r="C1812">
        <v>110</v>
      </c>
      <c r="D1812" t="s">
        <v>140</v>
      </c>
      <c r="E1812" t="s">
        <v>11</v>
      </c>
      <c r="F1812">
        <v>4</v>
      </c>
      <c r="G1812" t="s">
        <v>15</v>
      </c>
    </row>
    <row r="1813" spans="1:7" x14ac:dyDescent="0.25">
      <c r="A1813">
        <v>101</v>
      </c>
      <c r="B1813" t="s">
        <v>648</v>
      </c>
      <c r="C1813">
        <v>120</v>
      </c>
      <c r="D1813" t="s">
        <v>25</v>
      </c>
      <c r="E1813" t="s">
        <v>11</v>
      </c>
      <c r="F1813">
        <v>1</v>
      </c>
      <c r="G1813" t="s">
        <v>15</v>
      </c>
    </row>
    <row r="1814" spans="1:7" x14ac:dyDescent="0.25">
      <c r="A1814">
        <v>101</v>
      </c>
      <c r="B1814" t="s">
        <v>648</v>
      </c>
      <c r="C1814">
        <v>130</v>
      </c>
      <c r="D1814" t="s">
        <v>26</v>
      </c>
      <c r="E1814" t="s">
        <v>11</v>
      </c>
      <c r="F1814">
        <v>1</v>
      </c>
      <c r="G1814" t="s">
        <v>15</v>
      </c>
    </row>
    <row r="1815" spans="1:7" x14ac:dyDescent="0.25">
      <c r="A1815">
        <v>101</v>
      </c>
      <c r="B1815" t="s">
        <v>648</v>
      </c>
      <c r="C1815">
        <v>140</v>
      </c>
      <c r="D1815" t="s">
        <v>100</v>
      </c>
      <c r="E1815" t="s">
        <v>14</v>
      </c>
      <c r="F1815">
        <v>1.216</v>
      </c>
      <c r="G1815" t="s">
        <v>15</v>
      </c>
    </row>
    <row r="1816" spans="1:7" x14ac:dyDescent="0.25">
      <c r="A1816">
        <v>101</v>
      </c>
      <c r="B1816" t="s">
        <v>648</v>
      </c>
      <c r="C1816">
        <v>150</v>
      </c>
      <c r="D1816" t="s">
        <v>299</v>
      </c>
      <c r="E1816" t="s">
        <v>11</v>
      </c>
      <c r="F1816">
        <v>1</v>
      </c>
      <c r="G1816" t="s">
        <v>18</v>
      </c>
    </row>
    <row r="1817" spans="1:7" x14ac:dyDescent="0.25">
      <c r="A1817">
        <v>101</v>
      </c>
      <c r="B1817" t="s">
        <v>648</v>
      </c>
      <c r="C1817">
        <v>160</v>
      </c>
      <c r="D1817" t="s">
        <v>300</v>
      </c>
      <c r="E1817" t="s">
        <v>11</v>
      </c>
      <c r="F1817">
        <v>1</v>
      </c>
      <c r="G1817" t="s">
        <v>18</v>
      </c>
    </row>
    <row r="1818" spans="1:7" x14ac:dyDescent="0.25">
      <c r="A1818">
        <v>101</v>
      </c>
      <c r="B1818" t="s">
        <v>648</v>
      </c>
      <c r="C1818">
        <v>170</v>
      </c>
      <c r="D1818" t="s">
        <v>142</v>
      </c>
      <c r="E1818" t="s">
        <v>11</v>
      </c>
      <c r="F1818">
        <v>6.2480000000000002</v>
      </c>
      <c r="G1818" t="s">
        <v>15</v>
      </c>
    </row>
    <row r="1819" spans="1:7" x14ac:dyDescent="0.25">
      <c r="A1819">
        <v>101</v>
      </c>
      <c r="B1819" t="s">
        <v>648</v>
      </c>
      <c r="C1819">
        <v>180</v>
      </c>
      <c r="D1819" t="s">
        <v>301</v>
      </c>
      <c r="E1819" t="s">
        <v>11</v>
      </c>
      <c r="F1819">
        <v>1</v>
      </c>
      <c r="G1819" t="s">
        <v>18</v>
      </c>
    </row>
    <row r="1820" spans="1:7" x14ac:dyDescent="0.25">
      <c r="A1820">
        <v>102</v>
      </c>
      <c r="B1820" t="s">
        <v>650</v>
      </c>
      <c r="C1820">
        <v>10</v>
      </c>
      <c r="D1820" t="s">
        <v>303</v>
      </c>
      <c r="E1820" t="s">
        <v>11</v>
      </c>
      <c r="F1820">
        <v>1</v>
      </c>
      <c r="G1820" t="s">
        <v>18</v>
      </c>
    </row>
    <row r="1821" spans="1:7" x14ac:dyDescent="0.25">
      <c r="A1821">
        <v>102</v>
      </c>
      <c r="B1821" t="s">
        <v>650</v>
      </c>
      <c r="C1821">
        <v>20</v>
      </c>
      <c r="D1821" t="s">
        <v>132</v>
      </c>
      <c r="E1821" t="s">
        <v>14</v>
      </c>
      <c r="F1821">
        <v>3.411</v>
      </c>
      <c r="G1821" t="s">
        <v>15</v>
      </c>
    </row>
    <row r="1822" spans="1:7" x14ac:dyDescent="0.25">
      <c r="A1822">
        <v>102</v>
      </c>
      <c r="B1822" t="s">
        <v>650</v>
      </c>
      <c r="C1822">
        <v>30</v>
      </c>
      <c r="D1822" t="s">
        <v>102</v>
      </c>
      <c r="E1822" t="s">
        <v>103</v>
      </c>
      <c r="F1822">
        <v>0.88</v>
      </c>
      <c r="G1822" t="s">
        <v>15</v>
      </c>
    </row>
    <row r="1823" spans="1:7" x14ac:dyDescent="0.25">
      <c r="A1823">
        <v>102</v>
      </c>
      <c r="B1823" t="s">
        <v>650</v>
      </c>
      <c r="C1823">
        <v>40</v>
      </c>
      <c r="D1823" t="s">
        <v>597</v>
      </c>
      <c r="E1823" t="s">
        <v>11</v>
      </c>
      <c r="F1823">
        <v>2.0569999999999999</v>
      </c>
      <c r="G1823" t="s">
        <v>18</v>
      </c>
    </row>
    <row r="1824" spans="1:7" x14ac:dyDescent="0.25">
      <c r="A1824">
        <v>102</v>
      </c>
      <c r="B1824" t="s">
        <v>650</v>
      </c>
      <c r="C1824">
        <v>50</v>
      </c>
      <c r="D1824" t="s">
        <v>139</v>
      </c>
      <c r="E1824" t="s">
        <v>17</v>
      </c>
      <c r="F1824">
        <v>2.0569999999999999</v>
      </c>
      <c r="G1824" t="s">
        <v>18</v>
      </c>
    </row>
    <row r="1825" spans="1:7" x14ac:dyDescent="0.25">
      <c r="A1825">
        <v>102</v>
      </c>
      <c r="B1825" t="s">
        <v>650</v>
      </c>
      <c r="C1825">
        <v>60</v>
      </c>
      <c r="D1825" t="s">
        <v>651</v>
      </c>
      <c r="E1825" t="s">
        <v>11</v>
      </c>
      <c r="F1825">
        <v>1</v>
      </c>
      <c r="G1825" t="s">
        <v>18</v>
      </c>
    </row>
    <row r="1826" spans="1:7" x14ac:dyDescent="0.25">
      <c r="A1826">
        <v>102</v>
      </c>
      <c r="B1826" t="s">
        <v>650</v>
      </c>
      <c r="C1826">
        <v>70</v>
      </c>
      <c r="D1826" t="s">
        <v>599</v>
      </c>
      <c r="E1826" t="s">
        <v>17</v>
      </c>
      <c r="F1826">
        <v>19.66</v>
      </c>
      <c r="G1826" t="s">
        <v>15</v>
      </c>
    </row>
    <row r="1827" spans="1:7" x14ac:dyDescent="0.25">
      <c r="A1827">
        <v>102</v>
      </c>
      <c r="B1827" t="s">
        <v>650</v>
      </c>
      <c r="C1827">
        <v>80</v>
      </c>
      <c r="D1827" t="s">
        <v>20</v>
      </c>
      <c r="E1827" t="s">
        <v>17</v>
      </c>
      <c r="F1827">
        <v>161.209</v>
      </c>
      <c r="G1827" t="s">
        <v>15</v>
      </c>
    </row>
    <row r="1828" spans="1:7" x14ac:dyDescent="0.25">
      <c r="A1828">
        <v>102</v>
      </c>
      <c r="B1828" t="s">
        <v>650</v>
      </c>
      <c r="C1828">
        <v>90</v>
      </c>
      <c r="D1828" t="s">
        <v>24</v>
      </c>
      <c r="E1828" t="s">
        <v>11</v>
      </c>
      <c r="F1828">
        <v>1</v>
      </c>
      <c r="G1828" t="s">
        <v>15</v>
      </c>
    </row>
    <row r="1829" spans="1:7" x14ac:dyDescent="0.25">
      <c r="A1829">
        <v>102</v>
      </c>
      <c r="B1829" t="s">
        <v>650</v>
      </c>
      <c r="C1829">
        <v>100</v>
      </c>
      <c r="D1829" t="s">
        <v>141</v>
      </c>
      <c r="E1829" t="s">
        <v>14</v>
      </c>
      <c r="F1829">
        <v>0.10199999999999999</v>
      </c>
      <c r="G1829" t="s">
        <v>15</v>
      </c>
    </row>
    <row r="1830" spans="1:7" x14ac:dyDescent="0.25">
      <c r="A1830">
        <v>102</v>
      </c>
      <c r="B1830" t="s">
        <v>650</v>
      </c>
      <c r="C1830">
        <v>110</v>
      </c>
      <c r="D1830" t="s">
        <v>140</v>
      </c>
      <c r="E1830" t="s">
        <v>11</v>
      </c>
      <c r="F1830">
        <v>4</v>
      </c>
      <c r="G1830" t="s">
        <v>15</v>
      </c>
    </row>
    <row r="1831" spans="1:7" x14ac:dyDescent="0.25">
      <c r="A1831">
        <v>102</v>
      </c>
      <c r="B1831" t="s">
        <v>650</v>
      </c>
      <c r="C1831">
        <v>120</v>
      </c>
      <c r="D1831" t="s">
        <v>25</v>
      </c>
      <c r="E1831" t="s">
        <v>11</v>
      </c>
      <c r="F1831">
        <v>1</v>
      </c>
      <c r="G1831" t="s">
        <v>15</v>
      </c>
    </row>
    <row r="1832" spans="1:7" x14ac:dyDescent="0.25">
      <c r="A1832">
        <v>102</v>
      </c>
      <c r="B1832" t="s">
        <v>650</v>
      </c>
      <c r="C1832">
        <v>130</v>
      </c>
      <c r="D1832" t="s">
        <v>26</v>
      </c>
      <c r="E1832" t="s">
        <v>11</v>
      </c>
      <c r="F1832">
        <v>1</v>
      </c>
      <c r="G1832" t="s">
        <v>15</v>
      </c>
    </row>
    <row r="1833" spans="1:7" x14ac:dyDescent="0.25">
      <c r="A1833">
        <v>102</v>
      </c>
      <c r="B1833" t="s">
        <v>650</v>
      </c>
      <c r="C1833">
        <v>140</v>
      </c>
      <c r="D1833" t="s">
        <v>100</v>
      </c>
      <c r="E1833" t="s">
        <v>14</v>
      </c>
      <c r="F1833">
        <v>1.216</v>
      </c>
      <c r="G1833" t="s">
        <v>15</v>
      </c>
    </row>
    <row r="1834" spans="1:7" x14ac:dyDescent="0.25">
      <c r="A1834">
        <v>102</v>
      </c>
      <c r="B1834" t="s">
        <v>650</v>
      </c>
      <c r="C1834">
        <v>150</v>
      </c>
      <c r="D1834" t="s">
        <v>305</v>
      </c>
      <c r="E1834" t="s">
        <v>11</v>
      </c>
      <c r="F1834">
        <v>1</v>
      </c>
      <c r="G1834" t="s">
        <v>18</v>
      </c>
    </row>
    <row r="1835" spans="1:7" x14ac:dyDescent="0.25">
      <c r="A1835">
        <v>102</v>
      </c>
      <c r="B1835" t="s">
        <v>650</v>
      </c>
      <c r="C1835">
        <v>160</v>
      </c>
      <c r="D1835" t="s">
        <v>306</v>
      </c>
      <c r="E1835" t="s">
        <v>11</v>
      </c>
      <c r="F1835">
        <v>1</v>
      </c>
      <c r="G1835" t="s">
        <v>18</v>
      </c>
    </row>
    <row r="1836" spans="1:7" x14ac:dyDescent="0.25">
      <c r="A1836">
        <v>102</v>
      </c>
      <c r="B1836" t="s">
        <v>650</v>
      </c>
      <c r="C1836">
        <v>170</v>
      </c>
      <c r="D1836" t="s">
        <v>142</v>
      </c>
      <c r="E1836" t="s">
        <v>11</v>
      </c>
      <c r="F1836">
        <v>6.5529999999999999</v>
      </c>
      <c r="G1836" t="s">
        <v>15</v>
      </c>
    </row>
    <row r="1837" spans="1:7" x14ac:dyDescent="0.25">
      <c r="A1837">
        <v>102</v>
      </c>
      <c r="B1837" t="s">
        <v>650</v>
      </c>
      <c r="C1837">
        <v>180</v>
      </c>
      <c r="D1837" t="s">
        <v>307</v>
      </c>
      <c r="E1837" t="s">
        <v>11</v>
      </c>
      <c r="F1837">
        <v>1</v>
      </c>
      <c r="G1837" t="s">
        <v>18</v>
      </c>
    </row>
    <row r="1838" spans="1:7" x14ac:dyDescent="0.25">
      <c r="A1838">
        <v>103</v>
      </c>
      <c r="B1838" t="s">
        <v>652</v>
      </c>
      <c r="C1838">
        <v>10</v>
      </c>
      <c r="D1838" t="s">
        <v>309</v>
      </c>
      <c r="E1838" t="s">
        <v>11</v>
      </c>
      <c r="F1838">
        <v>1</v>
      </c>
      <c r="G1838" t="s">
        <v>18</v>
      </c>
    </row>
    <row r="1839" spans="1:7" x14ac:dyDescent="0.25">
      <c r="A1839">
        <v>103</v>
      </c>
      <c r="B1839" t="s">
        <v>652</v>
      </c>
      <c r="C1839">
        <v>20</v>
      </c>
      <c r="D1839" t="s">
        <v>132</v>
      </c>
      <c r="E1839" t="s">
        <v>14</v>
      </c>
      <c r="F1839">
        <v>4.2720000000000002</v>
      </c>
      <c r="G1839" t="s">
        <v>15</v>
      </c>
    </row>
    <row r="1840" spans="1:7" x14ac:dyDescent="0.25">
      <c r="A1840">
        <v>103</v>
      </c>
      <c r="B1840" t="s">
        <v>652</v>
      </c>
      <c r="C1840">
        <v>30</v>
      </c>
      <c r="D1840" t="s">
        <v>102</v>
      </c>
      <c r="E1840" t="s">
        <v>103</v>
      </c>
      <c r="F1840">
        <v>1</v>
      </c>
      <c r="G1840" t="s">
        <v>15</v>
      </c>
    </row>
    <row r="1841" spans="1:7" x14ac:dyDescent="0.25">
      <c r="A1841">
        <v>103</v>
      </c>
      <c r="B1841" t="s">
        <v>652</v>
      </c>
      <c r="C1841">
        <v>40</v>
      </c>
      <c r="D1841" t="s">
        <v>597</v>
      </c>
      <c r="E1841" t="s">
        <v>11</v>
      </c>
      <c r="F1841">
        <v>2.0569999999999999</v>
      </c>
      <c r="G1841" t="s">
        <v>18</v>
      </c>
    </row>
    <row r="1842" spans="1:7" x14ac:dyDescent="0.25">
      <c r="A1842">
        <v>103</v>
      </c>
      <c r="B1842" t="s">
        <v>652</v>
      </c>
      <c r="C1842">
        <v>50</v>
      </c>
      <c r="D1842" t="s">
        <v>139</v>
      </c>
      <c r="E1842" t="s">
        <v>17</v>
      </c>
      <c r="F1842">
        <v>2.0569999999999999</v>
      </c>
      <c r="G1842" t="s">
        <v>18</v>
      </c>
    </row>
    <row r="1843" spans="1:7" x14ac:dyDescent="0.25">
      <c r="A1843">
        <v>103</v>
      </c>
      <c r="B1843" t="s">
        <v>652</v>
      </c>
      <c r="C1843">
        <v>60</v>
      </c>
      <c r="D1843" t="s">
        <v>653</v>
      </c>
      <c r="E1843" t="s">
        <v>11</v>
      </c>
      <c r="F1843">
        <v>1</v>
      </c>
      <c r="G1843" t="s">
        <v>18</v>
      </c>
    </row>
    <row r="1844" spans="1:7" x14ac:dyDescent="0.25">
      <c r="A1844">
        <v>103</v>
      </c>
      <c r="B1844" t="s">
        <v>652</v>
      </c>
      <c r="C1844">
        <v>70</v>
      </c>
      <c r="D1844" t="s">
        <v>599</v>
      </c>
      <c r="E1844" t="s">
        <v>17</v>
      </c>
      <c r="F1844">
        <v>20.574000000000002</v>
      </c>
      <c r="G1844" t="s">
        <v>15</v>
      </c>
    </row>
    <row r="1845" spans="1:7" x14ac:dyDescent="0.25">
      <c r="A1845">
        <v>103</v>
      </c>
      <c r="B1845" t="s">
        <v>652</v>
      </c>
      <c r="C1845">
        <v>80</v>
      </c>
      <c r="D1845" t="s">
        <v>20</v>
      </c>
      <c r="E1845" t="s">
        <v>17</v>
      </c>
      <c r="F1845">
        <v>168.70699999999999</v>
      </c>
      <c r="G1845" t="s">
        <v>15</v>
      </c>
    </row>
    <row r="1846" spans="1:7" x14ac:dyDescent="0.25">
      <c r="A1846">
        <v>103</v>
      </c>
      <c r="B1846" t="s">
        <v>652</v>
      </c>
      <c r="C1846">
        <v>90</v>
      </c>
      <c r="D1846" t="s">
        <v>24</v>
      </c>
      <c r="E1846" t="s">
        <v>11</v>
      </c>
      <c r="F1846">
        <v>1</v>
      </c>
      <c r="G1846" t="s">
        <v>15</v>
      </c>
    </row>
    <row r="1847" spans="1:7" x14ac:dyDescent="0.25">
      <c r="A1847">
        <v>103</v>
      </c>
      <c r="B1847" t="s">
        <v>652</v>
      </c>
      <c r="C1847">
        <v>100</v>
      </c>
      <c r="D1847" t="s">
        <v>141</v>
      </c>
      <c r="E1847" t="s">
        <v>14</v>
      </c>
      <c r="F1847">
        <v>0.112</v>
      </c>
      <c r="G1847" t="s">
        <v>15</v>
      </c>
    </row>
    <row r="1848" spans="1:7" x14ac:dyDescent="0.25">
      <c r="A1848">
        <v>103</v>
      </c>
      <c r="B1848" t="s">
        <v>652</v>
      </c>
      <c r="C1848">
        <v>110</v>
      </c>
      <c r="D1848" t="s">
        <v>140</v>
      </c>
      <c r="E1848" t="s">
        <v>11</v>
      </c>
      <c r="F1848">
        <v>4</v>
      </c>
      <c r="G1848" t="s">
        <v>15</v>
      </c>
    </row>
    <row r="1849" spans="1:7" x14ac:dyDescent="0.25">
      <c r="A1849">
        <v>103</v>
      </c>
      <c r="B1849" t="s">
        <v>652</v>
      </c>
      <c r="C1849">
        <v>120</v>
      </c>
      <c r="D1849" t="s">
        <v>25</v>
      </c>
      <c r="E1849" t="s">
        <v>11</v>
      </c>
      <c r="F1849">
        <v>1</v>
      </c>
      <c r="G1849" t="s">
        <v>15</v>
      </c>
    </row>
    <row r="1850" spans="1:7" x14ac:dyDescent="0.25">
      <c r="A1850">
        <v>103</v>
      </c>
      <c r="B1850" t="s">
        <v>652</v>
      </c>
      <c r="C1850">
        <v>130</v>
      </c>
      <c r="D1850" t="s">
        <v>26</v>
      </c>
      <c r="E1850" t="s">
        <v>11</v>
      </c>
      <c r="F1850">
        <v>1</v>
      </c>
      <c r="G1850" t="s">
        <v>15</v>
      </c>
    </row>
    <row r="1851" spans="1:7" x14ac:dyDescent="0.25">
      <c r="A1851">
        <v>103</v>
      </c>
      <c r="B1851" t="s">
        <v>652</v>
      </c>
      <c r="C1851">
        <v>140</v>
      </c>
      <c r="D1851" t="s">
        <v>100</v>
      </c>
      <c r="E1851" t="s">
        <v>14</v>
      </c>
      <c r="F1851">
        <v>1.216</v>
      </c>
      <c r="G1851" t="s">
        <v>15</v>
      </c>
    </row>
    <row r="1852" spans="1:7" x14ac:dyDescent="0.25">
      <c r="A1852">
        <v>103</v>
      </c>
      <c r="B1852" t="s">
        <v>652</v>
      </c>
      <c r="C1852">
        <v>150</v>
      </c>
      <c r="D1852" t="s">
        <v>311</v>
      </c>
      <c r="E1852" t="s">
        <v>11</v>
      </c>
      <c r="F1852">
        <v>1</v>
      </c>
      <c r="G1852" t="s">
        <v>18</v>
      </c>
    </row>
    <row r="1853" spans="1:7" x14ac:dyDescent="0.25">
      <c r="A1853">
        <v>103</v>
      </c>
      <c r="B1853" t="s">
        <v>652</v>
      </c>
      <c r="C1853">
        <v>160</v>
      </c>
      <c r="D1853" t="s">
        <v>312</v>
      </c>
      <c r="E1853" t="s">
        <v>11</v>
      </c>
      <c r="F1853">
        <v>1</v>
      </c>
      <c r="G1853" t="s">
        <v>18</v>
      </c>
    </row>
    <row r="1854" spans="1:7" x14ac:dyDescent="0.25">
      <c r="A1854">
        <v>103</v>
      </c>
      <c r="B1854" t="s">
        <v>652</v>
      </c>
      <c r="C1854">
        <v>170</v>
      </c>
      <c r="D1854" t="s">
        <v>142</v>
      </c>
      <c r="E1854" t="s">
        <v>11</v>
      </c>
      <c r="F1854">
        <v>6.8579999999999997</v>
      </c>
      <c r="G1854" t="s">
        <v>15</v>
      </c>
    </row>
    <row r="1855" spans="1:7" x14ac:dyDescent="0.25">
      <c r="A1855">
        <v>103</v>
      </c>
      <c r="B1855" t="s">
        <v>652</v>
      </c>
      <c r="C1855">
        <v>180</v>
      </c>
      <c r="D1855" t="s">
        <v>313</v>
      </c>
      <c r="E1855" t="s">
        <v>11</v>
      </c>
      <c r="F1855">
        <v>1</v>
      </c>
      <c r="G1855" t="s">
        <v>18</v>
      </c>
    </row>
    <row r="1856" spans="1:7" x14ac:dyDescent="0.25">
      <c r="A1856">
        <v>104</v>
      </c>
      <c r="B1856" t="s">
        <v>654</v>
      </c>
      <c r="C1856">
        <v>10</v>
      </c>
      <c r="D1856" t="s">
        <v>315</v>
      </c>
      <c r="E1856" t="s">
        <v>11</v>
      </c>
      <c r="F1856">
        <v>1</v>
      </c>
      <c r="G1856" t="s">
        <v>18</v>
      </c>
    </row>
    <row r="1857" spans="1:7" x14ac:dyDescent="0.25">
      <c r="A1857">
        <v>104</v>
      </c>
      <c r="B1857" t="s">
        <v>654</v>
      </c>
      <c r="C1857">
        <v>20</v>
      </c>
      <c r="D1857" t="s">
        <v>132</v>
      </c>
      <c r="E1857" t="s">
        <v>14</v>
      </c>
      <c r="F1857">
        <v>4.2720000000000002</v>
      </c>
      <c r="G1857" t="s">
        <v>15</v>
      </c>
    </row>
    <row r="1858" spans="1:7" x14ac:dyDescent="0.25">
      <c r="A1858">
        <v>104</v>
      </c>
      <c r="B1858" t="s">
        <v>654</v>
      </c>
      <c r="C1858">
        <v>30</v>
      </c>
      <c r="D1858" t="s">
        <v>102</v>
      </c>
      <c r="E1858" t="s">
        <v>103</v>
      </c>
      <c r="F1858">
        <v>1.06</v>
      </c>
      <c r="G1858" t="s">
        <v>15</v>
      </c>
    </row>
    <row r="1859" spans="1:7" x14ac:dyDescent="0.25">
      <c r="A1859">
        <v>104</v>
      </c>
      <c r="B1859" t="s">
        <v>654</v>
      </c>
      <c r="C1859">
        <v>40</v>
      </c>
      <c r="D1859" t="s">
        <v>597</v>
      </c>
      <c r="E1859" t="s">
        <v>11</v>
      </c>
      <c r="F1859">
        <v>2.0569999999999999</v>
      </c>
      <c r="G1859" t="s">
        <v>18</v>
      </c>
    </row>
    <row r="1860" spans="1:7" x14ac:dyDescent="0.25">
      <c r="A1860">
        <v>104</v>
      </c>
      <c r="B1860" t="s">
        <v>654</v>
      </c>
      <c r="C1860">
        <v>50</v>
      </c>
      <c r="D1860" t="s">
        <v>139</v>
      </c>
      <c r="E1860" t="s">
        <v>17</v>
      </c>
      <c r="F1860">
        <v>2.0569999999999999</v>
      </c>
      <c r="G1860" t="s">
        <v>18</v>
      </c>
    </row>
    <row r="1861" spans="1:7" x14ac:dyDescent="0.25">
      <c r="A1861">
        <v>104</v>
      </c>
      <c r="B1861" t="s">
        <v>654</v>
      </c>
      <c r="C1861">
        <v>60</v>
      </c>
      <c r="D1861" t="s">
        <v>655</v>
      </c>
      <c r="E1861" t="s">
        <v>11</v>
      </c>
      <c r="F1861">
        <v>1</v>
      </c>
      <c r="G1861" t="s">
        <v>18</v>
      </c>
    </row>
    <row r="1862" spans="1:7" x14ac:dyDescent="0.25">
      <c r="A1862">
        <v>104</v>
      </c>
      <c r="B1862" t="s">
        <v>654</v>
      </c>
      <c r="C1862">
        <v>70</v>
      </c>
      <c r="D1862" t="s">
        <v>599</v>
      </c>
      <c r="E1862" t="s">
        <v>17</v>
      </c>
      <c r="F1862">
        <v>21.030999999999999</v>
      </c>
      <c r="G1862" t="s">
        <v>15</v>
      </c>
    </row>
    <row r="1863" spans="1:7" x14ac:dyDescent="0.25">
      <c r="A1863">
        <v>104</v>
      </c>
      <c r="B1863" t="s">
        <v>654</v>
      </c>
      <c r="C1863">
        <v>80</v>
      </c>
      <c r="D1863" t="s">
        <v>20</v>
      </c>
      <c r="E1863" t="s">
        <v>17</v>
      </c>
      <c r="F1863">
        <v>172.45599999999999</v>
      </c>
      <c r="G1863" t="s">
        <v>15</v>
      </c>
    </row>
    <row r="1864" spans="1:7" x14ac:dyDescent="0.25">
      <c r="A1864">
        <v>104</v>
      </c>
      <c r="B1864" t="s">
        <v>654</v>
      </c>
      <c r="C1864">
        <v>90</v>
      </c>
      <c r="D1864" t="s">
        <v>24</v>
      </c>
      <c r="E1864" t="s">
        <v>11</v>
      </c>
      <c r="F1864">
        <v>1</v>
      </c>
      <c r="G1864" t="s">
        <v>15</v>
      </c>
    </row>
    <row r="1865" spans="1:7" x14ac:dyDescent="0.25">
      <c r="A1865">
        <v>104</v>
      </c>
      <c r="B1865" t="s">
        <v>654</v>
      </c>
      <c r="C1865">
        <v>100</v>
      </c>
      <c r="D1865" t="s">
        <v>141</v>
      </c>
      <c r="E1865" t="s">
        <v>14</v>
      </c>
      <c r="F1865">
        <v>0.11700000000000001</v>
      </c>
      <c r="G1865" t="s">
        <v>15</v>
      </c>
    </row>
    <row r="1866" spans="1:7" x14ac:dyDescent="0.25">
      <c r="A1866">
        <v>104</v>
      </c>
      <c r="B1866" t="s">
        <v>654</v>
      </c>
      <c r="C1866">
        <v>110</v>
      </c>
      <c r="D1866" t="s">
        <v>140</v>
      </c>
      <c r="E1866" t="s">
        <v>11</v>
      </c>
      <c r="F1866">
        <v>4</v>
      </c>
      <c r="G1866" t="s">
        <v>15</v>
      </c>
    </row>
    <row r="1867" spans="1:7" x14ac:dyDescent="0.25">
      <c r="A1867">
        <v>104</v>
      </c>
      <c r="B1867" t="s">
        <v>654</v>
      </c>
      <c r="C1867">
        <v>120</v>
      </c>
      <c r="D1867" t="s">
        <v>25</v>
      </c>
      <c r="E1867" t="s">
        <v>11</v>
      </c>
      <c r="F1867">
        <v>1</v>
      </c>
      <c r="G1867" t="s">
        <v>15</v>
      </c>
    </row>
    <row r="1868" spans="1:7" x14ac:dyDescent="0.25">
      <c r="A1868">
        <v>104</v>
      </c>
      <c r="B1868" t="s">
        <v>654</v>
      </c>
      <c r="C1868">
        <v>130</v>
      </c>
      <c r="D1868" t="s">
        <v>26</v>
      </c>
      <c r="E1868" t="s">
        <v>11</v>
      </c>
      <c r="F1868">
        <v>1</v>
      </c>
      <c r="G1868" t="s">
        <v>15</v>
      </c>
    </row>
    <row r="1869" spans="1:7" x14ac:dyDescent="0.25">
      <c r="A1869">
        <v>104</v>
      </c>
      <c r="B1869" t="s">
        <v>654</v>
      </c>
      <c r="C1869">
        <v>140</v>
      </c>
      <c r="D1869" t="s">
        <v>100</v>
      </c>
      <c r="E1869" t="s">
        <v>14</v>
      </c>
      <c r="F1869">
        <v>1.216</v>
      </c>
      <c r="G1869" t="s">
        <v>15</v>
      </c>
    </row>
    <row r="1870" spans="1:7" x14ac:dyDescent="0.25">
      <c r="A1870">
        <v>104</v>
      </c>
      <c r="B1870" t="s">
        <v>654</v>
      </c>
      <c r="C1870">
        <v>150</v>
      </c>
      <c r="D1870" t="s">
        <v>317</v>
      </c>
      <c r="E1870" t="s">
        <v>11</v>
      </c>
      <c r="F1870">
        <v>1</v>
      </c>
      <c r="G1870" t="s">
        <v>18</v>
      </c>
    </row>
    <row r="1871" spans="1:7" x14ac:dyDescent="0.25">
      <c r="A1871">
        <v>104</v>
      </c>
      <c r="B1871" t="s">
        <v>654</v>
      </c>
      <c r="C1871">
        <v>160</v>
      </c>
      <c r="D1871" t="s">
        <v>318</v>
      </c>
      <c r="E1871" t="s">
        <v>11</v>
      </c>
      <c r="F1871">
        <v>1</v>
      </c>
      <c r="G1871" t="s">
        <v>18</v>
      </c>
    </row>
    <row r="1872" spans="1:7" x14ac:dyDescent="0.25">
      <c r="A1872">
        <v>104</v>
      </c>
      <c r="B1872" t="s">
        <v>654</v>
      </c>
      <c r="C1872">
        <v>170</v>
      </c>
      <c r="D1872" t="s">
        <v>142</v>
      </c>
      <c r="E1872" t="s">
        <v>11</v>
      </c>
      <c r="F1872">
        <v>7.01</v>
      </c>
      <c r="G1872" t="s">
        <v>15</v>
      </c>
    </row>
    <row r="1873" spans="1:7" x14ac:dyDescent="0.25">
      <c r="A1873">
        <v>104</v>
      </c>
      <c r="B1873" t="s">
        <v>654</v>
      </c>
      <c r="C1873">
        <v>180</v>
      </c>
      <c r="D1873" t="s">
        <v>319</v>
      </c>
      <c r="E1873" t="s">
        <v>11</v>
      </c>
      <c r="F1873">
        <v>1</v>
      </c>
      <c r="G1873" t="s">
        <v>18</v>
      </c>
    </row>
    <row r="1874" spans="1:7" x14ac:dyDescent="0.25">
      <c r="A1874">
        <v>105</v>
      </c>
      <c r="B1874" t="s">
        <v>656</v>
      </c>
      <c r="C1874">
        <v>10</v>
      </c>
      <c r="D1874" t="s">
        <v>321</v>
      </c>
      <c r="E1874" t="s">
        <v>11</v>
      </c>
      <c r="F1874">
        <v>1</v>
      </c>
      <c r="G1874" t="s">
        <v>18</v>
      </c>
    </row>
    <row r="1875" spans="1:7" x14ac:dyDescent="0.25">
      <c r="A1875">
        <v>105</v>
      </c>
      <c r="B1875" t="s">
        <v>656</v>
      </c>
      <c r="C1875">
        <v>20</v>
      </c>
      <c r="D1875" t="s">
        <v>132</v>
      </c>
      <c r="E1875" t="s">
        <v>14</v>
      </c>
      <c r="F1875">
        <v>4.2720000000000002</v>
      </c>
      <c r="G1875" t="s">
        <v>15</v>
      </c>
    </row>
    <row r="1876" spans="1:7" x14ac:dyDescent="0.25">
      <c r="A1876">
        <v>105</v>
      </c>
      <c r="B1876" t="s">
        <v>656</v>
      </c>
      <c r="C1876">
        <v>30</v>
      </c>
      <c r="D1876" t="s">
        <v>102</v>
      </c>
      <c r="E1876" t="s">
        <v>103</v>
      </c>
      <c r="F1876">
        <v>1.1200000000000001</v>
      </c>
      <c r="G1876" t="s">
        <v>15</v>
      </c>
    </row>
    <row r="1877" spans="1:7" x14ac:dyDescent="0.25">
      <c r="A1877">
        <v>105</v>
      </c>
      <c r="B1877" t="s">
        <v>656</v>
      </c>
      <c r="C1877">
        <v>40</v>
      </c>
      <c r="D1877" t="s">
        <v>597</v>
      </c>
      <c r="E1877" t="s">
        <v>11</v>
      </c>
      <c r="F1877">
        <v>2.0569999999999999</v>
      </c>
      <c r="G1877" t="s">
        <v>18</v>
      </c>
    </row>
    <row r="1878" spans="1:7" x14ac:dyDescent="0.25">
      <c r="A1878">
        <v>105</v>
      </c>
      <c r="B1878" t="s">
        <v>656</v>
      </c>
      <c r="C1878">
        <v>50</v>
      </c>
      <c r="D1878" t="s">
        <v>139</v>
      </c>
      <c r="E1878" t="s">
        <v>17</v>
      </c>
      <c r="F1878">
        <v>2.0569999999999999</v>
      </c>
      <c r="G1878" t="s">
        <v>18</v>
      </c>
    </row>
    <row r="1879" spans="1:7" x14ac:dyDescent="0.25">
      <c r="A1879">
        <v>105</v>
      </c>
      <c r="B1879" t="s">
        <v>656</v>
      </c>
      <c r="C1879">
        <v>60</v>
      </c>
      <c r="D1879" t="s">
        <v>657</v>
      </c>
      <c r="E1879" t="s">
        <v>11</v>
      </c>
      <c r="F1879">
        <v>1</v>
      </c>
      <c r="G1879" t="s">
        <v>18</v>
      </c>
    </row>
    <row r="1880" spans="1:7" x14ac:dyDescent="0.25">
      <c r="A1880">
        <v>105</v>
      </c>
      <c r="B1880" t="s">
        <v>656</v>
      </c>
      <c r="C1880">
        <v>70</v>
      </c>
      <c r="D1880" t="s">
        <v>599</v>
      </c>
      <c r="E1880" t="s">
        <v>17</v>
      </c>
      <c r="F1880">
        <v>21.488</v>
      </c>
      <c r="G1880" t="s">
        <v>15</v>
      </c>
    </row>
    <row r="1881" spans="1:7" x14ac:dyDescent="0.25">
      <c r="A1881">
        <v>105</v>
      </c>
      <c r="B1881" t="s">
        <v>656</v>
      </c>
      <c r="C1881">
        <v>80</v>
      </c>
      <c r="D1881" t="s">
        <v>20</v>
      </c>
      <c r="E1881" t="s">
        <v>17</v>
      </c>
      <c r="F1881">
        <v>176.20500000000001</v>
      </c>
      <c r="G1881" t="s">
        <v>15</v>
      </c>
    </row>
    <row r="1882" spans="1:7" x14ac:dyDescent="0.25">
      <c r="A1882">
        <v>105</v>
      </c>
      <c r="B1882" t="s">
        <v>656</v>
      </c>
      <c r="C1882">
        <v>90</v>
      </c>
      <c r="D1882" t="s">
        <v>24</v>
      </c>
      <c r="E1882" t="s">
        <v>11</v>
      </c>
      <c r="F1882">
        <v>1</v>
      </c>
      <c r="G1882" t="s">
        <v>15</v>
      </c>
    </row>
    <row r="1883" spans="1:7" x14ac:dyDescent="0.25">
      <c r="A1883">
        <v>105</v>
      </c>
      <c r="B1883" t="s">
        <v>656</v>
      </c>
      <c r="C1883">
        <v>100</v>
      </c>
      <c r="D1883" t="s">
        <v>141</v>
      </c>
      <c r="E1883" t="s">
        <v>14</v>
      </c>
      <c r="F1883">
        <v>0.123</v>
      </c>
      <c r="G1883" t="s">
        <v>15</v>
      </c>
    </row>
    <row r="1884" spans="1:7" x14ac:dyDescent="0.25">
      <c r="A1884">
        <v>105</v>
      </c>
      <c r="B1884" t="s">
        <v>656</v>
      </c>
      <c r="C1884">
        <v>110</v>
      </c>
      <c r="D1884" t="s">
        <v>140</v>
      </c>
      <c r="E1884" t="s">
        <v>11</v>
      </c>
      <c r="F1884">
        <v>4</v>
      </c>
      <c r="G1884" t="s">
        <v>15</v>
      </c>
    </row>
    <row r="1885" spans="1:7" x14ac:dyDescent="0.25">
      <c r="A1885">
        <v>105</v>
      </c>
      <c r="B1885" t="s">
        <v>656</v>
      </c>
      <c r="C1885">
        <v>120</v>
      </c>
      <c r="D1885" t="s">
        <v>25</v>
      </c>
      <c r="E1885" t="s">
        <v>11</v>
      </c>
      <c r="F1885">
        <v>1</v>
      </c>
      <c r="G1885" t="s">
        <v>15</v>
      </c>
    </row>
    <row r="1886" spans="1:7" x14ac:dyDescent="0.25">
      <c r="A1886">
        <v>105</v>
      </c>
      <c r="B1886" t="s">
        <v>656</v>
      </c>
      <c r="C1886">
        <v>130</v>
      </c>
      <c r="D1886" t="s">
        <v>26</v>
      </c>
      <c r="E1886" t="s">
        <v>11</v>
      </c>
      <c r="F1886">
        <v>1</v>
      </c>
      <c r="G1886" t="s">
        <v>15</v>
      </c>
    </row>
    <row r="1887" spans="1:7" x14ac:dyDescent="0.25">
      <c r="A1887">
        <v>105</v>
      </c>
      <c r="B1887" t="s">
        <v>656</v>
      </c>
      <c r="C1887">
        <v>140</v>
      </c>
      <c r="D1887" t="s">
        <v>100</v>
      </c>
      <c r="E1887" t="s">
        <v>14</v>
      </c>
      <c r="F1887">
        <v>1.216</v>
      </c>
      <c r="G1887" t="s">
        <v>15</v>
      </c>
    </row>
    <row r="1888" spans="1:7" x14ac:dyDescent="0.25">
      <c r="A1888">
        <v>105</v>
      </c>
      <c r="B1888" t="s">
        <v>656</v>
      </c>
      <c r="C1888">
        <v>150</v>
      </c>
      <c r="D1888" t="s">
        <v>323</v>
      </c>
      <c r="E1888" t="s">
        <v>11</v>
      </c>
      <c r="F1888">
        <v>1</v>
      </c>
      <c r="G1888" t="s">
        <v>18</v>
      </c>
    </row>
    <row r="1889" spans="1:7" x14ac:dyDescent="0.25">
      <c r="A1889">
        <v>105</v>
      </c>
      <c r="B1889" t="s">
        <v>656</v>
      </c>
      <c r="C1889">
        <v>160</v>
      </c>
      <c r="D1889" t="s">
        <v>324</v>
      </c>
      <c r="E1889" t="s">
        <v>11</v>
      </c>
      <c r="F1889">
        <v>1</v>
      </c>
      <c r="G1889" t="s">
        <v>18</v>
      </c>
    </row>
    <row r="1890" spans="1:7" x14ac:dyDescent="0.25">
      <c r="A1890">
        <v>105</v>
      </c>
      <c r="B1890" t="s">
        <v>656</v>
      </c>
      <c r="C1890">
        <v>170</v>
      </c>
      <c r="D1890" t="s">
        <v>142</v>
      </c>
      <c r="E1890" t="s">
        <v>11</v>
      </c>
      <c r="F1890">
        <v>7.1630000000000003</v>
      </c>
      <c r="G1890" t="s">
        <v>15</v>
      </c>
    </row>
    <row r="1891" spans="1:7" x14ac:dyDescent="0.25">
      <c r="A1891">
        <v>105</v>
      </c>
      <c r="B1891" t="s">
        <v>656</v>
      </c>
      <c r="C1891">
        <v>180</v>
      </c>
      <c r="D1891" t="s">
        <v>325</v>
      </c>
      <c r="E1891" t="s">
        <v>11</v>
      </c>
      <c r="F1891">
        <v>1</v>
      </c>
      <c r="G1891" t="s">
        <v>18</v>
      </c>
    </row>
    <row r="1892" spans="1:7" x14ac:dyDescent="0.25">
      <c r="A1892">
        <v>106</v>
      </c>
      <c r="B1892" t="s">
        <v>658</v>
      </c>
      <c r="C1892">
        <v>10</v>
      </c>
      <c r="D1892" t="s">
        <v>327</v>
      </c>
      <c r="E1892" t="s">
        <v>11</v>
      </c>
      <c r="F1892">
        <v>1</v>
      </c>
      <c r="G1892" t="s">
        <v>18</v>
      </c>
    </row>
    <row r="1893" spans="1:7" x14ac:dyDescent="0.25">
      <c r="A1893">
        <v>106</v>
      </c>
      <c r="B1893" t="s">
        <v>658</v>
      </c>
      <c r="C1893">
        <v>20</v>
      </c>
      <c r="D1893" t="s">
        <v>132</v>
      </c>
      <c r="E1893" t="s">
        <v>14</v>
      </c>
      <c r="F1893">
        <v>4.7030000000000003</v>
      </c>
      <c r="G1893" t="s">
        <v>15</v>
      </c>
    </row>
    <row r="1894" spans="1:7" x14ac:dyDescent="0.25">
      <c r="A1894">
        <v>106</v>
      </c>
      <c r="B1894" t="s">
        <v>658</v>
      </c>
      <c r="C1894">
        <v>30</v>
      </c>
      <c r="D1894" t="s">
        <v>102</v>
      </c>
      <c r="E1894" t="s">
        <v>103</v>
      </c>
      <c r="F1894">
        <v>1.24</v>
      </c>
      <c r="G1894" t="s">
        <v>15</v>
      </c>
    </row>
    <row r="1895" spans="1:7" x14ac:dyDescent="0.25">
      <c r="A1895">
        <v>106</v>
      </c>
      <c r="B1895" t="s">
        <v>658</v>
      </c>
      <c r="C1895">
        <v>40</v>
      </c>
      <c r="D1895" t="s">
        <v>597</v>
      </c>
      <c r="E1895" t="s">
        <v>11</v>
      </c>
      <c r="F1895">
        <v>2.0569999999999999</v>
      </c>
      <c r="G1895" t="s">
        <v>18</v>
      </c>
    </row>
    <row r="1896" spans="1:7" x14ac:dyDescent="0.25">
      <c r="A1896">
        <v>106</v>
      </c>
      <c r="B1896" t="s">
        <v>658</v>
      </c>
      <c r="C1896">
        <v>50</v>
      </c>
      <c r="D1896" t="s">
        <v>139</v>
      </c>
      <c r="E1896" t="s">
        <v>17</v>
      </c>
      <c r="F1896">
        <v>2.0569999999999999</v>
      </c>
      <c r="G1896" t="s">
        <v>18</v>
      </c>
    </row>
    <row r="1897" spans="1:7" x14ac:dyDescent="0.25">
      <c r="A1897">
        <v>106</v>
      </c>
      <c r="B1897" t="s">
        <v>658</v>
      </c>
      <c r="C1897">
        <v>60</v>
      </c>
      <c r="D1897" t="s">
        <v>659</v>
      </c>
      <c r="E1897" t="s">
        <v>11</v>
      </c>
      <c r="F1897">
        <v>1</v>
      </c>
      <c r="G1897" t="s">
        <v>18</v>
      </c>
    </row>
    <row r="1898" spans="1:7" x14ac:dyDescent="0.25">
      <c r="A1898">
        <v>106</v>
      </c>
      <c r="B1898" t="s">
        <v>658</v>
      </c>
      <c r="C1898">
        <v>70</v>
      </c>
      <c r="D1898" t="s">
        <v>599</v>
      </c>
      <c r="E1898" t="s">
        <v>17</v>
      </c>
      <c r="F1898">
        <v>22.402999999999999</v>
      </c>
      <c r="G1898" t="s">
        <v>15</v>
      </c>
    </row>
    <row r="1899" spans="1:7" x14ac:dyDescent="0.25">
      <c r="A1899">
        <v>106</v>
      </c>
      <c r="B1899" t="s">
        <v>658</v>
      </c>
      <c r="C1899">
        <v>80</v>
      </c>
      <c r="D1899" t="s">
        <v>20</v>
      </c>
      <c r="E1899" t="s">
        <v>17</v>
      </c>
      <c r="F1899">
        <v>183.703</v>
      </c>
      <c r="G1899" t="s">
        <v>15</v>
      </c>
    </row>
    <row r="1900" spans="1:7" x14ac:dyDescent="0.25">
      <c r="A1900">
        <v>106</v>
      </c>
      <c r="B1900" t="s">
        <v>658</v>
      </c>
      <c r="C1900">
        <v>90</v>
      </c>
      <c r="D1900" t="s">
        <v>24</v>
      </c>
      <c r="E1900" t="s">
        <v>11</v>
      </c>
      <c r="F1900">
        <v>1</v>
      </c>
      <c r="G1900" t="s">
        <v>15</v>
      </c>
    </row>
    <row r="1901" spans="1:7" x14ac:dyDescent="0.25">
      <c r="A1901">
        <v>106</v>
      </c>
      <c r="B1901" t="s">
        <v>658</v>
      </c>
      <c r="C1901">
        <v>100</v>
      </c>
      <c r="D1901" t="s">
        <v>141</v>
      </c>
      <c r="E1901" t="s">
        <v>14</v>
      </c>
      <c r="F1901">
        <v>0.13300000000000001</v>
      </c>
      <c r="G1901" t="s">
        <v>15</v>
      </c>
    </row>
    <row r="1902" spans="1:7" x14ac:dyDescent="0.25">
      <c r="A1902">
        <v>106</v>
      </c>
      <c r="B1902" t="s">
        <v>658</v>
      </c>
      <c r="C1902">
        <v>110</v>
      </c>
      <c r="D1902" t="s">
        <v>140</v>
      </c>
      <c r="E1902" t="s">
        <v>11</v>
      </c>
      <c r="F1902">
        <v>4</v>
      </c>
      <c r="G1902" t="s">
        <v>15</v>
      </c>
    </row>
    <row r="1903" spans="1:7" x14ac:dyDescent="0.25">
      <c r="A1903">
        <v>106</v>
      </c>
      <c r="B1903" t="s">
        <v>658</v>
      </c>
      <c r="C1903">
        <v>120</v>
      </c>
      <c r="D1903" t="s">
        <v>25</v>
      </c>
      <c r="E1903" t="s">
        <v>11</v>
      </c>
      <c r="F1903">
        <v>1</v>
      </c>
      <c r="G1903" t="s">
        <v>15</v>
      </c>
    </row>
    <row r="1904" spans="1:7" x14ac:dyDescent="0.25">
      <c r="A1904">
        <v>106</v>
      </c>
      <c r="B1904" t="s">
        <v>658</v>
      </c>
      <c r="C1904">
        <v>130</v>
      </c>
      <c r="D1904" t="s">
        <v>26</v>
      </c>
      <c r="E1904" t="s">
        <v>11</v>
      </c>
      <c r="F1904">
        <v>1</v>
      </c>
      <c r="G1904" t="s">
        <v>15</v>
      </c>
    </row>
    <row r="1905" spans="1:7" x14ac:dyDescent="0.25">
      <c r="A1905">
        <v>106</v>
      </c>
      <c r="B1905" t="s">
        <v>658</v>
      </c>
      <c r="C1905">
        <v>140</v>
      </c>
      <c r="D1905" t="s">
        <v>100</v>
      </c>
      <c r="E1905" t="s">
        <v>14</v>
      </c>
      <c r="F1905">
        <v>1.216</v>
      </c>
      <c r="G1905" t="s">
        <v>15</v>
      </c>
    </row>
    <row r="1906" spans="1:7" x14ac:dyDescent="0.25">
      <c r="A1906">
        <v>106</v>
      </c>
      <c r="B1906" t="s">
        <v>658</v>
      </c>
      <c r="C1906">
        <v>150</v>
      </c>
      <c r="D1906" t="s">
        <v>329</v>
      </c>
      <c r="E1906" t="s">
        <v>11</v>
      </c>
      <c r="F1906">
        <v>1</v>
      </c>
      <c r="G1906" t="s">
        <v>18</v>
      </c>
    </row>
    <row r="1907" spans="1:7" x14ac:dyDescent="0.25">
      <c r="A1907">
        <v>106</v>
      </c>
      <c r="B1907" t="s">
        <v>658</v>
      </c>
      <c r="C1907">
        <v>160</v>
      </c>
      <c r="D1907" t="s">
        <v>330</v>
      </c>
      <c r="E1907" t="s">
        <v>11</v>
      </c>
      <c r="F1907">
        <v>1</v>
      </c>
      <c r="G1907" t="s">
        <v>18</v>
      </c>
    </row>
    <row r="1908" spans="1:7" x14ac:dyDescent="0.25">
      <c r="A1908">
        <v>106</v>
      </c>
      <c r="B1908" t="s">
        <v>658</v>
      </c>
      <c r="C1908">
        <v>170</v>
      </c>
      <c r="D1908" t="s">
        <v>142</v>
      </c>
      <c r="E1908" t="s">
        <v>11</v>
      </c>
      <c r="F1908">
        <v>7.468</v>
      </c>
      <c r="G1908" t="s">
        <v>15</v>
      </c>
    </row>
    <row r="1909" spans="1:7" x14ac:dyDescent="0.25">
      <c r="A1909">
        <v>106</v>
      </c>
      <c r="B1909" t="s">
        <v>658</v>
      </c>
      <c r="C1909">
        <v>180</v>
      </c>
      <c r="D1909" t="s">
        <v>331</v>
      </c>
      <c r="E1909" t="s">
        <v>11</v>
      </c>
      <c r="F1909">
        <v>1</v>
      </c>
      <c r="G1909" t="s">
        <v>18</v>
      </c>
    </row>
    <row r="1910" spans="1:7" x14ac:dyDescent="0.25">
      <c r="A1910">
        <v>107</v>
      </c>
      <c r="B1910" t="s">
        <v>660</v>
      </c>
      <c r="C1910">
        <v>10</v>
      </c>
      <c r="D1910" t="s">
        <v>333</v>
      </c>
      <c r="E1910" t="s">
        <v>11</v>
      </c>
      <c r="F1910">
        <v>1</v>
      </c>
      <c r="G1910" t="s">
        <v>18</v>
      </c>
    </row>
    <row r="1911" spans="1:7" x14ac:dyDescent="0.25">
      <c r="A1911">
        <v>107</v>
      </c>
      <c r="B1911" t="s">
        <v>660</v>
      </c>
      <c r="C1911">
        <v>20</v>
      </c>
      <c r="D1911" t="s">
        <v>132</v>
      </c>
      <c r="E1911" t="s">
        <v>14</v>
      </c>
      <c r="F1911">
        <v>5.1340000000000003</v>
      </c>
      <c r="G1911" t="s">
        <v>15</v>
      </c>
    </row>
    <row r="1912" spans="1:7" x14ac:dyDescent="0.25">
      <c r="A1912">
        <v>107</v>
      </c>
      <c r="B1912" t="s">
        <v>660</v>
      </c>
      <c r="C1912">
        <v>30</v>
      </c>
      <c r="D1912" t="s">
        <v>102</v>
      </c>
      <c r="E1912" t="s">
        <v>103</v>
      </c>
      <c r="F1912">
        <v>1.36</v>
      </c>
      <c r="G1912" t="s">
        <v>15</v>
      </c>
    </row>
    <row r="1913" spans="1:7" x14ac:dyDescent="0.25">
      <c r="A1913">
        <v>107</v>
      </c>
      <c r="B1913" t="s">
        <v>660</v>
      </c>
      <c r="C1913">
        <v>40</v>
      </c>
      <c r="D1913" t="s">
        <v>597</v>
      </c>
      <c r="E1913" t="s">
        <v>11</v>
      </c>
      <c r="F1913">
        <v>2.0569999999999999</v>
      </c>
      <c r="G1913" t="s">
        <v>18</v>
      </c>
    </row>
    <row r="1914" spans="1:7" x14ac:dyDescent="0.25">
      <c r="A1914">
        <v>107</v>
      </c>
      <c r="B1914" t="s">
        <v>660</v>
      </c>
      <c r="C1914">
        <v>50</v>
      </c>
      <c r="D1914" t="s">
        <v>139</v>
      </c>
      <c r="E1914" t="s">
        <v>17</v>
      </c>
      <c r="F1914">
        <v>2.0569999999999999</v>
      </c>
      <c r="G1914" t="s">
        <v>18</v>
      </c>
    </row>
    <row r="1915" spans="1:7" x14ac:dyDescent="0.25">
      <c r="A1915">
        <v>107</v>
      </c>
      <c r="B1915" t="s">
        <v>660</v>
      </c>
      <c r="C1915">
        <v>60</v>
      </c>
      <c r="D1915" t="s">
        <v>661</v>
      </c>
      <c r="E1915" t="s">
        <v>11</v>
      </c>
      <c r="F1915">
        <v>1</v>
      </c>
      <c r="G1915" t="s">
        <v>18</v>
      </c>
    </row>
    <row r="1916" spans="1:7" x14ac:dyDescent="0.25">
      <c r="A1916">
        <v>107</v>
      </c>
      <c r="B1916" t="s">
        <v>660</v>
      </c>
      <c r="C1916">
        <v>70</v>
      </c>
      <c r="D1916" t="s">
        <v>599</v>
      </c>
      <c r="E1916" t="s">
        <v>17</v>
      </c>
      <c r="F1916">
        <v>23.317</v>
      </c>
      <c r="G1916" t="s">
        <v>15</v>
      </c>
    </row>
    <row r="1917" spans="1:7" x14ac:dyDescent="0.25">
      <c r="A1917">
        <v>107</v>
      </c>
      <c r="B1917" t="s">
        <v>660</v>
      </c>
      <c r="C1917">
        <v>80</v>
      </c>
      <c r="D1917" t="s">
        <v>20</v>
      </c>
      <c r="E1917" t="s">
        <v>17</v>
      </c>
      <c r="F1917">
        <v>191.20099999999999</v>
      </c>
      <c r="G1917" t="s">
        <v>15</v>
      </c>
    </row>
    <row r="1918" spans="1:7" x14ac:dyDescent="0.25">
      <c r="A1918">
        <v>107</v>
      </c>
      <c r="B1918" t="s">
        <v>660</v>
      </c>
      <c r="C1918">
        <v>90</v>
      </c>
      <c r="D1918" t="s">
        <v>24</v>
      </c>
      <c r="E1918" t="s">
        <v>11</v>
      </c>
      <c r="F1918">
        <v>1</v>
      </c>
      <c r="G1918" t="s">
        <v>15</v>
      </c>
    </row>
    <row r="1919" spans="1:7" x14ac:dyDescent="0.25">
      <c r="A1919">
        <v>107</v>
      </c>
      <c r="B1919" t="s">
        <v>660</v>
      </c>
      <c r="C1919">
        <v>100</v>
      </c>
      <c r="D1919" t="s">
        <v>141</v>
      </c>
      <c r="E1919" t="s">
        <v>14</v>
      </c>
      <c r="F1919">
        <v>0.14299999999999999</v>
      </c>
      <c r="G1919" t="s">
        <v>15</v>
      </c>
    </row>
    <row r="1920" spans="1:7" x14ac:dyDescent="0.25">
      <c r="A1920">
        <v>107</v>
      </c>
      <c r="B1920" t="s">
        <v>660</v>
      </c>
      <c r="C1920">
        <v>110</v>
      </c>
      <c r="D1920" t="s">
        <v>140</v>
      </c>
      <c r="E1920" t="s">
        <v>11</v>
      </c>
      <c r="F1920">
        <v>4</v>
      </c>
      <c r="G1920" t="s">
        <v>15</v>
      </c>
    </row>
    <row r="1921" spans="1:7" x14ac:dyDescent="0.25">
      <c r="A1921">
        <v>107</v>
      </c>
      <c r="B1921" t="s">
        <v>660</v>
      </c>
      <c r="C1921">
        <v>120</v>
      </c>
      <c r="D1921" t="s">
        <v>25</v>
      </c>
      <c r="E1921" t="s">
        <v>11</v>
      </c>
      <c r="F1921">
        <v>1</v>
      </c>
      <c r="G1921" t="s">
        <v>15</v>
      </c>
    </row>
    <row r="1922" spans="1:7" x14ac:dyDescent="0.25">
      <c r="A1922">
        <v>107</v>
      </c>
      <c r="B1922" t="s">
        <v>660</v>
      </c>
      <c r="C1922">
        <v>130</v>
      </c>
      <c r="D1922" t="s">
        <v>26</v>
      </c>
      <c r="E1922" t="s">
        <v>11</v>
      </c>
      <c r="F1922">
        <v>1</v>
      </c>
      <c r="G1922" t="s">
        <v>15</v>
      </c>
    </row>
    <row r="1923" spans="1:7" x14ac:dyDescent="0.25">
      <c r="A1923">
        <v>107</v>
      </c>
      <c r="B1923" t="s">
        <v>660</v>
      </c>
      <c r="C1923">
        <v>140</v>
      </c>
      <c r="D1923" t="s">
        <v>100</v>
      </c>
      <c r="E1923" t="s">
        <v>14</v>
      </c>
      <c r="F1923">
        <v>1.216</v>
      </c>
      <c r="G1923" t="s">
        <v>15</v>
      </c>
    </row>
    <row r="1924" spans="1:7" x14ac:dyDescent="0.25">
      <c r="A1924">
        <v>107</v>
      </c>
      <c r="B1924" t="s">
        <v>660</v>
      </c>
      <c r="C1924">
        <v>150</v>
      </c>
      <c r="D1924" t="s">
        <v>335</v>
      </c>
      <c r="E1924" t="s">
        <v>11</v>
      </c>
      <c r="F1924">
        <v>1</v>
      </c>
      <c r="G1924" t="s">
        <v>18</v>
      </c>
    </row>
    <row r="1925" spans="1:7" x14ac:dyDescent="0.25">
      <c r="A1925">
        <v>107</v>
      </c>
      <c r="B1925" t="s">
        <v>660</v>
      </c>
      <c r="C1925">
        <v>160</v>
      </c>
      <c r="D1925" t="s">
        <v>336</v>
      </c>
      <c r="E1925" t="s">
        <v>11</v>
      </c>
      <c r="F1925">
        <v>1</v>
      </c>
      <c r="G1925" t="s">
        <v>18</v>
      </c>
    </row>
    <row r="1926" spans="1:7" x14ac:dyDescent="0.25">
      <c r="A1926">
        <v>107</v>
      </c>
      <c r="B1926" t="s">
        <v>660</v>
      </c>
      <c r="C1926">
        <v>170</v>
      </c>
      <c r="D1926" t="s">
        <v>142</v>
      </c>
      <c r="E1926" t="s">
        <v>11</v>
      </c>
      <c r="F1926">
        <v>7.7720000000000002</v>
      </c>
      <c r="G1926" t="s">
        <v>15</v>
      </c>
    </row>
    <row r="1927" spans="1:7" x14ac:dyDescent="0.25">
      <c r="A1927">
        <v>107</v>
      </c>
      <c r="B1927" t="s">
        <v>660</v>
      </c>
      <c r="C1927">
        <v>180</v>
      </c>
      <c r="D1927" t="s">
        <v>337</v>
      </c>
      <c r="E1927" t="s">
        <v>11</v>
      </c>
      <c r="F1927">
        <v>1</v>
      </c>
      <c r="G1927" t="s">
        <v>18</v>
      </c>
    </row>
    <row r="1928" spans="1:7" x14ac:dyDescent="0.25">
      <c r="A1928">
        <v>108</v>
      </c>
      <c r="B1928" t="s">
        <v>662</v>
      </c>
      <c r="C1928">
        <v>10</v>
      </c>
      <c r="D1928" t="s">
        <v>339</v>
      </c>
      <c r="E1928" t="s">
        <v>11</v>
      </c>
      <c r="F1928">
        <v>1</v>
      </c>
      <c r="G1928" t="s">
        <v>18</v>
      </c>
    </row>
    <row r="1929" spans="1:7" x14ac:dyDescent="0.25">
      <c r="A1929">
        <v>108</v>
      </c>
      <c r="B1929" t="s">
        <v>662</v>
      </c>
      <c r="C1929">
        <v>20</v>
      </c>
      <c r="D1929" t="s">
        <v>132</v>
      </c>
      <c r="E1929" t="s">
        <v>14</v>
      </c>
      <c r="F1929">
        <v>2.677</v>
      </c>
      <c r="G1929" t="s">
        <v>15</v>
      </c>
    </row>
    <row r="1930" spans="1:7" x14ac:dyDescent="0.25">
      <c r="A1930">
        <v>108</v>
      </c>
      <c r="B1930" t="s">
        <v>662</v>
      </c>
      <c r="C1930">
        <v>30</v>
      </c>
      <c r="D1930" t="s">
        <v>102</v>
      </c>
      <c r="E1930" t="s">
        <v>103</v>
      </c>
      <c r="F1930">
        <v>0.67200000000000004</v>
      </c>
      <c r="G1930" t="s">
        <v>15</v>
      </c>
    </row>
    <row r="1931" spans="1:7" x14ac:dyDescent="0.25">
      <c r="A1931">
        <v>108</v>
      </c>
      <c r="B1931" t="s">
        <v>662</v>
      </c>
      <c r="C1931">
        <v>40</v>
      </c>
      <c r="D1931" t="s">
        <v>597</v>
      </c>
      <c r="E1931" t="s">
        <v>11</v>
      </c>
      <c r="F1931">
        <v>2.1589999999999998</v>
      </c>
      <c r="G1931" t="s">
        <v>18</v>
      </c>
    </row>
    <row r="1932" spans="1:7" x14ac:dyDescent="0.25">
      <c r="A1932">
        <v>108</v>
      </c>
      <c r="B1932" t="s">
        <v>662</v>
      </c>
      <c r="C1932">
        <v>50</v>
      </c>
      <c r="D1932" t="s">
        <v>139</v>
      </c>
      <c r="E1932" t="s">
        <v>17</v>
      </c>
      <c r="F1932">
        <v>2.1589999999999998</v>
      </c>
      <c r="G1932" t="s">
        <v>18</v>
      </c>
    </row>
    <row r="1933" spans="1:7" x14ac:dyDescent="0.25">
      <c r="A1933">
        <v>108</v>
      </c>
      <c r="B1933" t="s">
        <v>662</v>
      </c>
      <c r="C1933">
        <v>60</v>
      </c>
      <c r="D1933" t="s">
        <v>663</v>
      </c>
      <c r="E1933" t="s">
        <v>11</v>
      </c>
      <c r="F1933">
        <v>1</v>
      </c>
      <c r="G1933" t="s">
        <v>18</v>
      </c>
    </row>
    <row r="1934" spans="1:7" x14ac:dyDescent="0.25">
      <c r="A1934">
        <v>108</v>
      </c>
      <c r="B1934" t="s">
        <v>662</v>
      </c>
      <c r="C1934">
        <v>70</v>
      </c>
      <c r="D1934" t="s">
        <v>599</v>
      </c>
      <c r="E1934" t="s">
        <v>17</v>
      </c>
      <c r="F1934">
        <v>18.440000000000001</v>
      </c>
      <c r="G1934" t="s">
        <v>15</v>
      </c>
    </row>
    <row r="1935" spans="1:7" x14ac:dyDescent="0.25">
      <c r="A1935">
        <v>108</v>
      </c>
      <c r="B1935" t="s">
        <v>662</v>
      </c>
      <c r="C1935">
        <v>80</v>
      </c>
      <c r="D1935" t="s">
        <v>20</v>
      </c>
      <c r="E1935" t="s">
        <v>17</v>
      </c>
      <c r="F1935">
        <v>151.21100000000001</v>
      </c>
      <c r="G1935" t="s">
        <v>15</v>
      </c>
    </row>
    <row r="1936" spans="1:7" x14ac:dyDescent="0.25">
      <c r="A1936">
        <v>108</v>
      </c>
      <c r="B1936" t="s">
        <v>662</v>
      </c>
      <c r="C1936">
        <v>90</v>
      </c>
      <c r="D1936" t="s">
        <v>24</v>
      </c>
      <c r="E1936" t="s">
        <v>11</v>
      </c>
      <c r="F1936">
        <v>1</v>
      </c>
      <c r="G1936" t="s">
        <v>15</v>
      </c>
    </row>
    <row r="1937" spans="1:7" x14ac:dyDescent="0.25">
      <c r="A1937">
        <v>108</v>
      </c>
      <c r="B1937" t="s">
        <v>662</v>
      </c>
      <c r="C1937">
        <v>100</v>
      </c>
      <c r="D1937" t="s">
        <v>141</v>
      </c>
      <c r="E1937" t="s">
        <v>14</v>
      </c>
      <c r="F1937">
        <v>8.1000000000000003E-2</v>
      </c>
      <c r="G1937" t="s">
        <v>15</v>
      </c>
    </row>
    <row r="1938" spans="1:7" x14ac:dyDescent="0.25">
      <c r="A1938">
        <v>108</v>
      </c>
      <c r="B1938" t="s">
        <v>662</v>
      </c>
      <c r="C1938">
        <v>110</v>
      </c>
      <c r="D1938" t="s">
        <v>140</v>
      </c>
      <c r="E1938" t="s">
        <v>11</v>
      </c>
      <c r="F1938">
        <v>4</v>
      </c>
      <c r="G1938" t="s">
        <v>15</v>
      </c>
    </row>
    <row r="1939" spans="1:7" x14ac:dyDescent="0.25">
      <c r="A1939">
        <v>108</v>
      </c>
      <c r="B1939" t="s">
        <v>662</v>
      </c>
      <c r="C1939">
        <v>120</v>
      </c>
      <c r="D1939" t="s">
        <v>25</v>
      </c>
      <c r="E1939" t="s">
        <v>11</v>
      </c>
      <c r="F1939">
        <v>1</v>
      </c>
      <c r="G1939" t="s">
        <v>15</v>
      </c>
    </row>
    <row r="1940" spans="1:7" x14ac:dyDescent="0.25">
      <c r="A1940">
        <v>108</v>
      </c>
      <c r="B1940" t="s">
        <v>662</v>
      </c>
      <c r="C1940">
        <v>130</v>
      </c>
      <c r="D1940" t="s">
        <v>26</v>
      </c>
      <c r="E1940" t="s">
        <v>11</v>
      </c>
      <c r="F1940">
        <v>1</v>
      </c>
      <c r="G1940" t="s">
        <v>15</v>
      </c>
    </row>
    <row r="1941" spans="1:7" x14ac:dyDescent="0.25">
      <c r="A1941">
        <v>108</v>
      </c>
      <c r="B1941" t="s">
        <v>662</v>
      </c>
      <c r="C1941">
        <v>140</v>
      </c>
      <c r="D1941" t="s">
        <v>100</v>
      </c>
      <c r="E1941" t="s">
        <v>14</v>
      </c>
      <c r="F1941">
        <v>1.27</v>
      </c>
      <c r="G1941" t="s">
        <v>15</v>
      </c>
    </row>
    <row r="1942" spans="1:7" x14ac:dyDescent="0.25">
      <c r="A1942">
        <v>108</v>
      </c>
      <c r="B1942" t="s">
        <v>662</v>
      </c>
      <c r="C1942">
        <v>150</v>
      </c>
      <c r="D1942" t="s">
        <v>341</v>
      </c>
      <c r="E1942" t="s">
        <v>11</v>
      </c>
      <c r="F1942">
        <v>1</v>
      </c>
      <c r="G1942" t="s">
        <v>18</v>
      </c>
    </row>
    <row r="1943" spans="1:7" x14ac:dyDescent="0.25">
      <c r="A1943">
        <v>108</v>
      </c>
      <c r="B1943" t="s">
        <v>662</v>
      </c>
      <c r="C1943">
        <v>160</v>
      </c>
      <c r="D1943" t="s">
        <v>342</v>
      </c>
      <c r="E1943" t="s">
        <v>11</v>
      </c>
      <c r="F1943">
        <v>1</v>
      </c>
      <c r="G1943" t="s">
        <v>18</v>
      </c>
    </row>
    <row r="1944" spans="1:7" x14ac:dyDescent="0.25">
      <c r="A1944">
        <v>108</v>
      </c>
      <c r="B1944" t="s">
        <v>662</v>
      </c>
      <c r="C1944">
        <v>170</v>
      </c>
      <c r="D1944" t="s">
        <v>142</v>
      </c>
      <c r="E1944" t="s">
        <v>11</v>
      </c>
      <c r="F1944">
        <v>6.1470000000000002</v>
      </c>
      <c r="G1944" t="s">
        <v>15</v>
      </c>
    </row>
    <row r="1945" spans="1:7" x14ac:dyDescent="0.25">
      <c r="A1945">
        <v>108</v>
      </c>
      <c r="B1945" t="s">
        <v>662</v>
      </c>
      <c r="C1945">
        <v>180</v>
      </c>
      <c r="D1945" t="s">
        <v>343</v>
      </c>
      <c r="E1945" t="s">
        <v>11</v>
      </c>
      <c r="F1945">
        <v>1</v>
      </c>
      <c r="G1945" t="s">
        <v>18</v>
      </c>
    </row>
    <row r="1946" spans="1:7" x14ac:dyDescent="0.25">
      <c r="A1946">
        <v>109</v>
      </c>
      <c r="B1946" t="s">
        <v>664</v>
      </c>
      <c r="C1946">
        <v>10</v>
      </c>
      <c r="D1946" t="s">
        <v>345</v>
      </c>
      <c r="E1946" t="s">
        <v>11</v>
      </c>
      <c r="F1946">
        <v>1</v>
      </c>
      <c r="G1946" t="s">
        <v>18</v>
      </c>
    </row>
    <row r="1947" spans="1:7" x14ac:dyDescent="0.25">
      <c r="A1947">
        <v>109</v>
      </c>
      <c r="B1947" t="s">
        <v>664</v>
      </c>
      <c r="C1947">
        <v>20</v>
      </c>
      <c r="D1947" t="s">
        <v>132</v>
      </c>
      <c r="E1947" t="s">
        <v>14</v>
      </c>
      <c r="F1947">
        <v>3.13</v>
      </c>
      <c r="G1947" t="s">
        <v>15</v>
      </c>
    </row>
    <row r="1948" spans="1:7" x14ac:dyDescent="0.25">
      <c r="A1948">
        <v>109</v>
      </c>
      <c r="B1948" t="s">
        <v>664</v>
      </c>
      <c r="C1948">
        <v>30</v>
      </c>
      <c r="D1948" t="s">
        <v>102</v>
      </c>
      <c r="E1948" t="s">
        <v>103</v>
      </c>
      <c r="F1948">
        <v>0.79800000000000004</v>
      </c>
      <c r="G1948" t="s">
        <v>15</v>
      </c>
    </row>
    <row r="1949" spans="1:7" x14ac:dyDescent="0.25">
      <c r="A1949">
        <v>109</v>
      </c>
      <c r="B1949" t="s">
        <v>664</v>
      </c>
      <c r="C1949">
        <v>40</v>
      </c>
      <c r="D1949" t="s">
        <v>597</v>
      </c>
      <c r="E1949" t="s">
        <v>11</v>
      </c>
      <c r="F1949">
        <v>2.1589999999999998</v>
      </c>
      <c r="G1949" t="s">
        <v>18</v>
      </c>
    </row>
    <row r="1950" spans="1:7" x14ac:dyDescent="0.25">
      <c r="A1950">
        <v>109</v>
      </c>
      <c r="B1950" t="s">
        <v>664</v>
      </c>
      <c r="C1950">
        <v>50</v>
      </c>
      <c r="D1950" t="s">
        <v>139</v>
      </c>
      <c r="E1950" t="s">
        <v>17</v>
      </c>
      <c r="F1950">
        <v>2.1589999999999998</v>
      </c>
      <c r="G1950" t="s">
        <v>18</v>
      </c>
    </row>
    <row r="1951" spans="1:7" x14ac:dyDescent="0.25">
      <c r="A1951">
        <v>109</v>
      </c>
      <c r="B1951" t="s">
        <v>664</v>
      </c>
      <c r="C1951">
        <v>60</v>
      </c>
      <c r="D1951" t="s">
        <v>665</v>
      </c>
      <c r="E1951" t="s">
        <v>11</v>
      </c>
      <c r="F1951">
        <v>1</v>
      </c>
      <c r="G1951" t="s">
        <v>18</v>
      </c>
    </row>
    <row r="1952" spans="1:7" x14ac:dyDescent="0.25">
      <c r="A1952">
        <v>109</v>
      </c>
      <c r="B1952" t="s">
        <v>664</v>
      </c>
      <c r="C1952">
        <v>70</v>
      </c>
      <c r="D1952" t="s">
        <v>599</v>
      </c>
      <c r="E1952" t="s">
        <v>17</v>
      </c>
      <c r="F1952">
        <v>19.355</v>
      </c>
      <c r="G1952" t="s">
        <v>15</v>
      </c>
    </row>
    <row r="1953" spans="1:7" x14ac:dyDescent="0.25">
      <c r="A1953">
        <v>109</v>
      </c>
      <c r="B1953" t="s">
        <v>664</v>
      </c>
      <c r="C1953">
        <v>80</v>
      </c>
      <c r="D1953" t="s">
        <v>20</v>
      </c>
      <c r="E1953" t="s">
        <v>17</v>
      </c>
      <c r="F1953">
        <v>158.709</v>
      </c>
      <c r="G1953" t="s">
        <v>15</v>
      </c>
    </row>
    <row r="1954" spans="1:7" x14ac:dyDescent="0.25">
      <c r="A1954">
        <v>109</v>
      </c>
      <c r="B1954" t="s">
        <v>664</v>
      </c>
      <c r="C1954">
        <v>90</v>
      </c>
      <c r="D1954" t="s">
        <v>24</v>
      </c>
      <c r="E1954" t="s">
        <v>11</v>
      </c>
      <c r="F1954">
        <v>1</v>
      </c>
      <c r="G1954" t="s">
        <v>15</v>
      </c>
    </row>
    <row r="1955" spans="1:7" x14ac:dyDescent="0.25">
      <c r="A1955">
        <v>109</v>
      </c>
      <c r="B1955" t="s">
        <v>664</v>
      </c>
      <c r="C1955">
        <v>100</v>
      </c>
      <c r="D1955" t="s">
        <v>141</v>
      </c>
      <c r="E1955" t="s">
        <v>14</v>
      </c>
      <c r="F1955">
        <v>9.1999999999999998E-2</v>
      </c>
      <c r="G1955" t="s">
        <v>15</v>
      </c>
    </row>
    <row r="1956" spans="1:7" x14ac:dyDescent="0.25">
      <c r="A1956">
        <v>109</v>
      </c>
      <c r="B1956" t="s">
        <v>664</v>
      </c>
      <c r="C1956">
        <v>110</v>
      </c>
      <c r="D1956" t="s">
        <v>140</v>
      </c>
      <c r="E1956" t="s">
        <v>11</v>
      </c>
      <c r="F1956">
        <v>4</v>
      </c>
      <c r="G1956" t="s">
        <v>15</v>
      </c>
    </row>
    <row r="1957" spans="1:7" x14ac:dyDescent="0.25">
      <c r="A1957">
        <v>109</v>
      </c>
      <c r="B1957" t="s">
        <v>664</v>
      </c>
      <c r="C1957">
        <v>120</v>
      </c>
      <c r="D1957" t="s">
        <v>25</v>
      </c>
      <c r="E1957" t="s">
        <v>11</v>
      </c>
      <c r="F1957">
        <v>1</v>
      </c>
      <c r="G1957" t="s">
        <v>15</v>
      </c>
    </row>
    <row r="1958" spans="1:7" x14ac:dyDescent="0.25">
      <c r="A1958">
        <v>109</v>
      </c>
      <c r="B1958" t="s">
        <v>664</v>
      </c>
      <c r="C1958">
        <v>130</v>
      </c>
      <c r="D1958" t="s">
        <v>26</v>
      </c>
      <c r="E1958" t="s">
        <v>11</v>
      </c>
      <c r="F1958">
        <v>1</v>
      </c>
      <c r="G1958" t="s">
        <v>15</v>
      </c>
    </row>
    <row r="1959" spans="1:7" x14ac:dyDescent="0.25">
      <c r="A1959">
        <v>109</v>
      </c>
      <c r="B1959" t="s">
        <v>664</v>
      </c>
      <c r="C1959">
        <v>140</v>
      </c>
      <c r="D1959" t="s">
        <v>100</v>
      </c>
      <c r="E1959" t="s">
        <v>14</v>
      </c>
      <c r="F1959">
        <v>1.27</v>
      </c>
      <c r="G1959" t="s">
        <v>15</v>
      </c>
    </row>
    <row r="1960" spans="1:7" x14ac:dyDescent="0.25">
      <c r="A1960">
        <v>109</v>
      </c>
      <c r="B1960" t="s">
        <v>664</v>
      </c>
      <c r="C1960">
        <v>150</v>
      </c>
      <c r="D1960" t="s">
        <v>347</v>
      </c>
      <c r="E1960" t="s">
        <v>11</v>
      </c>
      <c r="F1960">
        <v>1</v>
      </c>
      <c r="G1960" t="s">
        <v>18</v>
      </c>
    </row>
    <row r="1961" spans="1:7" x14ac:dyDescent="0.25">
      <c r="A1961">
        <v>109</v>
      </c>
      <c r="B1961" t="s">
        <v>664</v>
      </c>
      <c r="C1961">
        <v>160</v>
      </c>
      <c r="D1961" t="s">
        <v>348</v>
      </c>
      <c r="E1961" t="s">
        <v>11</v>
      </c>
      <c r="F1961">
        <v>1</v>
      </c>
      <c r="G1961" t="s">
        <v>18</v>
      </c>
    </row>
    <row r="1962" spans="1:7" x14ac:dyDescent="0.25">
      <c r="A1962">
        <v>109</v>
      </c>
      <c r="B1962" t="s">
        <v>664</v>
      </c>
      <c r="C1962">
        <v>170</v>
      </c>
      <c r="D1962" t="s">
        <v>142</v>
      </c>
      <c r="E1962" t="s">
        <v>11</v>
      </c>
      <c r="F1962">
        <v>6.452</v>
      </c>
      <c r="G1962" t="s">
        <v>15</v>
      </c>
    </row>
    <row r="1963" spans="1:7" x14ac:dyDescent="0.25">
      <c r="A1963">
        <v>109</v>
      </c>
      <c r="B1963" t="s">
        <v>664</v>
      </c>
      <c r="C1963">
        <v>180</v>
      </c>
      <c r="D1963" t="s">
        <v>349</v>
      </c>
      <c r="E1963" t="s">
        <v>11</v>
      </c>
      <c r="F1963">
        <v>1</v>
      </c>
      <c r="G1963" t="s">
        <v>18</v>
      </c>
    </row>
    <row r="1964" spans="1:7" x14ac:dyDescent="0.25">
      <c r="A1964">
        <v>110</v>
      </c>
      <c r="B1964" t="s">
        <v>666</v>
      </c>
      <c r="C1964">
        <v>10</v>
      </c>
      <c r="D1964" t="s">
        <v>351</v>
      </c>
      <c r="E1964" t="s">
        <v>11</v>
      </c>
      <c r="F1964">
        <v>1</v>
      </c>
      <c r="G1964" t="s">
        <v>18</v>
      </c>
    </row>
    <row r="1965" spans="1:7" x14ac:dyDescent="0.25">
      <c r="A1965">
        <v>110</v>
      </c>
      <c r="B1965" t="s">
        <v>666</v>
      </c>
      <c r="C1965">
        <v>20</v>
      </c>
      <c r="D1965" t="s">
        <v>132</v>
      </c>
      <c r="E1965" t="s">
        <v>14</v>
      </c>
      <c r="F1965">
        <v>3.5819999999999999</v>
      </c>
      <c r="G1965" t="s">
        <v>15</v>
      </c>
    </row>
    <row r="1966" spans="1:7" x14ac:dyDescent="0.25">
      <c r="A1966">
        <v>110</v>
      </c>
      <c r="B1966" t="s">
        <v>666</v>
      </c>
      <c r="C1966">
        <v>30</v>
      </c>
      <c r="D1966" t="s">
        <v>102</v>
      </c>
      <c r="E1966" t="s">
        <v>103</v>
      </c>
      <c r="F1966">
        <v>0.92400000000000004</v>
      </c>
      <c r="G1966" t="s">
        <v>15</v>
      </c>
    </row>
    <row r="1967" spans="1:7" x14ac:dyDescent="0.25">
      <c r="A1967">
        <v>110</v>
      </c>
      <c r="B1967" t="s">
        <v>666</v>
      </c>
      <c r="C1967">
        <v>40</v>
      </c>
      <c r="D1967" t="s">
        <v>597</v>
      </c>
      <c r="E1967" t="s">
        <v>11</v>
      </c>
      <c r="F1967">
        <v>2.1589999999999998</v>
      </c>
      <c r="G1967" t="s">
        <v>18</v>
      </c>
    </row>
    <row r="1968" spans="1:7" x14ac:dyDescent="0.25">
      <c r="A1968">
        <v>110</v>
      </c>
      <c r="B1968" t="s">
        <v>666</v>
      </c>
      <c r="C1968">
        <v>50</v>
      </c>
      <c r="D1968" t="s">
        <v>139</v>
      </c>
      <c r="E1968" t="s">
        <v>17</v>
      </c>
      <c r="F1968">
        <v>2.1589999999999998</v>
      </c>
      <c r="G1968" t="s">
        <v>18</v>
      </c>
    </row>
    <row r="1969" spans="1:7" x14ac:dyDescent="0.25">
      <c r="A1969">
        <v>110</v>
      </c>
      <c r="B1969" t="s">
        <v>666</v>
      </c>
      <c r="C1969">
        <v>60</v>
      </c>
      <c r="D1969" t="s">
        <v>667</v>
      </c>
      <c r="E1969" t="s">
        <v>11</v>
      </c>
      <c r="F1969">
        <v>1</v>
      </c>
      <c r="G1969" t="s">
        <v>18</v>
      </c>
    </row>
    <row r="1970" spans="1:7" x14ac:dyDescent="0.25">
      <c r="A1970">
        <v>110</v>
      </c>
      <c r="B1970" t="s">
        <v>666</v>
      </c>
      <c r="C1970">
        <v>70</v>
      </c>
      <c r="D1970" t="s">
        <v>599</v>
      </c>
      <c r="E1970" t="s">
        <v>17</v>
      </c>
      <c r="F1970">
        <v>20.268999999999998</v>
      </c>
      <c r="G1970" t="s">
        <v>15</v>
      </c>
    </row>
    <row r="1971" spans="1:7" x14ac:dyDescent="0.25">
      <c r="A1971">
        <v>110</v>
      </c>
      <c r="B1971" t="s">
        <v>666</v>
      </c>
      <c r="C1971">
        <v>80</v>
      </c>
      <c r="D1971" t="s">
        <v>20</v>
      </c>
      <c r="E1971" t="s">
        <v>17</v>
      </c>
      <c r="F1971">
        <v>166.20699999999999</v>
      </c>
      <c r="G1971" t="s">
        <v>15</v>
      </c>
    </row>
    <row r="1972" spans="1:7" x14ac:dyDescent="0.25">
      <c r="A1972">
        <v>110</v>
      </c>
      <c r="B1972" t="s">
        <v>666</v>
      </c>
      <c r="C1972">
        <v>90</v>
      </c>
      <c r="D1972" t="s">
        <v>24</v>
      </c>
      <c r="E1972" t="s">
        <v>11</v>
      </c>
      <c r="F1972">
        <v>1</v>
      </c>
      <c r="G1972" t="s">
        <v>15</v>
      </c>
    </row>
    <row r="1973" spans="1:7" x14ac:dyDescent="0.25">
      <c r="A1973">
        <v>110</v>
      </c>
      <c r="B1973" t="s">
        <v>666</v>
      </c>
      <c r="C1973">
        <v>100</v>
      </c>
      <c r="D1973" t="s">
        <v>141</v>
      </c>
      <c r="E1973" t="s">
        <v>14</v>
      </c>
      <c r="F1973">
        <v>0.10199999999999999</v>
      </c>
      <c r="G1973" t="s">
        <v>15</v>
      </c>
    </row>
    <row r="1974" spans="1:7" x14ac:dyDescent="0.25">
      <c r="A1974">
        <v>110</v>
      </c>
      <c r="B1974" t="s">
        <v>666</v>
      </c>
      <c r="C1974">
        <v>110</v>
      </c>
      <c r="D1974" t="s">
        <v>140</v>
      </c>
      <c r="E1974" t="s">
        <v>11</v>
      </c>
      <c r="F1974">
        <v>4</v>
      </c>
      <c r="G1974" t="s">
        <v>15</v>
      </c>
    </row>
    <row r="1975" spans="1:7" x14ac:dyDescent="0.25">
      <c r="A1975">
        <v>110</v>
      </c>
      <c r="B1975" t="s">
        <v>666</v>
      </c>
      <c r="C1975">
        <v>120</v>
      </c>
      <c r="D1975" t="s">
        <v>25</v>
      </c>
      <c r="E1975" t="s">
        <v>11</v>
      </c>
      <c r="F1975">
        <v>1</v>
      </c>
      <c r="G1975" t="s">
        <v>15</v>
      </c>
    </row>
    <row r="1976" spans="1:7" x14ac:dyDescent="0.25">
      <c r="A1976">
        <v>110</v>
      </c>
      <c r="B1976" t="s">
        <v>666</v>
      </c>
      <c r="C1976">
        <v>130</v>
      </c>
      <c r="D1976" t="s">
        <v>26</v>
      </c>
      <c r="E1976" t="s">
        <v>11</v>
      </c>
      <c r="F1976">
        <v>1</v>
      </c>
      <c r="G1976" t="s">
        <v>15</v>
      </c>
    </row>
    <row r="1977" spans="1:7" x14ac:dyDescent="0.25">
      <c r="A1977">
        <v>110</v>
      </c>
      <c r="B1977" t="s">
        <v>666</v>
      </c>
      <c r="C1977">
        <v>140</v>
      </c>
      <c r="D1977" t="s">
        <v>100</v>
      </c>
      <c r="E1977" t="s">
        <v>14</v>
      </c>
      <c r="F1977">
        <v>1.27</v>
      </c>
      <c r="G1977" t="s">
        <v>15</v>
      </c>
    </row>
    <row r="1978" spans="1:7" x14ac:dyDescent="0.25">
      <c r="A1978">
        <v>110</v>
      </c>
      <c r="B1978" t="s">
        <v>666</v>
      </c>
      <c r="C1978">
        <v>150</v>
      </c>
      <c r="D1978" t="s">
        <v>353</v>
      </c>
      <c r="E1978" t="s">
        <v>11</v>
      </c>
      <c r="F1978">
        <v>1</v>
      </c>
      <c r="G1978" t="s">
        <v>18</v>
      </c>
    </row>
    <row r="1979" spans="1:7" x14ac:dyDescent="0.25">
      <c r="A1979">
        <v>110</v>
      </c>
      <c r="B1979" t="s">
        <v>666</v>
      </c>
      <c r="C1979">
        <v>160</v>
      </c>
      <c r="D1979" t="s">
        <v>354</v>
      </c>
      <c r="E1979" t="s">
        <v>11</v>
      </c>
      <c r="F1979">
        <v>1</v>
      </c>
      <c r="G1979" t="s">
        <v>18</v>
      </c>
    </row>
    <row r="1980" spans="1:7" x14ac:dyDescent="0.25">
      <c r="A1980">
        <v>110</v>
      </c>
      <c r="B1980" t="s">
        <v>666</v>
      </c>
      <c r="C1980">
        <v>170</v>
      </c>
      <c r="D1980" t="s">
        <v>142</v>
      </c>
      <c r="E1980" t="s">
        <v>11</v>
      </c>
      <c r="F1980">
        <v>6.7560000000000002</v>
      </c>
      <c r="G1980" t="s">
        <v>15</v>
      </c>
    </row>
    <row r="1981" spans="1:7" x14ac:dyDescent="0.25">
      <c r="A1981">
        <v>110</v>
      </c>
      <c r="B1981" t="s">
        <v>666</v>
      </c>
      <c r="C1981">
        <v>180</v>
      </c>
      <c r="D1981" t="s">
        <v>355</v>
      </c>
      <c r="E1981" t="s">
        <v>11</v>
      </c>
      <c r="F1981">
        <v>1</v>
      </c>
      <c r="G1981" t="s">
        <v>18</v>
      </c>
    </row>
    <row r="1982" spans="1:7" x14ac:dyDescent="0.25">
      <c r="A1982">
        <v>111</v>
      </c>
      <c r="B1982" t="s">
        <v>668</v>
      </c>
      <c r="C1982">
        <v>10</v>
      </c>
      <c r="D1982" t="s">
        <v>357</v>
      </c>
      <c r="E1982" t="s">
        <v>11</v>
      </c>
      <c r="F1982">
        <v>1</v>
      </c>
      <c r="G1982" t="s">
        <v>18</v>
      </c>
    </row>
    <row r="1983" spans="1:7" x14ac:dyDescent="0.25">
      <c r="A1983">
        <v>111</v>
      </c>
      <c r="B1983" t="s">
        <v>668</v>
      </c>
      <c r="C1983">
        <v>20</v>
      </c>
      <c r="D1983" t="s">
        <v>132</v>
      </c>
      <c r="E1983" t="s">
        <v>14</v>
      </c>
      <c r="F1983">
        <v>4.4870000000000001</v>
      </c>
      <c r="G1983" t="s">
        <v>15</v>
      </c>
    </row>
    <row r="1984" spans="1:7" x14ac:dyDescent="0.25">
      <c r="A1984">
        <v>111</v>
      </c>
      <c r="B1984" t="s">
        <v>668</v>
      </c>
      <c r="C1984">
        <v>30</v>
      </c>
      <c r="D1984" t="s">
        <v>102</v>
      </c>
      <c r="E1984" t="s">
        <v>103</v>
      </c>
      <c r="F1984">
        <v>1.05</v>
      </c>
      <c r="G1984" t="s">
        <v>15</v>
      </c>
    </row>
    <row r="1985" spans="1:7" x14ac:dyDescent="0.25">
      <c r="A1985">
        <v>111</v>
      </c>
      <c r="B1985" t="s">
        <v>668</v>
      </c>
      <c r="C1985">
        <v>40</v>
      </c>
      <c r="D1985" t="s">
        <v>597</v>
      </c>
      <c r="E1985" t="s">
        <v>11</v>
      </c>
      <c r="F1985">
        <v>2.1589999999999998</v>
      </c>
      <c r="G1985" t="s">
        <v>18</v>
      </c>
    </row>
    <row r="1986" spans="1:7" x14ac:dyDescent="0.25">
      <c r="A1986">
        <v>111</v>
      </c>
      <c r="B1986" t="s">
        <v>668</v>
      </c>
      <c r="C1986">
        <v>50</v>
      </c>
      <c r="D1986" t="s">
        <v>139</v>
      </c>
      <c r="E1986" t="s">
        <v>17</v>
      </c>
      <c r="F1986">
        <v>2.1589999999999998</v>
      </c>
      <c r="G1986" t="s">
        <v>18</v>
      </c>
    </row>
    <row r="1987" spans="1:7" x14ac:dyDescent="0.25">
      <c r="A1987">
        <v>111</v>
      </c>
      <c r="B1987" t="s">
        <v>668</v>
      </c>
      <c r="C1987">
        <v>60</v>
      </c>
      <c r="D1987" t="s">
        <v>669</v>
      </c>
      <c r="E1987" t="s">
        <v>11</v>
      </c>
      <c r="F1987">
        <v>1</v>
      </c>
      <c r="G1987" t="s">
        <v>18</v>
      </c>
    </row>
    <row r="1988" spans="1:7" x14ac:dyDescent="0.25">
      <c r="A1988">
        <v>111</v>
      </c>
      <c r="B1988" t="s">
        <v>668</v>
      </c>
      <c r="C1988">
        <v>70</v>
      </c>
      <c r="D1988" t="s">
        <v>599</v>
      </c>
      <c r="E1988" t="s">
        <v>17</v>
      </c>
      <c r="F1988">
        <v>21.184000000000001</v>
      </c>
      <c r="G1988" t="s">
        <v>15</v>
      </c>
    </row>
    <row r="1989" spans="1:7" x14ac:dyDescent="0.25">
      <c r="A1989">
        <v>111</v>
      </c>
      <c r="B1989" t="s">
        <v>668</v>
      </c>
      <c r="C1989">
        <v>80</v>
      </c>
      <c r="D1989" t="s">
        <v>20</v>
      </c>
      <c r="E1989" t="s">
        <v>17</v>
      </c>
      <c r="F1989">
        <v>173.70599999999999</v>
      </c>
      <c r="G1989" t="s">
        <v>15</v>
      </c>
    </row>
    <row r="1990" spans="1:7" x14ac:dyDescent="0.25">
      <c r="A1990">
        <v>111</v>
      </c>
      <c r="B1990" t="s">
        <v>668</v>
      </c>
      <c r="C1990">
        <v>90</v>
      </c>
      <c r="D1990" t="s">
        <v>24</v>
      </c>
      <c r="E1990" t="s">
        <v>11</v>
      </c>
      <c r="F1990">
        <v>1</v>
      </c>
      <c r="G1990" t="s">
        <v>15</v>
      </c>
    </row>
    <row r="1991" spans="1:7" x14ac:dyDescent="0.25">
      <c r="A1991">
        <v>111</v>
      </c>
      <c r="B1991" t="s">
        <v>668</v>
      </c>
      <c r="C1991">
        <v>100</v>
      </c>
      <c r="D1991" t="s">
        <v>141</v>
      </c>
      <c r="E1991" t="s">
        <v>14</v>
      </c>
      <c r="F1991">
        <v>0.112</v>
      </c>
      <c r="G1991" t="s">
        <v>15</v>
      </c>
    </row>
    <row r="1992" spans="1:7" x14ac:dyDescent="0.25">
      <c r="A1992">
        <v>111</v>
      </c>
      <c r="B1992" t="s">
        <v>668</v>
      </c>
      <c r="C1992">
        <v>110</v>
      </c>
      <c r="D1992" t="s">
        <v>140</v>
      </c>
      <c r="E1992" t="s">
        <v>11</v>
      </c>
      <c r="F1992">
        <v>4</v>
      </c>
      <c r="G1992" t="s">
        <v>15</v>
      </c>
    </row>
    <row r="1993" spans="1:7" x14ac:dyDescent="0.25">
      <c r="A1993">
        <v>111</v>
      </c>
      <c r="B1993" t="s">
        <v>668</v>
      </c>
      <c r="C1993">
        <v>120</v>
      </c>
      <c r="D1993" t="s">
        <v>25</v>
      </c>
      <c r="E1993" t="s">
        <v>11</v>
      </c>
      <c r="F1993">
        <v>1</v>
      </c>
      <c r="G1993" t="s">
        <v>15</v>
      </c>
    </row>
    <row r="1994" spans="1:7" x14ac:dyDescent="0.25">
      <c r="A1994">
        <v>111</v>
      </c>
      <c r="B1994" t="s">
        <v>668</v>
      </c>
      <c r="C1994">
        <v>130</v>
      </c>
      <c r="D1994" t="s">
        <v>26</v>
      </c>
      <c r="E1994" t="s">
        <v>11</v>
      </c>
      <c r="F1994">
        <v>1</v>
      </c>
      <c r="G1994" t="s">
        <v>15</v>
      </c>
    </row>
    <row r="1995" spans="1:7" x14ac:dyDescent="0.25">
      <c r="A1995">
        <v>111</v>
      </c>
      <c r="B1995" t="s">
        <v>668</v>
      </c>
      <c r="C1995">
        <v>140</v>
      </c>
      <c r="D1995" t="s">
        <v>100</v>
      </c>
      <c r="E1995" t="s">
        <v>14</v>
      </c>
      <c r="F1995">
        <v>1.27</v>
      </c>
      <c r="G1995" t="s">
        <v>15</v>
      </c>
    </row>
    <row r="1996" spans="1:7" x14ac:dyDescent="0.25">
      <c r="A1996">
        <v>111</v>
      </c>
      <c r="B1996" t="s">
        <v>668</v>
      </c>
      <c r="C1996">
        <v>150</v>
      </c>
      <c r="D1996" t="s">
        <v>359</v>
      </c>
      <c r="E1996" t="s">
        <v>11</v>
      </c>
      <c r="F1996">
        <v>1</v>
      </c>
      <c r="G1996" t="s">
        <v>18</v>
      </c>
    </row>
    <row r="1997" spans="1:7" x14ac:dyDescent="0.25">
      <c r="A1997">
        <v>111</v>
      </c>
      <c r="B1997" t="s">
        <v>668</v>
      </c>
      <c r="C1997">
        <v>160</v>
      </c>
      <c r="D1997" t="s">
        <v>360</v>
      </c>
      <c r="E1997" t="s">
        <v>11</v>
      </c>
      <c r="F1997">
        <v>1</v>
      </c>
      <c r="G1997" t="s">
        <v>18</v>
      </c>
    </row>
    <row r="1998" spans="1:7" x14ac:dyDescent="0.25">
      <c r="A1998">
        <v>111</v>
      </c>
      <c r="B1998" t="s">
        <v>668</v>
      </c>
      <c r="C1998">
        <v>170</v>
      </c>
      <c r="D1998" t="s">
        <v>142</v>
      </c>
      <c r="E1998" t="s">
        <v>11</v>
      </c>
      <c r="F1998">
        <v>7.0609999999999999</v>
      </c>
      <c r="G1998" t="s">
        <v>15</v>
      </c>
    </row>
    <row r="1999" spans="1:7" x14ac:dyDescent="0.25">
      <c r="A1999">
        <v>111</v>
      </c>
      <c r="B1999" t="s">
        <v>668</v>
      </c>
      <c r="C1999">
        <v>180</v>
      </c>
      <c r="D1999" t="s">
        <v>361</v>
      </c>
      <c r="E1999" t="s">
        <v>11</v>
      </c>
      <c r="F1999">
        <v>1</v>
      </c>
      <c r="G1999" t="s">
        <v>18</v>
      </c>
    </row>
    <row r="2000" spans="1:7" x14ac:dyDescent="0.25">
      <c r="A2000">
        <v>112</v>
      </c>
      <c r="B2000" t="s">
        <v>670</v>
      </c>
      <c r="C2000">
        <v>10</v>
      </c>
      <c r="D2000" t="s">
        <v>363</v>
      </c>
      <c r="E2000" t="s">
        <v>11</v>
      </c>
      <c r="F2000">
        <v>1</v>
      </c>
      <c r="G2000" t="s">
        <v>18</v>
      </c>
    </row>
    <row r="2001" spans="1:7" x14ac:dyDescent="0.25">
      <c r="A2001">
        <v>112</v>
      </c>
      <c r="B2001" t="s">
        <v>670</v>
      </c>
      <c r="C2001">
        <v>20</v>
      </c>
      <c r="D2001" t="s">
        <v>132</v>
      </c>
      <c r="E2001" t="s">
        <v>14</v>
      </c>
      <c r="F2001">
        <v>4.4870000000000001</v>
      </c>
      <c r="G2001" t="s">
        <v>15</v>
      </c>
    </row>
    <row r="2002" spans="1:7" x14ac:dyDescent="0.25">
      <c r="A2002">
        <v>112</v>
      </c>
      <c r="B2002" t="s">
        <v>670</v>
      </c>
      <c r="C2002">
        <v>30</v>
      </c>
      <c r="D2002" t="s">
        <v>102</v>
      </c>
      <c r="E2002" t="s">
        <v>103</v>
      </c>
      <c r="F2002">
        <v>1.113</v>
      </c>
      <c r="G2002" t="s">
        <v>15</v>
      </c>
    </row>
    <row r="2003" spans="1:7" x14ac:dyDescent="0.25">
      <c r="A2003">
        <v>112</v>
      </c>
      <c r="B2003" t="s">
        <v>670</v>
      </c>
      <c r="C2003">
        <v>40</v>
      </c>
      <c r="D2003" t="s">
        <v>597</v>
      </c>
      <c r="E2003" t="s">
        <v>11</v>
      </c>
      <c r="F2003">
        <v>2.1589999999999998</v>
      </c>
      <c r="G2003" t="s">
        <v>18</v>
      </c>
    </row>
    <row r="2004" spans="1:7" x14ac:dyDescent="0.25">
      <c r="A2004">
        <v>112</v>
      </c>
      <c r="B2004" t="s">
        <v>670</v>
      </c>
      <c r="C2004">
        <v>50</v>
      </c>
      <c r="D2004" t="s">
        <v>139</v>
      </c>
      <c r="E2004" t="s">
        <v>17</v>
      </c>
      <c r="F2004">
        <v>2.1589999999999998</v>
      </c>
      <c r="G2004" t="s">
        <v>18</v>
      </c>
    </row>
    <row r="2005" spans="1:7" x14ac:dyDescent="0.25">
      <c r="A2005">
        <v>112</v>
      </c>
      <c r="B2005" t="s">
        <v>670</v>
      </c>
      <c r="C2005">
        <v>60</v>
      </c>
      <c r="D2005" t="s">
        <v>671</v>
      </c>
      <c r="E2005" t="s">
        <v>11</v>
      </c>
      <c r="F2005">
        <v>1</v>
      </c>
      <c r="G2005" t="s">
        <v>18</v>
      </c>
    </row>
    <row r="2006" spans="1:7" x14ac:dyDescent="0.25">
      <c r="A2006">
        <v>112</v>
      </c>
      <c r="B2006" t="s">
        <v>670</v>
      </c>
      <c r="C2006">
        <v>70</v>
      </c>
      <c r="D2006" t="s">
        <v>599</v>
      </c>
      <c r="E2006" t="s">
        <v>17</v>
      </c>
      <c r="F2006">
        <v>21.640999999999998</v>
      </c>
      <c r="G2006" t="s">
        <v>15</v>
      </c>
    </row>
    <row r="2007" spans="1:7" x14ac:dyDescent="0.25">
      <c r="A2007">
        <v>112</v>
      </c>
      <c r="B2007" t="s">
        <v>670</v>
      </c>
      <c r="C2007">
        <v>80</v>
      </c>
      <c r="D2007" t="s">
        <v>20</v>
      </c>
      <c r="E2007" t="s">
        <v>17</v>
      </c>
      <c r="F2007">
        <v>177.45500000000001</v>
      </c>
      <c r="G2007" t="s">
        <v>15</v>
      </c>
    </row>
    <row r="2008" spans="1:7" x14ac:dyDescent="0.25">
      <c r="A2008">
        <v>112</v>
      </c>
      <c r="B2008" t="s">
        <v>670</v>
      </c>
      <c r="C2008">
        <v>90</v>
      </c>
      <c r="D2008" t="s">
        <v>24</v>
      </c>
      <c r="E2008" t="s">
        <v>11</v>
      </c>
      <c r="F2008">
        <v>1</v>
      </c>
      <c r="G2008" t="s">
        <v>15</v>
      </c>
    </row>
    <row r="2009" spans="1:7" x14ac:dyDescent="0.25">
      <c r="A2009">
        <v>112</v>
      </c>
      <c r="B2009" t="s">
        <v>670</v>
      </c>
      <c r="C2009">
        <v>100</v>
      </c>
      <c r="D2009" t="s">
        <v>141</v>
      </c>
      <c r="E2009" t="s">
        <v>14</v>
      </c>
      <c r="F2009">
        <v>0.11700000000000001</v>
      </c>
      <c r="G2009" t="s">
        <v>15</v>
      </c>
    </row>
    <row r="2010" spans="1:7" x14ac:dyDescent="0.25">
      <c r="A2010">
        <v>112</v>
      </c>
      <c r="B2010" t="s">
        <v>670</v>
      </c>
      <c r="C2010">
        <v>110</v>
      </c>
      <c r="D2010" t="s">
        <v>140</v>
      </c>
      <c r="E2010" t="s">
        <v>11</v>
      </c>
      <c r="F2010">
        <v>4</v>
      </c>
      <c r="G2010" t="s">
        <v>15</v>
      </c>
    </row>
    <row r="2011" spans="1:7" x14ac:dyDescent="0.25">
      <c r="A2011">
        <v>112</v>
      </c>
      <c r="B2011" t="s">
        <v>670</v>
      </c>
      <c r="C2011">
        <v>120</v>
      </c>
      <c r="D2011" t="s">
        <v>25</v>
      </c>
      <c r="E2011" t="s">
        <v>11</v>
      </c>
      <c r="F2011">
        <v>1</v>
      </c>
      <c r="G2011" t="s">
        <v>15</v>
      </c>
    </row>
    <row r="2012" spans="1:7" x14ac:dyDescent="0.25">
      <c r="A2012">
        <v>112</v>
      </c>
      <c r="B2012" t="s">
        <v>670</v>
      </c>
      <c r="C2012">
        <v>130</v>
      </c>
      <c r="D2012" t="s">
        <v>26</v>
      </c>
      <c r="E2012" t="s">
        <v>11</v>
      </c>
      <c r="F2012">
        <v>1</v>
      </c>
      <c r="G2012" t="s">
        <v>15</v>
      </c>
    </row>
    <row r="2013" spans="1:7" x14ac:dyDescent="0.25">
      <c r="A2013">
        <v>112</v>
      </c>
      <c r="B2013" t="s">
        <v>670</v>
      </c>
      <c r="C2013">
        <v>140</v>
      </c>
      <c r="D2013" t="s">
        <v>100</v>
      </c>
      <c r="E2013" t="s">
        <v>14</v>
      </c>
      <c r="F2013">
        <v>1.27</v>
      </c>
      <c r="G2013" t="s">
        <v>15</v>
      </c>
    </row>
    <row r="2014" spans="1:7" x14ac:dyDescent="0.25">
      <c r="A2014">
        <v>112</v>
      </c>
      <c r="B2014" t="s">
        <v>670</v>
      </c>
      <c r="C2014">
        <v>150</v>
      </c>
      <c r="D2014" t="s">
        <v>365</v>
      </c>
      <c r="E2014" t="s">
        <v>11</v>
      </c>
      <c r="F2014">
        <v>1</v>
      </c>
      <c r="G2014" t="s">
        <v>18</v>
      </c>
    </row>
    <row r="2015" spans="1:7" x14ac:dyDescent="0.25">
      <c r="A2015">
        <v>112</v>
      </c>
      <c r="B2015" t="s">
        <v>670</v>
      </c>
      <c r="C2015">
        <v>160</v>
      </c>
      <c r="D2015" t="s">
        <v>366</v>
      </c>
      <c r="E2015" t="s">
        <v>11</v>
      </c>
      <c r="F2015">
        <v>1</v>
      </c>
      <c r="G2015" t="s">
        <v>18</v>
      </c>
    </row>
    <row r="2016" spans="1:7" x14ac:dyDescent="0.25">
      <c r="A2016">
        <v>112</v>
      </c>
      <c r="B2016" t="s">
        <v>670</v>
      </c>
      <c r="C2016">
        <v>170</v>
      </c>
      <c r="D2016" t="s">
        <v>142</v>
      </c>
      <c r="E2016" t="s">
        <v>11</v>
      </c>
      <c r="F2016">
        <v>7.2140000000000004</v>
      </c>
      <c r="G2016" t="s">
        <v>15</v>
      </c>
    </row>
    <row r="2017" spans="1:7" x14ac:dyDescent="0.25">
      <c r="A2017">
        <v>112</v>
      </c>
      <c r="B2017" t="s">
        <v>670</v>
      </c>
      <c r="C2017">
        <v>180</v>
      </c>
      <c r="D2017" t="s">
        <v>367</v>
      </c>
      <c r="E2017" t="s">
        <v>11</v>
      </c>
      <c r="F2017">
        <v>1</v>
      </c>
      <c r="G2017" t="s">
        <v>18</v>
      </c>
    </row>
    <row r="2018" spans="1:7" x14ac:dyDescent="0.25">
      <c r="A2018">
        <v>113</v>
      </c>
      <c r="B2018" t="s">
        <v>672</v>
      </c>
      <c r="C2018">
        <v>10</v>
      </c>
      <c r="D2018" t="s">
        <v>369</v>
      </c>
      <c r="E2018" t="s">
        <v>11</v>
      </c>
      <c r="F2018">
        <v>1</v>
      </c>
      <c r="G2018" t="s">
        <v>18</v>
      </c>
    </row>
    <row r="2019" spans="1:7" x14ac:dyDescent="0.25">
      <c r="A2019">
        <v>113</v>
      </c>
      <c r="B2019" t="s">
        <v>672</v>
      </c>
      <c r="C2019">
        <v>20</v>
      </c>
      <c r="D2019" t="s">
        <v>132</v>
      </c>
      <c r="E2019" t="s">
        <v>14</v>
      </c>
      <c r="F2019">
        <v>4.4870000000000001</v>
      </c>
      <c r="G2019" t="s">
        <v>15</v>
      </c>
    </row>
    <row r="2020" spans="1:7" x14ac:dyDescent="0.25">
      <c r="A2020">
        <v>113</v>
      </c>
      <c r="B2020" t="s">
        <v>672</v>
      </c>
      <c r="C2020">
        <v>30</v>
      </c>
      <c r="D2020" t="s">
        <v>102</v>
      </c>
      <c r="E2020" t="s">
        <v>103</v>
      </c>
      <c r="F2020">
        <v>1.177</v>
      </c>
      <c r="G2020" t="s">
        <v>15</v>
      </c>
    </row>
    <row r="2021" spans="1:7" x14ac:dyDescent="0.25">
      <c r="A2021">
        <v>113</v>
      </c>
      <c r="B2021" t="s">
        <v>672</v>
      </c>
      <c r="C2021">
        <v>40</v>
      </c>
      <c r="D2021" t="s">
        <v>597</v>
      </c>
      <c r="E2021" t="s">
        <v>11</v>
      </c>
      <c r="F2021">
        <v>2.1589999999999998</v>
      </c>
      <c r="G2021" t="s">
        <v>18</v>
      </c>
    </row>
    <row r="2022" spans="1:7" x14ac:dyDescent="0.25">
      <c r="A2022">
        <v>113</v>
      </c>
      <c r="B2022" t="s">
        <v>672</v>
      </c>
      <c r="C2022">
        <v>50</v>
      </c>
      <c r="D2022" t="s">
        <v>139</v>
      </c>
      <c r="E2022" t="s">
        <v>17</v>
      </c>
      <c r="F2022">
        <v>2.1589999999999998</v>
      </c>
      <c r="G2022" t="s">
        <v>18</v>
      </c>
    </row>
    <row r="2023" spans="1:7" x14ac:dyDescent="0.25">
      <c r="A2023">
        <v>113</v>
      </c>
      <c r="B2023" t="s">
        <v>672</v>
      </c>
      <c r="C2023">
        <v>60</v>
      </c>
      <c r="D2023" t="s">
        <v>673</v>
      </c>
      <c r="E2023" t="s">
        <v>11</v>
      </c>
      <c r="F2023">
        <v>1</v>
      </c>
      <c r="G2023" t="s">
        <v>18</v>
      </c>
    </row>
    <row r="2024" spans="1:7" x14ac:dyDescent="0.25">
      <c r="A2024">
        <v>113</v>
      </c>
      <c r="B2024" t="s">
        <v>672</v>
      </c>
      <c r="C2024">
        <v>70</v>
      </c>
      <c r="D2024" t="s">
        <v>599</v>
      </c>
      <c r="E2024" t="s">
        <v>17</v>
      </c>
      <c r="F2024">
        <v>22.097999999999999</v>
      </c>
      <c r="G2024" t="s">
        <v>15</v>
      </c>
    </row>
    <row r="2025" spans="1:7" x14ac:dyDescent="0.25">
      <c r="A2025">
        <v>113</v>
      </c>
      <c r="B2025" t="s">
        <v>672</v>
      </c>
      <c r="C2025">
        <v>80</v>
      </c>
      <c r="D2025" t="s">
        <v>20</v>
      </c>
      <c r="E2025" t="s">
        <v>17</v>
      </c>
      <c r="F2025">
        <v>181.20400000000001</v>
      </c>
      <c r="G2025" t="s">
        <v>15</v>
      </c>
    </row>
    <row r="2026" spans="1:7" x14ac:dyDescent="0.25">
      <c r="A2026">
        <v>113</v>
      </c>
      <c r="B2026" t="s">
        <v>672</v>
      </c>
      <c r="C2026">
        <v>90</v>
      </c>
      <c r="D2026" t="s">
        <v>24</v>
      </c>
      <c r="E2026" t="s">
        <v>11</v>
      </c>
      <c r="F2026">
        <v>1</v>
      </c>
      <c r="G2026" t="s">
        <v>15</v>
      </c>
    </row>
    <row r="2027" spans="1:7" x14ac:dyDescent="0.25">
      <c r="A2027">
        <v>113</v>
      </c>
      <c r="B2027" t="s">
        <v>672</v>
      </c>
      <c r="C2027">
        <v>100</v>
      </c>
      <c r="D2027" t="s">
        <v>141</v>
      </c>
      <c r="E2027" t="s">
        <v>14</v>
      </c>
      <c r="F2027">
        <v>0.123</v>
      </c>
      <c r="G2027" t="s">
        <v>15</v>
      </c>
    </row>
    <row r="2028" spans="1:7" x14ac:dyDescent="0.25">
      <c r="A2028">
        <v>113</v>
      </c>
      <c r="B2028" t="s">
        <v>672</v>
      </c>
      <c r="C2028">
        <v>110</v>
      </c>
      <c r="D2028" t="s">
        <v>140</v>
      </c>
      <c r="E2028" t="s">
        <v>11</v>
      </c>
      <c r="F2028">
        <v>4</v>
      </c>
      <c r="G2028" t="s">
        <v>15</v>
      </c>
    </row>
    <row r="2029" spans="1:7" x14ac:dyDescent="0.25">
      <c r="A2029">
        <v>113</v>
      </c>
      <c r="B2029" t="s">
        <v>672</v>
      </c>
      <c r="C2029">
        <v>120</v>
      </c>
      <c r="D2029" t="s">
        <v>25</v>
      </c>
      <c r="E2029" t="s">
        <v>11</v>
      </c>
      <c r="F2029">
        <v>1</v>
      </c>
      <c r="G2029" t="s">
        <v>15</v>
      </c>
    </row>
    <row r="2030" spans="1:7" x14ac:dyDescent="0.25">
      <c r="A2030">
        <v>113</v>
      </c>
      <c r="B2030" t="s">
        <v>672</v>
      </c>
      <c r="C2030">
        <v>130</v>
      </c>
      <c r="D2030" t="s">
        <v>26</v>
      </c>
      <c r="E2030" t="s">
        <v>11</v>
      </c>
      <c r="F2030">
        <v>1</v>
      </c>
      <c r="G2030" t="s">
        <v>15</v>
      </c>
    </row>
    <row r="2031" spans="1:7" x14ac:dyDescent="0.25">
      <c r="A2031">
        <v>113</v>
      </c>
      <c r="B2031" t="s">
        <v>672</v>
      </c>
      <c r="C2031">
        <v>140</v>
      </c>
      <c r="D2031" t="s">
        <v>100</v>
      </c>
      <c r="E2031" t="s">
        <v>14</v>
      </c>
      <c r="F2031">
        <v>1.27</v>
      </c>
      <c r="G2031" t="s">
        <v>15</v>
      </c>
    </row>
    <row r="2032" spans="1:7" x14ac:dyDescent="0.25">
      <c r="A2032">
        <v>113</v>
      </c>
      <c r="B2032" t="s">
        <v>672</v>
      </c>
      <c r="C2032">
        <v>150</v>
      </c>
      <c r="D2032" t="s">
        <v>371</v>
      </c>
      <c r="E2032" t="s">
        <v>11</v>
      </c>
      <c r="F2032">
        <v>1</v>
      </c>
      <c r="G2032" t="s">
        <v>18</v>
      </c>
    </row>
    <row r="2033" spans="1:7" x14ac:dyDescent="0.25">
      <c r="A2033">
        <v>113</v>
      </c>
      <c r="B2033" t="s">
        <v>672</v>
      </c>
      <c r="C2033">
        <v>160</v>
      </c>
      <c r="D2033" t="s">
        <v>372</v>
      </c>
      <c r="E2033" t="s">
        <v>11</v>
      </c>
      <c r="F2033">
        <v>1</v>
      </c>
      <c r="G2033" t="s">
        <v>18</v>
      </c>
    </row>
    <row r="2034" spans="1:7" x14ac:dyDescent="0.25">
      <c r="A2034">
        <v>113</v>
      </c>
      <c r="B2034" t="s">
        <v>672</v>
      </c>
      <c r="C2034">
        <v>170</v>
      </c>
      <c r="D2034" t="s">
        <v>142</v>
      </c>
      <c r="E2034" t="s">
        <v>11</v>
      </c>
      <c r="F2034">
        <v>7.3659999999999997</v>
      </c>
      <c r="G2034" t="s">
        <v>15</v>
      </c>
    </row>
    <row r="2035" spans="1:7" x14ac:dyDescent="0.25">
      <c r="A2035">
        <v>113</v>
      </c>
      <c r="B2035" t="s">
        <v>672</v>
      </c>
      <c r="C2035">
        <v>180</v>
      </c>
      <c r="D2035" t="s">
        <v>373</v>
      </c>
      <c r="E2035" t="s">
        <v>11</v>
      </c>
      <c r="F2035">
        <v>1</v>
      </c>
      <c r="G2035" t="s">
        <v>18</v>
      </c>
    </row>
    <row r="2036" spans="1:7" x14ac:dyDescent="0.25">
      <c r="A2036">
        <v>114</v>
      </c>
      <c r="B2036" t="s">
        <v>674</v>
      </c>
      <c r="C2036">
        <v>10</v>
      </c>
      <c r="D2036" t="s">
        <v>375</v>
      </c>
      <c r="E2036" t="s">
        <v>11</v>
      </c>
      <c r="F2036">
        <v>1</v>
      </c>
      <c r="G2036" t="s">
        <v>18</v>
      </c>
    </row>
    <row r="2037" spans="1:7" x14ac:dyDescent="0.25">
      <c r="A2037">
        <v>114</v>
      </c>
      <c r="B2037" t="s">
        <v>674</v>
      </c>
      <c r="C2037">
        <v>20</v>
      </c>
      <c r="D2037" t="s">
        <v>132</v>
      </c>
      <c r="E2037" t="s">
        <v>14</v>
      </c>
      <c r="F2037">
        <v>4.9400000000000004</v>
      </c>
      <c r="G2037" t="s">
        <v>15</v>
      </c>
    </row>
    <row r="2038" spans="1:7" x14ac:dyDescent="0.25">
      <c r="A2038">
        <v>114</v>
      </c>
      <c r="B2038" t="s">
        <v>674</v>
      </c>
      <c r="C2038">
        <v>30</v>
      </c>
      <c r="D2038" t="s">
        <v>102</v>
      </c>
      <c r="E2038" t="s">
        <v>103</v>
      </c>
      <c r="F2038">
        <v>1.3029999999999999</v>
      </c>
      <c r="G2038" t="s">
        <v>15</v>
      </c>
    </row>
    <row r="2039" spans="1:7" x14ac:dyDescent="0.25">
      <c r="A2039">
        <v>114</v>
      </c>
      <c r="B2039" t="s">
        <v>674</v>
      </c>
      <c r="C2039">
        <v>40</v>
      </c>
      <c r="D2039" t="s">
        <v>597</v>
      </c>
      <c r="E2039" t="s">
        <v>11</v>
      </c>
      <c r="F2039">
        <v>2.1589999999999998</v>
      </c>
      <c r="G2039" t="s">
        <v>18</v>
      </c>
    </row>
    <row r="2040" spans="1:7" x14ac:dyDescent="0.25">
      <c r="A2040">
        <v>114</v>
      </c>
      <c r="B2040" t="s">
        <v>674</v>
      </c>
      <c r="C2040">
        <v>50</v>
      </c>
      <c r="D2040" t="s">
        <v>139</v>
      </c>
      <c r="E2040" t="s">
        <v>17</v>
      </c>
      <c r="F2040">
        <v>2.1589999999999998</v>
      </c>
      <c r="G2040" t="s">
        <v>18</v>
      </c>
    </row>
    <row r="2041" spans="1:7" x14ac:dyDescent="0.25">
      <c r="A2041">
        <v>114</v>
      </c>
      <c r="B2041" t="s">
        <v>674</v>
      </c>
      <c r="C2041">
        <v>60</v>
      </c>
      <c r="D2041" t="s">
        <v>675</v>
      </c>
      <c r="E2041" t="s">
        <v>11</v>
      </c>
      <c r="F2041">
        <v>1</v>
      </c>
      <c r="G2041" t="s">
        <v>18</v>
      </c>
    </row>
    <row r="2042" spans="1:7" x14ac:dyDescent="0.25">
      <c r="A2042">
        <v>114</v>
      </c>
      <c r="B2042" t="s">
        <v>674</v>
      </c>
      <c r="C2042">
        <v>70</v>
      </c>
      <c r="D2042" t="s">
        <v>599</v>
      </c>
      <c r="E2042" t="s">
        <v>17</v>
      </c>
      <c r="F2042">
        <v>23.012</v>
      </c>
      <c r="G2042" t="s">
        <v>15</v>
      </c>
    </row>
    <row r="2043" spans="1:7" x14ac:dyDescent="0.25">
      <c r="A2043">
        <v>114</v>
      </c>
      <c r="B2043" t="s">
        <v>674</v>
      </c>
      <c r="C2043">
        <v>80</v>
      </c>
      <c r="D2043" t="s">
        <v>20</v>
      </c>
      <c r="E2043" t="s">
        <v>17</v>
      </c>
      <c r="F2043">
        <v>188.702</v>
      </c>
      <c r="G2043" t="s">
        <v>15</v>
      </c>
    </row>
    <row r="2044" spans="1:7" x14ac:dyDescent="0.25">
      <c r="A2044">
        <v>114</v>
      </c>
      <c r="B2044" t="s">
        <v>674</v>
      </c>
      <c r="C2044">
        <v>90</v>
      </c>
      <c r="D2044" t="s">
        <v>24</v>
      </c>
      <c r="E2044" t="s">
        <v>11</v>
      </c>
      <c r="F2044">
        <v>1</v>
      </c>
      <c r="G2044" t="s">
        <v>15</v>
      </c>
    </row>
    <row r="2045" spans="1:7" x14ac:dyDescent="0.25">
      <c r="A2045">
        <v>114</v>
      </c>
      <c r="B2045" t="s">
        <v>674</v>
      </c>
      <c r="C2045">
        <v>100</v>
      </c>
      <c r="D2045" t="s">
        <v>141</v>
      </c>
      <c r="E2045" t="s">
        <v>14</v>
      </c>
      <c r="F2045">
        <v>0.13300000000000001</v>
      </c>
      <c r="G2045" t="s">
        <v>15</v>
      </c>
    </row>
    <row r="2046" spans="1:7" x14ac:dyDescent="0.25">
      <c r="A2046">
        <v>114</v>
      </c>
      <c r="B2046" t="s">
        <v>674</v>
      </c>
      <c r="C2046">
        <v>110</v>
      </c>
      <c r="D2046" t="s">
        <v>140</v>
      </c>
      <c r="E2046" t="s">
        <v>11</v>
      </c>
      <c r="F2046">
        <v>4</v>
      </c>
      <c r="G2046" t="s">
        <v>15</v>
      </c>
    </row>
    <row r="2047" spans="1:7" x14ac:dyDescent="0.25">
      <c r="A2047">
        <v>114</v>
      </c>
      <c r="B2047" t="s">
        <v>674</v>
      </c>
      <c r="C2047">
        <v>120</v>
      </c>
      <c r="D2047" t="s">
        <v>25</v>
      </c>
      <c r="E2047" t="s">
        <v>11</v>
      </c>
      <c r="F2047">
        <v>1</v>
      </c>
      <c r="G2047" t="s">
        <v>15</v>
      </c>
    </row>
    <row r="2048" spans="1:7" x14ac:dyDescent="0.25">
      <c r="A2048">
        <v>114</v>
      </c>
      <c r="B2048" t="s">
        <v>674</v>
      </c>
      <c r="C2048">
        <v>130</v>
      </c>
      <c r="D2048" t="s">
        <v>26</v>
      </c>
      <c r="E2048" t="s">
        <v>11</v>
      </c>
      <c r="F2048">
        <v>1</v>
      </c>
      <c r="G2048" t="s">
        <v>15</v>
      </c>
    </row>
    <row r="2049" spans="1:7" x14ac:dyDescent="0.25">
      <c r="A2049">
        <v>114</v>
      </c>
      <c r="B2049" t="s">
        <v>674</v>
      </c>
      <c r="C2049">
        <v>140</v>
      </c>
      <c r="D2049" t="s">
        <v>100</v>
      </c>
      <c r="E2049" t="s">
        <v>14</v>
      </c>
      <c r="F2049">
        <v>1.27</v>
      </c>
      <c r="G2049" t="s">
        <v>15</v>
      </c>
    </row>
    <row r="2050" spans="1:7" x14ac:dyDescent="0.25">
      <c r="A2050">
        <v>114</v>
      </c>
      <c r="B2050" t="s">
        <v>674</v>
      </c>
      <c r="C2050">
        <v>150</v>
      </c>
      <c r="D2050" t="s">
        <v>377</v>
      </c>
      <c r="E2050" t="s">
        <v>11</v>
      </c>
      <c r="F2050">
        <v>1</v>
      </c>
      <c r="G2050" t="s">
        <v>18</v>
      </c>
    </row>
    <row r="2051" spans="1:7" x14ac:dyDescent="0.25">
      <c r="A2051">
        <v>114</v>
      </c>
      <c r="B2051" t="s">
        <v>674</v>
      </c>
      <c r="C2051">
        <v>160</v>
      </c>
      <c r="D2051" t="s">
        <v>378</v>
      </c>
      <c r="E2051" t="s">
        <v>11</v>
      </c>
      <c r="F2051">
        <v>1</v>
      </c>
      <c r="G2051" t="s">
        <v>18</v>
      </c>
    </row>
    <row r="2052" spans="1:7" x14ac:dyDescent="0.25">
      <c r="A2052">
        <v>114</v>
      </c>
      <c r="B2052" t="s">
        <v>674</v>
      </c>
      <c r="C2052">
        <v>170</v>
      </c>
      <c r="D2052" t="s">
        <v>142</v>
      </c>
      <c r="E2052" t="s">
        <v>11</v>
      </c>
      <c r="F2052">
        <v>7.6710000000000003</v>
      </c>
      <c r="G2052" t="s">
        <v>15</v>
      </c>
    </row>
    <row r="2053" spans="1:7" x14ac:dyDescent="0.25">
      <c r="A2053">
        <v>114</v>
      </c>
      <c r="B2053" t="s">
        <v>674</v>
      </c>
      <c r="C2053">
        <v>180</v>
      </c>
      <c r="D2053" t="s">
        <v>379</v>
      </c>
      <c r="E2053" t="s">
        <v>11</v>
      </c>
      <c r="F2053">
        <v>1</v>
      </c>
      <c r="G2053" t="s">
        <v>18</v>
      </c>
    </row>
    <row r="2054" spans="1:7" x14ac:dyDescent="0.25">
      <c r="A2054">
        <v>115</v>
      </c>
      <c r="B2054" t="s">
        <v>676</v>
      </c>
      <c r="C2054">
        <v>10</v>
      </c>
      <c r="D2054" t="s">
        <v>381</v>
      </c>
      <c r="E2054" t="s">
        <v>11</v>
      </c>
      <c r="F2054">
        <v>1</v>
      </c>
      <c r="G2054" t="s">
        <v>18</v>
      </c>
    </row>
    <row r="2055" spans="1:7" x14ac:dyDescent="0.25">
      <c r="A2055">
        <v>115</v>
      </c>
      <c r="B2055" t="s">
        <v>676</v>
      </c>
      <c r="C2055">
        <v>20</v>
      </c>
      <c r="D2055" t="s">
        <v>132</v>
      </c>
      <c r="E2055" t="s">
        <v>14</v>
      </c>
      <c r="F2055">
        <v>5.3920000000000003</v>
      </c>
      <c r="G2055" t="s">
        <v>15</v>
      </c>
    </row>
    <row r="2056" spans="1:7" x14ac:dyDescent="0.25">
      <c r="A2056">
        <v>115</v>
      </c>
      <c r="B2056" t="s">
        <v>676</v>
      </c>
      <c r="C2056">
        <v>30</v>
      </c>
      <c r="D2056" t="s">
        <v>102</v>
      </c>
      <c r="E2056" t="s">
        <v>103</v>
      </c>
      <c r="F2056">
        <v>1.429</v>
      </c>
      <c r="G2056" t="s">
        <v>15</v>
      </c>
    </row>
    <row r="2057" spans="1:7" x14ac:dyDescent="0.25">
      <c r="A2057">
        <v>115</v>
      </c>
      <c r="B2057" t="s">
        <v>676</v>
      </c>
      <c r="C2057">
        <v>40</v>
      </c>
      <c r="D2057" t="s">
        <v>597</v>
      </c>
      <c r="E2057" t="s">
        <v>11</v>
      </c>
      <c r="F2057">
        <v>2.1589999999999998</v>
      </c>
      <c r="G2057" t="s">
        <v>18</v>
      </c>
    </row>
    <row r="2058" spans="1:7" x14ac:dyDescent="0.25">
      <c r="A2058">
        <v>115</v>
      </c>
      <c r="B2058" t="s">
        <v>676</v>
      </c>
      <c r="C2058">
        <v>50</v>
      </c>
      <c r="D2058" t="s">
        <v>139</v>
      </c>
      <c r="E2058" t="s">
        <v>17</v>
      </c>
      <c r="F2058">
        <v>2.1589999999999998</v>
      </c>
      <c r="G2058" t="s">
        <v>18</v>
      </c>
    </row>
    <row r="2059" spans="1:7" x14ac:dyDescent="0.25">
      <c r="A2059">
        <v>115</v>
      </c>
      <c r="B2059" t="s">
        <v>676</v>
      </c>
      <c r="C2059">
        <v>60</v>
      </c>
      <c r="D2059" t="s">
        <v>677</v>
      </c>
      <c r="E2059" t="s">
        <v>11</v>
      </c>
      <c r="F2059">
        <v>1</v>
      </c>
      <c r="G2059" t="s">
        <v>18</v>
      </c>
    </row>
    <row r="2060" spans="1:7" x14ac:dyDescent="0.25">
      <c r="A2060">
        <v>115</v>
      </c>
      <c r="B2060" t="s">
        <v>676</v>
      </c>
      <c r="C2060">
        <v>70</v>
      </c>
      <c r="D2060" t="s">
        <v>599</v>
      </c>
      <c r="E2060" t="s">
        <v>17</v>
      </c>
      <c r="F2060">
        <v>23.927</v>
      </c>
      <c r="G2060" t="s">
        <v>15</v>
      </c>
    </row>
    <row r="2061" spans="1:7" x14ac:dyDescent="0.25">
      <c r="A2061">
        <v>115</v>
      </c>
      <c r="B2061" t="s">
        <v>676</v>
      </c>
      <c r="C2061">
        <v>80</v>
      </c>
      <c r="D2061" t="s">
        <v>20</v>
      </c>
      <c r="E2061" t="s">
        <v>17</v>
      </c>
      <c r="F2061">
        <v>196.2</v>
      </c>
      <c r="G2061" t="s">
        <v>15</v>
      </c>
    </row>
    <row r="2062" spans="1:7" x14ac:dyDescent="0.25">
      <c r="A2062">
        <v>115</v>
      </c>
      <c r="B2062" t="s">
        <v>676</v>
      </c>
      <c r="C2062">
        <v>90</v>
      </c>
      <c r="D2062" t="s">
        <v>24</v>
      </c>
      <c r="E2062" t="s">
        <v>11</v>
      </c>
      <c r="F2062">
        <v>1</v>
      </c>
      <c r="G2062" t="s">
        <v>15</v>
      </c>
    </row>
    <row r="2063" spans="1:7" x14ac:dyDescent="0.25">
      <c r="A2063">
        <v>115</v>
      </c>
      <c r="B2063" t="s">
        <v>676</v>
      </c>
      <c r="C2063">
        <v>100</v>
      </c>
      <c r="D2063" t="s">
        <v>141</v>
      </c>
      <c r="E2063" t="s">
        <v>14</v>
      </c>
      <c r="F2063">
        <v>0.14299999999999999</v>
      </c>
      <c r="G2063" t="s">
        <v>15</v>
      </c>
    </row>
    <row r="2064" spans="1:7" x14ac:dyDescent="0.25">
      <c r="A2064">
        <v>115</v>
      </c>
      <c r="B2064" t="s">
        <v>676</v>
      </c>
      <c r="C2064">
        <v>110</v>
      </c>
      <c r="D2064" t="s">
        <v>140</v>
      </c>
      <c r="E2064" t="s">
        <v>11</v>
      </c>
      <c r="F2064">
        <v>4</v>
      </c>
      <c r="G2064" t="s">
        <v>15</v>
      </c>
    </row>
    <row r="2065" spans="1:7" x14ac:dyDescent="0.25">
      <c r="A2065">
        <v>115</v>
      </c>
      <c r="B2065" t="s">
        <v>676</v>
      </c>
      <c r="C2065">
        <v>120</v>
      </c>
      <c r="D2065" t="s">
        <v>25</v>
      </c>
      <c r="E2065" t="s">
        <v>11</v>
      </c>
      <c r="F2065">
        <v>1</v>
      </c>
      <c r="G2065" t="s">
        <v>15</v>
      </c>
    </row>
    <row r="2066" spans="1:7" x14ac:dyDescent="0.25">
      <c r="A2066">
        <v>115</v>
      </c>
      <c r="B2066" t="s">
        <v>676</v>
      </c>
      <c r="C2066">
        <v>130</v>
      </c>
      <c r="D2066" t="s">
        <v>26</v>
      </c>
      <c r="E2066" t="s">
        <v>11</v>
      </c>
      <c r="F2066">
        <v>1</v>
      </c>
      <c r="G2066" t="s">
        <v>15</v>
      </c>
    </row>
    <row r="2067" spans="1:7" x14ac:dyDescent="0.25">
      <c r="A2067">
        <v>115</v>
      </c>
      <c r="B2067" t="s">
        <v>676</v>
      </c>
      <c r="C2067">
        <v>140</v>
      </c>
      <c r="D2067" t="s">
        <v>100</v>
      </c>
      <c r="E2067" t="s">
        <v>14</v>
      </c>
      <c r="F2067">
        <v>1.27</v>
      </c>
      <c r="G2067" t="s">
        <v>15</v>
      </c>
    </row>
    <row r="2068" spans="1:7" x14ac:dyDescent="0.25">
      <c r="A2068">
        <v>115</v>
      </c>
      <c r="B2068" t="s">
        <v>676</v>
      </c>
      <c r="C2068">
        <v>150</v>
      </c>
      <c r="D2068" t="s">
        <v>383</v>
      </c>
      <c r="E2068" t="s">
        <v>11</v>
      </c>
      <c r="F2068">
        <v>1</v>
      </c>
      <c r="G2068" t="s">
        <v>18</v>
      </c>
    </row>
    <row r="2069" spans="1:7" x14ac:dyDescent="0.25">
      <c r="A2069">
        <v>115</v>
      </c>
      <c r="B2069" t="s">
        <v>676</v>
      </c>
      <c r="C2069">
        <v>160</v>
      </c>
      <c r="D2069" t="s">
        <v>384</v>
      </c>
      <c r="E2069" t="s">
        <v>11</v>
      </c>
      <c r="F2069">
        <v>1</v>
      </c>
      <c r="G2069" t="s">
        <v>18</v>
      </c>
    </row>
    <row r="2070" spans="1:7" x14ac:dyDescent="0.25">
      <c r="A2070">
        <v>115</v>
      </c>
      <c r="B2070" t="s">
        <v>676</v>
      </c>
      <c r="C2070">
        <v>170</v>
      </c>
      <c r="D2070" t="s">
        <v>142</v>
      </c>
      <c r="E2070" t="s">
        <v>11</v>
      </c>
      <c r="F2070">
        <v>7.976</v>
      </c>
      <c r="G2070" t="s">
        <v>15</v>
      </c>
    </row>
    <row r="2071" spans="1:7" x14ac:dyDescent="0.25">
      <c r="A2071">
        <v>115</v>
      </c>
      <c r="B2071" t="s">
        <v>676</v>
      </c>
      <c r="C2071">
        <v>180</v>
      </c>
      <c r="D2071" t="s">
        <v>385</v>
      </c>
      <c r="E2071" t="s">
        <v>11</v>
      </c>
      <c r="F2071">
        <v>1</v>
      </c>
      <c r="G2071" t="s">
        <v>18</v>
      </c>
    </row>
    <row r="2072" spans="1:7" x14ac:dyDescent="0.25">
      <c r="A2072">
        <v>116</v>
      </c>
      <c r="B2072" t="s">
        <v>678</v>
      </c>
      <c r="C2072">
        <v>10</v>
      </c>
      <c r="D2072" t="s">
        <v>387</v>
      </c>
      <c r="E2072" t="s">
        <v>11</v>
      </c>
      <c r="F2072">
        <v>1</v>
      </c>
      <c r="G2072" t="s">
        <v>18</v>
      </c>
    </row>
    <row r="2073" spans="1:7" x14ac:dyDescent="0.25">
      <c r="A2073">
        <v>116</v>
      </c>
      <c r="B2073" t="s">
        <v>678</v>
      </c>
      <c r="C2073">
        <v>20</v>
      </c>
      <c r="D2073" t="s">
        <v>133</v>
      </c>
      <c r="E2073" t="s">
        <v>14</v>
      </c>
      <c r="F2073">
        <v>1.905</v>
      </c>
      <c r="G2073" t="s">
        <v>15</v>
      </c>
    </row>
    <row r="2074" spans="1:7" x14ac:dyDescent="0.25">
      <c r="A2074">
        <v>116</v>
      </c>
      <c r="B2074" t="s">
        <v>678</v>
      </c>
      <c r="C2074">
        <v>30</v>
      </c>
      <c r="D2074" t="s">
        <v>102</v>
      </c>
      <c r="E2074" t="s">
        <v>103</v>
      </c>
      <c r="F2074">
        <v>0.52100000000000002</v>
      </c>
      <c r="G2074" t="s">
        <v>15</v>
      </c>
    </row>
    <row r="2075" spans="1:7" x14ac:dyDescent="0.25">
      <c r="A2075">
        <v>116</v>
      </c>
      <c r="B2075" t="s">
        <v>678</v>
      </c>
      <c r="C2075">
        <v>40</v>
      </c>
      <c r="D2075" t="s">
        <v>597</v>
      </c>
      <c r="E2075" t="s">
        <v>11</v>
      </c>
      <c r="F2075">
        <v>0.78700000000000003</v>
      </c>
      <c r="G2075" t="s">
        <v>18</v>
      </c>
    </row>
    <row r="2076" spans="1:7" x14ac:dyDescent="0.25">
      <c r="A2076">
        <v>116</v>
      </c>
      <c r="B2076" t="s">
        <v>678</v>
      </c>
      <c r="C2076">
        <v>50</v>
      </c>
      <c r="D2076" t="s">
        <v>139</v>
      </c>
      <c r="E2076" t="s">
        <v>17</v>
      </c>
      <c r="F2076">
        <v>0.78700000000000003</v>
      </c>
      <c r="G2076" t="s">
        <v>18</v>
      </c>
    </row>
    <row r="2077" spans="1:7" x14ac:dyDescent="0.25">
      <c r="A2077">
        <v>116</v>
      </c>
      <c r="B2077" t="s">
        <v>678</v>
      </c>
      <c r="C2077">
        <v>60</v>
      </c>
      <c r="D2077" t="s">
        <v>679</v>
      </c>
      <c r="E2077" t="s">
        <v>11</v>
      </c>
      <c r="F2077">
        <v>1</v>
      </c>
      <c r="G2077" t="s">
        <v>18</v>
      </c>
    </row>
    <row r="2078" spans="1:7" x14ac:dyDescent="0.25">
      <c r="A2078">
        <v>116</v>
      </c>
      <c r="B2078" t="s">
        <v>678</v>
      </c>
      <c r="C2078">
        <v>70</v>
      </c>
      <c r="D2078" t="s">
        <v>599</v>
      </c>
      <c r="E2078" t="s">
        <v>17</v>
      </c>
      <c r="F2078">
        <v>16.154</v>
      </c>
      <c r="G2078" t="s">
        <v>15</v>
      </c>
    </row>
    <row r="2079" spans="1:7" x14ac:dyDescent="0.25">
      <c r="A2079">
        <v>116</v>
      </c>
      <c r="B2079" t="s">
        <v>678</v>
      </c>
      <c r="C2079">
        <v>80</v>
      </c>
      <c r="D2079" t="s">
        <v>20</v>
      </c>
      <c r="E2079" t="s">
        <v>17</v>
      </c>
      <c r="F2079">
        <v>132.46600000000001</v>
      </c>
      <c r="G2079" t="s">
        <v>15</v>
      </c>
    </row>
    <row r="2080" spans="1:7" x14ac:dyDescent="0.25">
      <c r="A2080">
        <v>116</v>
      </c>
      <c r="B2080" t="s">
        <v>678</v>
      </c>
      <c r="C2080">
        <v>90</v>
      </c>
      <c r="D2080" t="s">
        <v>24</v>
      </c>
      <c r="E2080" t="s">
        <v>11</v>
      </c>
      <c r="F2080">
        <v>1</v>
      </c>
      <c r="G2080" t="s">
        <v>15</v>
      </c>
    </row>
    <row r="2081" spans="1:7" x14ac:dyDescent="0.25">
      <c r="A2081">
        <v>116</v>
      </c>
      <c r="B2081" t="s">
        <v>678</v>
      </c>
      <c r="C2081">
        <v>100</v>
      </c>
      <c r="D2081" t="s">
        <v>141</v>
      </c>
      <c r="E2081" t="s">
        <v>14</v>
      </c>
      <c r="F2081">
        <v>7.5999999999999998E-2</v>
      </c>
      <c r="G2081" t="s">
        <v>15</v>
      </c>
    </row>
    <row r="2082" spans="1:7" x14ac:dyDescent="0.25">
      <c r="A2082">
        <v>116</v>
      </c>
      <c r="B2082" t="s">
        <v>678</v>
      </c>
      <c r="C2082">
        <v>110</v>
      </c>
      <c r="D2082" t="s">
        <v>140</v>
      </c>
      <c r="E2082" t="s">
        <v>11</v>
      </c>
      <c r="F2082">
        <v>4</v>
      </c>
      <c r="G2082" t="s">
        <v>15</v>
      </c>
    </row>
    <row r="2083" spans="1:7" x14ac:dyDescent="0.25">
      <c r="A2083">
        <v>116</v>
      </c>
      <c r="B2083" t="s">
        <v>678</v>
      </c>
      <c r="C2083">
        <v>120</v>
      </c>
      <c r="D2083" t="s">
        <v>25</v>
      </c>
      <c r="E2083" t="s">
        <v>11</v>
      </c>
      <c r="F2083">
        <v>1</v>
      </c>
      <c r="G2083" t="s">
        <v>15</v>
      </c>
    </row>
    <row r="2084" spans="1:7" x14ac:dyDescent="0.25">
      <c r="A2084">
        <v>116</v>
      </c>
      <c r="B2084" t="s">
        <v>678</v>
      </c>
      <c r="C2084">
        <v>130</v>
      </c>
      <c r="D2084" t="s">
        <v>26</v>
      </c>
      <c r="E2084" t="s">
        <v>11</v>
      </c>
      <c r="F2084">
        <v>1</v>
      </c>
      <c r="G2084" t="s">
        <v>15</v>
      </c>
    </row>
    <row r="2085" spans="1:7" x14ac:dyDescent="0.25">
      <c r="A2085">
        <v>116</v>
      </c>
      <c r="B2085" t="s">
        <v>678</v>
      </c>
      <c r="C2085">
        <v>140</v>
      </c>
      <c r="D2085" t="s">
        <v>100</v>
      </c>
      <c r="E2085" t="s">
        <v>14</v>
      </c>
      <c r="F2085">
        <v>0.54</v>
      </c>
      <c r="G2085" t="s">
        <v>15</v>
      </c>
    </row>
    <row r="2086" spans="1:7" x14ac:dyDescent="0.25">
      <c r="A2086">
        <v>116</v>
      </c>
      <c r="B2086" t="s">
        <v>678</v>
      </c>
      <c r="C2086">
        <v>150</v>
      </c>
      <c r="D2086" t="s">
        <v>389</v>
      </c>
      <c r="E2086" t="s">
        <v>11</v>
      </c>
      <c r="F2086">
        <v>1</v>
      </c>
      <c r="G2086" t="s">
        <v>18</v>
      </c>
    </row>
    <row r="2087" spans="1:7" x14ac:dyDescent="0.25">
      <c r="A2087">
        <v>116</v>
      </c>
      <c r="B2087" t="s">
        <v>678</v>
      </c>
      <c r="C2087">
        <v>160</v>
      </c>
      <c r="D2087" t="s">
        <v>390</v>
      </c>
      <c r="E2087" t="s">
        <v>11</v>
      </c>
      <c r="F2087">
        <v>1</v>
      </c>
      <c r="G2087" t="s">
        <v>18</v>
      </c>
    </row>
    <row r="2088" spans="1:7" x14ac:dyDescent="0.25">
      <c r="A2088">
        <v>116</v>
      </c>
      <c r="B2088" t="s">
        <v>678</v>
      </c>
      <c r="C2088">
        <v>170</v>
      </c>
      <c r="D2088" t="s">
        <v>142</v>
      </c>
      <c r="E2088" t="s">
        <v>11</v>
      </c>
      <c r="F2088">
        <v>5.3849999999999998</v>
      </c>
      <c r="G2088" t="s">
        <v>15</v>
      </c>
    </row>
    <row r="2089" spans="1:7" x14ac:dyDescent="0.25">
      <c r="A2089">
        <v>116</v>
      </c>
      <c r="B2089" t="s">
        <v>678</v>
      </c>
      <c r="C2089">
        <v>180</v>
      </c>
      <c r="D2089" t="s">
        <v>391</v>
      </c>
      <c r="E2089" t="s">
        <v>11</v>
      </c>
      <c r="F2089">
        <v>1</v>
      </c>
      <c r="G2089" t="s">
        <v>18</v>
      </c>
    </row>
    <row r="2090" spans="1:7" x14ac:dyDescent="0.25">
      <c r="A2090">
        <v>117</v>
      </c>
      <c r="B2090" t="s">
        <v>680</v>
      </c>
      <c r="C2090">
        <v>10</v>
      </c>
      <c r="D2090" t="s">
        <v>393</v>
      </c>
      <c r="E2090" t="s">
        <v>11</v>
      </c>
      <c r="F2090">
        <v>1</v>
      </c>
      <c r="G2090" t="s">
        <v>18</v>
      </c>
    </row>
    <row r="2091" spans="1:7" x14ac:dyDescent="0.25">
      <c r="A2091">
        <v>117</v>
      </c>
      <c r="B2091" t="s">
        <v>680</v>
      </c>
      <c r="C2091">
        <v>20</v>
      </c>
      <c r="D2091" t="s">
        <v>114</v>
      </c>
      <c r="E2091" t="s">
        <v>14</v>
      </c>
      <c r="F2091">
        <v>2.2930000000000001</v>
      </c>
      <c r="G2091" t="s">
        <v>15</v>
      </c>
    </row>
    <row r="2092" spans="1:7" x14ac:dyDescent="0.25">
      <c r="A2092">
        <v>117</v>
      </c>
      <c r="B2092" t="s">
        <v>680</v>
      </c>
      <c r="C2092">
        <v>30</v>
      </c>
      <c r="D2092" t="s">
        <v>102</v>
      </c>
      <c r="E2092" t="s">
        <v>103</v>
      </c>
      <c r="F2092">
        <v>0.629</v>
      </c>
      <c r="G2092" t="s">
        <v>15</v>
      </c>
    </row>
    <row r="2093" spans="1:7" x14ac:dyDescent="0.25">
      <c r="A2093">
        <v>117</v>
      </c>
      <c r="B2093" t="s">
        <v>680</v>
      </c>
      <c r="C2093">
        <v>40</v>
      </c>
      <c r="D2093" t="s">
        <v>597</v>
      </c>
      <c r="E2093" t="s">
        <v>11</v>
      </c>
      <c r="F2093">
        <v>0.94</v>
      </c>
      <c r="G2093" t="s">
        <v>18</v>
      </c>
    </row>
    <row r="2094" spans="1:7" x14ac:dyDescent="0.25">
      <c r="A2094">
        <v>117</v>
      </c>
      <c r="B2094" t="s">
        <v>680</v>
      </c>
      <c r="C2094">
        <v>50</v>
      </c>
      <c r="D2094" t="s">
        <v>139</v>
      </c>
      <c r="E2094" t="s">
        <v>17</v>
      </c>
      <c r="F2094">
        <v>0.94</v>
      </c>
      <c r="G2094" t="s">
        <v>18</v>
      </c>
    </row>
    <row r="2095" spans="1:7" x14ac:dyDescent="0.25">
      <c r="A2095">
        <v>117</v>
      </c>
      <c r="B2095" t="s">
        <v>680</v>
      </c>
      <c r="C2095">
        <v>60</v>
      </c>
      <c r="D2095" t="s">
        <v>681</v>
      </c>
      <c r="E2095" t="s">
        <v>11</v>
      </c>
      <c r="F2095">
        <v>1</v>
      </c>
      <c r="G2095" t="s">
        <v>18</v>
      </c>
    </row>
    <row r="2096" spans="1:7" x14ac:dyDescent="0.25">
      <c r="A2096">
        <v>117</v>
      </c>
      <c r="B2096" t="s">
        <v>680</v>
      </c>
      <c r="C2096">
        <v>70</v>
      </c>
      <c r="D2096" t="s">
        <v>599</v>
      </c>
      <c r="E2096" t="s">
        <v>17</v>
      </c>
      <c r="F2096">
        <v>17.068999999999999</v>
      </c>
      <c r="G2096" t="s">
        <v>15</v>
      </c>
    </row>
    <row r="2097" spans="1:7" x14ac:dyDescent="0.25">
      <c r="A2097">
        <v>117</v>
      </c>
      <c r="B2097" t="s">
        <v>680</v>
      </c>
      <c r="C2097">
        <v>80</v>
      </c>
      <c r="D2097" t="s">
        <v>20</v>
      </c>
      <c r="E2097" t="s">
        <v>17</v>
      </c>
      <c r="F2097">
        <v>139.964</v>
      </c>
      <c r="G2097" t="s">
        <v>15</v>
      </c>
    </row>
    <row r="2098" spans="1:7" x14ac:dyDescent="0.25">
      <c r="A2098">
        <v>117</v>
      </c>
      <c r="B2098" t="s">
        <v>680</v>
      </c>
      <c r="C2098">
        <v>90</v>
      </c>
      <c r="D2098" t="s">
        <v>24</v>
      </c>
      <c r="E2098" t="s">
        <v>11</v>
      </c>
      <c r="F2098">
        <v>1</v>
      </c>
      <c r="G2098" t="s">
        <v>15</v>
      </c>
    </row>
    <row r="2099" spans="1:7" x14ac:dyDescent="0.25">
      <c r="A2099">
        <v>117</v>
      </c>
      <c r="B2099" t="s">
        <v>680</v>
      </c>
      <c r="C2099">
        <v>100</v>
      </c>
      <c r="D2099" t="s">
        <v>141</v>
      </c>
      <c r="E2099" t="s">
        <v>14</v>
      </c>
      <c r="F2099">
        <v>8.5999999999999993E-2</v>
      </c>
      <c r="G2099" t="s">
        <v>15</v>
      </c>
    </row>
    <row r="2100" spans="1:7" x14ac:dyDescent="0.25">
      <c r="A2100">
        <v>117</v>
      </c>
      <c r="B2100" t="s">
        <v>680</v>
      </c>
      <c r="C2100">
        <v>110</v>
      </c>
      <c r="D2100" t="s">
        <v>140</v>
      </c>
      <c r="E2100" t="s">
        <v>11</v>
      </c>
      <c r="F2100">
        <v>4</v>
      </c>
      <c r="G2100" t="s">
        <v>15</v>
      </c>
    </row>
    <row r="2101" spans="1:7" x14ac:dyDescent="0.25">
      <c r="A2101">
        <v>117</v>
      </c>
      <c r="B2101" t="s">
        <v>680</v>
      </c>
      <c r="C2101">
        <v>120</v>
      </c>
      <c r="D2101" t="s">
        <v>25</v>
      </c>
      <c r="E2101" t="s">
        <v>11</v>
      </c>
      <c r="F2101">
        <v>1</v>
      </c>
      <c r="G2101" t="s">
        <v>15</v>
      </c>
    </row>
    <row r="2102" spans="1:7" x14ac:dyDescent="0.25">
      <c r="A2102">
        <v>117</v>
      </c>
      <c r="B2102" t="s">
        <v>680</v>
      </c>
      <c r="C2102">
        <v>130</v>
      </c>
      <c r="D2102" t="s">
        <v>26</v>
      </c>
      <c r="E2102" t="s">
        <v>11</v>
      </c>
      <c r="F2102">
        <v>1</v>
      </c>
      <c r="G2102" t="s">
        <v>15</v>
      </c>
    </row>
    <row r="2103" spans="1:7" x14ac:dyDescent="0.25">
      <c r="A2103">
        <v>117</v>
      </c>
      <c r="B2103" t="s">
        <v>680</v>
      </c>
      <c r="C2103">
        <v>140</v>
      </c>
      <c r="D2103" t="s">
        <v>100</v>
      </c>
      <c r="E2103" t="s">
        <v>14</v>
      </c>
      <c r="F2103">
        <v>0.622</v>
      </c>
      <c r="G2103" t="s">
        <v>15</v>
      </c>
    </row>
    <row r="2104" spans="1:7" x14ac:dyDescent="0.25">
      <c r="A2104">
        <v>117</v>
      </c>
      <c r="B2104" t="s">
        <v>680</v>
      </c>
      <c r="C2104">
        <v>150</v>
      </c>
      <c r="D2104" t="s">
        <v>395</v>
      </c>
      <c r="E2104" t="s">
        <v>11</v>
      </c>
      <c r="F2104">
        <v>1</v>
      </c>
      <c r="G2104" t="s">
        <v>18</v>
      </c>
    </row>
    <row r="2105" spans="1:7" x14ac:dyDescent="0.25">
      <c r="A2105">
        <v>117</v>
      </c>
      <c r="B2105" t="s">
        <v>680</v>
      </c>
      <c r="C2105">
        <v>160</v>
      </c>
      <c r="D2105" t="s">
        <v>396</v>
      </c>
      <c r="E2105" t="s">
        <v>11</v>
      </c>
      <c r="F2105">
        <v>1</v>
      </c>
      <c r="G2105" t="s">
        <v>18</v>
      </c>
    </row>
    <row r="2106" spans="1:7" x14ac:dyDescent="0.25">
      <c r="A2106">
        <v>117</v>
      </c>
      <c r="B2106" t="s">
        <v>680</v>
      </c>
      <c r="C2106">
        <v>170</v>
      </c>
      <c r="D2106" t="s">
        <v>142</v>
      </c>
      <c r="E2106" t="s">
        <v>11</v>
      </c>
      <c r="F2106">
        <v>5.69</v>
      </c>
      <c r="G2106" t="s">
        <v>15</v>
      </c>
    </row>
    <row r="2107" spans="1:7" x14ac:dyDescent="0.25">
      <c r="A2107">
        <v>117</v>
      </c>
      <c r="B2107" t="s">
        <v>680</v>
      </c>
      <c r="C2107">
        <v>180</v>
      </c>
      <c r="D2107" t="s">
        <v>397</v>
      </c>
      <c r="E2107" t="s">
        <v>11</v>
      </c>
      <c r="F2107">
        <v>1</v>
      </c>
      <c r="G2107" t="s">
        <v>18</v>
      </c>
    </row>
    <row r="2108" spans="1:7" x14ac:dyDescent="0.25">
      <c r="A2108">
        <v>118</v>
      </c>
      <c r="B2108" t="s">
        <v>682</v>
      </c>
      <c r="C2108">
        <v>10</v>
      </c>
      <c r="D2108" t="s">
        <v>399</v>
      </c>
      <c r="E2108" t="s">
        <v>11</v>
      </c>
      <c r="F2108">
        <v>1</v>
      </c>
      <c r="G2108" t="s">
        <v>18</v>
      </c>
    </row>
    <row r="2109" spans="1:7" x14ac:dyDescent="0.25">
      <c r="A2109">
        <v>118</v>
      </c>
      <c r="B2109" t="s">
        <v>682</v>
      </c>
      <c r="C2109">
        <v>20</v>
      </c>
      <c r="D2109" t="s">
        <v>115</v>
      </c>
      <c r="E2109" t="s">
        <v>14</v>
      </c>
      <c r="F2109">
        <v>2.68</v>
      </c>
      <c r="G2109" t="s">
        <v>15</v>
      </c>
    </row>
    <row r="2110" spans="1:7" x14ac:dyDescent="0.25">
      <c r="A2110">
        <v>118</v>
      </c>
      <c r="B2110" t="s">
        <v>682</v>
      </c>
      <c r="C2110">
        <v>30</v>
      </c>
      <c r="D2110" t="s">
        <v>102</v>
      </c>
      <c r="E2110" t="s">
        <v>103</v>
      </c>
      <c r="F2110">
        <v>0.73699999999999999</v>
      </c>
      <c r="G2110" t="s">
        <v>15</v>
      </c>
    </row>
    <row r="2111" spans="1:7" x14ac:dyDescent="0.25">
      <c r="A2111">
        <v>118</v>
      </c>
      <c r="B2111" t="s">
        <v>682</v>
      </c>
      <c r="C2111">
        <v>40</v>
      </c>
      <c r="D2111" t="s">
        <v>597</v>
      </c>
      <c r="E2111" t="s">
        <v>11</v>
      </c>
      <c r="F2111">
        <v>1.0920000000000001</v>
      </c>
      <c r="G2111" t="s">
        <v>18</v>
      </c>
    </row>
    <row r="2112" spans="1:7" x14ac:dyDescent="0.25">
      <c r="A2112">
        <v>118</v>
      </c>
      <c r="B2112" t="s">
        <v>682</v>
      </c>
      <c r="C2112">
        <v>50</v>
      </c>
      <c r="D2112" t="s">
        <v>139</v>
      </c>
      <c r="E2112" t="s">
        <v>17</v>
      </c>
      <c r="F2112">
        <v>1.0920000000000001</v>
      </c>
      <c r="G2112" t="s">
        <v>18</v>
      </c>
    </row>
    <row r="2113" spans="1:7" x14ac:dyDescent="0.25">
      <c r="A2113">
        <v>118</v>
      </c>
      <c r="B2113" t="s">
        <v>682</v>
      </c>
      <c r="C2113">
        <v>60</v>
      </c>
      <c r="D2113" t="s">
        <v>683</v>
      </c>
      <c r="E2113" t="s">
        <v>11</v>
      </c>
      <c r="F2113">
        <v>1</v>
      </c>
      <c r="G2113" t="s">
        <v>18</v>
      </c>
    </row>
    <row r="2114" spans="1:7" x14ac:dyDescent="0.25">
      <c r="A2114">
        <v>118</v>
      </c>
      <c r="B2114" t="s">
        <v>682</v>
      </c>
      <c r="C2114">
        <v>70</v>
      </c>
      <c r="D2114" t="s">
        <v>599</v>
      </c>
      <c r="E2114" t="s">
        <v>17</v>
      </c>
      <c r="F2114">
        <v>17.983000000000001</v>
      </c>
      <c r="G2114" t="s">
        <v>15</v>
      </c>
    </row>
    <row r="2115" spans="1:7" x14ac:dyDescent="0.25">
      <c r="A2115">
        <v>118</v>
      </c>
      <c r="B2115" t="s">
        <v>682</v>
      </c>
      <c r="C2115">
        <v>80</v>
      </c>
      <c r="D2115" t="s">
        <v>20</v>
      </c>
      <c r="E2115" t="s">
        <v>17</v>
      </c>
      <c r="F2115">
        <v>147.46199999999999</v>
      </c>
      <c r="G2115" t="s">
        <v>15</v>
      </c>
    </row>
    <row r="2116" spans="1:7" x14ac:dyDescent="0.25">
      <c r="A2116">
        <v>118</v>
      </c>
      <c r="B2116" t="s">
        <v>682</v>
      </c>
      <c r="C2116">
        <v>90</v>
      </c>
      <c r="D2116" t="s">
        <v>24</v>
      </c>
      <c r="E2116" t="s">
        <v>11</v>
      </c>
      <c r="F2116">
        <v>1</v>
      </c>
      <c r="G2116" t="s">
        <v>15</v>
      </c>
    </row>
    <row r="2117" spans="1:7" x14ac:dyDescent="0.25">
      <c r="A2117">
        <v>118</v>
      </c>
      <c r="B2117" t="s">
        <v>682</v>
      </c>
      <c r="C2117">
        <v>100</v>
      </c>
      <c r="D2117" t="s">
        <v>141</v>
      </c>
      <c r="E2117" t="s">
        <v>14</v>
      </c>
      <c r="F2117">
        <v>9.7000000000000003E-2</v>
      </c>
      <c r="G2117" t="s">
        <v>15</v>
      </c>
    </row>
    <row r="2118" spans="1:7" x14ac:dyDescent="0.25">
      <c r="A2118">
        <v>118</v>
      </c>
      <c r="B2118" t="s">
        <v>682</v>
      </c>
      <c r="C2118">
        <v>110</v>
      </c>
      <c r="D2118" t="s">
        <v>140</v>
      </c>
      <c r="E2118" t="s">
        <v>11</v>
      </c>
      <c r="F2118">
        <v>4</v>
      </c>
      <c r="G2118" t="s">
        <v>15</v>
      </c>
    </row>
    <row r="2119" spans="1:7" x14ac:dyDescent="0.25">
      <c r="A2119">
        <v>118</v>
      </c>
      <c r="B2119" t="s">
        <v>682</v>
      </c>
      <c r="C2119">
        <v>120</v>
      </c>
      <c r="D2119" t="s">
        <v>25</v>
      </c>
      <c r="E2119" t="s">
        <v>11</v>
      </c>
      <c r="F2119">
        <v>1</v>
      </c>
      <c r="G2119" t="s">
        <v>15</v>
      </c>
    </row>
    <row r="2120" spans="1:7" x14ac:dyDescent="0.25">
      <c r="A2120">
        <v>118</v>
      </c>
      <c r="B2120" t="s">
        <v>682</v>
      </c>
      <c r="C2120">
        <v>130</v>
      </c>
      <c r="D2120" t="s">
        <v>26</v>
      </c>
      <c r="E2120" t="s">
        <v>11</v>
      </c>
      <c r="F2120">
        <v>1</v>
      </c>
      <c r="G2120" t="s">
        <v>15</v>
      </c>
    </row>
    <row r="2121" spans="1:7" x14ac:dyDescent="0.25">
      <c r="A2121">
        <v>118</v>
      </c>
      <c r="B2121" t="s">
        <v>682</v>
      </c>
      <c r="C2121">
        <v>140</v>
      </c>
      <c r="D2121" t="s">
        <v>100</v>
      </c>
      <c r="E2121" t="s">
        <v>14</v>
      </c>
      <c r="F2121">
        <v>0.70299999999999996</v>
      </c>
      <c r="G2121" t="s">
        <v>15</v>
      </c>
    </row>
    <row r="2122" spans="1:7" x14ac:dyDescent="0.25">
      <c r="A2122">
        <v>118</v>
      </c>
      <c r="B2122" t="s">
        <v>682</v>
      </c>
      <c r="C2122">
        <v>150</v>
      </c>
      <c r="D2122" t="s">
        <v>401</v>
      </c>
      <c r="E2122" t="s">
        <v>11</v>
      </c>
      <c r="F2122">
        <v>1</v>
      </c>
      <c r="G2122" t="s">
        <v>18</v>
      </c>
    </row>
    <row r="2123" spans="1:7" x14ac:dyDescent="0.25">
      <c r="A2123">
        <v>118</v>
      </c>
      <c r="B2123" t="s">
        <v>682</v>
      </c>
      <c r="C2123">
        <v>160</v>
      </c>
      <c r="D2123" t="s">
        <v>402</v>
      </c>
      <c r="E2123" t="s">
        <v>11</v>
      </c>
      <c r="F2123">
        <v>1</v>
      </c>
      <c r="G2123" t="s">
        <v>18</v>
      </c>
    </row>
    <row r="2124" spans="1:7" x14ac:dyDescent="0.25">
      <c r="A2124">
        <v>118</v>
      </c>
      <c r="B2124" t="s">
        <v>682</v>
      </c>
      <c r="C2124">
        <v>170</v>
      </c>
      <c r="D2124" t="s">
        <v>142</v>
      </c>
      <c r="E2124" t="s">
        <v>11</v>
      </c>
      <c r="F2124">
        <v>5.9939999999999998</v>
      </c>
      <c r="G2124" t="s">
        <v>15</v>
      </c>
    </row>
    <row r="2125" spans="1:7" x14ac:dyDescent="0.25">
      <c r="A2125">
        <v>118</v>
      </c>
      <c r="B2125" t="s">
        <v>682</v>
      </c>
      <c r="C2125">
        <v>180</v>
      </c>
      <c r="D2125" t="s">
        <v>403</v>
      </c>
      <c r="E2125" t="s">
        <v>11</v>
      </c>
      <c r="F2125">
        <v>1</v>
      </c>
      <c r="G2125" t="s">
        <v>18</v>
      </c>
    </row>
    <row r="2126" spans="1:7" x14ac:dyDescent="0.25">
      <c r="A2126">
        <v>119</v>
      </c>
      <c r="B2126" t="s">
        <v>684</v>
      </c>
      <c r="C2126">
        <v>10</v>
      </c>
      <c r="D2126" t="s">
        <v>405</v>
      </c>
      <c r="E2126" t="s">
        <v>11</v>
      </c>
      <c r="F2126">
        <v>1</v>
      </c>
      <c r="G2126" t="s">
        <v>18</v>
      </c>
    </row>
    <row r="2127" spans="1:7" x14ac:dyDescent="0.25">
      <c r="A2127">
        <v>119</v>
      </c>
      <c r="B2127" t="s">
        <v>684</v>
      </c>
      <c r="C2127">
        <v>20</v>
      </c>
      <c r="D2127" t="s">
        <v>116</v>
      </c>
      <c r="E2127" t="s">
        <v>14</v>
      </c>
      <c r="F2127">
        <v>3.0680000000000001</v>
      </c>
      <c r="G2127" t="s">
        <v>15</v>
      </c>
    </row>
    <row r="2128" spans="1:7" x14ac:dyDescent="0.25">
      <c r="A2128">
        <v>119</v>
      </c>
      <c r="B2128" t="s">
        <v>684</v>
      </c>
      <c r="C2128">
        <v>30</v>
      </c>
      <c r="D2128" t="s">
        <v>102</v>
      </c>
      <c r="E2128" t="s">
        <v>103</v>
      </c>
      <c r="F2128">
        <v>0.84499999999999997</v>
      </c>
      <c r="G2128" t="s">
        <v>15</v>
      </c>
    </row>
    <row r="2129" spans="1:7" x14ac:dyDescent="0.25">
      <c r="A2129">
        <v>119</v>
      </c>
      <c r="B2129" t="s">
        <v>684</v>
      </c>
      <c r="C2129">
        <v>40</v>
      </c>
      <c r="D2129" t="s">
        <v>597</v>
      </c>
      <c r="E2129" t="s">
        <v>11</v>
      </c>
      <c r="F2129">
        <v>1.2450000000000001</v>
      </c>
      <c r="G2129" t="s">
        <v>18</v>
      </c>
    </row>
    <row r="2130" spans="1:7" x14ac:dyDescent="0.25">
      <c r="A2130">
        <v>119</v>
      </c>
      <c r="B2130" t="s">
        <v>684</v>
      </c>
      <c r="C2130">
        <v>50</v>
      </c>
      <c r="D2130" t="s">
        <v>139</v>
      </c>
      <c r="E2130" t="s">
        <v>17</v>
      </c>
      <c r="F2130">
        <v>1.2450000000000001</v>
      </c>
      <c r="G2130" t="s">
        <v>18</v>
      </c>
    </row>
    <row r="2131" spans="1:7" x14ac:dyDescent="0.25">
      <c r="A2131">
        <v>119</v>
      </c>
      <c r="B2131" t="s">
        <v>684</v>
      </c>
      <c r="C2131">
        <v>60</v>
      </c>
      <c r="D2131" t="s">
        <v>685</v>
      </c>
      <c r="E2131" t="s">
        <v>11</v>
      </c>
      <c r="F2131">
        <v>1</v>
      </c>
      <c r="G2131" t="s">
        <v>18</v>
      </c>
    </row>
    <row r="2132" spans="1:7" x14ac:dyDescent="0.25">
      <c r="A2132">
        <v>119</v>
      </c>
      <c r="B2132" t="s">
        <v>684</v>
      </c>
      <c r="C2132">
        <v>70</v>
      </c>
      <c r="D2132" t="s">
        <v>599</v>
      </c>
      <c r="E2132" t="s">
        <v>17</v>
      </c>
      <c r="F2132">
        <v>18.898</v>
      </c>
      <c r="G2132" t="s">
        <v>15</v>
      </c>
    </row>
    <row r="2133" spans="1:7" x14ac:dyDescent="0.25">
      <c r="A2133">
        <v>119</v>
      </c>
      <c r="B2133" t="s">
        <v>684</v>
      </c>
      <c r="C2133">
        <v>80</v>
      </c>
      <c r="D2133" t="s">
        <v>20</v>
      </c>
      <c r="E2133" t="s">
        <v>17</v>
      </c>
      <c r="F2133">
        <v>154.96</v>
      </c>
      <c r="G2133" t="s">
        <v>15</v>
      </c>
    </row>
    <row r="2134" spans="1:7" x14ac:dyDescent="0.25">
      <c r="A2134">
        <v>119</v>
      </c>
      <c r="B2134" t="s">
        <v>684</v>
      </c>
      <c r="C2134">
        <v>90</v>
      </c>
      <c r="D2134" t="s">
        <v>24</v>
      </c>
      <c r="E2134" t="s">
        <v>11</v>
      </c>
      <c r="F2134">
        <v>1</v>
      </c>
      <c r="G2134" t="s">
        <v>15</v>
      </c>
    </row>
    <row r="2135" spans="1:7" x14ac:dyDescent="0.25">
      <c r="A2135">
        <v>119</v>
      </c>
      <c r="B2135" t="s">
        <v>684</v>
      </c>
      <c r="C2135">
        <v>100</v>
      </c>
      <c r="D2135" t="s">
        <v>141</v>
      </c>
      <c r="E2135" t="s">
        <v>14</v>
      </c>
      <c r="F2135">
        <v>0.107</v>
      </c>
      <c r="G2135" t="s">
        <v>15</v>
      </c>
    </row>
    <row r="2136" spans="1:7" x14ac:dyDescent="0.25">
      <c r="A2136">
        <v>119</v>
      </c>
      <c r="B2136" t="s">
        <v>684</v>
      </c>
      <c r="C2136">
        <v>110</v>
      </c>
      <c r="D2136" t="s">
        <v>140</v>
      </c>
      <c r="E2136" t="s">
        <v>11</v>
      </c>
      <c r="F2136">
        <v>4</v>
      </c>
      <c r="G2136" t="s">
        <v>15</v>
      </c>
    </row>
    <row r="2137" spans="1:7" x14ac:dyDescent="0.25">
      <c r="A2137">
        <v>119</v>
      </c>
      <c r="B2137" t="s">
        <v>684</v>
      </c>
      <c r="C2137">
        <v>120</v>
      </c>
      <c r="D2137" t="s">
        <v>25</v>
      </c>
      <c r="E2137" t="s">
        <v>11</v>
      </c>
      <c r="F2137">
        <v>1</v>
      </c>
      <c r="G2137" t="s">
        <v>15</v>
      </c>
    </row>
    <row r="2138" spans="1:7" x14ac:dyDescent="0.25">
      <c r="A2138">
        <v>119</v>
      </c>
      <c r="B2138" t="s">
        <v>684</v>
      </c>
      <c r="C2138">
        <v>130</v>
      </c>
      <c r="D2138" t="s">
        <v>26</v>
      </c>
      <c r="E2138" t="s">
        <v>11</v>
      </c>
      <c r="F2138">
        <v>1</v>
      </c>
      <c r="G2138" t="s">
        <v>15</v>
      </c>
    </row>
    <row r="2139" spans="1:7" x14ac:dyDescent="0.25">
      <c r="A2139">
        <v>119</v>
      </c>
      <c r="B2139" t="s">
        <v>684</v>
      </c>
      <c r="C2139">
        <v>140</v>
      </c>
      <c r="D2139" t="s">
        <v>100</v>
      </c>
      <c r="E2139" t="s">
        <v>14</v>
      </c>
      <c r="F2139">
        <v>0.78400000000000003</v>
      </c>
      <c r="G2139" t="s">
        <v>15</v>
      </c>
    </row>
    <row r="2140" spans="1:7" x14ac:dyDescent="0.25">
      <c r="A2140">
        <v>119</v>
      </c>
      <c r="B2140" t="s">
        <v>684</v>
      </c>
      <c r="C2140">
        <v>150</v>
      </c>
      <c r="D2140" t="s">
        <v>407</v>
      </c>
      <c r="E2140" t="s">
        <v>11</v>
      </c>
      <c r="F2140">
        <v>1</v>
      </c>
      <c r="G2140" t="s">
        <v>18</v>
      </c>
    </row>
    <row r="2141" spans="1:7" x14ac:dyDescent="0.25">
      <c r="A2141">
        <v>119</v>
      </c>
      <c r="B2141" t="s">
        <v>684</v>
      </c>
      <c r="C2141">
        <v>160</v>
      </c>
      <c r="D2141" t="s">
        <v>408</v>
      </c>
      <c r="E2141" t="s">
        <v>11</v>
      </c>
      <c r="F2141">
        <v>1</v>
      </c>
      <c r="G2141" t="s">
        <v>18</v>
      </c>
    </row>
    <row r="2142" spans="1:7" x14ac:dyDescent="0.25">
      <c r="A2142">
        <v>119</v>
      </c>
      <c r="B2142" t="s">
        <v>684</v>
      </c>
      <c r="C2142">
        <v>170</v>
      </c>
      <c r="D2142" t="s">
        <v>142</v>
      </c>
      <c r="E2142" t="s">
        <v>11</v>
      </c>
      <c r="F2142">
        <v>6.2990000000000004</v>
      </c>
      <c r="G2142" t="s">
        <v>15</v>
      </c>
    </row>
    <row r="2143" spans="1:7" x14ac:dyDescent="0.25">
      <c r="A2143">
        <v>119</v>
      </c>
      <c r="B2143" t="s">
        <v>684</v>
      </c>
      <c r="C2143">
        <v>180</v>
      </c>
      <c r="D2143" t="s">
        <v>409</v>
      </c>
      <c r="E2143" t="s">
        <v>11</v>
      </c>
      <c r="F2143">
        <v>1</v>
      </c>
      <c r="G2143" t="s">
        <v>18</v>
      </c>
    </row>
    <row r="2144" spans="1:7" x14ac:dyDescent="0.25">
      <c r="A2144">
        <v>120</v>
      </c>
      <c r="B2144" t="s">
        <v>686</v>
      </c>
      <c r="C2144">
        <v>10</v>
      </c>
      <c r="D2144" t="s">
        <v>411</v>
      </c>
      <c r="E2144" t="s">
        <v>11</v>
      </c>
      <c r="F2144">
        <v>1</v>
      </c>
      <c r="G2144" t="s">
        <v>18</v>
      </c>
    </row>
    <row r="2145" spans="1:7" x14ac:dyDescent="0.25">
      <c r="A2145">
        <v>120</v>
      </c>
      <c r="B2145" t="s">
        <v>686</v>
      </c>
      <c r="C2145">
        <v>20</v>
      </c>
      <c r="D2145" t="s">
        <v>117</v>
      </c>
      <c r="E2145" t="s">
        <v>14</v>
      </c>
      <c r="F2145">
        <v>3.843</v>
      </c>
      <c r="G2145" t="s">
        <v>15</v>
      </c>
    </row>
    <row r="2146" spans="1:7" x14ac:dyDescent="0.25">
      <c r="A2146">
        <v>120</v>
      </c>
      <c r="B2146" t="s">
        <v>686</v>
      </c>
      <c r="C2146">
        <v>30</v>
      </c>
      <c r="D2146" t="s">
        <v>102</v>
      </c>
      <c r="E2146" t="s">
        <v>103</v>
      </c>
      <c r="F2146">
        <v>1.06</v>
      </c>
      <c r="G2146" t="s">
        <v>15</v>
      </c>
    </row>
    <row r="2147" spans="1:7" x14ac:dyDescent="0.25">
      <c r="A2147">
        <v>120</v>
      </c>
      <c r="B2147" t="s">
        <v>686</v>
      </c>
      <c r="C2147">
        <v>40</v>
      </c>
      <c r="D2147" t="s">
        <v>597</v>
      </c>
      <c r="E2147" t="s">
        <v>11</v>
      </c>
      <c r="F2147">
        <v>1.5489999999999999</v>
      </c>
      <c r="G2147" t="s">
        <v>18</v>
      </c>
    </row>
    <row r="2148" spans="1:7" x14ac:dyDescent="0.25">
      <c r="A2148">
        <v>120</v>
      </c>
      <c r="B2148" t="s">
        <v>686</v>
      </c>
      <c r="C2148">
        <v>50</v>
      </c>
      <c r="D2148" t="s">
        <v>139</v>
      </c>
      <c r="E2148" t="s">
        <v>17</v>
      </c>
      <c r="F2148">
        <v>1.5489999999999999</v>
      </c>
      <c r="G2148" t="s">
        <v>18</v>
      </c>
    </row>
    <row r="2149" spans="1:7" x14ac:dyDescent="0.25">
      <c r="A2149">
        <v>120</v>
      </c>
      <c r="B2149" t="s">
        <v>686</v>
      </c>
      <c r="C2149">
        <v>60</v>
      </c>
      <c r="D2149" t="s">
        <v>687</v>
      </c>
      <c r="E2149" t="s">
        <v>11</v>
      </c>
      <c r="F2149">
        <v>1</v>
      </c>
      <c r="G2149" t="s">
        <v>18</v>
      </c>
    </row>
    <row r="2150" spans="1:7" x14ac:dyDescent="0.25">
      <c r="A2150">
        <v>120</v>
      </c>
      <c r="B2150" t="s">
        <v>686</v>
      </c>
      <c r="C2150">
        <v>70</v>
      </c>
      <c r="D2150" t="s">
        <v>599</v>
      </c>
      <c r="E2150" t="s">
        <v>17</v>
      </c>
      <c r="F2150">
        <v>20.725999999999999</v>
      </c>
      <c r="G2150" t="s">
        <v>15</v>
      </c>
    </row>
    <row r="2151" spans="1:7" x14ac:dyDescent="0.25">
      <c r="A2151">
        <v>120</v>
      </c>
      <c r="B2151" t="s">
        <v>686</v>
      </c>
      <c r="C2151">
        <v>80</v>
      </c>
      <c r="D2151" t="s">
        <v>20</v>
      </c>
      <c r="E2151" t="s">
        <v>17</v>
      </c>
      <c r="F2151">
        <v>169.95599999999999</v>
      </c>
      <c r="G2151" t="s">
        <v>15</v>
      </c>
    </row>
    <row r="2152" spans="1:7" x14ac:dyDescent="0.25">
      <c r="A2152">
        <v>120</v>
      </c>
      <c r="B2152" t="s">
        <v>686</v>
      </c>
      <c r="C2152">
        <v>90</v>
      </c>
      <c r="D2152" t="s">
        <v>24</v>
      </c>
      <c r="E2152" t="s">
        <v>11</v>
      </c>
      <c r="F2152">
        <v>1</v>
      </c>
      <c r="G2152" t="s">
        <v>15</v>
      </c>
    </row>
    <row r="2153" spans="1:7" x14ac:dyDescent="0.25">
      <c r="A2153">
        <v>120</v>
      </c>
      <c r="B2153" t="s">
        <v>686</v>
      </c>
      <c r="C2153">
        <v>100</v>
      </c>
      <c r="D2153" t="s">
        <v>141</v>
      </c>
      <c r="E2153" t="s">
        <v>14</v>
      </c>
      <c r="F2153">
        <v>0.128</v>
      </c>
      <c r="G2153" t="s">
        <v>15</v>
      </c>
    </row>
    <row r="2154" spans="1:7" x14ac:dyDescent="0.25">
      <c r="A2154">
        <v>120</v>
      </c>
      <c r="B2154" t="s">
        <v>686</v>
      </c>
      <c r="C2154">
        <v>110</v>
      </c>
      <c r="D2154" t="s">
        <v>140</v>
      </c>
      <c r="E2154" t="s">
        <v>11</v>
      </c>
      <c r="F2154">
        <v>4</v>
      </c>
      <c r="G2154" t="s">
        <v>15</v>
      </c>
    </row>
    <row r="2155" spans="1:7" x14ac:dyDescent="0.25">
      <c r="A2155">
        <v>120</v>
      </c>
      <c r="B2155" t="s">
        <v>686</v>
      </c>
      <c r="C2155">
        <v>120</v>
      </c>
      <c r="D2155" t="s">
        <v>25</v>
      </c>
      <c r="E2155" t="s">
        <v>11</v>
      </c>
      <c r="F2155">
        <v>1</v>
      </c>
      <c r="G2155" t="s">
        <v>15</v>
      </c>
    </row>
    <row r="2156" spans="1:7" x14ac:dyDescent="0.25">
      <c r="A2156">
        <v>120</v>
      </c>
      <c r="B2156" t="s">
        <v>686</v>
      </c>
      <c r="C2156">
        <v>130</v>
      </c>
      <c r="D2156" t="s">
        <v>26</v>
      </c>
      <c r="E2156" t="s">
        <v>11</v>
      </c>
      <c r="F2156">
        <v>1</v>
      </c>
      <c r="G2156" t="s">
        <v>15</v>
      </c>
    </row>
    <row r="2157" spans="1:7" x14ac:dyDescent="0.25">
      <c r="A2157">
        <v>120</v>
      </c>
      <c r="B2157" t="s">
        <v>686</v>
      </c>
      <c r="C2157">
        <v>140</v>
      </c>
      <c r="D2157" t="s">
        <v>100</v>
      </c>
      <c r="E2157" t="s">
        <v>14</v>
      </c>
      <c r="F2157">
        <v>0.94599999999999995</v>
      </c>
      <c r="G2157" t="s">
        <v>15</v>
      </c>
    </row>
    <row r="2158" spans="1:7" x14ac:dyDescent="0.25">
      <c r="A2158">
        <v>120</v>
      </c>
      <c r="B2158" t="s">
        <v>686</v>
      </c>
      <c r="C2158">
        <v>150</v>
      </c>
      <c r="D2158" t="s">
        <v>413</v>
      </c>
      <c r="E2158" t="s">
        <v>11</v>
      </c>
      <c r="F2158">
        <v>1</v>
      </c>
      <c r="G2158" t="s">
        <v>18</v>
      </c>
    </row>
    <row r="2159" spans="1:7" x14ac:dyDescent="0.25">
      <c r="A2159">
        <v>120</v>
      </c>
      <c r="B2159" t="s">
        <v>686</v>
      </c>
      <c r="C2159">
        <v>160</v>
      </c>
      <c r="D2159" t="s">
        <v>414</v>
      </c>
      <c r="E2159" t="s">
        <v>11</v>
      </c>
      <c r="F2159">
        <v>1</v>
      </c>
      <c r="G2159" t="s">
        <v>18</v>
      </c>
    </row>
    <row r="2160" spans="1:7" x14ac:dyDescent="0.25">
      <c r="A2160">
        <v>120</v>
      </c>
      <c r="B2160" t="s">
        <v>686</v>
      </c>
      <c r="C2160">
        <v>170</v>
      </c>
      <c r="D2160" t="s">
        <v>142</v>
      </c>
      <c r="E2160" t="s">
        <v>11</v>
      </c>
      <c r="F2160">
        <v>6.9089999999999998</v>
      </c>
      <c r="G2160" t="s">
        <v>15</v>
      </c>
    </row>
    <row r="2161" spans="1:7" x14ac:dyDescent="0.25">
      <c r="A2161">
        <v>120</v>
      </c>
      <c r="B2161" t="s">
        <v>686</v>
      </c>
      <c r="C2161">
        <v>180</v>
      </c>
      <c r="D2161" t="s">
        <v>415</v>
      </c>
      <c r="E2161" t="s">
        <v>11</v>
      </c>
      <c r="F2161">
        <v>1</v>
      </c>
      <c r="G2161" t="s">
        <v>18</v>
      </c>
    </row>
    <row r="2162" spans="1:7" x14ac:dyDescent="0.25">
      <c r="A2162">
        <v>121</v>
      </c>
      <c r="B2162" t="s">
        <v>688</v>
      </c>
      <c r="C2162">
        <v>10</v>
      </c>
      <c r="D2162" t="s">
        <v>417</v>
      </c>
      <c r="E2162" t="s">
        <v>11</v>
      </c>
      <c r="F2162">
        <v>1</v>
      </c>
      <c r="G2162" t="s">
        <v>18</v>
      </c>
    </row>
    <row r="2163" spans="1:7" x14ac:dyDescent="0.25">
      <c r="A2163">
        <v>121</v>
      </c>
      <c r="B2163" t="s">
        <v>688</v>
      </c>
      <c r="C2163">
        <v>20</v>
      </c>
      <c r="D2163" t="s">
        <v>118</v>
      </c>
      <c r="E2163" t="s">
        <v>14</v>
      </c>
      <c r="F2163">
        <v>4.2300000000000004</v>
      </c>
      <c r="G2163" t="s">
        <v>15</v>
      </c>
    </row>
    <row r="2164" spans="1:7" x14ac:dyDescent="0.25">
      <c r="A2164">
        <v>121</v>
      </c>
      <c r="B2164" t="s">
        <v>688</v>
      </c>
      <c r="C2164">
        <v>30</v>
      </c>
      <c r="D2164" t="s">
        <v>102</v>
      </c>
      <c r="E2164" t="s">
        <v>103</v>
      </c>
      <c r="F2164">
        <v>1.1679999999999999</v>
      </c>
      <c r="G2164" t="s">
        <v>15</v>
      </c>
    </row>
    <row r="2165" spans="1:7" x14ac:dyDescent="0.25">
      <c r="A2165">
        <v>121</v>
      </c>
      <c r="B2165" t="s">
        <v>688</v>
      </c>
      <c r="C2165">
        <v>40</v>
      </c>
      <c r="D2165" t="s">
        <v>597</v>
      </c>
      <c r="E2165" t="s">
        <v>11</v>
      </c>
      <c r="F2165">
        <v>1.702</v>
      </c>
      <c r="G2165" t="s">
        <v>18</v>
      </c>
    </row>
    <row r="2166" spans="1:7" x14ac:dyDescent="0.25">
      <c r="A2166">
        <v>121</v>
      </c>
      <c r="B2166" t="s">
        <v>688</v>
      </c>
      <c r="C2166">
        <v>50</v>
      </c>
      <c r="D2166" t="s">
        <v>139</v>
      </c>
      <c r="E2166" t="s">
        <v>17</v>
      </c>
      <c r="F2166">
        <v>1.702</v>
      </c>
      <c r="G2166" t="s">
        <v>18</v>
      </c>
    </row>
    <row r="2167" spans="1:7" x14ac:dyDescent="0.25">
      <c r="A2167">
        <v>121</v>
      </c>
      <c r="B2167" t="s">
        <v>688</v>
      </c>
      <c r="C2167">
        <v>60</v>
      </c>
      <c r="D2167" t="s">
        <v>689</v>
      </c>
      <c r="E2167" t="s">
        <v>11</v>
      </c>
      <c r="F2167">
        <v>1</v>
      </c>
      <c r="G2167" t="s">
        <v>18</v>
      </c>
    </row>
    <row r="2168" spans="1:7" x14ac:dyDescent="0.25">
      <c r="A2168">
        <v>121</v>
      </c>
      <c r="B2168" t="s">
        <v>688</v>
      </c>
      <c r="C2168">
        <v>70</v>
      </c>
      <c r="D2168" t="s">
        <v>599</v>
      </c>
      <c r="E2168" t="s">
        <v>17</v>
      </c>
      <c r="F2168">
        <v>21.640999999999998</v>
      </c>
      <c r="G2168" t="s">
        <v>15</v>
      </c>
    </row>
    <row r="2169" spans="1:7" x14ac:dyDescent="0.25">
      <c r="A2169">
        <v>121</v>
      </c>
      <c r="B2169" t="s">
        <v>688</v>
      </c>
      <c r="C2169">
        <v>80</v>
      </c>
      <c r="D2169" t="s">
        <v>20</v>
      </c>
      <c r="E2169" t="s">
        <v>17</v>
      </c>
      <c r="F2169">
        <v>177.45500000000001</v>
      </c>
      <c r="G2169" t="s">
        <v>15</v>
      </c>
    </row>
    <row r="2170" spans="1:7" x14ac:dyDescent="0.25">
      <c r="A2170">
        <v>121</v>
      </c>
      <c r="B2170" t="s">
        <v>688</v>
      </c>
      <c r="C2170">
        <v>90</v>
      </c>
      <c r="D2170" t="s">
        <v>24</v>
      </c>
      <c r="E2170" t="s">
        <v>11</v>
      </c>
      <c r="F2170">
        <v>1</v>
      </c>
      <c r="G2170" t="s">
        <v>15</v>
      </c>
    </row>
    <row r="2171" spans="1:7" x14ac:dyDescent="0.25">
      <c r="A2171">
        <v>121</v>
      </c>
      <c r="B2171" t="s">
        <v>688</v>
      </c>
      <c r="C2171">
        <v>100</v>
      </c>
      <c r="D2171" t="s">
        <v>141</v>
      </c>
      <c r="E2171" t="s">
        <v>14</v>
      </c>
      <c r="F2171">
        <v>0.13800000000000001</v>
      </c>
      <c r="G2171" t="s">
        <v>15</v>
      </c>
    </row>
    <row r="2172" spans="1:7" x14ac:dyDescent="0.25">
      <c r="A2172">
        <v>121</v>
      </c>
      <c r="B2172" t="s">
        <v>688</v>
      </c>
      <c r="C2172">
        <v>110</v>
      </c>
      <c r="D2172" t="s">
        <v>140</v>
      </c>
      <c r="E2172" t="s">
        <v>11</v>
      </c>
      <c r="F2172">
        <v>4</v>
      </c>
      <c r="G2172" t="s">
        <v>15</v>
      </c>
    </row>
    <row r="2173" spans="1:7" x14ac:dyDescent="0.25">
      <c r="A2173">
        <v>121</v>
      </c>
      <c r="B2173" t="s">
        <v>688</v>
      </c>
      <c r="C2173">
        <v>120</v>
      </c>
      <c r="D2173" t="s">
        <v>25</v>
      </c>
      <c r="E2173" t="s">
        <v>11</v>
      </c>
      <c r="F2173">
        <v>1</v>
      </c>
      <c r="G2173" t="s">
        <v>15</v>
      </c>
    </row>
    <row r="2174" spans="1:7" x14ac:dyDescent="0.25">
      <c r="A2174">
        <v>121</v>
      </c>
      <c r="B2174" t="s">
        <v>688</v>
      </c>
      <c r="C2174">
        <v>130</v>
      </c>
      <c r="D2174" t="s">
        <v>26</v>
      </c>
      <c r="E2174" t="s">
        <v>11</v>
      </c>
      <c r="F2174">
        <v>1</v>
      </c>
      <c r="G2174" t="s">
        <v>15</v>
      </c>
    </row>
    <row r="2175" spans="1:7" x14ac:dyDescent="0.25">
      <c r="A2175">
        <v>121</v>
      </c>
      <c r="B2175" t="s">
        <v>688</v>
      </c>
      <c r="C2175">
        <v>140</v>
      </c>
      <c r="D2175" t="s">
        <v>100</v>
      </c>
      <c r="E2175" t="s">
        <v>14</v>
      </c>
      <c r="F2175">
        <v>1.0269999999999999</v>
      </c>
      <c r="G2175" t="s">
        <v>15</v>
      </c>
    </row>
    <row r="2176" spans="1:7" x14ac:dyDescent="0.25">
      <c r="A2176">
        <v>121</v>
      </c>
      <c r="B2176" t="s">
        <v>688</v>
      </c>
      <c r="C2176">
        <v>150</v>
      </c>
      <c r="D2176" t="s">
        <v>419</v>
      </c>
      <c r="E2176" t="s">
        <v>11</v>
      </c>
      <c r="F2176">
        <v>1</v>
      </c>
      <c r="G2176" t="s">
        <v>18</v>
      </c>
    </row>
    <row r="2177" spans="1:7" x14ac:dyDescent="0.25">
      <c r="A2177">
        <v>121</v>
      </c>
      <c r="B2177" t="s">
        <v>688</v>
      </c>
      <c r="C2177">
        <v>160</v>
      </c>
      <c r="D2177" t="s">
        <v>420</v>
      </c>
      <c r="E2177" t="s">
        <v>11</v>
      </c>
      <c r="F2177">
        <v>1</v>
      </c>
      <c r="G2177" t="s">
        <v>18</v>
      </c>
    </row>
    <row r="2178" spans="1:7" x14ac:dyDescent="0.25">
      <c r="A2178">
        <v>121</v>
      </c>
      <c r="B2178" t="s">
        <v>688</v>
      </c>
      <c r="C2178">
        <v>170</v>
      </c>
      <c r="D2178" t="s">
        <v>142</v>
      </c>
      <c r="E2178" t="s">
        <v>11</v>
      </c>
      <c r="F2178">
        <v>7.2140000000000004</v>
      </c>
      <c r="G2178" t="s">
        <v>15</v>
      </c>
    </row>
    <row r="2179" spans="1:7" x14ac:dyDescent="0.25">
      <c r="A2179">
        <v>121</v>
      </c>
      <c r="B2179" t="s">
        <v>688</v>
      </c>
      <c r="C2179">
        <v>180</v>
      </c>
      <c r="D2179" t="s">
        <v>421</v>
      </c>
      <c r="E2179" t="s">
        <v>11</v>
      </c>
      <c r="F2179">
        <v>1</v>
      </c>
      <c r="G2179" t="s">
        <v>18</v>
      </c>
    </row>
    <row r="2180" spans="1:7" x14ac:dyDescent="0.25">
      <c r="A2180">
        <v>122</v>
      </c>
      <c r="B2180" t="s">
        <v>690</v>
      </c>
      <c r="C2180">
        <v>10</v>
      </c>
      <c r="D2180" t="s">
        <v>423</v>
      </c>
      <c r="E2180" t="s">
        <v>11</v>
      </c>
      <c r="F2180">
        <v>1</v>
      </c>
      <c r="G2180" t="s">
        <v>18</v>
      </c>
    </row>
    <row r="2181" spans="1:7" x14ac:dyDescent="0.25">
      <c r="A2181">
        <v>122</v>
      </c>
      <c r="B2181" t="s">
        <v>690</v>
      </c>
      <c r="C2181">
        <v>20</v>
      </c>
      <c r="D2181" t="s">
        <v>119</v>
      </c>
      <c r="E2181" t="s">
        <v>14</v>
      </c>
      <c r="F2181">
        <v>4.6180000000000003</v>
      </c>
      <c r="G2181" t="s">
        <v>15</v>
      </c>
    </row>
    <row r="2182" spans="1:7" x14ac:dyDescent="0.25">
      <c r="A2182">
        <v>122</v>
      </c>
      <c r="B2182" t="s">
        <v>690</v>
      </c>
      <c r="C2182">
        <v>30</v>
      </c>
      <c r="D2182" t="s">
        <v>102</v>
      </c>
      <c r="E2182" t="s">
        <v>103</v>
      </c>
      <c r="F2182">
        <v>1.276</v>
      </c>
      <c r="G2182" t="s">
        <v>15</v>
      </c>
    </row>
    <row r="2183" spans="1:7" x14ac:dyDescent="0.25">
      <c r="A2183">
        <v>122</v>
      </c>
      <c r="B2183" t="s">
        <v>690</v>
      </c>
      <c r="C2183">
        <v>40</v>
      </c>
      <c r="D2183" t="s">
        <v>597</v>
      </c>
      <c r="E2183" t="s">
        <v>11</v>
      </c>
      <c r="F2183">
        <v>1.8540000000000001</v>
      </c>
      <c r="G2183" t="s">
        <v>18</v>
      </c>
    </row>
    <row r="2184" spans="1:7" x14ac:dyDescent="0.25">
      <c r="A2184">
        <v>122</v>
      </c>
      <c r="B2184" t="s">
        <v>690</v>
      </c>
      <c r="C2184">
        <v>50</v>
      </c>
      <c r="D2184" t="s">
        <v>139</v>
      </c>
      <c r="E2184" t="s">
        <v>17</v>
      </c>
      <c r="F2184">
        <v>1.8540000000000001</v>
      </c>
      <c r="G2184" t="s">
        <v>18</v>
      </c>
    </row>
    <row r="2185" spans="1:7" x14ac:dyDescent="0.25">
      <c r="A2185">
        <v>122</v>
      </c>
      <c r="B2185" t="s">
        <v>690</v>
      </c>
      <c r="C2185">
        <v>60</v>
      </c>
      <c r="D2185" t="s">
        <v>691</v>
      </c>
      <c r="E2185" t="s">
        <v>11</v>
      </c>
      <c r="F2185">
        <v>1</v>
      </c>
      <c r="G2185" t="s">
        <v>18</v>
      </c>
    </row>
    <row r="2186" spans="1:7" x14ac:dyDescent="0.25">
      <c r="A2186">
        <v>122</v>
      </c>
      <c r="B2186" t="s">
        <v>690</v>
      </c>
      <c r="C2186">
        <v>70</v>
      </c>
      <c r="D2186" t="s">
        <v>599</v>
      </c>
      <c r="E2186" t="s">
        <v>17</v>
      </c>
      <c r="F2186">
        <v>22.555</v>
      </c>
      <c r="G2186" t="s">
        <v>15</v>
      </c>
    </row>
    <row r="2187" spans="1:7" x14ac:dyDescent="0.25">
      <c r="A2187">
        <v>122</v>
      </c>
      <c r="B2187" t="s">
        <v>690</v>
      </c>
      <c r="C2187">
        <v>80</v>
      </c>
      <c r="D2187" t="s">
        <v>20</v>
      </c>
      <c r="E2187" t="s">
        <v>17</v>
      </c>
      <c r="F2187">
        <v>184.953</v>
      </c>
      <c r="G2187" t="s">
        <v>15</v>
      </c>
    </row>
    <row r="2188" spans="1:7" x14ac:dyDescent="0.25">
      <c r="A2188">
        <v>122</v>
      </c>
      <c r="B2188" t="s">
        <v>690</v>
      </c>
      <c r="C2188">
        <v>90</v>
      </c>
      <c r="D2188" t="s">
        <v>24</v>
      </c>
      <c r="E2188" t="s">
        <v>11</v>
      </c>
      <c r="F2188">
        <v>1</v>
      </c>
      <c r="G2188" t="s">
        <v>15</v>
      </c>
    </row>
    <row r="2189" spans="1:7" x14ac:dyDescent="0.25">
      <c r="A2189">
        <v>122</v>
      </c>
      <c r="B2189" t="s">
        <v>690</v>
      </c>
      <c r="C2189">
        <v>100</v>
      </c>
      <c r="D2189" t="s">
        <v>141</v>
      </c>
      <c r="E2189" t="s">
        <v>14</v>
      </c>
      <c r="F2189">
        <v>0.14899999999999999</v>
      </c>
      <c r="G2189" t="s">
        <v>15</v>
      </c>
    </row>
    <row r="2190" spans="1:7" x14ac:dyDescent="0.25">
      <c r="A2190">
        <v>122</v>
      </c>
      <c r="B2190" t="s">
        <v>690</v>
      </c>
      <c r="C2190">
        <v>110</v>
      </c>
      <c r="D2190" t="s">
        <v>140</v>
      </c>
      <c r="E2190" t="s">
        <v>11</v>
      </c>
      <c r="F2190">
        <v>4</v>
      </c>
      <c r="G2190" t="s">
        <v>15</v>
      </c>
    </row>
    <row r="2191" spans="1:7" x14ac:dyDescent="0.25">
      <c r="A2191">
        <v>122</v>
      </c>
      <c r="B2191" t="s">
        <v>690</v>
      </c>
      <c r="C2191">
        <v>120</v>
      </c>
      <c r="D2191" t="s">
        <v>25</v>
      </c>
      <c r="E2191" t="s">
        <v>11</v>
      </c>
      <c r="F2191">
        <v>1</v>
      </c>
      <c r="G2191" t="s">
        <v>15</v>
      </c>
    </row>
    <row r="2192" spans="1:7" x14ac:dyDescent="0.25">
      <c r="A2192">
        <v>122</v>
      </c>
      <c r="B2192" t="s">
        <v>690</v>
      </c>
      <c r="C2192">
        <v>130</v>
      </c>
      <c r="D2192" t="s">
        <v>26</v>
      </c>
      <c r="E2192" t="s">
        <v>11</v>
      </c>
      <c r="F2192">
        <v>1</v>
      </c>
      <c r="G2192" t="s">
        <v>15</v>
      </c>
    </row>
    <row r="2193" spans="1:7" x14ac:dyDescent="0.25">
      <c r="A2193">
        <v>122</v>
      </c>
      <c r="B2193" t="s">
        <v>690</v>
      </c>
      <c r="C2193">
        <v>140</v>
      </c>
      <c r="D2193" t="s">
        <v>100</v>
      </c>
      <c r="E2193" t="s">
        <v>14</v>
      </c>
      <c r="F2193">
        <v>1.1080000000000001</v>
      </c>
      <c r="G2193" t="s">
        <v>15</v>
      </c>
    </row>
    <row r="2194" spans="1:7" x14ac:dyDescent="0.25">
      <c r="A2194">
        <v>122</v>
      </c>
      <c r="B2194" t="s">
        <v>690</v>
      </c>
      <c r="C2194">
        <v>150</v>
      </c>
      <c r="D2194" t="s">
        <v>425</v>
      </c>
      <c r="E2194" t="s">
        <v>11</v>
      </c>
      <c r="F2194">
        <v>1</v>
      </c>
      <c r="G2194" t="s">
        <v>18</v>
      </c>
    </row>
    <row r="2195" spans="1:7" x14ac:dyDescent="0.25">
      <c r="A2195">
        <v>122</v>
      </c>
      <c r="B2195" t="s">
        <v>690</v>
      </c>
      <c r="C2195">
        <v>160</v>
      </c>
      <c r="D2195" t="s">
        <v>426</v>
      </c>
      <c r="E2195" t="s">
        <v>11</v>
      </c>
      <c r="F2195">
        <v>1</v>
      </c>
      <c r="G2195" t="s">
        <v>18</v>
      </c>
    </row>
    <row r="2196" spans="1:7" x14ac:dyDescent="0.25">
      <c r="A2196">
        <v>122</v>
      </c>
      <c r="B2196" t="s">
        <v>690</v>
      </c>
      <c r="C2196">
        <v>170</v>
      </c>
      <c r="D2196" t="s">
        <v>142</v>
      </c>
      <c r="E2196" t="s">
        <v>11</v>
      </c>
      <c r="F2196">
        <v>7.5179999999999998</v>
      </c>
      <c r="G2196" t="s">
        <v>15</v>
      </c>
    </row>
    <row r="2197" spans="1:7" x14ac:dyDescent="0.25">
      <c r="A2197">
        <v>122</v>
      </c>
      <c r="B2197" t="s">
        <v>690</v>
      </c>
      <c r="C2197">
        <v>180</v>
      </c>
      <c r="D2197" t="s">
        <v>427</v>
      </c>
      <c r="E2197" t="s">
        <v>11</v>
      </c>
      <c r="F2197">
        <v>1</v>
      </c>
      <c r="G2197" t="s">
        <v>18</v>
      </c>
    </row>
    <row r="2198" spans="1:7" x14ac:dyDescent="0.25">
      <c r="A2198">
        <v>123</v>
      </c>
      <c r="B2198" t="s">
        <v>692</v>
      </c>
      <c r="C2198">
        <v>10</v>
      </c>
      <c r="D2198" t="s">
        <v>429</v>
      </c>
      <c r="E2198" t="s">
        <v>11</v>
      </c>
      <c r="F2198">
        <v>1</v>
      </c>
      <c r="G2198" t="s">
        <v>18</v>
      </c>
    </row>
    <row r="2199" spans="1:7" x14ac:dyDescent="0.25">
      <c r="A2199">
        <v>123</v>
      </c>
      <c r="B2199" t="s">
        <v>692</v>
      </c>
      <c r="C2199">
        <v>20</v>
      </c>
      <c r="D2199" t="s">
        <v>134</v>
      </c>
      <c r="E2199" t="s">
        <v>14</v>
      </c>
      <c r="F2199">
        <v>1.9850000000000001</v>
      </c>
      <c r="G2199" t="s">
        <v>15</v>
      </c>
    </row>
    <row r="2200" spans="1:7" x14ac:dyDescent="0.25">
      <c r="A2200">
        <v>123</v>
      </c>
      <c r="B2200" t="s">
        <v>692</v>
      </c>
      <c r="C2200">
        <v>30</v>
      </c>
      <c r="D2200" t="s">
        <v>102</v>
      </c>
      <c r="E2200" t="s">
        <v>103</v>
      </c>
      <c r="F2200">
        <v>0.54300000000000004</v>
      </c>
      <c r="G2200" t="s">
        <v>15</v>
      </c>
    </row>
    <row r="2201" spans="1:7" x14ac:dyDescent="0.25">
      <c r="A2201">
        <v>123</v>
      </c>
      <c r="B2201" t="s">
        <v>692</v>
      </c>
      <c r="C2201">
        <v>40</v>
      </c>
      <c r="D2201" t="s">
        <v>597</v>
      </c>
      <c r="E2201" t="s">
        <v>11</v>
      </c>
      <c r="F2201">
        <v>0.78700000000000003</v>
      </c>
      <c r="G2201" t="s">
        <v>18</v>
      </c>
    </row>
    <row r="2202" spans="1:7" x14ac:dyDescent="0.25">
      <c r="A2202">
        <v>123</v>
      </c>
      <c r="B2202" t="s">
        <v>692</v>
      </c>
      <c r="C2202">
        <v>50</v>
      </c>
      <c r="D2202" t="s">
        <v>139</v>
      </c>
      <c r="E2202" t="s">
        <v>17</v>
      </c>
      <c r="F2202">
        <v>0.78700000000000003</v>
      </c>
      <c r="G2202" t="s">
        <v>18</v>
      </c>
    </row>
    <row r="2203" spans="1:7" x14ac:dyDescent="0.25">
      <c r="A2203">
        <v>123</v>
      </c>
      <c r="B2203" t="s">
        <v>692</v>
      </c>
      <c r="C2203">
        <v>60</v>
      </c>
      <c r="D2203" t="s">
        <v>693</v>
      </c>
      <c r="E2203" t="s">
        <v>11</v>
      </c>
      <c r="F2203">
        <v>1</v>
      </c>
      <c r="G2203" t="s">
        <v>18</v>
      </c>
    </row>
    <row r="2204" spans="1:7" x14ac:dyDescent="0.25">
      <c r="A2204">
        <v>123</v>
      </c>
      <c r="B2204" t="s">
        <v>692</v>
      </c>
      <c r="C2204">
        <v>70</v>
      </c>
      <c r="D2204" t="s">
        <v>599</v>
      </c>
      <c r="E2204" t="s">
        <v>17</v>
      </c>
      <c r="F2204">
        <v>16.611999999999998</v>
      </c>
      <c r="G2204" t="s">
        <v>15</v>
      </c>
    </row>
    <row r="2205" spans="1:7" x14ac:dyDescent="0.25">
      <c r="A2205">
        <v>123</v>
      </c>
      <c r="B2205" t="s">
        <v>692</v>
      </c>
      <c r="C2205">
        <v>80</v>
      </c>
      <c r="D2205" t="s">
        <v>20</v>
      </c>
      <c r="E2205" t="s">
        <v>17</v>
      </c>
      <c r="F2205">
        <v>136.215</v>
      </c>
      <c r="G2205" t="s">
        <v>15</v>
      </c>
    </row>
    <row r="2206" spans="1:7" x14ac:dyDescent="0.25">
      <c r="A2206">
        <v>123</v>
      </c>
      <c r="B2206" t="s">
        <v>692</v>
      </c>
      <c r="C2206">
        <v>90</v>
      </c>
      <c r="D2206" t="s">
        <v>24</v>
      </c>
      <c r="E2206" t="s">
        <v>11</v>
      </c>
      <c r="F2206">
        <v>1</v>
      </c>
      <c r="G2206" t="s">
        <v>15</v>
      </c>
    </row>
    <row r="2207" spans="1:7" x14ac:dyDescent="0.25">
      <c r="A2207">
        <v>123</v>
      </c>
      <c r="B2207" t="s">
        <v>692</v>
      </c>
      <c r="C2207">
        <v>100</v>
      </c>
      <c r="D2207" t="s">
        <v>141</v>
      </c>
      <c r="E2207" t="s">
        <v>14</v>
      </c>
      <c r="F2207">
        <v>7.5999999999999998E-2</v>
      </c>
      <c r="G2207" t="s">
        <v>15</v>
      </c>
    </row>
    <row r="2208" spans="1:7" x14ac:dyDescent="0.25">
      <c r="A2208">
        <v>123</v>
      </c>
      <c r="B2208" t="s">
        <v>692</v>
      </c>
      <c r="C2208">
        <v>110</v>
      </c>
      <c r="D2208" t="s">
        <v>140</v>
      </c>
      <c r="E2208" t="s">
        <v>11</v>
      </c>
      <c r="F2208">
        <v>4</v>
      </c>
      <c r="G2208" t="s">
        <v>15</v>
      </c>
    </row>
    <row r="2209" spans="1:7" x14ac:dyDescent="0.25">
      <c r="A2209">
        <v>123</v>
      </c>
      <c r="B2209" t="s">
        <v>692</v>
      </c>
      <c r="C2209">
        <v>120</v>
      </c>
      <c r="D2209" t="s">
        <v>25</v>
      </c>
      <c r="E2209" t="s">
        <v>11</v>
      </c>
      <c r="F2209">
        <v>1</v>
      </c>
      <c r="G2209" t="s">
        <v>15</v>
      </c>
    </row>
    <row r="2210" spans="1:7" x14ac:dyDescent="0.25">
      <c r="A2210">
        <v>123</v>
      </c>
      <c r="B2210" t="s">
        <v>692</v>
      </c>
      <c r="C2210">
        <v>130</v>
      </c>
      <c r="D2210" t="s">
        <v>26</v>
      </c>
      <c r="E2210" t="s">
        <v>11</v>
      </c>
      <c r="F2210">
        <v>1</v>
      </c>
      <c r="G2210" t="s">
        <v>15</v>
      </c>
    </row>
    <row r="2211" spans="1:7" x14ac:dyDescent="0.25">
      <c r="A2211">
        <v>123</v>
      </c>
      <c r="B2211" t="s">
        <v>692</v>
      </c>
      <c r="C2211">
        <v>140</v>
      </c>
      <c r="D2211" t="s">
        <v>100</v>
      </c>
      <c r="E2211" t="s">
        <v>14</v>
      </c>
      <c r="F2211">
        <v>0.54</v>
      </c>
      <c r="G2211" t="s">
        <v>15</v>
      </c>
    </row>
    <row r="2212" spans="1:7" x14ac:dyDescent="0.25">
      <c r="A2212">
        <v>123</v>
      </c>
      <c r="B2212" t="s">
        <v>692</v>
      </c>
      <c r="C2212">
        <v>150</v>
      </c>
      <c r="D2212" t="s">
        <v>431</v>
      </c>
      <c r="E2212" t="s">
        <v>11</v>
      </c>
      <c r="F2212">
        <v>1</v>
      </c>
      <c r="G2212" t="s">
        <v>18</v>
      </c>
    </row>
    <row r="2213" spans="1:7" x14ac:dyDescent="0.25">
      <c r="A2213">
        <v>123</v>
      </c>
      <c r="B2213" t="s">
        <v>692</v>
      </c>
      <c r="C2213">
        <v>160</v>
      </c>
      <c r="D2213" t="s">
        <v>432</v>
      </c>
      <c r="E2213" t="s">
        <v>11</v>
      </c>
      <c r="F2213">
        <v>1</v>
      </c>
      <c r="G2213" t="s">
        <v>18</v>
      </c>
    </row>
    <row r="2214" spans="1:7" x14ac:dyDescent="0.25">
      <c r="A2214">
        <v>123</v>
      </c>
      <c r="B2214" t="s">
        <v>692</v>
      </c>
      <c r="C2214">
        <v>170</v>
      </c>
      <c r="D2214" t="s">
        <v>142</v>
      </c>
      <c r="E2214" t="s">
        <v>11</v>
      </c>
      <c r="F2214">
        <v>5.5369999999999999</v>
      </c>
      <c r="G2214" t="s">
        <v>15</v>
      </c>
    </row>
    <row r="2215" spans="1:7" x14ac:dyDescent="0.25">
      <c r="A2215">
        <v>123</v>
      </c>
      <c r="B2215" t="s">
        <v>692</v>
      </c>
      <c r="C2215">
        <v>180</v>
      </c>
      <c r="D2215" t="s">
        <v>433</v>
      </c>
      <c r="E2215" t="s">
        <v>11</v>
      </c>
      <c r="F2215">
        <v>1</v>
      </c>
      <c r="G2215" t="s">
        <v>18</v>
      </c>
    </row>
    <row r="2216" spans="1:7" x14ac:dyDescent="0.25">
      <c r="A2216">
        <v>124</v>
      </c>
      <c r="B2216" t="s">
        <v>694</v>
      </c>
      <c r="C2216">
        <v>10</v>
      </c>
      <c r="D2216" t="s">
        <v>435</v>
      </c>
      <c r="E2216" t="s">
        <v>11</v>
      </c>
      <c r="F2216">
        <v>1</v>
      </c>
      <c r="G2216" t="s">
        <v>18</v>
      </c>
    </row>
    <row r="2217" spans="1:7" x14ac:dyDescent="0.25">
      <c r="A2217">
        <v>124</v>
      </c>
      <c r="B2217" t="s">
        <v>694</v>
      </c>
      <c r="C2217">
        <v>20</v>
      </c>
      <c r="D2217" t="s">
        <v>120</v>
      </c>
      <c r="E2217" t="s">
        <v>14</v>
      </c>
      <c r="F2217">
        <v>2.3889999999999998</v>
      </c>
      <c r="G2217" t="s">
        <v>15</v>
      </c>
    </row>
    <row r="2218" spans="1:7" x14ac:dyDescent="0.25">
      <c r="A2218">
        <v>124</v>
      </c>
      <c r="B2218" t="s">
        <v>694</v>
      </c>
      <c r="C2218">
        <v>30</v>
      </c>
      <c r="D2218" t="s">
        <v>102</v>
      </c>
      <c r="E2218" t="s">
        <v>103</v>
      </c>
      <c r="F2218">
        <v>0.65600000000000003</v>
      </c>
      <c r="G2218" t="s">
        <v>15</v>
      </c>
    </row>
    <row r="2219" spans="1:7" x14ac:dyDescent="0.25">
      <c r="A2219">
        <v>124</v>
      </c>
      <c r="B2219" t="s">
        <v>694</v>
      </c>
      <c r="C2219">
        <v>40</v>
      </c>
      <c r="D2219" t="s">
        <v>597</v>
      </c>
      <c r="E2219" t="s">
        <v>11</v>
      </c>
      <c r="F2219">
        <v>0.94</v>
      </c>
      <c r="G2219" t="s">
        <v>18</v>
      </c>
    </row>
    <row r="2220" spans="1:7" x14ac:dyDescent="0.25">
      <c r="A2220">
        <v>124</v>
      </c>
      <c r="B2220" t="s">
        <v>694</v>
      </c>
      <c r="C2220">
        <v>50</v>
      </c>
      <c r="D2220" t="s">
        <v>139</v>
      </c>
      <c r="E2220" t="s">
        <v>17</v>
      </c>
      <c r="F2220">
        <v>0.94</v>
      </c>
      <c r="G2220" t="s">
        <v>18</v>
      </c>
    </row>
    <row r="2221" spans="1:7" x14ac:dyDescent="0.25">
      <c r="A2221">
        <v>124</v>
      </c>
      <c r="B2221" t="s">
        <v>694</v>
      </c>
      <c r="C2221">
        <v>60</v>
      </c>
      <c r="D2221" t="s">
        <v>695</v>
      </c>
      <c r="E2221" t="s">
        <v>11</v>
      </c>
      <c r="F2221">
        <v>1</v>
      </c>
      <c r="G2221" t="s">
        <v>18</v>
      </c>
    </row>
    <row r="2222" spans="1:7" x14ac:dyDescent="0.25">
      <c r="A2222">
        <v>124</v>
      </c>
      <c r="B2222" t="s">
        <v>694</v>
      </c>
      <c r="C2222">
        <v>70</v>
      </c>
      <c r="D2222" t="s">
        <v>599</v>
      </c>
      <c r="E2222" t="s">
        <v>17</v>
      </c>
      <c r="F2222">
        <v>17.526</v>
      </c>
      <c r="G2222" t="s">
        <v>15</v>
      </c>
    </row>
    <row r="2223" spans="1:7" x14ac:dyDescent="0.25">
      <c r="A2223">
        <v>124</v>
      </c>
      <c r="B2223" t="s">
        <v>694</v>
      </c>
      <c r="C2223">
        <v>80</v>
      </c>
      <c r="D2223" t="s">
        <v>20</v>
      </c>
      <c r="E2223" t="s">
        <v>17</v>
      </c>
      <c r="F2223">
        <v>143.71299999999999</v>
      </c>
      <c r="G2223" t="s">
        <v>15</v>
      </c>
    </row>
    <row r="2224" spans="1:7" x14ac:dyDescent="0.25">
      <c r="A2224">
        <v>124</v>
      </c>
      <c r="B2224" t="s">
        <v>694</v>
      </c>
      <c r="C2224">
        <v>90</v>
      </c>
      <c r="D2224" t="s">
        <v>24</v>
      </c>
      <c r="E2224" t="s">
        <v>11</v>
      </c>
      <c r="F2224">
        <v>1</v>
      </c>
      <c r="G2224" t="s">
        <v>15</v>
      </c>
    </row>
    <row r="2225" spans="1:7" x14ac:dyDescent="0.25">
      <c r="A2225">
        <v>124</v>
      </c>
      <c r="B2225" t="s">
        <v>694</v>
      </c>
      <c r="C2225">
        <v>100</v>
      </c>
      <c r="D2225" t="s">
        <v>141</v>
      </c>
      <c r="E2225" t="s">
        <v>14</v>
      </c>
      <c r="F2225">
        <v>8.5999999999999993E-2</v>
      </c>
      <c r="G2225" t="s">
        <v>15</v>
      </c>
    </row>
    <row r="2226" spans="1:7" x14ac:dyDescent="0.25">
      <c r="A2226">
        <v>124</v>
      </c>
      <c r="B2226" t="s">
        <v>694</v>
      </c>
      <c r="C2226">
        <v>110</v>
      </c>
      <c r="D2226" t="s">
        <v>140</v>
      </c>
      <c r="E2226" t="s">
        <v>11</v>
      </c>
      <c r="F2226">
        <v>4</v>
      </c>
      <c r="G2226" t="s">
        <v>15</v>
      </c>
    </row>
    <row r="2227" spans="1:7" x14ac:dyDescent="0.25">
      <c r="A2227">
        <v>124</v>
      </c>
      <c r="B2227" t="s">
        <v>694</v>
      </c>
      <c r="C2227">
        <v>120</v>
      </c>
      <c r="D2227" t="s">
        <v>25</v>
      </c>
      <c r="E2227" t="s">
        <v>11</v>
      </c>
      <c r="F2227">
        <v>1</v>
      </c>
      <c r="G2227" t="s">
        <v>15</v>
      </c>
    </row>
    <row r="2228" spans="1:7" x14ac:dyDescent="0.25">
      <c r="A2228">
        <v>124</v>
      </c>
      <c r="B2228" t="s">
        <v>694</v>
      </c>
      <c r="C2228">
        <v>130</v>
      </c>
      <c r="D2228" t="s">
        <v>26</v>
      </c>
      <c r="E2228" t="s">
        <v>11</v>
      </c>
      <c r="F2228">
        <v>1</v>
      </c>
      <c r="G2228" t="s">
        <v>15</v>
      </c>
    </row>
    <row r="2229" spans="1:7" x14ac:dyDescent="0.25">
      <c r="A2229">
        <v>124</v>
      </c>
      <c r="B2229" t="s">
        <v>694</v>
      </c>
      <c r="C2229">
        <v>140</v>
      </c>
      <c r="D2229" t="s">
        <v>100</v>
      </c>
      <c r="E2229" t="s">
        <v>14</v>
      </c>
      <c r="F2229">
        <v>0.622</v>
      </c>
      <c r="G2229" t="s">
        <v>15</v>
      </c>
    </row>
    <row r="2230" spans="1:7" x14ac:dyDescent="0.25">
      <c r="A2230">
        <v>124</v>
      </c>
      <c r="B2230" t="s">
        <v>694</v>
      </c>
      <c r="C2230">
        <v>150</v>
      </c>
      <c r="D2230" t="s">
        <v>437</v>
      </c>
      <c r="E2230" t="s">
        <v>11</v>
      </c>
      <c r="F2230">
        <v>1</v>
      </c>
      <c r="G2230" t="s">
        <v>18</v>
      </c>
    </row>
    <row r="2231" spans="1:7" x14ac:dyDescent="0.25">
      <c r="A2231">
        <v>124</v>
      </c>
      <c r="B2231" t="s">
        <v>694</v>
      </c>
      <c r="C2231">
        <v>160</v>
      </c>
      <c r="D2231" t="s">
        <v>438</v>
      </c>
      <c r="E2231" t="s">
        <v>11</v>
      </c>
      <c r="F2231">
        <v>1</v>
      </c>
      <c r="G2231" t="s">
        <v>18</v>
      </c>
    </row>
    <row r="2232" spans="1:7" x14ac:dyDescent="0.25">
      <c r="A2232">
        <v>124</v>
      </c>
      <c r="B2232" t="s">
        <v>694</v>
      </c>
      <c r="C2232">
        <v>170</v>
      </c>
      <c r="D2232" t="s">
        <v>142</v>
      </c>
      <c r="E2232" t="s">
        <v>11</v>
      </c>
      <c r="F2232">
        <v>5.8419999999999996</v>
      </c>
      <c r="G2232" t="s">
        <v>15</v>
      </c>
    </row>
    <row r="2233" spans="1:7" x14ac:dyDescent="0.25">
      <c r="A2233">
        <v>124</v>
      </c>
      <c r="B2233" t="s">
        <v>694</v>
      </c>
      <c r="C2233">
        <v>180</v>
      </c>
      <c r="D2233" t="s">
        <v>439</v>
      </c>
      <c r="E2233" t="s">
        <v>11</v>
      </c>
      <c r="F2233">
        <v>1</v>
      </c>
      <c r="G2233" t="s">
        <v>18</v>
      </c>
    </row>
    <row r="2234" spans="1:7" x14ac:dyDescent="0.25">
      <c r="A2234">
        <v>125</v>
      </c>
      <c r="B2234" t="s">
        <v>696</v>
      </c>
      <c r="C2234">
        <v>10</v>
      </c>
      <c r="D2234" t="s">
        <v>441</v>
      </c>
      <c r="E2234" t="s">
        <v>11</v>
      </c>
      <c r="F2234">
        <v>1</v>
      </c>
      <c r="G2234" t="s">
        <v>18</v>
      </c>
    </row>
    <row r="2235" spans="1:7" x14ac:dyDescent="0.25">
      <c r="A2235">
        <v>125</v>
      </c>
      <c r="B2235" t="s">
        <v>696</v>
      </c>
      <c r="C2235">
        <v>20</v>
      </c>
      <c r="D2235" t="s">
        <v>121</v>
      </c>
      <c r="E2235" t="s">
        <v>14</v>
      </c>
      <c r="F2235">
        <v>2.7930000000000001</v>
      </c>
      <c r="G2235" t="s">
        <v>15</v>
      </c>
    </row>
    <row r="2236" spans="1:7" x14ac:dyDescent="0.25">
      <c r="A2236">
        <v>125</v>
      </c>
      <c r="B2236" t="s">
        <v>696</v>
      </c>
      <c r="C2236">
        <v>30</v>
      </c>
      <c r="D2236" t="s">
        <v>102</v>
      </c>
      <c r="E2236" t="s">
        <v>103</v>
      </c>
      <c r="F2236">
        <v>0.76800000000000002</v>
      </c>
      <c r="G2236" t="s">
        <v>15</v>
      </c>
    </row>
    <row r="2237" spans="1:7" x14ac:dyDescent="0.25">
      <c r="A2237">
        <v>125</v>
      </c>
      <c r="B2237" t="s">
        <v>696</v>
      </c>
      <c r="C2237">
        <v>40</v>
      </c>
      <c r="D2237" t="s">
        <v>597</v>
      </c>
      <c r="E2237" t="s">
        <v>11</v>
      </c>
      <c r="F2237">
        <v>1.0920000000000001</v>
      </c>
      <c r="G2237" t="s">
        <v>18</v>
      </c>
    </row>
    <row r="2238" spans="1:7" x14ac:dyDescent="0.25">
      <c r="A2238">
        <v>125</v>
      </c>
      <c r="B2238" t="s">
        <v>696</v>
      </c>
      <c r="C2238">
        <v>50</v>
      </c>
      <c r="D2238" t="s">
        <v>139</v>
      </c>
      <c r="E2238" t="s">
        <v>17</v>
      </c>
      <c r="F2238">
        <v>1.0920000000000001</v>
      </c>
      <c r="G2238" t="s">
        <v>18</v>
      </c>
    </row>
    <row r="2239" spans="1:7" x14ac:dyDescent="0.25">
      <c r="A2239">
        <v>125</v>
      </c>
      <c r="B2239" t="s">
        <v>696</v>
      </c>
      <c r="C2239">
        <v>60</v>
      </c>
      <c r="D2239" t="s">
        <v>697</v>
      </c>
      <c r="E2239" t="s">
        <v>11</v>
      </c>
      <c r="F2239">
        <v>1</v>
      </c>
      <c r="G2239" t="s">
        <v>18</v>
      </c>
    </row>
    <row r="2240" spans="1:7" x14ac:dyDescent="0.25">
      <c r="A2240">
        <v>125</v>
      </c>
      <c r="B2240" t="s">
        <v>696</v>
      </c>
      <c r="C2240">
        <v>70</v>
      </c>
      <c r="D2240" t="s">
        <v>599</v>
      </c>
      <c r="E2240" t="s">
        <v>17</v>
      </c>
      <c r="F2240">
        <v>18.440000000000001</v>
      </c>
      <c r="G2240" t="s">
        <v>15</v>
      </c>
    </row>
    <row r="2241" spans="1:7" x14ac:dyDescent="0.25">
      <c r="A2241">
        <v>125</v>
      </c>
      <c r="B2241" t="s">
        <v>696</v>
      </c>
      <c r="C2241">
        <v>80</v>
      </c>
      <c r="D2241" t="s">
        <v>20</v>
      </c>
      <c r="E2241" t="s">
        <v>17</v>
      </c>
      <c r="F2241">
        <v>151.21100000000001</v>
      </c>
      <c r="G2241" t="s">
        <v>15</v>
      </c>
    </row>
    <row r="2242" spans="1:7" x14ac:dyDescent="0.25">
      <c r="A2242">
        <v>125</v>
      </c>
      <c r="B2242" t="s">
        <v>696</v>
      </c>
      <c r="C2242">
        <v>90</v>
      </c>
      <c r="D2242" t="s">
        <v>24</v>
      </c>
      <c r="E2242" t="s">
        <v>11</v>
      </c>
      <c r="F2242">
        <v>1</v>
      </c>
      <c r="G2242" t="s">
        <v>15</v>
      </c>
    </row>
    <row r="2243" spans="1:7" x14ac:dyDescent="0.25">
      <c r="A2243">
        <v>125</v>
      </c>
      <c r="B2243" t="s">
        <v>696</v>
      </c>
      <c r="C2243">
        <v>100</v>
      </c>
      <c r="D2243" t="s">
        <v>141</v>
      </c>
      <c r="E2243" t="s">
        <v>14</v>
      </c>
      <c r="F2243">
        <v>9.7000000000000003E-2</v>
      </c>
      <c r="G2243" t="s">
        <v>15</v>
      </c>
    </row>
    <row r="2244" spans="1:7" x14ac:dyDescent="0.25">
      <c r="A2244">
        <v>125</v>
      </c>
      <c r="B2244" t="s">
        <v>696</v>
      </c>
      <c r="C2244">
        <v>110</v>
      </c>
      <c r="D2244" t="s">
        <v>140</v>
      </c>
      <c r="E2244" t="s">
        <v>11</v>
      </c>
      <c r="F2244">
        <v>4</v>
      </c>
      <c r="G2244" t="s">
        <v>15</v>
      </c>
    </row>
    <row r="2245" spans="1:7" x14ac:dyDescent="0.25">
      <c r="A2245">
        <v>125</v>
      </c>
      <c r="B2245" t="s">
        <v>696</v>
      </c>
      <c r="C2245">
        <v>120</v>
      </c>
      <c r="D2245" t="s">
        <v>25</v>
      </c>
      <c r="E2245" t="s">
        <v>11</v>
      </c>
      <c r="F2245">
        <v>1</v>
      </c>
      <c r="G2245" t="s">
        <v>15</v>
      </c>
    </row>
    <row r="2246" spans="1:7" x14ac:dyDescent="0.25">
      <c r="A2246">
        <v>125</v>
      </c>
      <c r="B2246" t="s">
        <v>696</v>
      </c>
      <c r="C2246">
        <v>130</v>
      </c>
      <c r="D2246" t="s">
        <v>26</v>
      </c>
      <c r="E2246" t="s">
        <v>11</v>
      </c>
      <c r="F2246">
        <v>1</v>
      </c>
      <c r="G2246" t="s">
        <v>15</v>
      </c>
    </row>
    <row r="2247" spans="1:7" x14ac:dyDescent="0.25">
      <c r="A2247">
        <v>125</v>
      </c>
      <c r="B2247" t="s">
        <v>696</v>
      </c>
      <c r="C2247">
        <v>140</v>
      </c>
      <c r="D2247" t="s">
        <v>100</v>
      </c>
      <c r="E2247" t="s">
        <v>14</v>
      </c>
      <c r="F2247">
        <v>0.70299999999999996</v>
      </c>
      <c r="G2247" t="s">
        <v>15</v>
      </c>
    </row>
    <row r="2248" spans="1:7" x14ac:dyDescent="0.25">
      <c r="A2248">
        <v>125</v>
      </c>
      <c r="B2248" t="s">
        <v>696</v>
      </c>
      <c r="C2248">
        <v>150</v>
      </c>
      <c r="D2248" t="s">
        <v>443</v>
      </c>
      <c r="E2248" t="s">
        <v>11</v>
      </c>
      <c r="F2248">
        <v>1</v>
      </c>
      <c r="G2248" t="s">
        <v>18</v>
      </c>
    </row>
    <row r="2249" spans="1:7" x14ac:dyDescent="0.25">
      <c r="A2249">
        <v>125</v>
      </c>
      <c r="B2249" t="s">
        <v>696</v>
      </c>
      <c r="C2249">
        <v>160</v>
      </c>
      <c r="D2249" t="s">
        <v>444</v>
      </c>
      <c r="E2249" t="s">
        <v>11</v>
      </c>
      <c r="F2249">
        <v>1</v>
      </c>
      <c r="G2249" t="s">
        <v>18</v>
      </c>
    </row>
    <row r="2250" spans="1:7" x14ac:dyDescent="0.25">
      <c r="A2250">
        <v>125</v>
      </c>
      <c r="B2250" t="s">
        <v>696</v>
      </c>
      <c r="C2250">
        <v>170</v>
      </c>
      <c r="D2250" t="s">
        <v>142</v>
      </c>
      <c r="E2250" t="s">
        <v>11</v>
      </c>
      <c r="F2250">
        <v>6.1470000000000002</v>
      </c>
      <c r="G2250" t="s">
        <v>15</v>
      </c>
    </row>
    <row r="2251" spans="1:7" x14ac:dyDescent="0.25">
      <c r="A2251">
        <v>125</v>
      </c>
      <c r="B2251" t="s">
        <v>696</v>
      </c>
      <c r="C2251">
        <v>180</v>
      </c>
      <c r="D2251" t="s">
        <v>445</v>
      </c>
      <c r="E2251" t="s">
        <v>11</v>
      </c>
      <c r="F2251">
        <v>1</v>
      </c>
      <c r="G2251" t="s">
        <v>18</v>
      </c>
    </row>
    <row r="2252" spans="1:7" x14ac:dyDescent="0.25">
      <c r="A2252">
        <v>126</v>
      </c>
      <c r="B2252" t="s">
        <v>698</v>
      </c>
      <c r="C2252">
        <v>10</v>
      </c>
      <c r="D2252" t="s">
        <v>447</v>
      </c>
      <c r="E2252" t="s">
        <v>11</v>
      </c>
      <c r="F2252">
        <v>1</v>
      </c>
      <c r="G2252" t="s">
        <v>18</v>
      </c>
    </row>
    <row r="2253" spans="1:7" x14ac:dyDescent="0.25">
      <c r="A2253">
        <v>126</v>
      </c>
      <c r="B2253" t="s">
        <v>698</v>
      </c>
      <c r="C2253">
        <v>20</v>
      </c>
      <c r="D2253" t="s">
        <v>122</v>
      </c>
      <c r="E2253" t="s">
        <v>14</v>
      </c>
      <c r="F2253">
        <v>3.1960000000000002</v>
      </c>
      <c r="G2253" t="s">
        <v>15</v>
      </c>
    </row>
    <row r="2254" spans="1:7" x14ac:dyDescent="0.25">
      <c r="A2254">
        <v>126</v>
      </c>
      <c r="B2254" t="s">
        <v>698</v>
      </c>
      <c r="C2254">
        <v>30</v>
      </c>
      <c r="D2254" t="s">
        <v>102</v>
      </c>
      <c r="E2254" t="s">
        <v>103</v>
      </c>
      <c r="F2254">
        <v>0.88</v>
      </c>
      <c r="G2254" t="s">
        <v>15</v>
      </c>
    </row>
    <row r="2255" spans="1:7" x14ac:dyDescent="0.25">
      <c r="A2255">
        <v>126</v>
      </c>
      <c r="B2255" t="s">
        <v>698</v>
      </c>
      <c r="C2255">
        <v>40</v>
      </c>
      <c r="D2255" t="s">
        <v>597</v>
      </c>
      <c r="E2255" t="s">
        <v>11</v>
      </c>
      <c r="F2255">
        <v>1.2450000000000001</v>
      </c>
      <c r="G2255" t="s">
        <v>18</v>
      </c>
    </row>
    <row r="2256" spans="1:7" x14ac:dyDescent="0.25">
      <c r="A2256">
        <v>126</v>
      </c>
      <c r="B2256" t="s">
        <v>698</v>
      </c>
      <c r="C2256">
        <v>50</v>
      </c>
      <c r="D2256" t="s">
        <v>139</v>
      </c>
      <c r="E2256" t="s">
        <v>17</v>
      </c>
      <c r="F2256">
        <v>1.2450000000000001</v>
      </c>
      <c r="G2256" t="s">
        <v>18</v>
      </c>
    </row>
    <row r="2257" spans="1:7" x14ac:dyDescent="0.25">
      <c r="A2257">
        <v>126</v>
      </c>
      <c r="B2257" t="s">
        <v>698</v>
      </c>
      <c r="C2257">
        <v>60</v>
      </c>
      <c r="D2257" t="s">
        <v>699</v>
      </c>
      <c r="E2257" t="s">
        <v>11</v>
      </c>
      <c r="F2257">
        <v>1</v>
      </c>
      <c r="G2257" t="s">
        <v>18</v>
      </c>
    </row>
    <row r="2258" spans="1:7" x14ac:dyDescent="0.25">
      <c r="A2258">
        <v>126</v>
      </c>
      <c r="B2258" t="s">
        <v>698</v>
      </c>
      <c r="C2258">
        <v>70</v>
      </c>
      <c r="D2258" t="s">
        <v>599</v>
      </c>
      <c r="E2258" t="s">
        <v>17</v>
      </c>
      <c r="F2258">
        <v>19.355</v>
      </c>
      <c r="G2258" t="s">
        <v>15</v>
      </c>
    </row>
    <row r="2259" spans="1:7" x14ac:dyDescent="0.25">
      <c r="A2259">
        <v>126</v>
      </c>
      <c r="B2259" t="s">
        <v>698</v>
      </c>
      <c r="C2259">
        <v>80</v>
      </c>
      <c r="D2259" t="s">
        <v>20</v>
      </c>
      <c r="E2259" t="s">
        <v>17</v>
      </c>
      <c r="F2259">
        <v>158.709</v>
      </c>
      <c r="G2259" t="s">
        <v>15</v>
      </c>
    </row>
    <row r="2260" spans="1:7" x14ac:dyDescent="0.25">
      <c r="A2260">
        <v>126</v>
      </c>
      <c r="B2260" t="s">
        <v>698</v>
      </c>
      <c r="C2260">
        <v>90</v>
      </c>
      <c r="D2260" t="s">
        <v>24</v>
      </c>
      <c r="E2260" t="s">
        <v>11</v>
      </c>
      <c r="F2260">
        <v>1</v>
      </c>
      <c r="G2260" t="s">
        <v>15</v>
      </c>
    </row>
    <row r="2261" spans="1:7" x14ac:dyDescent="0.25">
      <c r="A2261">
        <v>126</v>
      </c>
      <c r="B2261" t="s">
        <v>698</v>
      </c>
      <c r="C2261">
        <v>100</v>
      </c>
      <c r="D2261" t="s">
        <v>141</v>
      </c>
      <c r="E2261" t="s">
        <v>14</v>
      </c>
      <c r="F2261">
        <v>0.107</v>
      </c>
      <c r="G2261" t="s">
        <v>15</v>
      </c>
    </row>
    <row r="2262" spans="1:7" x14ac:dyDescent="0.25">
      <c r="A2262">
        <v>126</v>
      </c>
      <c r="B2262" t="s">
        <v>698</v>
      </c>
      <c r="C2262">
        <v>110</v>
      </c>
      <c r="D2262" t="s">
        <v>140</v>
      </c>
      <c r="E2262" t="s">
        <v>11</v>
      </c>
      <c r="F2262">
        <v>4</v>
      </c>
      <c r="G2262" t="s">
        <v>15</v>
      </c>
    </row>
    <row r="2263" spans="1:7" x14ac:dyDescent="0.25">
      <c r="A2263">
        <v>126</v>
      </c>
      <c r="B2263" t="s">
        <v>698</v>
      </c>
      <c r="C2263">
        <v>120</v>
      </c>
      <c r="D2263" t="s">
        <v>25</v>
      </c>
      <c r="E2263" t="s">
        <v>11</v>
      </c>
      <c r="F2263">
        <v>1</v>
      </c>
      <c r="G2263" t="s">
        <v>15</v>
      </c>
    </row>
    <row r="2264" spans="1:7" x14ac:dyDescent="0.25">
      <c r="A2264">
        <v>126</v>
      </c>
      <c r="B2264" t="s">
        <v>698</v>
      </c>
      <c r="C2264">
        <v>130</v>
      </c>
      <c r="D2264" t="s">
        <v>26</v>
      </c>
      <c r="E2264" t="s">
        <v>11</v>
      </c>
      <c r="F2264">
        <v>1</v>
      </c>
      <c r="G2264" t="s">
        <v>15</v>
      </c>
    </row>
    <row r="2265" spans="1:7" x14ac:dyDescent="0.25">
      <c r="A2265">
        <v>126</v>
      </c>
      <c r="B2265" t="s">
        <v>698</v>
      </c>
      <c r="C2265">
        <v>140</v>
      </c>
      <c r="D2265" t="s">
        <v>100</v>
      </c>
      <c r="E2265" t="s">
        <v>14</v>
      </c>
      <c r="F2265">
        <v>0.78400000000000003</v>
      </c>
      <c r="G2265" t="s">
        <v>15</v>
      </c>
    </row>
    <row r="2266" spans="1:7" x14ac:dyDescent="0.25">
      <c r="A2266">
        <v>126</v>
      </c>
      <c r="B2266" t="s">
        <v>698</v>
      </c>
      <c r="C2266">
        <v>150</v>
      </c>
      <c r="D2266" t="s">
        <v>449</v>
      </c>
      <c r="E2266" t="s">
        <v>11</v>
      </c>
      <c r="F2266">
        <v>1</v>
      </c>
      <c r="G2266" t="s">
        <v>18</v>
      </c>
    </row>
    <row r="2267" spans="1:7" x14ac:dyDescent="0.25">
      <c r="A2267">
        <v>126</v>
      </c>
      <c r="B2267" t="s">
        <v>698</v>
      </c>
      <c r="C2267">
        <v>160</v>
      </c>
      <c r="D2267" t="s">
        <v>450</v>
      </c>
      <c r="E2267" t="s">
        <v>11</v>
      </c>
      <c r="F2267">
        <v>1</v>
      </c>
      <c r="G2267" t="s">
        <v>18</v>
      </c>
    </row>
    <row r="2268" spans="1:7" x14ac:dyDescent="0.25">
      <c r="A2268">
        <v>126</v>
      </c>
      <c r="B2268" t="s">
        <v>698</v>
      </c>
      <c r="C2268">
        <v>170</v>
      </c>
      <c r="D2268" t="s">
        <v>142</v>
      </c>
      <c r="E2268" t="s">
        <v>11</v>
      </c>
      <c r="F2268">
        <v>6.452</v>
      </c>
      <c r="G2268" t="s">
        <v>15</v>
      </c>
    </row>
    <row r="2269" spans="1:7" x14ac:dyDescent="0.25">
      <c r="A2269">
        <v>126</v>
      </c>
      <c r="B2269" t="s">
        <v>698</v>
      </c>
      <c r="C2269">
        <v>180</v>
      </c>
      <c r="D2269" t="s">
        <v>451</v>
      </c>
      <c r="E2269" t="s">
        <v>11</v>
      </c>
      <c r="F2269">
        <v>1</v>
      </c>
      <c r="G2269" t="s">
        <v>18</v>
      </c>
    </row>
    <row r="2270" spans="1:7" x14ac:dyDescent="0.25">
      <c r="A2270">
        <v>127</v>
      </c>
      <c r="B2270" t="s">
        <v>700</v>
      </c>
      <c r="C2270">
        <v>10</v>
      </c>
      <c r="D2270" t="s">
        <v>453</v>
      </c>
      <c r="E2270" t="s">
        <v>11</v>
      </c>
      <c r="F2270">
        <v>1</v>
      </c>
      <c r="G2270" t="s">
        <v>18</v>
      </c>
    </row>
    <row r="2271" spans="1:7" x14ac:dyDescent="0.25">
      <c r="A2271">
        <v>127</v>
      </c>
      <c r="B2271" t="s">
        <v>700</v>
      </c>
      <c r="C2271">
        <v>20</v>
      </c>
      <c r="D2271" t="s">
        <v>123</v>
      </c>
      <c r="E2271" t="s">
        <v>14</v>
      </c>
      <c r="F2271">
        <v>4.0039999999999996</v>
      </c>
      <c r="G2271" t="s">
        <v>15</v>
      </c>
    </row>
    <row r="2272" spans="1:7" x14ac:dyDescent="0.25">
      <c r="A2272">
        <v>127</v>
      </c>
      <c r="B2272" t="s">
        <v>700</v>
      </c>
      <c r="C2272">
        <v>30</v>
      </c>
      <c r="D2272" t="s">
        <v>102</v>
      </c>
      <c r="E2272" t="s">
        <v>103</v>
      </c>
      <c r="F2272">
        <v>1.105</v>
      </c>
      <c r="G2272" t="s">
        <v>15</v>
      </c>
    </row>
    <row r="2273" spans="1:7" x14ac:dyDescent="0.25">
      <c r="A2273">
        <v>127</v>
      </c>
      <c r="B2273" t="s">
        <v>700</v>
      </c>
      <c r="C2273">
        <v>40</v>
      </c>
      <c r="D2273" t="s">
        <v>597</v>
      </c>
      <c r="E2273" t="s">
        <v>11</v>
      </c>
      <c r="F2273">
        <v>1.5489999999999999</v>
      </c>
      <c r="G2273" t="s">
        <v>18</v>
      </c>
    </row>
    <row r="2274" spans="1:7" x14ac:dyDescent="0.25">
      <c r="A2274">
        <v>127</v>
      </c>
      <c r="B2274" t="s">
        <v>700</v>
      </c>
      <c r="C2274">
        <v>50</v>
      </c>
      <c r="D2274" t="s">
        <v>139</v>
      </c>
      <c r="E2274" t="s">
        <v>17</v>
      </c>
      <c r="F2274">
        <v>1.5489999999999999</v>
      </c>
      <c r="G2274" t="s">
        <v>18</v>
      </c>
    </row>
    <row r="2275" spans="1:7" x14ac:dyDescent="0.25">
      <c r="A2275">
        <v>127</v>
      </c>
      <c r="B2275" t="s">
        <v>700</v>
      </c>
      <c r="C2275">
        <v>60</v>
      </c>
      <c r="D2275" t="s">
        <v>701</v>
      </c>
      <c r="E2275" t="s">
        <v>11</v>
      </c>
      <c r="F2275">
        <v>1</v>
      </c>
      <c r="G2275" t="s">
        <v>18</v>
      </c>
    </row>
    <row r="2276" spans="1:7" x14ac:dyDescent="0.25">
      <c r="A2276">
        <v>127</v>
      </c>
      <c r="B2276" t="s">
        <v>700</v>
      </c>
      <c r="C2276">
        <v>70</v>
      </c>
      <c r="D2276" t="s">
        <v>599</v>
      </c>
      <c r="E2276" t="s">
        <v>17</v>
      </c>
      <c r="F2276">
        <v>21.184000000000001</v>
      </c>
      <c r="G2276" t="s">
        <v>15</v>
      </c>
    </row>
    <row r="2277" spans="1:7" x14ac:dyDescent="0.25">
      <c r="A2277">
        <v>127</v>
      </c>
      <c r="B2277" t="s">
        <v>700</v>
      </c>
      <c r="C2277">
        <v>80</v>
      </c>
      <c r="D2277" t="s">
        <v>20</v>
      </c>
      <c r="E2277" t="s">
        <v>17</v>
      </c>
      <c r="F2277">
        <v>173.70599999999999</v>
      </c>
      <c r="G2277" t="s">
        <v>15</v>
      </c>
    </row>
    <row r="2278" spans="1:7" x14ac:dyDescent="0.25">
      <c r="A2278">
        <v>127</v>
      </c>
      <c r="B2278" t="s">
        <v>700</v>
      </c>
      <c r="C2278">
        <v>90</v>
      </c>
      <c r="D2278" t="s">
        <v>24</v>
      </c>
      <c r="E2278" t="s">
        <v>11</v>
      </c>
      <c r="F2278">
        <v>1</v>
      </c>
      <c r="G2278" t="s">
        <v>15</v>
      </c>
    </row>
    <row r="2279" spans="1:7" x14ac:dyDescent="0.25">
      <c r="A2279">
        <v>127</v>
      </c>
      <c r="B2279" t="s">
        <v>700</v>
      </c>
      <c r="C2279">
        <v>100</v>
      </c>
      <c r="D2279" t="s">
        <v>141</v>
      </c>
      <c r="E2279" t="s">
        <v>14</v>
      </c>
      <c r="F2279">
        <v>0.128</v>
      </c>
      <c r="G2279" t="s">
        <v>15</v>
      </c>
    </row>
    <row r="2280" spans="1:7" x14ac:dyDescent="0.25">
      <c r="A2280">
        <v>127</v>
      </c>
      <c r="B2280" t="s">
        <v>700</v>
      </c>
      <c r="C2280">
        <v>110</v>
      </c>
      <c r="D2280" t="s">
        <v>140</v>
      </c>
      <c r="E2280" t="s">
        <v>11</v>
      </c>
      <c r="F2280">
        <v>4</v>
      </c>
      <c r="G2280" t="s">
        <v>15</v>
      </c>
    </row>
    <row r="2281" spans="1:7" x14ac:dyDescent="0.25">
      <c r="A2281">
        <v>127</v>
      </c>
      <c r="B2281" t="s">
        <v>700</v>
      </c>
      <c r="C2281">
        <v>120</v>
      </c>
      <c r="D2281" t="s">
        <v>25</v>
      </c>
      <c r="E2281" t="s">
        <v>11</v>
      </c>
      <c r="F2281">
        <v>1</v>
      </c>
      <c r="G2281" t="s">
        <v>15</v>
      </c>
    </row>
    <row r="2282" spans="1:7" x14ac:dyDescent="0.25">
      <c r="A2282">
        <v>127</v>
      </c>
      <c r="B2282" t="s">
        <v>700</v>
      </c>
      <c r="C2282">
        <v>130</v>
      </c>
      <c r="D2282" t="s">
        <v>26</v>
      </c>
      <c r="E2282" t="s">
        <v>11</v>
      </c>
      <c r="F2282">
        <v>1</v>
      </c>
      <c r="G2282" t="s">
        <v>15</v>
      </c>
    </row>
    <row r="2283" spans="1:7" x14ac:dyDescent="0.25">
      <c r="A2283">
        <v>127</v>
      </c>
      <c r="B2283" t="s">
        <v>700</v>
      </c>
      <c r="C2283">
        <v>140</v>
      </c>
      <c r="D2283" t="s">
        <v>100</v>
      </c>
      <c r="E2283" t="s">
        <v>14</v>
      </c>
      <c r="F2283">
        <v>0.94599999999999995</v>
      </c>
      <c r="G2283" t="s">
        <v>15</v>
      </c>
    </row>
    <row r="2284" spans="1:7" x14ac:dyDescent="0.25">
      <c r="A2284">
        <v>127</v>
      </c>
      <c r="B2284" t="s">
        <v>700</v>
      </c>
      <c r="C2284">
        <v>150</v>
      </c>
      <c r="D2284" t="s">
        <v>455</v>
      </c>
      <c r="E2284" t="s">
        <v>11</v>
      </c>
      <c r="F2284">
        <v>1</v>
      </c>
      <c r="G2284" t="s">
        <v>18</v>
      </c>
    </row>
    <row r="2285" spans="1:7" x14ac:dyDescent="0.25">
      <c r="A2285">
        <v>127</v>
      </c>
      <c r="B2285" t="s">
        <v>700</v>
      </c>
      <c r="C2285">
        <v>160</v>
      </c>
      <c r="D2285" t="s">
        <v>456</v>
      </c>
      <c r="E2285" t="s">
        <v>11</v>
      </c>
      <c r="F2285">
        <v>1</v>
      </c>
      <c r="G2285" t="s">
        <v>18</v>
      </c>
    </row>
    <row r="2286" spans="1:7" x14ac:dyDescent="0.25">
      <c r="A2286">
        <v>127</v>
      </c>
      <c r="B2286" t="s">
        <v>700</v>
      </c>
      <c r="C2286">
        <v>170</v>
      </c>
      <c r="D2286" t="s">
        <v>142</v>
      </c>
      <c r="E2286" t="s">
        <v>11</v>
      </c>
      <c r="F2286">
        <v>7.0609999999999999</v>
      </c>
      <c r="G2286" t="s">
        <v>15</v>
      </c>
    </row>
    <row r="2287" spans="1:7" x14ac:dyDescent="0.25">
      <c r="A2287">
        <v>127</v>
      </c>
      <c r="B2287" t="s">
        <v>700</v>
      </c>
      <c r="C2287">
        <v>180</v>
      </c>
      <c r="D2287" t="s">
        <v>457</v>
      </c>
      <c r="E2287" t="s">
        <v>11</v>
      </c>
      <c r="F2287">
        <v>1</v>
      </c>
      <c r="G2287" t="s">
        <v>18</v>
      </c>
    </row>
    <row r="2288" spans="1:7" x14ac:dyDescent="0.25">
      <c r="A2288">
        <v>128</v>
      </c>
      <c r="B2288" t="s">
        <v>702</v>
      </c>
      <c r="C2288">
        <v>10</v>
      </c>
      <c r="D2288" t="s">
        <v>459</v>
      </c>
      <c r="E2288" t="s">
        <v>11</v>
      </c>
      <c r="F2288">
        <v>1</v>
      </c>
      <c r="G2288" t="s">
        <v>18</v>
      </c>
    </row>
    <row r="2289" spans="1:7" x14ac:dyDescent="0.25">
      <c r="A2289">
        <v>128</v>
      </c>
      <c r="B2289" t="s">
        <v>702</v>
      </c>
      <c r="C2289">
        <v>20</v>
      </c>
      <c r="D2289" t="s">
        <v>124</v>
      </c>
      <c r="E2289" t="s">
        <v>14</v>
      </c>
      <c r="F2289">
        <v>4.4080000000000004</v>
      </c>
      <c r="G2289" t="s">
        <v>15</v>
      </c>
    </row>
    <row r="2290" spans="1:7" x14ac:dyDescent="0.25">
      <c r="A2290">
        <v>128</v>
      </c>
      <c r="B2290" t="s">
        <v>702</v>
      </c>
      <c r="C2290">
        <v>30</v>
      </c>
      <c r="D2290" t="s">
        <v>102</v>
      </c>
      <c r="E2290" t="s">
        <v>103</v>
      </c>
      <c r="F2290">
        <v>1.218</v>
      </c>
      <c r="G2290" t="s">
        <v>15</v>
      </c>
    </row>
    <row r="2291" spans="1:7" x14ac:dyDescent="0.25">
      <c r="A2291">
        <v>128</v>
      </c>
      <c r="B2291" t="s">
        <v>702</v>
      </c>
      <c r="C2291">
        <v>40</v>
      </c>
      <c r="D2291" t="s">
        <v>597</v>
      </c>
      <c r="E2291" t="s">
        <v>11</v>
      </c>
      <c r="F2291">
        <v>1.702</v>
      </c>
      <c r="G2291" t="s">
        <v>18</v>
      </c>
    </row>
    <row r="2292" spans="1:7" x14ac:dyDescent="0.25">
      <c r="A2292">
        <v>128</v>
      </c>
      <c r="B2292" t="s">
        <v>702</v>
      </c>
      <c r="C2292">
        <v>50</v>
      </c>
      <c r="D2292" t="s">
        <v>139</v>
      </c>
      <c r="E2292" t="s">
        <v>17</v>
      </c>
      <c r="F2292">
        <v>1.702</v>
      </c>
      <c r="G2292" t="s">
        <v>18</v>
      </c>
    </row>
    <row r="2293" spans="1:7" x14ac:dyDescent="0.25">
      <c r="A2293">
        <v>128</v>
      </c>
      <c r="B2293" t="s">
        <v>702</v>
      </c>
      <c r="C2293">
        <v>60</v>
      </c>
      <c r="D2293" t="s">
        <v>703</v>
      </c>
      <c r="E2293" t="s">
        <v>11</v>
      </c>
      <c r="F2293">
        <v>1</v>
      </c>
      <c r="G2293" t="s">
        <v>18</v>
      </c>
    </row>
    <row r="2294" spans="1:7" x14ac:dyDescent="0.25">
      <c r="A2294">
        <v>128</v>
      </c>
      <c r="B2294" t="s">
        <v>702</v>
      </c>
      <c r="C2294">
        <v>70</v>
      </c>
      <c r="D2294" t="s">
        <v>599</v>
      </c>
      <c r="E2294" t="s">
        <v>17</v>
      </c>
      <c r="F2294">
        <v>22.097999999999999</v>
      </c>
      <c r="G2294" t="s">
        <v>15</v>
      </c>
    </row>
    <row r="2295" spans="1:7" x14ac:dyDescent="0.25">
      <c r="A2295">
        <v>128</v>
      </c>
      <c r="B2295" t="s">
        <v>702</v>
      </c>
      <c r="C2295">
        <v>80</v>
      </c>
      <c r="D2295" t="s">
        <v>20</v>
      </c>
      <c r="E2295" t="s">
        <v>17</v>
      </c>
      <c r="F2295">
        <v>181.20400000000001</v>
      </c>
      <c r="G2295" t="s">
        <v>15</v>
      </c>
    </row>
    <row r="2296" spans="1:7" x14ac:dyDescent="0.25">
      <c r="A2296">
        <v>128</v>
      </c>
      <c r="B2296" t="s">
        <v>702</v>
      </c>
      <c r="C2296">
        <v>90</v>
      </c>
      <c r="D2296" t="s">
        <v>24</v>
      </c>
      <c r="E2296" t="s">
        <v>11</v>
      </c>
      <c r="F2296">
        <v>1</v>
      </c>
      <c r="G2296" t="s">
        <v>15</v>
      </c>
    </row>
    <row r="2297" spans="1:7" x14ac:dyDescent="0.25">
      <c r="A2297">
        <v>128</v>
      </c>
      <c r="B2297" t="s">
        <v>702</v>
      </c>
      <c r="C2297">
        <v>100</v>
      </c>
      <c r="D2297" t="s">
        <v>141</v>
      </c>
      <c r="E2297" t="s">
        <v>14</v>
      </c>
      <c r="F2297">
        <v>0.13800000000000001</v>
      </c>
      <c r="G2297" t="s">
        <v>15</v>
      </c>
    </row>
    <row r="2298" spans="1:7" x14ac:dyDescent="0.25">
      <c r="A2298">
        <v>128</v>
      </c>
      <c r="B2298" t="s">
        <v>702</v>
      </c>
      <c r="C2298">
        <v>110</v>
      </c>
      <c r="D2298" t="s">
        <v>140</v>
      </c>
      <c r="E2298" t="s">
        <v>11</v>
      </c>
      <c r="F2298">
        <v>4</v>
      </c>
      <c r="G2298" t="s">
        <v>15</v>
      </c>
    </row>
    <row r="2299" spans="1:7" x14ac:dyDescent="0.25">
      <c r="A2299">
        <v>128</v>
      </c>
      <c r="B2299" t="s">
        <v>702</v>
      </c>
      <c r="C2299">
        <v>120</v>
      </c>
      <c r="D2299" t="s">
        <v>25</v>
      </c>
      <c r="E2299" t="s">
        <v>11</v>
      </c>
      <c r="F2299">
        <v>1</v>
      </c>
      <c r="G2299" t="s">
        <v>15</v>
      </c>
    </row>
    <row r="2300" spans="1:7" x14ac:dyDescent="0.25">
      <c r="A2300">
        <v>128</v>
      </c>
      <c r="B2300" t="s">
        <v>702</v>
      </c>
      <c r="C2300">
        <v>130</v>
      </c>
      <c r="D2300" t="s">
        <v>26</v>
      </c>
      <c r="E2300" t="s">
        <v>11</v>
      </c>
      <c r="F2300">
        <v>1</v>
      </c>
      <c r="G2300" t="s">
        <v>15</v>
      </c>
    </row>
    <row r="2301" spans="1:7" x14ac:dyDescent="0.25">
      <c r="A2301">
        <v>128</v>
      </c>
      <c r="B2301" t="s">
        <v>702</v>
      </c>
      <c r="C2301">
        <v>140</v>
      </c>
      <c r="D2301" t="s">
        <v>100</v>
      </c>
      <c r="E2301" t="s">
        <v>14</v>
      </c>
      <c r="F2301">
        <v>1.0269999999999999</v>
      </c>
      <c r="G2301" t="s">
        <v>15</v>
      </c>
    </row>
    <row r="2302" spans="1:7" x14ac:dyDescent="0.25">
      <c r="A2302">
        <v>128</v>
      </c>
      <c r="B2302" t="s">
        <v>702</v>
      </c>
      <c r="C2302">
        <v>150</v>
      </c>
      <c r="D2302" t="s">
        <v>461</v>
      </c>
      <c r="E2302" t="s">
        <v>11</v>
      </c>
      <c r="F2302">
        <v>1</v>
      </c>
      <c r="G2302" t="s">
        <v>18</v>
      </c>
    </row>
    <row r="2303" spans="1:7" x14ac:dyDescent="0.25">
      <c r="A2303">
        <v>128</v>
      </c>
      <c r="B2303" t="s">
        <v>702</v>
      </c>
      <c r="C2303">
        <v>160</v>
      </c>
      <c r="D2303" t="s">
        <v>462</v>
      </c>
      <c r="E2303" t="s">
        <v>11</v>
      </c>
      <c r="F2303">
        <v>1</v>
      </c>
      <c r="G2303" t="s">
        <v>18</v>
      </c>
    </row>
    <row r="2304" spans="1:7" x14ac:dyDescent="0.25">
      <c r="A2304">
        <v>128</v>
      </c>
      <c r="B2304" t="s">
        <v>702</v>
      </c>
      <c r="C2304">
        <v>170</v>
      </c>
      <c r="D2304" t="s">
        <v>142</v>
      </c>
      <c r="E2304" t="s">
        <v>11</v>
      </c>
      <c r="F2304">
        <v>7.3659999999999997</v>
      </c>
      <c r="G2304" t="s">
        <v>15</v>
      </c>
    </row>
    <row r="2305" spans="1:7" x14ac:dyDescent="0.25">
      <c r="A2305">
        <v>128</v>
      </c>
      <c r="B2305" t="s">
        <v>702</v>
      </c>
      <c r="C2305">
        <v>180</v>
      </c>
      <c r="D2305" t="s">
        <v>463</v>
      </c>
      <c r="E2305" t="s">
        <v>11</v>
      </c>
      <c r="F2305">
        <v>1</v>
      </c>
      <c r="G2305" t="s">
        <v>18</v>
      </c>
    </row>
    <row r="2306" spans="1:7" x14ac:dyDescent="0.25">
      <c r="A2306">
        <v>129</v>
      </c>
      <c r="B2306" t="s">
        <v>704</v>
      </c>
      <c r="C2306">
        <v>10</v>
      </c>
      <c r="D2306" t="s">
        <v>465</v>
      </c>
      <c r="E2306" t="s">
        <v>11</v>
      </c>
      <c r="F2306">
        <v>1</v>
      </c>
      <c r="G2306" t="s">
        <v>18</v>
      </c>
    </row>
    <row r="2307" spans="1:7" x14ac:dyDescent="0.25">
      <c r="A2307">
        <v>129</v>
      </c>
      <c r="B2307" t="s">
        <v>704</v>
      </c>
      <c r="C2307">
        <v>20</v>
      </c>
      <c r="D2307" t="s">
        <v>125</v>
      </c>
      <c r="E2307" t="s">
        <v>14</v>
      </c>
      <c r="F2307">
        <v>4.8109999999999999</v>
      </c>
      <c r="G2307" t="s">
        <v>15</v>
      </c>
    </row>
    <row r="2308" spans="1:7" x14ac:dyDescent="0.25">
      <c r="A2308">
        <v>129</v>
      </c>
      <c r="B2308" t="s">
        <v>704</v>
      </c>
      <c r="C2308">
        <v>30</v>
      </c>
      <c r="D2308" t="s">
        <v>102</v>
      </c>
      <c r="E2308" t="s">
        <v>103</v>
      </c>
      <c r="F2308">
        <v>1.33</v>
      </c>
      <c r="G2308" t="s">
        <v>15</v>
      </c>
    </row>
    <row r="2309" spans="1:7" x14ac:dyDescent="0.25">
      <c r="A2309">
        <v>129</v>
      </c>
      <c r="B2309" t="s">
        <v>704</v>
      </c>
      <c r="C2309">
        <v>40</v>
      </c>
      <c r="D2309" t="s">
        <v>597</v>
      </c>
      <c r="E2309" t="s">
        <v>11</v>
      </c>
      <c r="F2309">
        <v>1.8540000000000001</v>
      </c>
      <c r="G2309" t="s">
        <v>18</v>
      </c>
    </row>
    <row r="2310" spans="1:7" x14ac:dyDescent="0.25">
      <c r="A2310">
        <v>129</v>
      </c>
      <c r="B2310" t="s">
        <v>704</v>
      </c>
      <c r="C2310">
        <v>50</v>
      </c>
      <c r="D2310" t="s">
        <v>139</v>
      </c>
      <c r="E2310" t="s">
        <v>17</v>
      </c>
      <c r="F2310">
        <v>1.8540000000000001</v>
      </c>
      <c r="G2310" t="s">
        <v>18</v>
      </c>
    </row>
    <row r="2311" spans="1:7" x14ac:dyDescent="0.25">
      <c r="A2311">
        <v>129</v>
      </c>
      <c r="B2311" t="s">
        <v>704</v>
      </c>
      <c r="C2311">
        <v>60</v>
      </c>
      <c r="D2311" t="s">
        <v>705</v>
      </c>
      <c r="E2311" t="s">
        <v>11</v>
      </c>
      <c r="F2311">
        <v>1</v>
      </c>
      <c r="G2311" t="s">
        <v>18</v>
      </c>
    </row>
    <row r="2312" spans="1:7" x14ac:dyDescent="0.25">
      <c r="A2312">
        <v>129</v>
      </c>
      <c r="B2312" t="s">
        <v>704</v>
      </c>
      <c r="C2312">
        <v>70</v>
      </c>
      <c r="D2312" t="s">
        <v>599</v>
      </c>
      <c r="E2312" t="s">
        <v>17</v>
      </c>
      <c r="F2312">
        <v>23.012</v>
      </c>
      <c r="G2312" t="s">
        <v>15</v>
      </c>
    </row>
    <row r="2313" spans="1:7" x14ac:dyDescent="0.25">
      <c r="A2313">
        <v>129</v>
      </c>
      <c r="B2313" t="s">
        <v>704</v>
      </c>
      <c r="C2313">
        <v>80</v>
      </c>
      <c r="D2313" t="s">
        <v>20</v>
      </c>
      <c r="E2313" t="s">
        <v>17</v>
      </c>
      <c r="F2313">
        <v>188.702</v>
      </c>
      <c r="G2313" t="s">
        <v>15</v>
      </c>
    </row>
    <row r="2314" spans="1:7" x14ac:dyDescent="0.25">
      <c r="A2314">
        <v>129</v>
      </c>
      <c r="B2314" t="s">
        <v>704</v>
      </c>
      <c r="C2314">
        <v>90</v>
      </c>
      <c r="D2314" t="s">
        <v>24</v>
      </c>
      <c r="E2314" t="s">
        <v>11</v>
      </c>
      <c r="F2314">
        <v>1</v>
      </c>
      <c r="G2314" t="s">
        <v>15</v>
      </c>
    </row>
    <row r="2315" spans="1:7" x14ac:dyDescent="0.25">
      <c r="A2315">
        <v>129</v>
      </c>
      <c r="B2315" t="s">
        <v>704</v>
      </c>
      <c r="C2315">
        <v>100</v>
      </c>
      <c r="D2315" t="s">
        <v>141</v>
      </c>
      <c r="E2315" t="s">
        <v>14</v>
      </c>
      <c r="F2315">
        <v>0.14899999999999999</v>
      </c>
      <c r="G2315" t="s">
        <v>15</v>
      </c>
    </row>
    <row r="2316" spans="1:7" x14ac:dyDescent="0.25">
      <c r="A2316">
        <v>129</v>
      </c>
      <c r="B2316" t="s">
        <v>704</v>
      </c>
      <c r="C2316">
        <v>110</v>
      </c>
      <c r="D2316" t="s">
        <v>140</v>
      </c>
      <c r="E2316" t="s">
        <v>11</v>
      </c>
      <c r="F2316">
        <v>4</v>
      </c>
      <c r="G2316" t="s">
        <v>15</v>
      </c>
    </row>
    <row r="2317" spans="1:7" x14ac:dyDescent="0.25">
      <c r="A2317">
        <v>129</v>
      </c>
      <c r="B2317" t="s">
        <v>704</v>
      </c>
      <c r="C2317">
        <v>120</v>
      </c>
      <c r="D2317" t="s">
        <v>25</v>
      </c>
      <c r="E2317" t="s">
        <v>11</v>
      </c>
      <c r="F2317">
        <v>1</v>
      </c>
      <c r="G2317" t="s">
        <v>15</v>
      </c>
    </row>
    <row r="2318" spans="1:7" x14ac:dyDescent="0.25">
      <c r="A2318">
        <v>129</v>
      </c>
      <c r="B2318" t="s">
        <v>704</v>
      </c>
      <c r="C2318">
        <v>130</v>
      </c>
      <c r="D2318" t="s">
        <v>26</v>
      </c>
      <c r="E2318" t="s">
        <v>11</v>
      </c>
      <c r="F2318">
        <v>1</v>
      </c>
      <c r="G2318" t="s">
        <v>15</v>
      </c>
    </row>
    <row r="2319" spans="1:7" x14ac:dyDescent="0.25">
      <c r="A2319">
        <v>129</v>
      </c>
      <c r="B2319" t="s">
        <v>704</v>
      </c>
      <c r="C2319">
        <v>140</v>
      </c>
      <c r="D2319" t="s">
        <v>100</v>
      </c>
      <c r="E2319" t="s">
        <v>14</v>
      </c>
      <c r="F2319">
        <v>1.1080000000000001</v>
      </c>
      <c r="G2319" t="s">
        <v>15</v>
      </c>
    </row>
    <row r="2320" spans="1:7" x14ac:dyDescent="0.25">
      <c r="A2320">
        <v>129</v>
      </c>
      <c r="B2320" t="s">
        <v>704</v>
      </c>
      <c r="C2320">
        <v>150</v>
      </c>
      <c r="D2320" t="s">
        <v>467</v>
      </c>
      <c r="E2320" t="s">
        <v>11</v>
      </c>
      <c r="F2320">
        <v>1</v>
      </c>
      <c r="G2320" t="s">
        <v>18</v>
      </c>
    </row>
    <row r="2321" spans="1:7" x14ac:dyDescent="0.25">
      <c r="A2321">
        <v>129</v>
      </c>
      <c r="B2321" t="s">
        <v>704</v>
      </c>
      <c r="C2321">
        <v>160</v>
      </c>
      <c r="D2321" t="s">
        <v>468</v>
      </c>
      <c r="E2321" t="s">
        <v>11</v>
      </c>
      <c r="F2321">
        <v>1</v>
      </c>
      <c r="G2321" t="s">
        <v>18</v>
      </c>
    </row>
    <row r="2322" spans="1:7" x14ac:dyDescent="0.25">
      <c r="A2322">
        <v>129</v>
      </c>
      <c r="B2322" t="s">
        <v>704</v>
      </c>
      <c r="C2322">
        <v>170</v>
      </c>
      <c r="D2322" t="s">
        <v>142</v>
      </c>
      <c r="E2322" t="s">
        <v>11</v>
      </c>
      <c r="F2322">
        <v>7.6710000000000003</v>
      </c>
      <c r="G2322" t="s">
        <v>15</v>
      </c>
    </row>
    <row r="2323" spans="1:7" x14ac:dyDescent="0.25">
      <c r="A2323">
        <v>129</v>
      </c>
      <c r="B2323" t="s">
        <v>704</v>
      </c>
      <c r="C2323">
        <v>180</v>
      </c>
      <c r="D2323" t="s">
        <v>469</v>
      </c>
      <c r="E2323" t="s">
        <v>11</v>
      </c>
      <c r="F2323">
        <v>1</v>
      </c>
      <c r="G2323" t="s">
        <v>18</v>
      </c>
    </row>
    <row r="2324" spans="1:7" x14ac:dyDescent="0.25">
      <c r="A2324">
        <v>130</v>
      </c>
      <c r="B2324" t="s">
        <v>706</v>
      </c>
      <c r="C2324">
        <v>10</v>
      </c>
      <c r="D2324" t="s">
        <v>471</v>
      </c>
      <c r="E2324" t="s">
        <v>11</v>
      </c>
      <c r="F2324">
        <v>1</v>
      </c>
      <c r="G2324" t="s">
        <v>18</v>
      </c>
    </row>
    <row r="2325" spans="1:7" x14ac:dyDescent="0.25">
      <c r="A2325">
        <v>130</v>
      </c>
      <c r="B2325" t="s">
        <v>706</v>
      </c>
      <c r="C2325">
        <v>20</v>
      </c>
      <c r="D2325" t="s">
        <v>135</v>
      </c>
      <c r="E2325" t="s">
        <v>14</v>
      </c>
      <c r="F2325">
        <v>2.0649999999999999</v>
      </c>
      <c r="G2325" t="s">
        <v>15</v>
      </c>
    </row>
    <row r="2326" spans="1:7" x14ac:dyDescent="0.25">
      <c r="A2326">
        <v>130</v>
      </c>
      <c r="B2326" t="s">
        <v>706</v>
      </c>
      <c r="C2326">
        <v>30</v>
      </c>
      <c r="D2326" t="s">
        <v>102</v>
      </c>
      <c r="E2326" t="s">
        <v>103</v>
      </c>
      <c r="F2326">
        <v>0.56499999999999995</v>
      </c>
      <c r="G2326" t="s">
        <v>15</v>
      </c>
    </row>
    <row r="2327" spans="1:7" x14ac:dyDescent="0.25">
      <c r="A2327">
        <v>130</v>
      </c>
      <c r="B2327" t="s">
        <v>706</v>
      </c>
      <c r="C2327">
        <v>40</v>
      </c>
      <c r="D2327" t="s">
        <v>597</v>
      </c>
      <c r="E2327" t="s">
        <v>11</v>
      </c>
      <c r="F2327">
        <v>0.78700000000000003</v>
      </c>
      <c r="G2327" t="s">
        <v>18</v>
      </c>
    </row>
    <row r="2328" spans="1:7" x14ac:dyDescent="0.25">
      <c r="A2328">
        <v>130</v>
      </c>
      <c r="B2328" t="s">
        <v>706</v>
      </c>
      <c r="C2328">
        <v>50</v>
      </c>
      <c r="D2328" t="s">
        <v>139</v>
      </c>
      <c r="E2328" t="s">
        <v>17</v>
      </c>
      <c r="F2328">
        <v>0.78700000000000003</v>
      </c>
      <c r="G2328" t="s">
        <v>18</v>
      </c>
    </row>
    <row r="2329" spans="1:7" x14ac:dyDescent="0.25">
      <c r="A2329">
        <v>130</v>
      </c>
      <c r="B2329" t="s">
        <v>706</v>
      </c>
      <c r="C2329">
        <v>60</v>
      </c>
      <c r="D2329" t="s">
        <v>707</v>
      </c>
      <c r="E2329" t="s">
        <v>11</v>
      </c>
      <c r="F2329">
        <v>1</v>
      </c>
      <c r="G2329" t="s">
        <v>18</v>
      </c>
    </row>
    <row r="2330" spans="1:7" x14ac:dyDescent="0.25">
      <c r="A2330">
        <v>130</v>
      </c>
      <c r="B2330" t="s">
        <v>706</v>
      </c>
      <c r="C2330">
        <v>70</v>
      </c>
      <c r="D2330" t="s">
        <v>599</v>
      </c>
      <c r="E2330" t="s">
        <v>17</v>
      </c>
      <c r="F2330">
        <v>17.068999999999999</v>
      </c>
      <c r="G2330" t="s">
        <v>15</v>
      </c>
    </row>
    <row r="2331" spans="1:7" x14ac:dyDescent="0.25">
      <c r="A2331">
        <v>130</v>
      </c>
      <c r="B2331" t="s">
        <v>706</v>
      </c>
      <c r="C2331">
        <v>80</v>
      </c>
      <c r="D2331" t="s">
        <v>20</v>
      </c>
      <c r="E2331" t="s">
        <v>17</v>
      </c>
      <c r="F2331">
        <v>139.964</v>
      </c>
      <c r="G2331" t="s">
        <v>15</v>
      </c>
    </row>
    <row r="2332" spans="1:7" x14ac:dyDescent="0.25">
      <c r="A2332">
        <v>130</v>
      </c>
      <c r="B2332" t="s">
        <v>706</v>
      </c>
      <c r="C2332">
        <v>90</v>
      </c>
      <c r="D2332" t="s">
        <v>24</v>
      </c>
      <c r="E2332" t="s">
        <v>11</v>
      </c>
      <c r="F2332">
        <v>1</v>
      </c>
      <c r="G2332" t="s">
        <v>15</v>
      </c>
    </row>
    <row r="2333" spans="1:7" x14ac:dyDescent="0.25">
      <c r="A2333">
        <v>130</v>
      </c>
      <c r="B2333" t="s">
        <v>706</v>
      </c>
      <c r="C2333">
        <v>100</v>
      </c>
      <c r="D2333" t="s">
        <v>141</v>
      </c>
      <c r="E2333" t="s">
        <v>14</v>
      </c>
      <c r="F2333">
        <v>7.5999999999999998E-2</v>
      </c>
      <c r="G2333" t="s">
        <v>15</v>
      </c>
    </row>
    <row r="2334" spans="1:7" x14ac:dyDescent="0.25">
      <c r="A2334">
        <v>130</v>
      </c>
      <c r="B2334" t="s">
        <v>706</v>
      </c>
      <c r="C2334">
        <v>110</v>
      </c>
      <c r="D2334" t="s">
        <v>140</v>
      </c>
      <c r="E2334" t="s">
        <v>11</v>
      </c>
      <c r="F2334">
        <v>4</v>
      </c>
      <c r="G2334" t="s">
        <v>15</v>
      </c>
    </row>
    <row r="2335" spans="1:7" x14ac:dyDescent="0.25">
      <c r="A2335">
        <v>130</v>
      </c>
      <c r="B2335" t="s">
        <v>706</v>
      </c>
      <c r="C2335">
        <v>120</v>
      </c>
      <c r="D2335" t="s">
        <v>25</v>
      </c>
      <c r="E2335" t="s">
        <v>11</v>
      </c>
      <c r="F2335">
        <v>1</v>
      </c>
      <c r="G2335" t="s">
        <v>15</v>
      </c>
    </row>
    <row r="2336" spans="1:7" x14ac:dyDescent="0.25">
      <c r="A2336">
        <v>130</v>
      </c>
      <c r="B2336" t="s">
        <v>706</v>
      </c>
      <c r="C2336">
        <v>130</v>
      </c>
      <c r="D2336" t="s">
        <v>26</v>
      </c>
      <c r="E2336" t="s">
        <v>11</v>
      </c>
      <c r="F2336">
        <v>1</v>
      </c>
      <c r="G2336" t="s">
        <v>15</v>
      </c>
    </row>
    <row r="2337" spans="1:7" x14ac:dyDescent="0.25">
      <c r="A2337">
        <v>130</v>
      </c>
      <c r="B2337" t="s">
        <v>706</v>
      </c>
      <c r="C2337">
        <v>140</v>
      </c>
      <c r="D2337" t="s">
        <v>100</v>
      </c>
      <c r="E2337" t="s">
        <v>14</v>
      </c>
      <c r="F2337">
        <v>1.1890000000000001</v>
      </c>
      <c r="G2337" t="s">
        <v>15</v>
      </c>
    </row>
    <row r="2338" spans="1:7" x14ac:dyDescent="0.25">
      <c r="A2338">
        <v>130</v>
      </c>
      <c r="B2338" t="s">
        <v>706</v>
      </c>
      <c r="C2338">
        <v>150</v>
      </c>
      <c r="D2338" t="s">
        <v>473</v>
      </c>
      <c r="E2338" t="s">
        <v>11</v>
      </c>
      <c r="F2338">
        <v>1</v>
      </c>
      <c r="G2338" t="s">
        <v>18</v>
      </c>
    </row>
    <row r="2339" spans="1:7" x14ac:dyDescent="0.25">
      <c r="A2339">
        <v>130</v>
      </c>
      <c r="B2339" t="s">
        <v>706</v>
      </c>
      <c r="C2339">
        <v>160</v>
      </c>
      <c r="D2339" t="s">
        <v>474</v>
      </c>
      <c r="E2339" t="s">
        <v>11</v>
      </c>
      <c r="F2339">
        <v>1</v>
      </c>
      <c r="G2339" t="s">
        <v>18</v>
      </c>
    </row>
    <row r="2340" spans="1:7" x14ac:dyDescent="0.25">
      <c r="A2340">
        <v>130</v>
      </c>
      <c r="B2340" t="s">
        <v>706</v>
      </c>
      <c r="C2340">
        <v>170</v>
      </c>
      <c r="D2340" t="s">
        <v>142</v>
      </c>
      <c r="E2340" t="s">
        <v>11</v>
      </c>
      <c r="F2340">
        <v>5.69</v>
      </c>
      <c r="G2340" t="s">
        <v>15</v>
      </c>
    </row>
    <row r="2341" spans="1:7" x14ac:dyDescent="0.25">
      <c r="A2341">
        <v>130</v>
      </c>
      <c r="B2341" t="s">
        <v>706</v>
      </c>
      <c r="C2341">
        <v>180</v>
      </c>
      <c r="D2341" t="s">
        <v>475</v>
      </c>
      <c r="E2341" t="s">
        <v>11</v>
      </c>
      <c r="F2341">
        <v>1</v>
      </c>
      <c r="G2341" t="s">
        <v>18</v>
      </c>
    </row>
    <row r="2342" spans="1:7" x14ac:dyDescent="0.25">
      <c r="A2342">
        <v>131</v>
      </c>
      <c r="B2342" t="s">
        <v>708</v>
      </c>
      <c r="C2342">
        <v>10</v>
      </c>
      <c r="D2342" t="s">
        <v>477</v>
      </c>
      <c r="E2342" t="s">
        <v>11</v>
      </c>
      <c r="F2342">
        <v>1</v>
      </c>
      <c r="G2342" t="s">
        <v>18</v>
      </c>
    </row>
    <row r="2343" spans="1:7" x14ac:dyDescent="0.25">
      <c r="A2343">
        <v>131</v>
      </c>
      <c r="B2343" t="s">
        <v>708</v>
      </c>
      <c r="C2343">
        <v>20</v>
      </c>
      <c r="D2343" t="s">
        <v>126</v>
      </c>
      <c r="E2343" t="s">
        <v>14</v>
      </c>
      <c r="F2343">
        <v>2.4849999999999999</v>
      </c>
      <c r="G2343" t="s">
        <v>15</v>
      </c>
    </row>
    <row r="2344" spans="1:7" x14ac:dyDescent="0.25">
      <c r="A2344">
        <v>131</v>
      </c>
      <c r="B2344" t="s">
        <v>708</v>
      </c>
      <c r="C2344">
        <v>30</v>
      </c>
      <c r="D2344" t="s">
        <v>102</v>
      </c>
      <c r="E2344" t="s">
        <v>103</v>
      </c>
      <c r="F2344">
        <v>0.68200000000000005</v>
      </c>
      <c r="G2344" t="s">
        <v>15</v>
      </c>
    </row>
    <row r="2345" spans="1:7" x14ac:dyDescent="0.25">
      <c r="A2345">
        <v>131</v>
      </c>
      <c r="B2345" t="s">
        <v>708</v>
      </c>
      <c r="C2345">
        <v>40</v>
      </c>
      <c r="D2345" t="s">
        <v>597</v>
      </c>
      <c r="E2345" t="s">
        <v>11</v>
      </c>
      <c r="F2345">
        <v>0.94</v>
      </c>
      <c r="G2345" t="s">
        <v>18</v>
      </c>
    </row>
    <row r="2346" spans="1:7" x14ac:dyDescent="0.25">
      <c r="A2346">
        <v>131</v>
      </c>
      <c r="B2346" t="s">
        <v>708</v>
      </c>
      <c r="C2346">
        <v>50</v>
      </c>
      <c r="D2346" t="s">
        <v>139</v>
      </c>
      <c r="E2346" t="s">
        <v>17</v>
      </c>
      <c r="F2346">
        <v>0.94</v>
      </c>
      <c r="G2346" t="s">
        <v>18</v>
      </c>
    </row>
    <row r="2347" spans="1:7" x14ac:dyDescent="0.25">
      <c r="A2347">
        <v>131</v>
      </c>
      <c r="B2347" t="s">
        <v>708</v>
      </c>
      <c r="C2347">
        <v>60</v>
      </c>
      <c r="D2347" t="s">
        <v>709</v>
      </c>
      <c r="E2347" t="s">
        <v>11</v>
      </c>
      <c r="F2347">
        <v>1</v>
      </c>
      <c r="G2347" t="s">
        <v>18</v>
      </c>
    </row>
    <row r="2348" spans="1:7" x14ac:dyDescent="0.25">
      <c r="A2348">
        <v>131</v>
      </c>
      <c r="B2348" t="s">
        <v>708</v>
      </c>
      <c r="C2348">
        <v>70</v>
      </c>
      <c r="D2348" t="s">
        <v>599</v>
      </c>
      <c r="E2348" t="s">
        <v>17</v>
      </c>
      <c r="F2348">
        <v>17.983000000000001</v>
      </c>
      <c r="G2348" t="s">
        <v>15</v>
      </c>
    </row>
    <row r="2349" spans="1:7" x14ac:dyDescent="0.25">
      <c r="A2349">
        <v>131</v>
      </c>
      <c r="B2349" t="s">
        <v>708</v>
      </c>
      <c r="C2349">
        <v>80</v>
      </c>
      <c r="D2349" t="s">
        <v>20</v>
      </c>
      <c r="E2349" t="s">
        <v>17</v>
      </c>
      <c r="F2349">
        <v>147.46199999999999</v>
      </c>
      <c r="G2349" t="s">
        <v>15</v>
      </c>
    </row>
    <row r="2350" spans="1:7" x14ac:dyDescent="0.25">
      <c r="A2350">
        <v>131</v>
      </c>
      <c r="B2350" t="s">
        <v>708</v>
      </c>
      <c r="C2350">
        <v>90</v>
      </c>
      <c r="D2350" t="s">
        <v>24</v>
      </c>
      <c r="E2350" t="s">
        <v>11</v>
      </c>
      <c r="F2350">
        <v>1</v>
      </c>
      <c r="G2350" t="s">
        <v>15</v>
      </c>
    </row>
    <row r="2351" spans="1:7" x14ac:dyDescent="0.25">
      <c r="A2351">
        <v>131</v>
      </c>
      <c r="B2351" t="s">
        <v>708</v>
      </c>
      <c r="C2351">
        <v>100</v>
      </c>
      <c r="D2351" t="s">
        <v>141</v>
      </c>
      <c r="E2351" t="s">
        <v>14</v>
      </c>
      <c r="F2351">
        <v>8.5999999999999993E-2</v>
      </c>
      <c r="G2351" t="s">
        <v>15</v>
      </c>
    </row>
    <row r="2352" spans="1:7" x14ac:dyDescent="0.25">
      <c r="A2352">
        <v>131</v>
      </c>
      <c r="B2352" t="s">
        <v>708</v>
      </c>
      <c r="C2352">
        <v>110</v>
      </c>
      <c r="D2352" t="s">
        <v>140</v>
      </c>
      <c r="E2352" t="s">
        <v>11</v>
      </c>
      <c r="F2352">
        <v>4</v>
      </c>
      <c r="G2352" t="s">
        <v>15</v>
      </c>
    </row>
    <row r="2353" spans="1:7" x14ac:dyDescent="0.25">
      <c r="A2353">
        <v>131</v>
      </c>
      <c r="B2353" t="s">
        <v>708</v>
      </c>
      <c r="C2353">
        <v>120</v>
      </c>
      <c r="D2353" t="s">
        <v>25</v>
      </c>
      <c r="E2353" t="s">
        <v>11</v>
      </c>
      <c r="F2353">
        <v>1</v>
      </c>
      <c r="G2353" t="s">
        <v>15</v>
      </c>
    </row>
    <row r="2354" spans="1:7" x14ac:dyDescent="0.25">
      <c r="A2354">
        <v>131</v>
      </c>
      <c r="B2354" t="s">
        <v>708</v>
      </c>
      <c r="C2354">
        <v>130</v>
      </c>
      <c r="D2354" t="s">
        <v>26</v>
      </c>
      <c r="E2354" t="s">
        <v>11</v>
      </c>
      <c r="F2354">
        <v>1</v>
      </c>
      <c r="G2354" t="s">
        <v>15</v>
      </c>
    </row>
    <row r="2355" spans="1:7" x14ac:dyDescent="0.25">
      <c r="A2355">
        <v>131</v>
      </c>
      <c r="B2355" t="s">
        <v>708</v>
      </c>
      <c r="C2355">
        <v>140</v>
      </c>
      <c r="D2355" t="s">
        <v>100</v>
      </c>
      <c r="E2355" t="s">
        <v>14</v>
      </c>
      <c r="F2355">
        <v>1.1890000000000001</v>
      </c>
      <c r="G2355" t="s">
        <v>15</v>
      </c>
    </row>
    <row r="2356" spans="1:7" x14ac:dyDescent="0.25">
      <c r="A2356">
        <v>131</v>
      </c>
      <c r="B2356" t="s">
        <v>708</v>
      </c>
      <c r="C2356">
        <v>150</v>
      </c>
      <c r="D2356" t="s">
        <v>479</v>
      </c>
      <c r="E2356" t="s">
        <v>11</v>
      </c>
      <c r="F2356">
        <v>1</v>
      </c>
      <c r="G2356" t="s">
        <v>18</v>
      </c>
    </row>
    <row r="2357" spans="1:7" x14ac:dyDescent="0.25">
      <c r="A2357">
        <v>131</v>
      </c>
      <c r="B2357" t="s">
        <v>708</v>
      </c>
      <c r="C2357">
        <v>160</v>
      </c>
      <c r="D2357" t="s">
        <v>480</v>
      </c>
      <c r="E2357" t="s">
        <v>11</v>
      </c>
      <c r="F2357">
        <v>1</v>
      </c>
      <c r="G2357" t="s">
        <v>18</v>
      </c>
    </row>
    <row r="2358" spans="1:7" x14ac:dyDescent="0.25">
      <c r="A2358">
        <v>131</v>
      </c>
      <c r="B2358" t="s">
        <v>708</v>
      </c>
      <c r="C2358">
        <v>170</v>
      </c>
      <c r="D2358" t="s">
        <v>142</v>
      </c>
      <c r="E2358" t="s">
        <v>11</v>
      </c>
      <c r="F2358">
        <v>5.9939999999999998</v>
      </c>
      <c r="G2358" t="s">
        <v>15</v>
      </c>
    </row>
    <row r="2359" spans="1:7" x14ac:dyDescent="0.25">
      <c r="A2359">
        <v>131</v>
      </c>
      <c r="B2359" t="s">
        <v>708</v>
      </c>
      <c r="C2359">
        <v>180</v>
      </c>
      <c r="D2359" t="s">
        <v>481</v>
      </c>
      <c r="E2359" t="s">
        <v>11</v>
      </c>
      <c r="F2359">
        <v>1</v>
      </c>
      <c r="G2359" t="s">
        <v>18</v>
      </c>
    </row>
    <row r="2360" spans="1:7" x14ac:dyDescent="0.25">
      <c r="A2360">
        <v>132</v>
      </c>
      <c r="B2360" t="s">
        <v>710</v>
      </c>
      <c r="C2360">
        <v>10</v>
      </c>
      <c r="D2360" t="s">
        <v>483</v>
      </c>
      <c r="E2360" t="s">
        <v>11</v>
      </c>
      <c r="F2360">
        <v>1</v>
      </c>
      <c r="G2360" t="s">
        <v>18</v>
      </c>
    </row>
    <row r="2361" spans="1:7" x14ac:dyDescent="0.25">
      <c r="A2361">
        <v>132</v>
      </c>
      <c r="B2361" t="s">
        <v>710</v>
      </c>
      <c r="C2361">
        <v>20</v>
      </c>
      <c r="D2361" t="s">
        <v>127</v>
      </c>
      <c r="E2361" t="s">
        <v>14</v>
      </c>
      <c r="F2361">
        <v>2.9049999999999998</v>
      </c>
      <c r="G2361" t="s">
        <v>15</v>
      </c>
    </row>
    <row r="2362" spans="1:7" x14ac:dyDescent="0.25">
      <c r="A2362">
        <v>132</v>
      </c>
      <c r="B2362" t="s">
        <v>710</v>
      </c>
      <c r="C2362">
        <v>30</v>
      </c>
      <c r="D2362" t="s">
        <v>102</v>
      </c>
      <c r="E2362" t="s">
        <v>103</v>
      </c>
      <c r="F2362">
        <v>0.79900000000000004</v>
      </c>
      <c r="G2362" t="s">
        <v>15</v>
      </c>
    </row>
    <row r="2363" spans="1:7" x14ac:dyDescent="0.25">
      <c r="A2363">
        <v>132</v>
      </c>
      <c r="B2363" t="s">
        <v>710</v>
      </c>
      <c r="C2363">
        <v>40</v>
      </c>
      <c r="D2363" t="s">
        <v>597</v>
      </c>
      <c r="E2363" t="s">
        <v>11</v>
      </c>
      <c r="F2363">
        <v>1.0920000000000001</v>
      </c>
      <c r="G2363" t="s">
        <v>18</v>
      </c>
    </row>
    <row r="2364" spans="1:7" x14ac:dyDescent="0.25">
      <c r="A2364">
        <v>132</v>
      </c>
      <c r="B2364" t="s">
        <v>710</v>
      </c>
      <c r="C2364">
        <v>50</v>
      </c>
      <c r="D2364" t="s">
        <v>139</v>
      </c>
      <c r="E2364" t="s">
        <v>17</v>
      </c>
      <c r="F2364">
        <v>1.0920000000000001</v>
      </c>
      <c r="G2364" t="s">
        <v>18</v>
      </c>
    </row>
    <row r="2365" spans="1:7" x14ac:dyDescent="0.25">
      <c r="A2365">
        <v>132</v>
      </c>
      <c r="B2365" t="s">
        <v>710</v>
      </c>
      <c r="C2365">
        <v>60</v>
      </c>
      <c r="D2365" t="s">
        <v>711</v>
      </c>
      <c r="E2365" t="s">
        <v>11</v>
      </c>
      <c r="F2365">
        <v>1</v>
      </c>
      <c r="G2365" t="s">
        <v>18</v>
      </c>
    </row>
    <row r="2366" spans="1:7" x14ac:dyDescent="0.25">
      <c r="A2366">
        <v>132</v>
      </c>
      <c r="B2366" t="s">
        <v>710</v>
      </c>
      <c r="C2366">
        <v>70</v>
      </c>
      <c r="D2366" t="s">
        <v>599</v>
      </c>
      <c r="E2366" t="s">
        <v>17</v>
      </c>
      <c r="F2366">
        <v>18.898</v>
      </c>
      <c r="G2366" t="s">
        <v>15</v>
      </c>
    </row>
    <row r="2367" spans="1:7" x14ac:dyDescent="0.25">
      <c r="A2367">
        <v>132</v>
      </c>
      <c r="B2367" t="s">
        <v>710</v>
      </c>
      <c r="C2367">
        <v>80</v>
      </c>
      <c r="D2367" t="s">
        <v>20</v>
      </c>
      <c r="E2367" t="s">
        <v>17</v>
      </c>
      <c r="F2367">
        <v>154.96</v>
      </c>
      <c r="G2367" t="s">
        <v>15</v>
      </c>
    </row>
    <row r="2368" spans="1:7" x14ac:dyDescent="0.25">
      <c r="A2368">
        <v>132</v>
      </c>
      <c r="B2368" t="s">
        <v>710</v>
      </c>
      <c r="C2368">
        <v>90</v>
      </c>
      <c r="D2368" t="s">
        <v>24</v>
      </c>
      <c r="E2368" t="s">
        <v>11</v>
      </c>
      <c r="F2368">
        <v>1</v>
      </c>
      <c r="G2368" t="s">
        <v>15</v>
      </c>
    </row>
    <row r="2369" spans="1:7" x14ac:dyDescent="0.25">
      <c r="A2369">
        <v>132</v>
      </c>
      <c r="B2369" t="s">
        <v>710</v>
      </c>
      <c r="C2369">
        <v>100</v>
      </c>
      <c r="D2369" t="s">
        <v>141</v>
      </c>
      <c r="E2369" t="s">
        <v>14</v>
      </c>
      <c r="F2369">
        <v>9.7000000000000003E-2</v>
      </c>
      <c r="G2369" t="s">
        <v>15</v>
      </c>
    </row>
    <row r="2370" spans="1:7" x14ac:dyDescent="0.25">
      <c r="A2370">
        <v>132</v>
      </c>
      <c r="B2370" t="s">
        <v>710</v>
      </c>
      <c r="C2370">
        <v>110</v>
      </c>
      <c r="D2370" t="s">
        <v>140</v>
      </c>
      <c r="E2370" t="s">
        <v>11</v>
      </c>
      <c r="F2370">
        <v>4</v>
      </c>
      <c r="G2370" t="s">
        <v>15</v>
      </c>
    </row>
    <row r="2371" spans="1:7" x14ac:dyDescent="0.25">
      <c r="A2371">
        <v>132</v>
      </c>
      <c r="B2371" t="s">
        <v>710</v>
      </c>
      <c r="C2371">
        <v>120</v>
      </c>
      <c r="D2371" t="s">
        <v>25</v>
      </c>
      <c r="E2371" t="s">
        <v>11</v>
      </c>
      <c r="F2371">
        <v>1</v>
      </c>
      <c r="G2371" t="s">
        <v>15</v>
      </c>
    </row>
    <row r="2372" spans="1:7" x14ac:dyDescent="0.25">
      <c r="A2372">
        <v>132</v>
      </c>
      <c r="B2372" t="s">
        <v>710</v>
      </c>
      <c r="C2372">
        <v>130</v>
      </c>
      <c r="D2372" t="s">
        <v>26</v>
      </c>
      <c r="E2372" t="s">
        <v>11</v>
      </c>
      <c r="F2372">
        <v>1</v>
      </c>
      <c r="G2372" t="s">
        <v>15</v>
      </c>
    </row>
    <row r="2373" spans="1:7" x14ac:dyDescent="0.25">
      <c r="A2373">
        <v>132</v>
      </c>
      <c r="B2373" t="s">
        <v>710</v>
      </c>
      <c r="C2373">
        <v>140</v>
      </c>
      <c r="D2373" t="s">
        <v>100</v>
      </c>
      <c r="E2373" t="s">
        <v>14</v>
      </c>
      <c r="F2373">
        <v>1.1890000000000001</v>
      </c>
      <c r="G2373" t="s">
        <v>15</v>
      </c>
    </row>
    <row r="2374" spans="1:7" x14ac:dyDescent="0.25">
      <c r="A2374">
        <v>132</v>
      </c>
      <c r="B2374" t="s">
        <v>710</v>
      </c>
      <c r="C2374">
        <v>150</v>
      </c>
      <c r="D2374" t="s">
        <v>485</v>
      </c>
      <c r="E2374" t="s">
        <v>11</v>
      </c>
      <c r="F2374">
        <v>1</v>
      </c>
      <c r="G2374" t="s">
        <v>18</v>
      </c>
    </row>
    <row r="2375" spans="1:7" x14ac:dyDescent="0.25">
      <c r="A2375">
        <v>132</v>
      </c>
      <c r="B2375" t="s">
        <v>710</v>
      </c>
      <c r="C2375">
        <v>160</v>
      </c>
      <c r="D2375" t="s">
        <v>486</v>
      </c>
      <c r="E2375" t="s">
        <v>11</v>
      </c>
      <c r="F2375">
        <v>1</v>
      </c>
      <c r="G2375" t="s">
        <v>18</v>
      </c>
    </row>
    <row r="2376" spans="1:7" x14ac:dyDescent="0.25">
      <c r="A2376">
        <v>132</v>
      </c>
      <c r="B2376" t="s">
        <v>710</v>
      </c>
      <c r="C2376">
        <v>170</v>
      </c>
      <c r="D2376" t="s">
        <v>142</v>
      </c>
      <c r="E2376" t="s">
        <v>11</v>
      </c>
      <c r="F2376">
        <v>6.2990000000000004</v>
      </c>
      <c r="G2376" t="s">
        <v>15</v>
      </c>
    </row>
    <row r="2377" spans="1:7" x14ac:dyDescent="0.25">
      <c r="A2377">
        <v>132</v>
      </c>
      <c r="B2377" t="s">
        <v>710</v>
      </c>
      <c r="C2377">
        <v>180</v>
      </c>
      <c r="D2377" t="s">
        <v>487</v>
      </c>
      <c r="E2377" t="s">
        <v>11</v>
      </c>
      <c r="F2377">
        <v>1</v>
      </c>
      <c r="G2377" t="s">
        <v>18</v>
      </c>
    </row>
    <row r="2378" spans="1:7" x14ac:dyDescent="0.25">
      <c r="A2378">
        <v>133</v>
      </c>
      <c r="B2378" t="s">
        <v>712</v>
      </c>
      <c r="C2378">
        <v>10</v>
      </c>
      <c r="D2378" t="s">
        <v>489</v>
      </c>
      <c r="E2378" t="s">
        <v>11</v>
      </c>
      <c r="F2378">
        <v>1</v>
      </c>
      <c r="G2378" t="s">
        <v>18</v>
      </c>
    </row>
    <row r="2379" spans="1:7" x14ac:dyDescent="0.25">
      <c r="A2379">
        <v>133</v>
      </c>
      <c r="B2379" t="s">
        <v>712</v>
      </c>
      <c r="C2379">
        <v>20</v>
      </c>
      <c r="D2379" t="s">
        <v>128</v>
      </c>
      <c r="E2379" t="s">
        <v>14</v>
      </c>
      <c r="F2379">
        <v>3.3250000000000002</v>
      </c>
      <c r="G2379" t="s">
        <v>15</v>
      </c>
    </row>
    <row r="2380" spans="1:7" x14ac:dyDescent="0.25">
      <c r="A2380">
        <v>133</v>
      </c>
      <c r="B2380" t="s">
        <v>712</v>
      </c>
      <c r="C2380">
        <v>30</v>
      </c>
      <c r="D2380" t="s">
        <v>102</v>
      </c>
      <c r="E2380" t="s">
        <v>103</v>
      </c>
      <c r="F2380">
        <v>0.91600000000000004</v>
      </c>
      <c r="G2380" t="s">
        <v>15</v>
      </c>
    </row>
    <row r="2381" spans="1:7" x14ac:dyDescent="0.25">
      <c r="A2381">
        <v>133</v>
      </c>
      <c r="B2381" t="s">
        <v>712</v>
      </c>
      <c r="C2381">
        <v>40</v>
      </c>
      <c r="D2381" t="s">
        <v>597</v>
      </c>
      <c r="E2381" t="s">
        <v>11</v>
      </c>
      <c r="F2381">
        <v>1.2450000000000001</v>
      </c>
      <c r="G2381" t="s">
        <v>18</v>
      </c>
    </row>
    <row r="2382" spans="1:7" x14ac:dyDescent="0.25">
      <c r="A2382">
        <v>133</v>
      </c>
      <c r="B2382" t="s">
        <v>712</v>
      </c>
      <c r="C2382">
        <v>50</v>
      </c>
      <c r="D2382" t="s">
        <v>139</v>
      </c>
      <c r="E2382" t="s">
        <v>17</v>
      </c>
      <c r="F2382">
        <v>1.2450000000000001</v>
      </c>
      <c r="G2382" t="s">
        <v>18</v>
      </c>
    </row>
    <row r="2383" spans="1:7" x14ac:dyDescent="0.25">
      <c r="A2383">
        <v>133</v>
      </c>
      <c r="B2383" t="s">
        <v>712</v>
      </c>
      <c r="C2383">
        <v>60</v>
      </c>
      <c r="D2383" t="s">
        <v>713</v>
      </c>
      <c r="E2383" t="s">
        <v>11</v>
      </c>
      <c r="F2383">
        <v>1</v>
      </c>
      <c r="G2383" t="s">
        <v>18</v>
      </c>
    </row>
    <row r="2384" spans="1:7" x14ac:dyDescent="0.25">
      <c r="A2384">
        <v>133</v>
      </c>
      <c r="B2384" t="s">
        <v>712</v>
      </c>
      <c r="C2384">
        <v>70</v>
      </c>
      <c r="D2384" t="s">
        <v>599</v>
      </c>
      <c r="E2384" t="s">
        <v>17</v>
      </c>
      <c r="F2384">
        <v>19.812000000000001</v>
      </c>
      <c r="G2384" t="s">
        <v>15</v>
      </c>
    </row>
    <row r="2385" spans="1:7" x14ac:dyDescent="0.25">
      <c r="A2385">
        <v>133</v>
      </c>
      <c r="B2385" t="s">
        <v>712</v>
      </c>
      <c r="C2385">
        <v>80</v>
      </c>
      <c r="D2385" t="s">
        <v>20</v>
      </c>
      <c r="E2385" t="s">
        <v>17</v>
      </c>
      <c r="F2385">
        <v>162.458</v>
      </c>
      <c r="G2385" t="s">
        <v>15</v>
      </c>
    </row>
    <row r="2386" spans="1:7" x14ac:dyDescent="0.25">
      <c r="A2386">
        <v>133</v>
      </c>
      <c r="B2386" t="s">
        <v>712</v>
      </c>
      <c r="C2386">
        <v>90</v>
      </c>
      <c r="D2386" t="s">
        <v>24</v>
      </c>
      <c r="E2386" t="s">
        <v>11</v>
      </c>
      <c r="F2386">
        <v>1</v>
      </c>
      <c r="G2386" t="s">
        <v>15</v>
      </c>
    </row>
    <row r="2387" spans="1:7" x14ac:dyDescent="0.25">
      <c r="A2387">
        <v>133</v>
      </c>
      <c r="B2387" t="s">
        <v>712</v>
      </c>
      <c r="C2387">
        <v>100</v>
      </c>
      <c r="D2387" t="s">
        <v>141</v>
      </c>
      <c r="E2387" t="s">
        <v>14</v>
      </c>
      <c r="F2387">
        <v>0.107</v>
      </c>
      <c r="G2387" t="s">
        <v>15</v>
      </c>
    </row>
    <row r="2388" spans="1:7" x14ac:dyDescent="0.25">
      <c r="A2388">
        <v>133</v>
      </c>
      <c r="B2388" t="s">
        <v>712</v>
      </c>
      <c r="C2388">
        <v>110</v>
      </c>
      <c r="D2388" t="s">
        <v>140</v>
      </c>
      <c r="E2388" t="s">
        <v>11</v>
      </c>
      <c r="F2388">
        <v>4</v>
      </c>
      <c r="G2388" t="s">
        <v>15</v>
      </c>
    </row>
    <row r="2389" spans="1:7" x14ac:dyDescent="0.25">
      <c r="A2389">
        <v>133</v>
      </c>
      <c r="B2389" t="s">
        <v>712</v>
      </c>
      <c r="C2389">
        <v>120</v>
      </c>
      <c r="D2389" t="s">
        <v>25</v>
      </c>
      <c r="E2389" t="s">
        <v>11</v>
      </c>
      <c r="F2389">
        <v>1</v>
      </c>
      <c r="G2389" t="s">
        <v>15</v>
      </c>
    </row>
    <row r="2390" spans="1:7" x14ac:dyDescent="0.25">
      <c r="A2390">
        <v>133</v>
      </c>
      <c r="B2390" t="s">
        <v>712</v>
      </c>
      <c r="C2390">
        <v>130</v>
      </c>
      <c r="D2390" t="s">
        <v>26</v>
      </c>
      <c r="E2390" t="s">
        <v>11</v>
      </c>
      <c r="F2390">
        <v>1</v>
      </c>
      <c r="G2390" t="s">
        <v>15</v>
      </c>
    </row>
    <row r="2391" spans="1:7" x14ac:dyDescent="0.25">
      <c r="A2391">
        <v>133</v>
      </c>
      <c r="B2391" t="s">
        <v>712</v>
      </c>
      <c r="C2391">
        <v>140</v>
      </c>
      <c r="D2391" t="s">
        <v>100</v>
      </c>
      <c r="E2391" t="s">
        <v>14</v>
      </c>
      <c r="F2391">
        <v>1.1890000000000001</v>
      </c>
      <c r="G2391" t="s">
        <v>15</v>
      </c>
    </row>
    <row r="2392" spans="1:7" x14ac:dyDescent="0.25">
      <c r="A2392">
        <v>133</v>
      </c>
      <c r="B2392" t="s">
        <v>712</v>
      </c>
      <c r="C2392">
        <v>150</v>
      </c>
      <c r="D2392" t="s">
        <v>491</v>
      </c>
      <c r="E2392" t="s">
        <v>11</v>
      </c>
      <c r="F2392">
        <v>1</v>
      </c>
      <c r="G2392" t="s">
        <v>18</v>
      </c>
    </row>
    <row r="2393" spans="1:7" x14ac:dyDescent="0.25">
      <c r="A2393">
        <v>133</v>
      </c>
      <c r="B2393" t="s">
        <v>712</v>
      </c>
      <c r="C2393">
        <v>160</v>
      </c>
      <c r="D2393" t="s">
        <v>492</v>
      </c>
      <c r="E2393" t="s">
        <v>11</v>
      </c>
      <c r="F2393">
        <v>1</v>
      </c>
      <c r="G2393" t="s">
        <v>18</v>
      </c>
    </row>
    <row r="2394" spans="1:7" x14ac:dyDescent="0.25">
      <c r="A2394">
        <v>133</v>
      </c>
      <c r="B2394" t="s">
        <v>712</v>
      </c>
      <c r="C2394">
        <v>170</v>
      </c>
      <c r="D2394" t="s">
        <v>142</v>
      </c>
      <c r="E2394" t="s">
        <v>11</v>
      </c>
      <c r="F2394">
        <v>6.6040000000000001</v>
      </c>
      <c r="G2394" t="s">
        <v>15</v>
      </c>
    </row>
    <row r="2395" spans="1:7" x14ac:dyDescent="0.25">
      <c r="A2395">
        <v>133</v>
      </c>
      <c r="B2395" t="s">
        <v>712</v>
      </c>
      <c r="C2395">
        <v>180</v>
      </c>
      <c r="D2395" t="s">
        <v>493</v>
      </c>
      <c r="E2395" t="s">
        <v>11</v>
      </c>
      <c r="F2395">
        <v>1</v>
      </c>
      <c r="G2395" t="s">
        <v>18</v>
      </c>
    </row>
    <row r="2396" spans="1:7" x14ac:dyDescent="0.25">
      <c r="A2396">
        <v>134</v>
      </c>
      <c r="B2396" t="s">
        <v>714</v>
      </c>
      <c r="C2396">
        <v>10</v>
      </c>
      <c r="D2396" t="s">
        <v>495</v>
      </c>
      <c r="E2396" t="s">
        <v>11</v>
      </c>
      <c r="F2396">
        <v>1</v>
      </c>
      <c r="G2396" t="s">
        <v>18</v>
      </c>
    </row>
    <row r="2397" spans="1:7" x14ac:dyDescent="0.25">
      <c r="A2397">
        <v>134</v>
      </c>
      <c r="B2397" t="s">
        <v>714</v>
      </c>
      <c r="C2397">
        <v>20</v>
      </c>
      <c r="D2397" t="s">
        <v>129</v>
      </c>
      <c r="E2397" t="s">
        <v>14</v>
      </c>
      <c r="F2397">
        <v>4.165</v>
      </c>
      <c r="G2397" t="s">
        <v>15</v>
      </c>
    </row>
    <row r="2398" spans="1:7" x14ac:dyDescent="0.25">
      <c r="A2398">
        <v>134</v>
      </c>
      <c r="B2398" t="s">
        <v>714</v>
      </c>
      <c r="C2398">
        <v>30</v>
      </c>
      <c r="D2398" t="s">
        <v>102</v>
      </c>
      <c r="E2398" t="s">
        <v>103</v>
      </c>
      <c r="F2398">
        <v>1.1499999999999999</v>
      </c>
      <c r="G2398" t="s">
        <v>15</v>
      </c>
    </row>
    <row r="2399" spans="1:7" x14ac:dyDescent="0.25">
      <c r="A2399">
        <v>134</v>
      </c>
      <c r="B2399" t="s">
        <v>714</v>
      </c>
      <c r="C2399">
        <v>40</v>
      </c>
      <c r="D2399" t="s">
        <v>597</v>
      </c>
      <c r="E2399" t="s">
        <v>11</v>
      </c>
      <c r="F2399">
        <v>1.5489999999999999</v>
      </c>
      <c r="G2399" t="s">
        <v>18</v>
      </c>
    </row>
    <row r="2400" spans="1:7" x14ac:dyDescent="0.25">
      <c r="A2400">
        <v>134</v>
      </c>
      <c r="B2400" t="s">
        <v>714</v>
      </c>
      <c r="C2400">
        <v>50</v>
      </c>
      <c r="D2400" t="s">
        <v>139</v>
      </c>
      <c r="E2400" t="s">
        <v>17</v>
      </c>
      <c r="F2400">
        <v>1.5489999999999999</v>
      </c>
      <c r="G2400" t="s">
        <v>18</v>
      </c>
    </row>
    <row r="2401" spans="1:7" x14ac:dyDescent="0.25">
      <c r="A2401">
        <v>134</v>
      </c>
      <c r="B2401" t="s">
        <v>714</v>
      </c>
      <c r="C2401">
        <v>60</v>
      </c>
      <c r="D2401" t="s">
        <v>715</v>
      </c>
      <c r="E2401" t="s">
        <v>11</v>
      </c>
      <c r="F2401">
        <v>1</v>
      </c>
      <c r="G2401" t="s">
        <v>18</v>
      </c>
    </row>
    <row r="2402" spans="1:7" x14ac:dyDescent="0.25">
      <c r="A2402">
        <v>134</v>
      </c>
      <c r="B2402" t="s">
        <v>714</v>
      </c>
      <c r="C2402">
        <v>70</v>
      </c>
      <c r="D2402" t="s">
        <v>599</v>
      </c>
      <c r="E2402" t="s">
        <v>17</v>
      </c>
      <c r="F2402">
        <v>21.640999999999998</v>
      </c>
      <c r="G2402" t="s">
        <v>15</v>
      </c>
    </row>
    <row r="2403" spans="1:7" x14ac:dyDescent="0.25">
      <c r="A2403">
        <v>134</v>
      </c>
      <c r="B2403" t="s">
        <v>714</v>
      </c>
      <c r="C2403">
        <v>80</v>
      </c>
      <c r="D2403" t="s">
        <v>20</v>
      </c>
      <c r="E2403" t="s">
        <v>17</v>
      </c>
      <c r="F2403">
        <v>177.45500000000001</v>
      </c>
      <c r="G2403" t="s">
        <v>15</v>
      </c>
    </row>
    <row r="2404" spans="1:7" x14ac:dyDescent="0.25">
      <c r="A2404">
        <v>134</v>
      </c>
      <c r="B2404" t="s">
        <v>714</v>
      </c>
      <c r="C2404">
        <v>90</v>
      </c>
      <c r="D2404" t="s">
        <v>24</v>
      </c>
      <c r="E2404" t="s">
        <v>11</v>
      </c>
      <c r="F2404">
        <v>1</v>
      </c>
      <c r="G2404" t="s">
        <v>15</v>
      </c>
    </row>
    <row r="2405" spans="1:7" x14ac:dyDescent="0.25">
      <c r="A2405">
        <v>134</v>
      </c>
      <c r="B2405" t="s">
        <v>714</v>
      </c>
      <c r="C2405">
        <v>100</v>
      </c>
      <c r="D2405" t="s">
        <v>141</v>
      </c>
      <c r="E2405" t="s">
        <v>14</v>
      </c>
      <c r="F2405">
        <v>0.128</v>
      </c>
      <c r="G2405" t="s">
        <v>15</v>
      </c>
    </row>
    <row r="2406" spans="1:7" x14ac:dyDescent="0.25">
      <c r="A2406">
        <v>134</v>
      </c>
      <c r="B2406" t="s">
        <v>714</v>
      </c>
      <c r="C2406">
        <v>110</v>
      </c>
      <c r="D2406" t="s">
        <v>140</v>
      </c>
      <c r="E2406" t="s">
        <v>11</v>
      </c>
      <c r="F2406">
        <v>4</v>
      </c>
      <c r="G2406" t="s">
        <v>15</v>
      </c>
    </row>
    <row r="2407" spans="1:7" x14ac:dyDescent="0.25">
      <c r="A2407">
        <v>134</v>
      </c>
      <c r="B2407" t="s">
        <v>714</v>
      </c>
      <c r="C2407">
        <v>120</v>
      </c>
      <c r="D2407" t="s">
        <v>25</v>
      </c>
      <c r="E2407" t="s">
        <v>11</v>
      </c>
      <c r="F2407">
        <v>1</v>
      </c>
      <c r="G2407" t="s">
        <v>15</v>
      </c>
    </row>
    <row r="2408" spans="1:7" x14ac:dyDescent="0.25">
      <c r="A2408">
        <v>134</v>
      </c>
      <c r="B2408" t="s">
        <v>714</v>
      </c>
      <c r="C2408">
        <v>130</v>
      </c>
      <c r="D2408" t="s">
        <v>26</v>
      </c>
      <c r="E2408" t="s">
        <v>11</v>
      </c>
      <c r="F2408">
        <v>1</v>
      </c>
      <c r="G2408" t="s">
        <v>15</v>
      </c>
    </row>
    <row r="2409" spans="1:7" x14ac:dyDescent="0.25">
      <c r="A2409">
        <v>134</v>
      </c>
      <c r="B2409" t="s">
        <v>714</v>
      </c>
      <c r="C2409">
        <v>140</v>
      </c>
      <c r="D2409" t="s">
        <v>100</v>
      </c>
      <c r="E2409" t="s">
        <v>14</v>
      </c>
      <c r="F2409">
        <v>1.1890000000000001</v>
      </c>
      <c r="G2409" t="s">
        <v>15</v>
      </c>
    </row>
    <row r="2410" spans="1:7" x14ac:dyDescent="0.25">
      <c r="A2410">
        <v>134</v>
      </c>
      <c r="B2410" t="s">
        <v>714</v>
      </c>
      <c r="C2410">
        <v>150</v>
      </c>
      <c r="D2410" t="s">
        <v>497</v>
      </c>
      <c r="E2410" t="s">
        <v>11</v>
      </c>
      <c r="F2410">
        <v>1</v>
      </c>
      <c r="G2410" t="s">
        <v>18</v>
      </c>
    </row>
    <row r="2411" spans="1:7" x14ac:dyDescent="0.25">
      <c r="A2411">
        <v>134</v>
      </c>
      <c r="B2411" t="s">
        <v>714</v>
      </c>
      <c r="C2411">
        <v>160</v>
      </c>
      <c r="D2411" t="s">
        <v>498</v>
      </c>
      <c r="E2411" t="s">
        <v>11</v>
      </c>
      <c r="F2411">
        <v>1</v>
      </c>
      <c r="G2411" t="s">
        <v>18</v>
      </c>
    </row>
    <row r="2412" spans="1:7" x14ac:dyDescent="0.25">
      <c r="A2412">
        <v>134</v>
      </c>
      <c r="B2412" t="s">
        <v>714</v>
      </c>
      <c r="C2412">
        <v>170</v>
      </c>
      <c r="D2412" t="s">
        <v>142</v>
      </c>
      <c r="E2412" t="s">
        <v>11</v>
      </c>
      <c r="F2412">
        <v>7.2140000000000004</v>
      </c>
      <c r="G2412" t="s">
        <v>15</v>
      </c>
    </row>
    <row r="2413" spans="1:7" x14ac:dyDescent="0.25">
      <c r="A2413">
        <v>134</v>
      </c>
      <c r="B2413" t="s">
        <v>714</v>
      </c>
      <c r="C2413">
        <v>180</v>
      </c>
      <c r="D2413" t="s">
        <v>499</v>
      </c>
      <c r="E2413" t="s">
        <v>11</v>
      </c>
      <c r="F2413">
        <v>1</v>
      </c>
      <c r="G2413" t="s">
        <v>18</v>
      </c>
    </row>
    <row r="2414" spans="1:7" x14ac:dyDescent="0.25">
      <c r="A2414">
        <v>135</v>
      </c>
      <c r="B2414" t="s">
        <v>716</v>
      </c>
      <c r="C2414">
        <v>10</v>
      </c>
      <c r="D2414" t="s">
        <v>501</v>
      </c>
      <c r="E2414" t="s">
        <v>11</v>
      </c>
      <c r="F2414">
        <v>1</v>
      </c>
      <c r="G2414" t="s">
        <v>18</v>
      </c>
    </row>
    <row r="2415" spans="1:7" x14ac:dyDescent="0.25">
      <c r="A2415">
        <v>135</v>
      </c>
      <c r="B2415" t="s">
        <v>716</v>
      </c>
      <c r="C2415">
        <v>20</v>
      </c>
      <c r="D2415" t="s">
        <v>130</v>
      </c>
      <c r="E2415" t="s">
        <v>14</v>
      </c>
      <c r="F2415">
        <v>4.585</v>
      </c>
      <c r="G2415" t="s">
        <v>15</v>
      </c>
    </row>
    <row r="2416" spans="1:7" x14ac:dyDescent="0.25">
      <c r="A2416">
        <v>135</v>
      </c>
      <c r="B2416" t="s">
        <v>716</v>
      </c>
      <c r="C2416">
        <v>30</v>
      </c>
      <c r="D2416" t="s">
        <v>102</v>
      </c>
      <c r="E2416" t="s">
        <v>103</v>
      </c>
      <c r="F2416">
        <v>1.2669999999999999</v>
      </c>
      <c r="G2416" t="s">
        <v>15</v>
      </c>
    </row>
    <row r="2417" spans="1:7" x14ac:dyDescent="0.25">
      <c r="A2417">
        <v>135</v>
      </c>
      <c r="B2417" t="s">
        <v>716</v>
      </c>
      <c r="C2417">
        <v>40</v>
      </c>
      <c r="D2417" t="s">
        <v>597</v>
      </c>
      <c r="E2417" t="s">
        <v>11</v>
      </c>
      <c r="F2417">
        <v>1.702</v>
      </c>
      <c r="G2417" t="s">
        <v>18</v>
      </c>
    </row>
    <row r="2418" spans="1:7" x14ac:dyDescent="0.25">
      <c r="A2418">
        <v>135</v>
      </c>
      <c r="B2418" t="s">
        <v>716</v>
      </c>
      <c r="C2418">
        <v>50</v>
      </c>
      <c r="D2418" t="s">
        <v>139</v>
      </c>
      <c r="E2418" t="s">
        <v>17</v>
      </c>
      <c r="F2418">
        <v>1.702</v>
      </c>
      <c r="G2418" t="s">
        <v>18</v>
      </c>
    </row>
    <row r="2419" spans="1:7" x14ac:dyDescent="0.25">
      <c r="A2419">
        <v>135</v>
      </c>
      <c r="B2419" t="s">
        <v>716</v>
      </c>
      <c r="C2419">
        <v>60</v>
      </c>
      <c r="D2419" t="s">
        <v>717</v>
      </c>
      <c r="E2419" t="s">
        <v>11</v>
      </c>
      <c r="F2419">
        <v>1</v>
      </c>
      <c r="G2419" t="s">
        <v>18</v>
      </c>
    </row>
    <row r="2420" spans="1:7" x14ac:dyDescent="0.25">
      <c r="A2420">
        <v>135</v>
      </c>
      <c r="B2420" t="s">
        <v>716</v>
      </c>
      <c r="C2420">
        <v>70</v>
      </c>
      <c r="D2420" t="s">
        <v>599</v>
      </c>
      <c r="E2420" t="s">
        <v>17</v>
      </c>
      <c r="F2420">
        <v>22.555</v>
      </c>
      <c r="G2420" t="s">
        <v>15</v>
      </c>
    </row>
    <row r="2421" spans="1:7" x14ac:dyDescent="0.25">
      <c r="A2421">
        <v>135</v>
      </c>
      <c r="B2421" t="s">
        <v>716</v>
      </c>
      <c r="C2421">
        <v>80</v>
      </c>
      <c r="D2421" t="s">
        <v>20</v>
      </c>
      <c r="E2421" t="s">
        <v>17</v>
      </c>
      <c r="F2421">
        <v>184.953</v>
      </c>
      <c r="G2421" t="s">
        <v>15</v>
      </c>
    </row>
    <row r="2422" spans="1:7" x14ac:dyDescent="0.25">
      <c r="A2422">
        <v>135</v>
      </c>
      <c r="B2422" t="s">
        <v>716</v>
      </c>
      <c r="C2422">
        <v>90</v>
      </c>
      <c r="D2422" t="s">
        <v>24</v>
      </c>
      <c r="E2422" t="s">
        <v>11</v>
      </c>
      <c r="F2422">
        <v>1</v>
      </c>
      <c r="G2422" t="s">
        <v>15</v>
      </c>
    </row>
    <row r="2423" spans="1:7" x14ac:dyDescent="0.25">
      <c r="A2423">
        <v>135</v>
      </c>
      <c r="B2423" t="s">
        <v>716</v>
      </c>
      <c r="C2423">
        <v>100</v>
      </c>
      <c r="D2423" t="s">
        <v>141</v>
      </c>
      <c r="E2423" t="s">
        <v>14</v>
      </c>
      <c r="F2423">
        <v>0.13800000000000001</v>
      </c>
      <c r="G2423" t="s">
        <v>15</v>
      </c>
    </row>
    <row r="2424" spans="1:7" x14ac:dyDescent="0.25">
      <c r="A2424">
        <v>135</v>
      </c>
      <c r="B2424" t="s">
        <v>716</v>
      </c>
      <c r="C2424">
        <v>110</v>
      </c>
      <c r="D2424" t="s">
        <v>140</v>
      </c>
      <c r="E2424" t="s">
        <v>11</v>
      </c>
      <c r="F2424">
        <v>4</v>
      </c>
      <c r="G2424" t="s">
        <v>15</v>
      </c>
    </row>
    <row r="2425" spans="1:7" x14ac:dyDescent="0.25">
      <c r="A2425">
        <v>135</v>
      </c>
      <c r="B2425" t="s">
        <v>716</v>
      </c>
      <c r="C2425">
        <v>120</v>
      </c>
      <c r="D2425" t="s">
        <v>25</v>
      </c>
      <c r="E2425" t="s">
        <v>11</v>
      </c>
      <c r="F2425">
        <v>1</v>
      </c>
      <c r="G2425" t="s">
        <v>15</v>
      </c>
    </row>
    <row r="2426" spans="1:7" x14ac:dyDescent="0.25">
      <c r="A2426">
        <v>135</v>
      </c>
      <c r="B2426" t="s">
        <v>716</v>
      </c>
      <c r="C2426">
        <v>130</v>
      </c>
      <c r="D2426" t="s">
        <v>26</v>
      </c>
      <c r="E2426" t="s">
        <v>11</v>
      </c>
      <c r="F2426">
        <v>1</v>
      </c>
      <c r="G2426" t="s">
        <v>15</v>
      </c>
    </row>
    <row r="2427" spans="1:7" x14ac:dyDescent="0.25">
      <c r="A2427">
        <v>135</v>
      </c>
      <c r="B2427" t="s">
        <v>716</v>
      </c>
      <c r="C2427">
        <v>140</v>
      </c>
      <c r="D2427" t="s">
        <v>100</v>
      </c>
      <c r="E2427" t="s">
        <v>14</v>
      </c>
      <c r="F2427">
        <v>1.1890000000000001</v>
      </c>
      <c r="G2427" t="s">
        <v>15</v>
      </c>
    </row>
    <row r="2428" spans="1:7" x14ac:dyDescent="0.25">
      <c r="A2428">
        <v>135</v>
      </c>
      <c r="B2428" t="s">
        <v>716</v>
      </c>
      <c r="C2428">
        <v>150</v>
      </c>
      <c r="D2428" t="s">
        <v>503</v>
      </c>
      <c r="E2428" t="s">
        <v>11</v>
      </c>
      <c r="F2428">
        <v>1</v>
      </c>
      <c r="G2428" t="s">
        <v>18</v>
      </c>
    </row>
    <row r="2429" spans="1:7" x14ac:dyDescent="0.25">
      <c r="A2429">
        <v>135</v>
      </c>
      <c r="B2429" t="s">
        <v>716</v>
      </c>
      <c r="C2429">
        <v>160</v>
      </c>
      <c r="D2429" t="s">
        <v>504</v>
      </c>
      <c r="E2429" t="s">
        <v>11</v>
      </c>
      <c r="F2429">
        <v>1</v>
      </c>
      <c r="G2429" t="s">
        <v>18</v>
      </c>
    </row>
    <row r="2430" spans="1:7" x14ac:dyDescent="0.25">
      <c r="A2430">
        <v>135</v>
      </c>
      <c r="B2430" t="s">
        <v>716</v>
      </c>
      <c r="C2430">
        <v>170</v>
      </c>
      <c r="D2430" t="s">
        <v>142</v>
      </c>
      <c r="E2430" t="s">
        <v>11</v>
      </c>
      <c r="F2430">
        <v>7.5179999999999998</v>
      </c>
      <c r="G2430" t="s">
        <v>15</v>
      </c>
    </row>
    <row r="2431" spans="1:7" x14ac:dyDescent="0.25">
      <c r="A2431">
        <v>135</v>
      </c>
      <c r="B2431" t="s">
        <v>716</v>
      </c>
      <c r="C2431">
        <v>180</v>
      </c>
      <c r="D2431" t="s">
        <v>505</v>
      </c>
      <c r="E2431" t="s">
        <v>11</v>
      </c>
      <c r="F2431">
        <v>1</v>
      </c>
      <c r="G2431" t="s">
        <v>18</v>
      </c>
    </row>
    <row r="2432" spans="1:7" x14ac:dyDescent="0.25">
      <c r="A2432">
        <v>136</v>
      </c>
      <c r="B2432" t="s">
        <v>718</v>
      </c>
      <c r="C2432">
        <v>10</v>
      </c>
      <c r="D2432" t="s">
        <v>507</v>
      </c>
      <c r="E2432" t="s">
        <v>11</v>
      </c>
      <c r="F2432">
        <v>1</v>
      </c>
      <c r="G2432" t="s">
        <v>18</v>
      </c>
    </row>
    <row r="2433" spans="1:7" x14ac:dyDescent="0.25">
      <c r="A2433">
        <v>136</v>
      </c>
      <c r="B2433" t="s">
        <v>718</v>
      </c>
      <c r="C2433">
        <v>20</v>
      </c>
      <c r="D2433" t="s">
        <v>131</v>
      </c>
      <c r="E2433" t="s">
        <v>14</v>
      </c>
      <c r="F2433">
        <v>5.0049999999999999</v>
      </c>
      <c r="G2433" t="s">
        <v>15</v>
      </c>
    </row>
    <row r="2434" spans="1:7" x14ac:dyDescent="0.25">
      <c r="A2434">
        <v>136</v>
      </c>
      <c r="B2434" t="s">
        <v>718</v>
      </c>
      <c r="C2434">
        <v>30</v>
      </c>
      <c r="D2434" t="s">
        <v>102</v>
      </c>
      <c r="E2434" t="s">
        <v>103</v>
      </c>
      <c r="F2434">
        <v>1.3839999999999999</v>
      </c>
      <c r="G2434" t="s">
        <v>15</v>
      </c>
    </row>
    <row r="2435" spans="1:7" x14ac:dyDescent="0.25">
      <c r="A2435">
        <v>136</v>
      </c>
      <c r="B2435" t="s">
        <v>718</v>
      </c>
      <c r="C2435">
        <v>40</v>
      </c>
      <c r="D2435" t="s">
        <v>597</v>
      </c>
      <c r="E2435" t="s">
        <v>11</v>
      </c>
      <c r="F2435">
        <v>1.8540000000000001</v>
      </c>
      <c r="G2435" t="s">
        <v>18</v>
      </c>
    </row>
    <row r="2436" spans="1:7" x14ac:dyDescent="0.25">
      <c r="A2436">
        <v>136</v>
      </c>
      <c r="B2436" t="s">
        <v>718</v>
      </c>
      <c r="C2436">
        <v>50</v>
      </c>
      <c r="D2436" t="s">
        <v>139</v>
      </c>
      <c r="E2436" t="s">
        <v>17</v>
      </c>
      <c r="F2436">
        <v>1.8540000000000001</v>
      </c>
      <c r="G2436" t="s">
        <v>18</v>
      </c>
    </row>
    <row r="2437" spans="1:7" x14ac:dyDescent="0.25">
      <c r="A2437">
        <v>136</v>
      </c>
      <c r="B2437" t="s">
        <v>718</v>
      </c>
      <c r="C2437">
        <v>60</v>
      </c>
      <c r="D2437" t="s">
        <v>719</v>
      </c>
      <c r="E2437" t="s">
        <v>11</v>
      </c>
      <c r="F2437">
        <v>1</v>
      </c>
      <c r="G2437" t="s">
        <v>18</v>
      </c>
    </row>
    <row r="2438" spans="1:7" x14ac:dyDescent="0.25">
      <c r="A2438">
        <v>136</v>
      </c>
      <c r="B2438" t="s">
        <v>718</v>
      </c>
      <c r="C2438">
        <v>70</v>
      </c>
      <c r="D2438" t="s">
        <v>599</v>
      </c>
      <c r="E2438" t="s">
        <v>17</v>
      </c>
      <c r="F2438">
        <v>23.47</v>
      </c>
      <c r="G2438" t="s">
        <v>15</v>
      </c>
    </row>
    <row r="2439" spans="1:7" x14ac:dyDescent="0.25">
      <c r="A2439">
        <v>136</v>
      </c>
      <c r="B2439" t="s">
        <v>718</v>
      </c>
      <c r="C2439">
        <v>80</v>
      </c>
      <c r="D2439" t="s">
        <v>20</v>
      </c>
      <c r="E2439" t="s">
        <v>17</v>
      </c>
      <c r="F2439">
        <v>192.45099999999999</v>
      </c>
      <c r="G2439" t="s">
        <v>15</v>
      </c>
    </row>
    <row r="2440" spans="1:7" x14ac:dyDescent="0.25">
      <c r="A2440">
        <v>136</v>
      </c>
      <c r="B2440" t="s">
        <v>718</v>
      </c>
      <c r="C2440">
        <v>90</v>
      </c>
      <c r="D2440" t="s">
        <v>24</v>
      </c>
      <c r="E2440" t="s">
        <v>11</v>
      </c>
      <c r="F2440">
        <v>1</v>
      </c>
      <c r="G2440" t="s">
        <v>15</v>
      </c>
    </row>
    <row r="2441" spans="1:7" x14ac:dyDescent="0.25">
      <c r="A2441">
        <v>136</v>
      </c>
      <c r="B2441" t="s">
        <v>718</v>
      </c>
      <c r="C2441">
        <v>100</v>
      </c>
      <c r="D2441" t="s">
        <v>141</v>
      </c>
      <c r="E2441" t="s">
        <v>14</v>
      </c>
      <c r="F2441">
        <v>0.14899999999999999</v>
      </c>
      <c r="G2441" t="s">
        <v>15</v>
      </c>
    </row>
    <row r="2442" spans="1:7" x14ac:dyDescent="0.25">
      <c r="A2442">
        <v>136</v>
      </c>
      <c r="B2442" t="s">
        <v>718</v>
      </c>
      <c r="C2442">
        <v>110</v>
      </c>
      <c r="D2442" t="s">
        <v>140</v>
      </c>
      <c r="E2442" t="s">
        <v>11</v>
      </c>
      <c r="F2442">
        <v>4</v>
      </c>
      <c r="G2442" t="s">
        <v>15</v>
      </c>
    </row>
    <row r="2443" spans="1:7" x14ac:dyDescent="0.25">
      <c r="A2443">
        <v>136</v>
      </c>
      <c r="B2443" t="s">
        <v>718</v>
      </c>
      <c r="C2443">
        <v>120</v>
      </c>
      <c r="D2443" t="s">
        <v>25</v>
      </c>
      <c r="E2443" t="s">
        <v>11</v>
      </c>
      <c r="F2443">
        <v>1</v>
      </c>
      <c r="G2443" t="s">
        <v>15</v>
      </c>
    </row>
    <row r="2444" spans="1:7" x14ac:dyDescent="0.25">
      <c r="A2444">
        <v>136</v>
      </c>
      <c r="B2444" t="s">
        <v>718</v>
      </c>
      <c r="C2444">
        <v>130</v>
      </c>
      <c r="D2444" t="s">
        <v>26</v>
      </c>
      <c r="E2444" t="s">
        <v>11</v>
      </c>
      <c r="F2444">
        <v>1</v>
      </c>
      <c r="G2444" t="s">
        <v>15</v>
      </c>
    </row>
    <row r="2445" spans="1:7" x14ac:dyDescent="0.25">
      <c r="A2445">
        <v>136</v>
      </c>
      <c r="B2445" t="s">
        <v>718</v>
      </c>
      <c r="C2445">
        <v>140</v>
      </c>
      <c r="D2445" t="s">
        <v>100</v>
      </c>
      <c r="E2445" t="s">
        <v>14</v>
      </c>
      <c r="F2445">
        <v>1.1890000000000001</v>
      </c>
      <c r="G2445" t="s">
        <v>15</v>
      </c>
    </row>
    <row r="2446" spans="1:7" x14ac:dyDescent="0.25">
      <c r="A2446">
        <v>136</v>
      </c>
      <c r="B2446" t="s">
        <v>718</v>
      </c>
      <c r="C2446">
        <v>150</v>
      </c>
      <c r="D2446" t="s">
        <v>509</v>
      </c>
      <c r="E2446" t="s">
        <v>11</v>
      </c>
      <c r="F2446">
        <v>1</v>
      </c>
      <c r="G2446" t="s">
        <v>18</v>
      </c>
    </row>
    <row r="2447" spans="1:7" x14ac:dyDescent="0.25">
      <c r="A2447">
        <v>136</v>
      </c>
      <c r="B2447" t="s">
        <v>718</v>
      </c>
      <c r="C2447">
        <v>160</v>
      </c>
      <c r="D2447" t="s">
        <v>510</v>
      </c>
      <c r="E2447" t="s">
        <v>11</v>
      </c>
      <c r="F2447">
        <v>1</v>
      </c>
      <c r="G2447" t="s">
        <v>18</v>
      </c>
    </row>
    <row r="2448" spans="1:7" x14ac:dyDescent="0.25">
      <c r="A2448">
        <v>136</v>
      </c>
      <c r="B2448" t="s">
        <v>718</v>
      </c>
      <c r="C2448">
        <v>170</v>
      </c>
      <c r="D2448" t="s">
        <v>142</v>
      </c>
      <c r="E2448" t="s">
        <v>11</v>
      </c>
      <c r="F2448">
        <v>7.8230000000000004</v>
      </c>
      <c r="G2448" t="s">
        <v>15</v>
      </c>
    </row>
    <row r="2449" spans="1:7" x14ac:dyDescent="0.25">
      <c r="A2449">
        <v>136</v>
      </c>
      <c r="B2449" t="s">
        <v>718</v>
      </c>
      <c r="C2449">
        <v>180</v>
      </c>
      <c r="D2449" t="s">
        <v>511</v>
      </c>
      <c r="E2449" t="s">
        <v>11</v>
      </c>
      <c r="F2449">
        <v>1</v>
      </c>
      <c r="G2449" t="s">
        <v>18</v>
      </c>
    </row>
    <row r="2450" spans="1:7" x14ac:dyDescent="0.25">
      <c r="A2450">
        <v>137</v>
      </c>
      <c r="B2450" t="s">
        <v>720</v>
      </c>
      <c r="C2450">
        <v>10</v>
      </c>
      <c r="D2450" t="s">
        <v>513</v>
      </c>
      <c r="E2450" t="s">
        <v>11</v>
      </c>
      <c r="F2450">
        <v>1</v>
      </c>
      <c r="G2450" t="s">
        <v>18</v>
      </c>
    </row>
    <row r="2451" spans="1:7" x14ac:dyDescent="0.25">
      <c r="A2451">
        <v>137</v>
      </c>
      <c r="B2451" t="s">
        <v>720</v>
      </c>
      <c r="C2451">
        <v>20</v>
      </c>
      <c r="D2451" t="s">
        <v>132</v>
      </c>
      <c r="E2451" t="s">
        <v>14</v>
      </c>
      <c r="F2451">
        <v>2.1179999999999999</v>
      </c>
      <c r="G2451" t="s">
        <v>15</v>
      </c>
    </row>
    <row r="2452" spans="1:7" x14ac:dyDescent="0.25">
      <c r="A2452">
        <v>137</v>
      </c>
      <c r="B2452" t="s">
        <v>720</v>
      </c>
      <c r="C2452">
        <v>30</v>
      </c>
      <c r="D2452" t="s">
        <v>102</v>
      </c>
      <c r="E2452" t="s">
        <v>103</v>
      </c>
      <c r="F2452">
        <v>0.57999999999999996</v>
      </c>
      <c r="G2452" t="s">
        <v>15</v>
      </c>
    </row>
    <row r="2453" spans="1:7" x14ac:dyDescent="0.25">
      <c r="A2453">
        <v>137</v>
      </c>
      <c r="B2453" t="s">
        <v>720</v>
      </c>
      <c r="C2453">
        <v>40</v>
      </c>
      <c r="D2453" t="s">
        <v>597</v>
      </c>
      <c r="E2453" t="s">
        <v>11</v>
      </c>
      <c r="F2453">
        <v>2.0569999999999999</v>
      </c>
      <c r="G2453" t="s">
        <v>18</v>
      </c>
    </row>
    <row r="2454" spans="1:7" x14ac:dyDescent="0.25">
      <c r="A2454">
        <v>137</v>
      </c>
      <c r="B2454" t="s">
        <v>720</v>
      </c>
      <c r="C2454">
        <v>50</v>
      </c>
      <c r="D2454" t="s">
        <v>139</v>
      </c>
      <c r="E2454" t="s">
        <v>17</v>
      </c>
      <c r="F2454">
        <v>2.0569999999999999</v>
      </c>
      <c r="G2454" t="s">
        <v>18</v>
      </c>
    </row>
    <row r="2455" spans="1:7" x14ac:dyDescent="0.25">
      <c r="A2455">
        <v>137</v>
      </c>
      <c r="B2455" t="s">
        <v>720</v>
      </c>
      <c r="C2455">
        <v>60</v>
      </c>
      <c r="D2455" t="s">
        <v>721</v>
      </c>
      <c r="E2455" t="s">
        <v>11</v>
      </c>
      <c r="F2455">
        <v>1</v>
      </c>
      <c r="G2455" t="s">
        <v>18</v>
      </c>
    </row>
    <row r="2456" spans="1:7" x14ac:dyDescent="0.25">
      <c r="A2456">
        <v>137</v>
      </c>
      <c r="B2456" t="s">
        <v>720</v>
      </c>
      <c r="C2456">
        <v>70</v>
      </c>
      <c r="D2456" t="s">
        <v>599</v>
      </c>
      <c r="E2456" t="s">
        <v>17</v>
      </c>
      <c r="F2456">
        <v>17.373999999999999</v>
      </c>
      <c r="G2456" t="s">
        <v>15</v>
      </c>
    </row>
    <row r="2457" spans="1:7" x14ac:dyDescent="0.25">
      <c r="A2457">
        <v>137</v>
      </c>
      <c r="B2457" t="s">
        <v>720</v>
      </c>
      <c r="C2457">
        <v>80</v>
      </c>
      <c r="D2457" t="s">
        <v>20</v>
      </c>
      <c r="E2457" t="s">
        <v>17</v>
      </c>
      <c r="F2457">
        <v>142.464</v>
      </c>
      <c r="G2457" t="s">
        <v>15</v>
      </c>
    </row>
    <row r="2458" spans="1:7" x14ac:dyDescent="0.25">
      <c r="A2458">
        <v>137</v>
      </c>
      <c r="B2458" t="s">
        <v>720</v>
      </c>
      <c r="C2458">
        <v>90</v>
      </c>
      <c r="D2458" t="s">
        <v>24</v>
      </c>
      <c r="E2458" t="s">
        <v>11</v>
      </c>
      <c r="F2458">
        <v>1</v>
      </c>
      <c r="G2458" t="s">
        <v>15</v>
      </c>
    </row>
    <row r="2459" spans="1:7" x14ac:dyDescent="0.25">
      <c r="A2459">
        <v>137</v>
      </c>
      <c r="B2459" t="s">
        <v>720</v>
      </c>
      <c r="C2459">
        <v>100</v>
      </c>
      <c r="D2459" t="s">
        <v>141</v>
      </c>
      <c r="E2459" t="s">
        <v>14</v>
      </c>
      <c r="F2459">
        <v>7.5999999999999998E-2</v>
      </c>
      <c r="G2459" t="s">
        <v>15</v>
      </c>
    </row>
    <row r="2460" spans="1:7" x14ac:dyDescent="0.25">
      <c r="A2460">
        <v>137</v>
      </c>
      <c r="B2460" t="s">
        <v>720</v>
      </c>
      <c r="C2460">
        <v>110</v>
      </c>
      <c r="D2460" t="s">
        <v>140</v>
      </c>
      <c r="E2460" t="s">
        <v>11</v>
      </c>
      <c r="F2460">
        <v>4</v>
      </c>
      <c r="G2460" t="s">
        <v>15</v>
      </c>
    </row>
    <row r="2461" spans="1:7" x14ac:dyDescent="0.25">
      <c r="A2461">
        <v>137</v>
      </c>
      <c r="B2461" t="s">
        <v>720</v>
      </c>
      <c r="C2461">
        <v>120</v>
      </c>
      <c r="D2461" t="s">
        <v>25</v>
      </c>
      <c r="E2461" t="s">
        <v>11</v>
      </c>
      <c r="F2461">
        <v>1</v>
      </c>
      <c r="G2461" t="s">
        <v>15</v>
      </c>
    </row>
    <row r="2462" spans="1:7" x14ac:dyDescent="0.25">
      <c r="A2462">
        <v>137</v>
      </c>
      <c r="B2462" t="s">
        <v>720</v>
      </c>
      <c r="C2462">
        <v>130</v>
      </c>
      <c r="D2462" t="s">
        <v>26</v>
      </c>
      <c r="E2462" t="s">
        <v>11</v>
      </c>
      <c r="F2462">
        <v>1</v>
      </c>
      <c r="G2462" t="s">
        <v>15</v>
      </c>
    </row>
    <row r="2463" spans="1:7" x14ac:dyDescent="0.25">
      <c r="A2463">
        <v>137</v>
      </c>
      <c r="B2463" t="s">
        <v>720</v>
      </c>
      <c r="C2463">
        <v>140</v>
      </c>
      <c r="D2463" t="s">
        <v>100</v>
      </c>
      <c r="E2463" t="s">
        <v>14</v>
      </c>
      <c r="F2463">
        <v>1.216</v>
      </c>
      <c r="G2463" t="s">
        <v>15</v>
      </c>
    </row>
    <row r="2464" spans="1:7" x14ac:dyDescent="0.25">
      <c r="A2464">
        <v>137</v>
      </c>
      <c r="B2464" t="s">
        <v>720</v>
      </c>
      <c r="C2464">
        <v>150</v>
      </c>
      <c r="D2464" t="s">
        <v>515</v>
      </c>
      <c r="E2464" t="s">
        <v>11</v>
      </c>
      <c r="F2464">
        <v>1</v>
      </c>
      <c r="G2464" t="s">
        <v>18</v>
      </c>
    </row>
    <row r="2465" spans="1:7" x14ac:dyDescent="0.25">
      <c r="A2465">
        <v>137</v>
      </c>
      <c r="B2465" t="s">
        <v>720</v>
      </c>
      <c r="C2465">
        <v>160</v>
      </c>
      <c r="D2465" t="s">
        <v>516</v>
      </c>
      <c r="E2465" t="s">
        <v>11</v>
      </c>
      <c r="F2465">
        <v>1</v>
      </c>
      <c r="G2465" t="s">
        <v>18</v>
      </c>
    </row>
    <row r="2466" spans="1:7" x14ac:dyDescent="0.25">
      <c r="A2466">
        <v>137</v>
      </c>
      <c r="B2466" t="s">
        <v>720</v>
      </c>
      <c r="C2466">
        <v>170</v>
      </c>
      <c r="D2466" t="s">
        <v>142</v>
      </c>
      <c r="E2466" t="s">
        <v>11</v>
      </c>
      <c r="F2466">
        <v>5.7910000000000004</v>
      </c>
      <c r="G2466" t="s">
        <v>15</v>
      </c>
    </row>
    <row r="2467" spans="1:7" x14ac:dyDescent="0.25">
      <c r="A2467">
        <v>137</v>
      </c>
      <c r="B2467" t="s">
        <v>720</v>
      </c>
      <c r="C2467">
        <v>180</v>
      </c>
      <c r="D2467" t="s">
        <v>517</v>
      </c>
      <c r="E2467" t="s">
        <v>11</v>
      </c>
      <c r="F2467">
        <v>1</v>
      </c>
      <c r="G2467" t="s">
        <v>18</v>
      </c>
    </row>
    <row r="2468" spans="1:7" x14ac:dyDescent="0.25">
      <c r="A2468">
        <v>138</v>
      </c>
      <c r="B2468" t="s">
        <v>722</v>
      </c>
      <c r="C2468">
        <v>10</v>
      </c>
      <c r="D2468" t="s">
        <v>519</v>
      </c>
      <c r="E2468" t="s">
        <v>11</v>
      </c>
      <c r="F2468">
        <v>1</v>
      </c>
      <c r="G2468" t="s">
        <v>18</v>
      </c>
    </row>
    <row r="2469" spans="1:7" x14ac:dyDescent="0.25">
      <c r="A2469">
        <v>138</v>
      </c>
      <c r="B2469" t="s">
        <v>722</v>
      </c>
      <c r="C2469">
        <v>20</v>
      </c>
      <c r="D2469" t="s">
        <v>132</v>
      </c>
      <c r="E2469" t="s">
        <v>14</v>
      </c>
      <c r="F2469">
        <v>2.5489999999999999</v>
      </c>
      <c r="G2469" t="s">
        <v>15</v>
      </c>
    </row>
    <row r="2470" spans="1:7" x14ac:dyDescent="0.25">
      <c r="A2470">
        <v>138</v>
      </c>
      <c r="B2470" t="s">
        <v>722</v>
      </c>
      <c r="C2470">
        <v>30</v>
      </c>
      <c r="D2470" t="s">
        <v>102</v>
      </c>
      <c r="E2470" t="s">
        <v>103</v>
      </c>
      <c r="F2470">
        <v>0.7</v>
      </c>
      <c r="G2470" t="s">
        <v>15</v>
      </c>
    </row>
    <row r="2471" spans="1:7" x14ac:dyDescent="0.25">
      <c r="A2471">
        <v>138</v>
      </c>
      <c r="B2471" t="s">
        <v>722</v>
      </c>
      <c r="C2471">
        <v>40</v>
      </c>
      <c r="D2471" t="s">
        <v>597</v>
      </c>
      <c r="E2471" t="s">
        <v>11</v>
      </c>
      <c r="F2471">
        <v>2.0569999999999999</v>
      </c>
      <c r="G2471" t="s">
        <v>18</v>
      </c>
    </row>
    <row r="2472" spans="1:7" x14ac:dyDescent="0.25">
      <c r="A2472">
        <v>138</v>
      </c>
      <c r="B2472" t="s">
        <v>722</v>
      </c>
      <c r="C2472">
        <v>50</v>
      </c>
      <c r="D2472" t="s">
        <v>139</v>
      </c>
      <c r="E2472" t="s">
        <v>17</v>
      </c>
      <c r="F2472">
        <v>2.0569999999999999</v>
      </c>
      <c r="G2472" t="s">
        <v>18</v>
      </c>
    </row>
    <row r="2473" spans="1:7" x14ac:dyDescent="0.25">
      <c r="A2473">
        <v>138</v>
      </c>
      <c r="B2473" t="s">
        <v>722</v>
      </c>
      <c r="C2473">
        <v>60</v>
      </c>
      <c r="D2473" t="s">
        <v>723</v>
      </c>
      <c r="E2473" t="s">
        <v>11</v>
      </c>
      <c r="F2473">
        <v>1</v>
      </c>
      <c r="G2473" t="s">
        <v>18</v>
      </c>
    </row>
    <row r="2474" spans="1:7" x14ac:dyDescent="0.25">
      <c r="A2474">
        <v>138</v>
      </c>
      <c r="B2474" t="s">
        <v>722</v>
      </c>
      <c r="C2474">
        <v>70</v>
      </c>
      <c r="D2474" t="s">
        <v>599</v>
      </c>
      <c r="E2474" t="s">
        <v>17</v>
      </c>
      <c r="F2474">
        <v>18.288</v>
      </c>
      <c r="G2474" t="s">
        <v>15</v>
      </c>
    </row>
    <row r="2475" spans="1:7" x14ac:dyDescent="0.25">
      <c r="A2475">
        <v>138</v>
      </c>
      <c r="B2475" t="s">
        <v>722</v>
      </c>
      <c r="C2475">
        <v>80</v>
      </c>
      <c r="D2475" t="s">
        <v>20</v>
      </c>
      <c r="E2475" t="s">
        <v>17</v>
      </c>
      <c r="F2475">
        <v>149.96199999999999</v>
      </c>
      <c r="G2475" t="s">
        <v>15</v>
      </c>
    </row>
    <row r="2476" spans="1:7" x14ac:dyDescent="0.25">
      <c r="A2476">
        <v>138</v>
      </c>
      <c r="B2476" t="s">
        <v>722</v>
      </c>
      <c r="C2476">
        <v>90</v>
      </c>
      <c r="D2476" t="s">
        <v>24</v>
      </c>
      <c r="E2476" t="s">
        <v>11</v>
      </c>
      <c r="F2476">
        <v>1</v>
      </c>
      <c r="G2476" t="s">
        <v>15</v>
      </c>
    </row>
    <row r="2477" spans="1:7" x14ac:dyDescent="0.25">
      <c r="A2477">
        <v>138</v>
      </c>
      <c r="B2477" t="s">
        <v>722</v>
      </c>
      <c r="C2477">
        <v>100</v>
      </c>
      <c r="D2477" t="s">
        <v>141</v>
      </c>
      <c r="E2477" t="s">
        <v>14</v>
      </c>
      <c r="F2477">
        <v>8.5999999999999993E-2</v>
      </c>
      <c r="G2477" t="s">
        <v>15</v>
      </c>
    </row>
    <row r="2478" spans="1:7" x14ac:dyDescent="0.25">
      <c r="A2478">
        <v>138</v>
      </c>
      <c r="B2478" t="s">
        <v>722</v>
      </c>
      <c r="C2478">
        <v>110</v>
      </c>
      <c r="D2478" t="s">
        <v>140</v>
      </c>
      <c r="E2478" t="s">
        <v>11</v>
      </c>
      <c r="F2478">
        <v>4</v>
      </c>
      <c r="G2478" t="s">
        <v>15</v>
      </c>
    </row>
    <row r="2479" spans="1:7" x14ac:dyDescent="0.25">
      <c r="A2479">
        <v>138</v>
      </c>
      <c r="B2479" t="s">
        <v>722</v>
      </c>
      <c r="C2479">
        <v>120</v>
      </c>
      <c r="D2479" t="s">
        <v>25</v>
      </c>
      <c r="E2479" t="s">
        <v>11</v>
      </c>
      <c r="F2479">
        <v>1</v>
      </c>
      <c r="G2479" t="s">
        <v>15</v>
      </c>
    </row>
    <row r="2480" spans="1:7" x14ac:dyDescent="0.25">
      <c r="A2480">
        <v>138</v>
      </c>
      <c r="B2480" t="s">
        <v>722</v>
      </c>
      <c r="C2480">
        <v>130</v>
      </c>
      <c r="D2480" t="s">
        <v>26</v>
      </c>
      <c r="E2480" t="s">
        <v>11</v>
      </c>
      <c r="F2480">
        <v>1</v>
      </c>
      <c r="G2480" t="s">
        <v>15</v>
      </c>
    </row>
    <row r="2481" spans="1:7" x14ac:dyDescent="0.25">
      <c r="A2481">
        <v>138</v>
      </c>
      <c r="B2481" t="s">
        <v>722</v>
      </c>
      <c r="C2481">
        <v>140</v>
      </c>
      <c r="D2481" t="s">
        <v>100</v>
      </c>
      <c r="E2481" t="s">
        <v>14</v>
      </c>
      <c r="F2481">
        <v>1.216</v>
      </c>
      <c r="G2481" t="s">
        <v>15</v>
      </c>
    </row>
    <row r="2482" spans="1:7" x14ac:dyDescent="0.25">
      <c r="A2482">
        <v>138</v>
      </c>
      <c r="B2482" t="s">
        <v>722</v>
      </c>
      <c r="C2482">
        <v>150</v>
      </c>
      <c r="D2482" t="s">
        <v>521</v>
      </c>
      <c r="E2482" t="s">
        <v>11</v>
      </c>
      <c r="F2482">
        <v>1</v>
      </c>
      <c r="G2482" t="s">
        <v>18</v>
      </c>
    </row>
    <row r="2483" spans="1:7" x14ac:dyDescent="0.25">
      <c r="A2483">
        <v>138</v>
      </c>
      <c r="B2483" t="s">
        <v>722</v>
      </c>
      <c r="C2483">
        <v>160</v>
      </c>
      <c r="D2483" t="s">
        <v>522</v>
      </c>
      <c r="E2483" t="s">
        <v>11</v>
      </c>
      <c r="F2483">
        <v>1</v>
      </c>
      <c r="G2483" t="s">
        <v>18</v>
      </c>
    </row>
    <row r="2484" spans="1:7" x14ac:dyDescent="0.25">
      <c r="A2484">
        <v>138</v>
      </c>
      <c r="B2484" t="s">
        <v>722</v>
      </c>
      <c r="C2484">
        <v>170</v>
      </c>
      <c r="D2484" t="s">
        <v>142</v>
      </c>
      <c r="E2484" t="s">
        <v>11</v>
      </c>
      <c r="F2484">
        <v>6.0960000000000001</v>
      </c>
      <c r="G2484" t="s">
        <v>15</v>
      </c>
    </row>
    <row r="2485" spans="1:7" x14ac:dyDescent="0.25">
      <c r="A2485">
        <v>138</v>
      </c>
      <c r="B2485" t="s">
        <v>722</v>
      </c>
      <c r="C2485">
        <v>180</v>
      </c>
      <c r="D2485" t="s">
        <v>523</v>
      </c>
      <c r="E2485" t="s">
        <v>11</v>
      </c>
      <c r="F2485">
        <v>1</v>
      </c>
      <c r="G2485" t="s">
        <v>18</v>
      </c>
    </row>
    <row r="2486" spans="1:7" x14ac:dyDescent="0.25">
      <c r="A2486">
        <v>139</v>
      </c>
      <c r="B2486" t="s">
        <v>724</v>
      </c>
      <c r="C2486">
        <v>10</v>
      </c>
      <c r="D2486" t="s">
        <v>525</v>
      </c>
      <c r="E2486" t="s">
        <v>11</v>
      </c>
      <c r="F2486">
        <v>1</v>
      </c>
      <c r="G2486" t="s">
        <v>18</v>
      </c>
    </row>
    <row r="2487" spans="1:7" x14ac:dyDescent="0.25">
      <c r="A2487">
        <v>139</v>
      </c>
      <c r="B2487" t="s">
        <v>724</v>
      </c>
      <c r="C2487">
        <v>20</v>
      </c>
      <c r="D2487" t="s">
        <v>132</v>
      </c>
      <c r="E2487" t="s">
        <v>14</v>
      </c>
      <c r="F2487">
        <v>2.98</v>
      </c>
      <c r="G2487" t="s">
        <v>15</v>
      </c>
    </row>
    <row r="2488" spans="1:7" x14ac:dyDescent="0.25">
      <c r="A2488">
        <v>139</v>
      </c>
      <c r="B2488" t="s">
        <v>724</v>
      </c>
      <c r="C2488">
        <v>30</v>
      </c>
      <c r="D2488" t="s">
        <v>102</v>
      </c>
      <c r="E2488" t="s">
        <v>103</v>
      </c>
      <c r="F2488">
        <v>0.82</v>
      </c>
      <c r="G2488" t="s">
        <v>15</v>
      </c>
    </row>
    <row r="2489" spans="1:7" x14ac:dyDescent="0.25">
      <c r="A2489">
        <v>139</v>
      </c>
      <c r="B2489" t="s">
        <v>724</v>
      </c>
      <c r="C2489">
        <v>40</v>
      </c>
      <c r="D2489" t="s">
        <v>597</v>
      </c>
      <c r="E2489" t="s">
        <v>11</v>
      </c>
      <c r="F2489">
        <v>2.0569999999999999</v>
      </c>
      <c r="G2489" t="s">
        <v>18</v>
      </c>
    </row>
    <row r="2490" spans="1:7" x14ac:dyDescent="0.25">
      <c r="A2490">
        <v>139</v>
      </c>
      <c r="B2490" t="s">
        <v>724</v>
      </c>
      <c r="C2490">
        <v>50</v>
      </c>
      <c r="D2490" t="s">
        <v>139</v>
      </c>
      <c r="E2490" t="s">
        <v>17</v>
      </c>
      <c r="F2490">
        <v>2.0569999999999999</v>
      </c>
      <c r="G2490" t="s">
        <v>18</v>
      </c>
    </row>
    <row r="2491" spans="1:7" x14ac:dyDescent="0.25">
      <c r="A2491">
        <v>139</v>
      </c>
      <c r="B2491" t="s">
        <v>724</v>
      </c>
      <c r="C2491">
        <v>60</v>
      </c>
      <c r="D2491" t="s">
        <v>725</v>
      </c>
      <c r="E2491" t="s">
        <v>11</v>
      </c>
      <c r="F2491">
        <v>1</v>
      </c>
      <c r="G2491" t="s">
        <v>18</v>
      </c>
    </row>
    <row r="2492" spans="1:7" x14ac:dyDescent="0.25">
      <c r="A2492">
        <v>139</v>
      </c>
      <c r="B2492" t="s">
        <v>724</v>
      </c>
      <c r="C2492">
        <v>70</v>
      </c>
      <c r="D2492" t="s">
        <v>599</v>
      </c>
      <c r="E2492" t="s">
        <v>17</v>
      </c>
      <c r="F2492">
        <v>19.202000000000002</v>
      </c>
      <c r="G2492" t="s">
        <v>15</v>
      </c>
    </row>
    <row r="2493" spans="1:7" x14ac:dyDescent="0.25">
      <c r="A2493">
        <v>139</v>
      </c>
      <c r="B2493" t="s">
        <v>724</v>
      </c>
      <c r="C2493">
        <v>80</v>
      </c>
      <c r="D2493" t="s">
        <v>20</v>
      </c>
      <c r="E2493" t="s">
        <v>17</v>
      </c>
      <c r="F2493">
        <v>157.46</v>
      </c>
      <c r="G2493" t="s">
        <v>15</v>
      </c>
    </row>
    <row r="2494" spans="1:7" x14ac:dyDescent="0.25">
      <c r="A2494">
        <v>139</v>
      </c>
      <c r="B2494" t="s">
        <v>724</v>
      </c>
      <c r="C2494">
        <v>90</v>
      </c>
      <c r="D2494" t="s">
        <v>24</v>
      </c>
      <c r="E2494" t="s">
        <v>11</v>
      </c>
      <c r="F2494">
        <v>1</v>
      </c>
      <c r="G2494" t="s">
        <v>15</v>
      </c>
    </row>
    <row r="2495" spans="1:7" x14ac:dyDescent="0.25">
      <c r="A2495">
        <v>139</v>
      </c>
      <c r="B2495" t="s">
        <v>724</v>
      </c>
      <c r="C2495">
        <v>100</v>
      </c>
      <c r="D2495" t="s">
        <v>141</v>
      </c>
      <c r="E2495" t="s">
        <v>14</v>
      </c>
      <c r="F2495">
        <v>9.7000000000000003E-2</v>
      </c>
      <c r="G2495" t="s">
        <v>15</v>
      </c>
    </row>
    <row r="2496" spans="1:7" x14ac:dyDescent="0.25">
      <c r="A2496">
        <v>139</v>
      </c>
      <c r="B2496" t="s">
        <v>724</v>
      </c>
      <c r="C2496">
        <v>110</v>
      </c>
      <c r="D2496" t="s">
        <v>140</v>
      </c>
      <c r="E2496" t="s">
        <v>11</v>
      </c>
      <c r="F2496">
        <v>4</v>
      </c>
      <c r="G2496" t="s">
        <v>15</v>
      </c>
    </row>
    <row r="2497" spans="1:7" x14ac:dyDescent="0.25">
      <c r="A2497">
        <v>139</v>
      </c>
      <c r="B2497" t="s">
        <v>724</v>
      </c>
      <c r="C2497">
        <v>120</v>
      </c>
      <c r="D2497" t="s">
        <v>25</v>
      </c>
      <c r="E2497" t="s">
        <v>11</v>
      </c>
      <c r="F2497">
        <v>1</v>
      </c>
      <c r="G2497" t="s">
        <v>15</v>
      </c>
    </row>
    <row r="2498" spans="1:7" x14ac:dyDescent="0.25">
      <c r="A2498">
        <v>139</v>
      </c>
      <c r="B2498" t="s">
        <v>724</v>
      </c>
      <c r="C2498">
        <v>130</v>
      </c>
      <c r="D2498" t="s">
        <v>26</v>
      </c>
      <c r="E2498" t="s">
        <v>11</v>
      </c>
      <c r="F2498">
        <v>1</v>
      </c>
      <c r="G2498" t="s">
        <v>15</v>
      </c>
    </row>
    <row r="2499" spans="1:7" x14ac:dyDescent="0.25">
      <c r="A2499">
        <v>139</v>
      </c>
      <c r="B2499" t="s">
        <v>724</v>
      </c>
      <c r="C2499">
        <v>140</v>
      </c>
      <c r="D2499" t="s">
        <v>100</v>
      </c>
      <c r="E2499" t="s">
        <v>14</v>
      </c>
      <c r="F2499">
        <v>1.216</v>
      </c>
      <c r="G2499" t="s">
        <v>15</v>
      </c>
    </row>
    <row r="2500" spans="1:7" x14ac:dyDescent="0.25">
      <c r="A2500">
        <v>139</v>
      </c>
      <c r="B2500" t="s">
        <v>724</v>
      </c>
      <c r="C2500">
        <v>150</v>
      </c>
      <c r="D2500" t="s">
        <v>527</v>
      </c>
      <c r="E2500" t="s">
        <v>11</v>
      </c>
      <c r="F2500">
        <v>1</v>
      </c>
      <c r="G2500" t="s">
        <v>18</v>
      </c>
    </row>
    <row r="2501" spans="1:7" x14ac:dyDescent="0.25">
      <c r="A2501">
        <v>139</v>
      </c>
      <c r="B2501" t="s">
        <v>724</v>
      </c>
      <c r="C2501">
        <v>160</v>
      </c>
      <c r="D2501" t="s">
        <v>528</v>
      </c>
      <c r="E2501" t="s">
        <v>11</v>
      </c>
      <c r="F2501">
        <v>1</v>
      </c>
      <c r="G2501" t="s">
        <v>18</v>
      </c>
    </row>
    <row r="2502" spans="1:7" x14ac:dyDescent="0.25">
      <c r="A2502">
        <v>139</v>
      </c>
      <c r="B2502" t="s">
        <v>724</v>
      </c>
      <c r="C2502">
        <v>170</v>
      </c>
      <c r="D2502" t="s">
        <v>142</v>
      </c>
      <c r="E2502" t="s">
        <v>11</v>
      </c>
      <c r="F2502">
        <v>6.4009999999999998</v>
      </c>
      <c r="G2502" t="s">
        <v>15</v>
      </c>
    </row>
    <row r="2503" spans="1:7" x14ac:dyDescent="0.25">
      <c r="A2503">
        <v>139</v>
      </c>
      <c r="B2503" t="s">
        <v>724</v>
      </c>
      <c r="C2503">
        <v>180</v>
      </c>
      <c r="D2503" t="s">
        <v>529</v>
      </c>
      <c r="E2503" t="s">
        <v>11</v>
      </c>
      <c r="F2503">
        <v>1</v>
      </c>
      <c r="G2503" t="s">
        <v>18</v>
      </c>
    </row>
    <row r="2504" spans="1:7" x14ac:dyDescent="0.25">
      <c r="A2504">
        <v>140</v>
      </c>
      <c r="B2504" t="s">
        <v>726</v>
      </c>
      <c r="C2504">
        <v>10</v>
      </c>
      <c r="D2504" t="s">
        <v>531</v>
      </c>
      <c r="E2504" t="s">
        <v>11</v>
      </c>
      <c r="F2504">
        <v>1</v>
      </c>
      <c r="G2504" t="s">
        <v>18</v>
      </c>
    </row>
    <row r="2505" spans="1:7" x14ac:dyDescent="0.25">
      <c r="A2505">
        <v>140</v>
      </c>
      <c r="B2505" t="s">
        <v>726</v>
      </c>
      <c r="C2505">
        <v>20</v>
      </c>
      <c r="D2505" t="s">
        <v>132</v>
      </c>
      <c r="E2505" t="s">
        <v>14</v>
      </c>
      <c r="F2505">
        <v>3.411</v>
      </c>
      <c r="G2505" t="s">
        <v>15</v>
      </c>
    </row>
    <row r="2506" spans="1:7" x14ac:dyDescent="0.25">
      <c r="A2506">
        <v>140</v>
      </c>
      <c r="B2506" t="s">
        <v>726</v>
      </c>
      <c r="C2506">
        <v>30</v>
      </c>
      <c r="D2506" t="s">
        <v>102</v>
      </c>
      <c r="E2506" t="s">
        <v>103</v>
      </c>
      <c r="F2506">
        <v>0.94</v>
      </c>
      <c r="G2506" t="s">
        <v>15</v>
      </c>
    </row>
    <row r="2507" spans="1:7" x14ac:dyDescent="0.25">
      <c r="A2507">
        <v>140</v>
      </c>
      <c r="B2507" t="s">
        <v>726</v>
      </c>
      <c r="C2507">
        <v>40</v>
      </c>
      <c r="D2507" t="s">
        <v>597</v>
      </c>
      <c r="E2507" t="s">
        <v>11</v>
      </c>
      <c r="F2507">
        <v>2.0569999999999999</v>
      </c>
      <c r="G2507" t="s">
        <v>18</v>
      </c>
    </row>
    <row r="2508" spans="1:7" x14ac:dyDescent="0.25">
      <c r="A2508">
        <v>140</v>
      </c>
      <c r="B2508" t="s">
        <v>726</v>
      </c>
      <c r="C2508">
        <v>50</v>
      </c>
      <c r="D2508" t="s">
        <v>139</v>
      </c>
      <c r="E2508" t="s">
        <v>17</v>
      </c>
      <c r="F2508">
        <v>2.0569999999999999</v>
      </c>
      <c r="G2508" t="s">
        <v>18</v>
      </c>
    </row>
    <row r="2509" spans="1:7" x14ac:dyDescent="0.25">
      <c r="A2509">
        <v>140</v>
      </c>
      <c r="B2509" t="s">
        <v>726</v>
      </c>
      <c r="C2509">
        <v>60</v>
      </c>
      <c r="D2509" t="s">
        <v>727</v>
      </c>
      <c r="E2509" t="s">
        <v>11</v>
      </c>
      <c r="F2509">
        <v>1</v>
      </c>
      <c r="G2509" t="s">
        <v>18</v>
      </c>
    </row>
    <row r="2510" spans="1:7" x14ac:dyDescent="0.25">
      <c r="A2510">
        <v>140</v>
      </c>
      <c r="B2510" t="s">
        <v>726</v>
      </c>
      <c r="C2510">
        <v>70</v>
      </c>
      <c r="D2510" t="s">
        <v>599</v>
      </c>
      <c r="E2510" t="s">
        <v>17</v>
      </c>
      <c r="F2510">
        <v>20.117000000000001</v>
      </c>
      <c r="G2510" t="s">
        <v>15</v>
      </c>
    </row>
    <row r="2511" spans="1:7" x14ac:dyDescent="0.25">
      <c r="A2511">
        <v>140</v>
      </c>
      <c r="B2511" t="s">
        <v>726</v>
      </c>
      <c r="C2511">
        <v>80</v>
      </c>
      <c r="D2511" t="s">
        <v>20</v>
      </c>
      <c r="E2511" t="s">
        <v>17</v>
      </c>
      <c r="F2511">
        <v>164.958</v>
      </c>
      <c r="G2511" t="s">
        <v>15</v>
      </c>
    </row>
    <row r="2512" spans="1:7" x14ac:dyDescent="0.25">
      <c r="A2512">
        <v>140</v>
      </c>
      <c r="B2512" t="s">
        <v>726</v>
      </c>
      <c r="C2512">
        <v>90</v>
      </c>
      <c r="D2512" t="s">
        <v>24</v>
      </c>
      <c r="E2512" t="s">
        <v>11</v>
      </c>
      <c r="F2512">
        <v>1</v>
      </c>
      <c r="G2512" t="s">
        <v>15</v>
      </c>
    </row>
    <row r="2513" spans="1:7" x14ac:dyDescent="0.25">
      <c r="A2513">
        <v>140</v>
      </c>
      <c r="B2513" t="s">
        <v>726</v>
      </c>
      <c r="C2513">
        <v>100</v>
      </c>
      <c r="D2513" t="s">
        <v>141</v>
      </c>
      <c r="E2513" t="s">
        <v>14</v>
      </c>
      <c r="F2513">
        <v>0.107</v>
      </c>
      <c r="G2513" t="s">
        <v>15</v>
      </c>
    </row>
    <row r="2514" spans="1:7" x14ac:dyDescent="0.25">
      <c r="A2514">
        <v>140</v>
      </c>
      <c r="B2514" t="s">
        <v>726</v>
      </c>
      <c r="C2514">
        <v>110</v>
      </c>
      <c r="D2514" t="s">
        <v>140</v>
      </c>
      <c r="E2514" t="s">
        <v>11</v>
      </c>
      <c r="F2514">
        <v>4</v>
      </c>
      <c r="G2514" t="s">
        <v>15</v>
      </c>
    </row>
    <row r="2515" spans="1:7" x14ac:dyDescent="0.25">
      <c r="A2515">
        <v>140</v>
      </c>
      <c r="B2515" t="s">
        <v>726</v>
      </c>
      <c r="C2515">
        <v>120</v>
      </c>
      <c r="D2515" t="s">
        <v>25</v>
      </c>
      <c r="E2515" t="s">
        <v>11</v>
      </c>
      <c r="F2515">
        <v>1</v>
      </c>
      <c r="G2515" t="s">
        <v>15</v>
      </c>
    </row>
    <row r="2516" spans="1:7" x14ac:dyDescent="0.25">
      <c r="A2516">
        <v>140</v>
      </c>
      <c r="B2516" t="s">
        <v>726</v>
      </c>
      <c r="C2516">
        <v>130</v>
      </c>
      <c r="D2516" t="s">
        <v>26</v>
      </c>
      <c r="E2516" t="s">
        <v>11</v>
      </c>
      <c r="F2516">
        <v>1</v>
      </c>
      <c r="G2516" t="s">
        <v>15</v>
      </c>
    </row>
    <row r="2517" spans="1:7" x14ac:dyDescent="0.25">
      <c r="A2517">
        <v>140</v>
      </c>
      <c r="B2517" t="s">
        <v>726</v>
      </c>
      <c r="C2517">
        <v>140</v>
      </c>
      <c r="D2517" t="s">
        <v>100</v>
      </c>
      <c r="E2517" t="s">
        <v>14</v>
      </c>
      <c r="F2517">
        <v>1.216</v>
      </c>
      <c r="G2517" t="s">
        <v>15</v>
      </c>
    </row>
    <row r="2518" spans="1:7" x14ac:dyDescent="0.25">
      <c r="A2518">
        <v>140</v>
      </c>
      <c r="B2518" t="s">
        <v>726</v>
      </c>
      <c r="C2518">
        <v>150</v>
      </c>
      <c r="D2518" t="s">
        <v>533</v>
      </c>
      <c r="E2518" t="s">
        <v>11</v>
      </c>
      <c r="F2518">
        <v>1</v>
      </c>
      <c r="G2518" t="s">
        <v>18</v>
      </c>
    </row>
    <row r="2519" spans="1:7" x14ac:dyDescent="0.25">
      <c r="A2519">
        <v>140</v>
      </c>
      <c r="B2519" t="s">
        <v>726</v>
      </c>
      <c r="C2519">
        <v>160</v>
      </c>
      <c r="D2519" t="s">
        <v>534</v>
      </c>
      <c r="E2519" t="s">
        <v>11</v>
      </c>
      <c r="F2519">
        <v>1</v>
      </c>
      <c r="G2519" t="s">
        <v>18</v>
      </c>
    </row>
    <row r="2520" spans="1:7" x14ac:dyDescent="0.25">
      <c r="A2520">
        <v>140</v>
      </c>
      <c r="B2520" t="s">
        <v>726</v>
      </c>
      <c r="C2520">
        <v>170</v>
      </c>
      <c r="D2520" t="s">
        <v>142</v>
      </c>
      <c r="E2520" t="s">
        <v>11</v>
      </c>
      <c r="F2520">
        <v>6.7060000000000004</v>
      </c>
      <c r="G2520" t="s">
        <v>15</v>
      </c>
    </row>
    <row r="2521" spans="1:7" x14ac:dyDescent="0.25">
      <c r="A2521">
        <v>140</v>
      </c>
      <c r="B2521" t="s">
        <v>726</v>
      </c>
      <c r="C2521">
        <v>180</v>
      </c>
      <c r="D2521" t="s">
        <v>535</v>
      </c>
      <c r="E2521" t="s">
        <v>11</v>
      </c>
      <c r="F2521">
        <v>1</v>
      </c>
      <c r="G2521" t="s">
        <v>18</v>
      </c>
    </row>
    <row r="2522" spans="1:7" x14ac:dyDescent="0.25">
      <c r="A2522">
        <v>141</v>
      </c>
      <c r="B2522" t="s">
        <v>728</v>
      </c>
      <c r="C2522">
        <v>10</v>
      </c>
      <c r="D2522" t="s">
        <v>537</v>
      </c>
      <c r="E2522" t="s">
        <v>11</v>
      </c>
      <c r="F2522">
        <v>1</v>
      </c>
      <c r="G2522" t="s">
        <v>18</v>
      </c>
    </row>
    <row r="2523" spans="1:7" x14ac:dyDescent="0.25">
      <c r="A2523">
        <v>141</v>
      </c>
      <c r="B2523" t="s">
        <v>728</v>
      </c>
      <c r="C2523">
        <v>20</v>
      </c>
      <c r="D2523" t="s">
        <v>132</v>
      </c>
      <c r="E2523" t="s">
        <v>14</v>
      </c>
      <c r="F2523">
        <v>4.2720000000000002</v>
      </c>
      <c r="G2523" t="s">
        <v>15</v>
      </c>
    </row>
    <row r="2524" spans="1:7" x14ac:dyDescent="0.25">
      <c r="A2524">
        <v>141</v>
      </c>
      <c r="B2524" t="s">
        <v>728</v>
      </c>
      <c r="C2524">
        <v>30</v>
      </c>
      <c r="D2524" t="s">
        <v>102</v>
      </c>
      <c r="E2524" t="s">
        <v>103</v>
      </c>
      <c r="F2524">
        <v>1.18</v>
      </c>
      <c r="G2524" t="s">
        <v>15</v>
      </c>
    </row>
    <row r="2525" spans="1:7" x14ac:dyDescent="0.25">
      <c r="A2525">
        <v>141</v>
      </c>
      <c r="B2525" t="s">
        <v>728</v>
      </c>
      <c r="C2525">
        <v>40</v>
      </c>
      <c r="D2525" t="s">
        <v>597</v>
      </c>
      <c r="E2525" t="s">
        <v>11</v>
      </c>
      <c r="F2525">
        <v>2.0569999999999999</v>
      </c>
      <c r="G2525" t="s">
        <v>18</v>
      </c>
    </row>
    <row r="2526" spans="1:7" x14ac:dyDescent="0.25">
      <c r="A2526">
        <v>141</v>
      </c>
      <c r="B2526" t="s">
        <v>728</v>
      </c>
      <c r="C2526">
        <v>50</v>
      </c>
      <c r="D2526" t="s">
        <v>139</v>
      </c>
      <c r="E2526" t="s">
        <v>17</v>
      </c>
      <c r="F2526">
        <v>2.0569999999999999</v>
      </c>
      <c r="G2526" t="s">
        <v>18</v>
      </c>
    </row>
    <row r="2527" spans="1:7" x14ac:dyDescent="0.25">
      <c r="A2527">
        <v>141</v>
      </c>
      <c r="B2527" t="s">
        <v>728</v>
      </c>
      <c r="C2527">
        <v>60</v>
      </c>
      <c r="D2527" t="s">
        <v>729</v>
      </c>
      <c r="E2527" t="s">
        <v>11</v>
      </c>
      <c r="F2527">
        <v>1</v>
      </c>
      <c r="G2527" t="s">
        <v>18</v>
      </c>
    </row>
    <row r="2528" spans="1:7" x14ac:dyDescent="0.25">
      <c r="A2528">
        <v>141</v>
      </c>
      <c r="B2528" t="s">
        <v>728</v>
      </c>
      <c r="C2528">
        <v>70</v>
      </c>
      <c r="D2528" t="s">
        <v>599</v>
      </c>
      <c r="E2528" t="s">
        <v>17</v>
      </c>
      <c r="F2528">
        <v>21.946000000000002</v>
      </c>
      <c r="G2528" t="s">
        <v>15</v>
      </c>
    </row>
    <row r="2529" spans="1:7" x14ac:dyDescent="0.25">
      <c r="A2529">
        <v>141</v>
      </c>
      <c r="B2529" t="s">
        <v>728</v>
      </c>
      <c r="C2529">
        <v>80</v>
      </c>
      <c r="D2529" t="s">
        <v>20</v>
      </c>
      <c r="E2529" t="s">
        <v>17</v>
      </c>
      <c r="F2529">
        <v>179.95400000000001</v>
      </c>
      <c r="G2529" t="s">
        <v>15</v>
      </c>
    </row>
    <row r="2530" spans="1:7" x14ac:dyDescent="0.25">
      <c r="A2530">
        <v>141</v>
      </c>
      <c r="B2530" t="s">
        <v>728</v>
      </c>
      <c r="C2530">
        <v>90</v>
      </c>
      <c r="D2530" t="s">
        <v>24</v>
      </c>
      <c r="E2530" t="s">
        <v>11</v>
      </c>
      <c r="F2530">
        <v>1</v>
      </c>
      <c r="G2530" t="s">
        <v>15</v>
      </c>
    </row>
    <row r="2531" spans="1:7" x14ac:dyDescent="0.25">
      <c r="A2531">
        <v>141</v>
      </c>
      <c r="B2531" t="s">
        <v>728</v>
      </c>
      <c r="C2531">
        <v>100</v>
      </c>
      <c r="D2531" t="s">
        <v>141</v>
      </c>
      <c r="E2531" t="s">
        <v>14</v>
      </c>
      <c r="F2531">
        <v>0.128</v>
      </c>
      <c r="G2531" t="s">
        <v>15</v>
      </c>
    </row>
    <row r="2532" spans="1:7" x14ac:dyDescent="0.25">
      <c r="A2532">
        <v>141</v>
      </c>
      <c r="B2532" t="s">
        <v>728</v>
      </c>
      <c r="C2532">
        <v>110</v>
      </c>
      <c r="D2532" t="s">
        <v>140</v>
      </c>
      <c r="E2532" t="s">
        <v>11</v>
      </c>
      <c r="F2532">
        <v>4</v>
      </c>
      <c r="G2532" t="s">
        <v>15</v>
      </c>
    </row>
    <row r="2533" spans="1:7" x14ac:dyDescent="0.25">
      <c r="A2533">
        <v>141</v>
      </c>
      <c r="B2533" t="s">
        <v>728</v>
      </c>
      <c r="C2533">
        <v>120</v>
      </c>
      <c r="D2533" t="s">
        <v>25</v>
      </c>
      <c r="E2533" t="s">
        <v>11</v>
      </c>
      <c r="F2533">
        <v>1</v>
      </c>
      <c r="G2533" t="s">
        <v>15</v>
      </c>
    </row>
    <row r="2534" spans="1:7" x14ac:dyDescent="0.25">
      <c r="A2534">
        <v>141</v>
      </c>
      <c r="B2534" t="s">
        <v>728</v>
      </c>
      <c r="C2534">
        <v>130</v>
      </c>
      <c r="D2534" t="s">
        <v>26</v>
      </c>
      <c r="E2534" t="s">
        <v>11</v>
      </c>
      <c r="F2534">
        <v>1</v>
      </c>
      <c r="G2534" t="s">
        <v>15</v>
      </c>
    </row>
    <row r="2535" spans="1:7" x14ac:dyDescent="0.25">
      <c r="A2535">
        <v>141</v>
      </c>
      <c r="B2535" t="s">
        <v>728</v>
      </c>
      <c r="C2535">
        <v>140</v>
      </c>
      <c r="D2535" t="s">
        <v>100</v>
      </c>
      <c r="E2535" t="s">
        <v>14</v>
      </c>
      <c r="F2535">
        <v>1.216</v>
      </c>
      <c r="G2535" t="s">
        <v>15</v>
      </c>
    </row>
    <row r="2536" spans="1:7" x14ac:dyDescent="0.25">
      <c r="A2536">
        <v>141</v>
      </c>
      <c r="B2536" t="s">
        <v>728</v>
      </c>
      <c r="C2536">
        <v>150</v>
      </c>
      <c r="D2536" t="s">
        <v>539</v>
      </c>
      <c r="E2536" t="s">
        <v>11</v>
      </c>
      <c r="F2536">
        <v>1</v>
      </c>
      <c r="G2536" t="s">
        <v>18</v>
      </c>
    </row>
    <row r="2537" spans="1:7" x14ac:dyDescent="0.25">
      <c r="A2537">
        <v>141</v>
      </c>
      <c r="B2537" t="s">
        <v>728</v>
      </c>
      <c r="C2537">
        <v>160</v>
      </c>
      <c r="D2537" t="s">
        <v>540</v>
      </c>
      <c r="E2537" t="s">
        <v>11</v>
      </c>
      <c r="F2537">
        <v>1</v>
      </c>
      <c r="G2537" t="s">
        <v>18</v>
      </c>
    </row>
    <row r="2538" spans="1:7" x14ac:dyDescent="0.25">
      <c r="A2538">
        <v>141</v>
      </c>
      <c r="B2538" t="s">
        <v>728</v>
      </c>
      <c r="C2538">
        <v>170</v>
      </c>
      <c r="D2538" t="s">
        <v>142</v>
      </c>
      <c r="E2538" t="s">
        <v>11</v>
      </c>
      <c r="F2538">
        <v>7.3150000000000004</v>
      </c>
      <c r="G2538" t="s">
        <v>15</v>
      </c>
    </row>
    <row r="2539" spans="1:7" x14ac:dyDescent="0.25">
      <c r="A2539">
        <v>141</v>
      </c>
      <c r="B2539" t="s">
        <v>728</v>
      </c>
      <c r="C2539">
        <v>180</v>
      </c>
      <c r="D2539" t="s">
        <v>541</v>
      </c>
      <c r="E2539" t="s">
        <v>11</v>
      </c>
      <c r="F2539">
        <v>1</v>
      </c>
      <c r="G2539" t="s">
        <v>18</v>
      </c>
    </row>
    <row r="2540" spans="1:7" x14ac:dyDescent="0.25">
      <c r="A2540">
        <v>142</v>
      </c>
      <c r="B2540" t="s">
        <v>730</v>
      </c>
      <c r="C2540">
        <v>10</v>
      </c>
      <c r="D2540" t="s">
        <v>543</v>
      </c>
      <c r="E2540" t="s">
        <v>11</v>
      </c>
      <c r="F2540">
        <v>1</v>
      </c>
      <c r="G2540" t="s">
        <v>18</v>
      </c>
    </row>
    <row r="2541" spans="1:7" x14ac:dyDescent="0.25">
      <c r="A2541">
        <v>142</v>
      </c>
      <c r="B2541" t="s">
        <v>730</v>
      </c>
      <c r="C2541">
        <v>20</v>
      </c>
      <c r="D2541" t="s">
        <v>132</v>
      </c>
      <c r="E2541" t="s">
        <v>14</v>
      </c>
      <c r="F2541">
        <v>4.7030000000000003</v>
      </c>
      <c r="G2541" t="s">
        <v>15</v>
      </c>
    </row>
    <row r="2542" spans="1:7" x14ac:dyDescent="0.25">
      <c r="A2542">
        <v>142</v>
      </c>
      <c r="B2542" t="s">
        <v>730</v>
      </c>
      <c r="C2542">
        <v>30</v>
      </c>
      <c r="D2542" t="s">
        <v>102</v>
      </c>
      <c r="E2542" t="s">
        <v>103</v>
      </c>
      <c r="F2542">
        <v>1.3</v>
      </c>
      <c r="G2542" t="s">
        <v>15</v>
      </c>
    </row>
    <row r="2543" spans="1:7" x14ac:dyDescent="0.25">
      <c r="A2543">
        <v>142</v>
      </c>
      <c r="B2543" t="s">
        <v>730</v>
      </c>
      <c r="C2543">
        <v>40</v>
      </c>
      <c r="D2543" t="s">
        <v>597</v>
      </c>
      <c r="E2543" t="s">
        <v>11</v>
      </c>
      <c r="F2543">
        <v>2.0569999999999999</v>
      </c>
      <c r="G2543" t="s">
        <v>18</v>
      </c>
    </row>
    <row r="2544" spans="1:7" x14ac:dyDescent="0.25">
      <c r="A2544">
        <v>142</v>
      </c>
      <c r="B2544" t="s">
        <v>730</v>
      </c>
      <c r="C2544">
        <v>50</v>
      </c>
      <c r="D2544" t="s">
        <v>139</v>
      </c>
      <c r="E2544" t="s">
        <v>17</v>
      </c>
      <c r="F2544">
        <v>2.0569999999999999</v>
      </c>
      <c r="G2544" t="s">
        <v>18</v>
      </c>
    </row>
    <row r="2545" spans="1:7" x14ac:dyDescent="0.25">
      <c r="A2545">
        <v>142</v>
      </c>
      <c r="B2545" t="s">
        <v>730</v>
      </c>
      <c r="C2545">
        <v>60</v>
      </c>
      <c r="D2545" t="s">
        <v>731</v>
      </c>
      <c r="E2545" t="s">
        <v>11</v>
      </c>
      <c r="F2545">
        <v>1</v>
      </c>
      <c r="G2545" t="s">
        <v>18</v>
      </c>
    </row>
    <row r="2546" spans="1:7" x14ac:dyDescent="0.25">
      <c r="A2546">
        <v>142</v>
      </c>
      <c r="B2546" t="s">
        <v>730</v>
      </c>
      <c r="C2546">
        <v>70</v>
      </c>
      <c r="D2546" t="s">
        <v>599</v>
      </c>
      <c r="E2546" t="s">
        <v>17</v>
      </c>
      <c r="F2546">
        <v>22.86</v>
      </c>
      <c r="G2546" t="s">
        <v>15</v>
      </c>
    </row>
    <row r="2547" spans="1:7" x14ac:dyDescent="0.25">
      <c r="A2547">
        <v>142</v>
      </c>
      <c r="B2547" t="s">
        <v>730</v>
      </c>
      <c r="C2547">
        <v>80</v>
      </c>
      <c r="D2547" t="s">
        <v>20</v>
      </c>
      <c r="E2547" t="s">
        <v>17</v>
      </c>
      <c r="F2547">
        <v>187.452</v>
      </c>
      <c r="G2547" t="s">
        <v>15</v>
      </c>
    </row>
    <row r="2548" spans="1:7" x14ac:dyDescent="0.25">
      <c r="A2548">
        <v>142</v>
      </c>
      <c r="B2548" t="s">
        <v>730</v>
      </c>
      <c r="C2548">
        <v>90</v>
      </c>
      <c r="D2548" t="s">
        <v>24</v>
      </c>
      <c r="E2548" t="s">
        <v>11</v>
      </c>
      <c r="F2548">
        <v>1</v>
      </c>
      <c r="G2548" t="s">
        <v>15</v>
      </c>
    </row>
    <row r="2549" spans="1:7" x14ac:dyDescent="0.25">
      <c r="A2549">
        <v>142</v>
      </c>
      <c r="B2549" t="s">
        <v>730</v>
      </c>
      <c r="C2549">
        <v>100</v>
      </c>
      <c r="D2549" t="s">
        <v>141</v>
      </c>
      <c r="E2549" t="s">
        <v>14</v>
      </c>
      <c r="F2549">
        <v>0.13800000000000001</v>
      </c>
      <c r="G2549" t="s">
        <v>15</v>
      </c>
    </row>
    <row r="2550" spans="1:7" x14ac:dyDescent="0.25">
      <c r="A2550">
        <v>142</v>
      </c>
      <c r="B2550" t="s">
        <v>730</v>
      </c>
      <c r="C2550">
        <v>110</v>
      </c>
      <c r="D2550" t="s">
        <v>140</v>
      </c>
      <c r="E2550" t="s">
        <v>11</v>
      </c>
      <c r="F2550">
        <v>4</v>
      </c>
      <c r="G2550" t="s">
        <v>15</v>
      </c>
    </row>
    <row r="2551" spans="1:7" x14ac:dyDescent="0.25">
      <c r="A2551">
        <v>142</v>
      </c>
      <c r="B2551" t="s">
        <v>730</v>
      </c>
      <c r="C2551">
        <v>120</v>
      </c>
      <c r="D2551" t="s">
        <v>25</v>
      </c>
      <c r="E2551" t="s">
        <v>11</v>
      </c>
      <c r="F2551">
        <v>1</v>
      </c>
      <c r="G2551" t="s">
        <v>15</v>
      </c>
    </row>
    <row r="2552" spans="1:7" x14ac:dyDescent="0.25">
      <c r="A2552">
        <v>142</v>
      </c>
      <c r="B2552" t="s">
        <v>730</v>
      </c>
      <c r="C2552">
        <v>130</v>
      </c>
      <c r="D2552" t="s">
        <v>26</v>
      </c>
      <c r="E2552" t="s">
        <v>11</v>
      </c>
      <c r="F2552">
        <v>1</v>
      </c>
      <c r="G2552" t="s">
        <v>15</v>
      </c>
    </row>
    <row r="2553" spans="1:7" x14ac:dyDescent="0.25">
      <c r="A2553">
        <v>142</v>
      </c>
      <c r="B2553" t="s">
        <v>730</v>
      </c>
      <c r="C2553">
        <v>140</v>
      </c>
      <c r="D2553" t="s">
        <v>100</v>
      </c>
      <c r="E2553" t="s">
        <v>14</v>
      </c>
      <c r="F2553">
        <v>1.216</v>
      </c>
      <c r="G2553" t="s">
        <v>15</v>
      </c>
    </row>
    <row r="2554" spans="1:7" x14ac:dyDescent="0.25">
      <c r="A2554">
        <v>142</v>
      </c>
      <c r="B2554" t="s">
        <v>730</v>
      </c>
      <c r="C2554">
        <v>150</v>
      </c>
      <c r="D2554" t="s">
        <v>545</v>
      </c>
      <c r="E2554" t="s">
        <v>11</v>
      </c>
      <c r="F2554">
        <v>1</v>
      </c>
      <c r="G2554" t="s">
        <v>18</v>
      </c>
    </row>
    <row r="2555" spans="1:7" x14ac:dyDescent="0.25">
      <c r="A2555">
        <v>142</v>
      </c>
      <c r="B2555" t="s">
        <v>730</v>
      </c>
      <c r="C2555">
        <v>160</v>
      </c>
      <c r="D2555" t="s">
        <v>546</v>
      </c>
      <c r="E2555" t="s">
        <v>11</v>
      </c>
      <c r="F2555">
        <v>1</v>
      </c>
      <c r="G2555" t="s">
        <v>18</v>
      </c>
    </row>
    <row r="2556" spans="1:7" x14ac:dyDescent="0.25">
      <c r="A2556">
        <v>142</v>
      </c>
      <c r="B2556" t="s">
        <v>730</v>
      </c>
      <c r="C2556">
        <v>170</v>
      </c>
      <c r="D2556" t="s">
        <v>142</v>
      </c>
      <c r="E2556" t="s">
        <v>11</v>
      </c>
      <c r="F2556">
        <v>7.62</v>
      </c>
      <c r="G2556" t="s">
        <v>15</v>
      </c>
    </row>
    <row r="2557" spans="1:7" x14ac:dyDescent="0.25">
      <c r="A2557">
        <v>142</v>
      </c>
      <c r="B2557" t="s">
        <v>730</v>
      </c>
      <c r="C2557">
        <v>180</v>
      </c>
      <c r="D2557" t="s">
        <v>547</v>
      </c>
      <c r="E2557" t="s">
        <v>11</v>
      </c>
      <c r="F2557">
        <v>1</v>
      </c>
      <c r="G2557" t="s">
        <v>18</v>
      </c>
    </row>
    <row r="2558" spans="1:7" x14ac:dyDescent="0.25">
      <c r="A2558">
        <v>143</v>
      </c>
      <c r="B2558" t="s">
        <v>732</v>
      </c>
      <c r="C2558">
        <v>10</v>
      </c>
      <c r="D2558" t="s">
        <v>549</v>
      </c>
      <c r="E2558" t="s">
        <v>11</v>
      </c>
      <c r="F2558">
        <v>1</v>
      </c>
      <c r="G2558" t="s">
        <v>18</v>
      </c>
    </row>
    <row r="2559" spans="1:7" x14ac:dyDescent="0.25">
      <c r="A2559">
        <v>143</v>
      </c>
      <c r="B2559" t="s">
        <v>732</v>
      </c>
      <c r="C2559">
        <v>20</v>
      </c>
      <c r="D2559" t="s">
        <v>132</v>
      </c>
      <c r="E2559" t="s">
        <v>14</v>
      </c>
      <c r="F2559">
        <v>5.1340000000000003</v>
      </c>
      <c r="G2559" t="s">
        <v>15</v>
      </c>
    </row>
    <row r="2560" spans="1:7" x14ac:dyDescent="0.25">
      <c r="A2560">
        <v>143</v>
      </c>
      <c r="B2560" t="s">
        <v>732</v>
      </c>
      <c r="C2560">
        <v>30</v>
      </c>
      <c r="D2560" t="s">
        <v>102</v>
      </c>
      <c r="E2560" t="s">
        <v>103</v>
      </c>
      <c r="F2560">
        <v>1.42</v>
      </c>
      <c r="G2560" t="s">
        <v>15</v>
      </c>
    </row>
    <row r="2561" spans="1:7" x14ac:dyDescent="0.25">
      <c r="A2561">
        <v>143</v>
      </c>
      <c r="B2561" t="s">
        <v>732</v>
      </c>
      <c r="C2561">
        <v>40</v>
      </c>
      <c r="D2561" t="s">
        <v>597</v>
      </c>
      <c r="E2561" t="s">
        <v>11</v>
      </c>
      <c r="F2561">
        <v>2.0569999999999999</v>
      </c>
      <c r="G2561" t="s">
        <v>18</v>
      </c>
    </row>
    <row r="2562" spans="1:7" x14ac:dyDescent="0.25">
      <c r="A2562">
        <v>143</v>
      </c>
      <c r="B2562" t="s">
        <v>732</v>
      </c>
      <c r="C2562">
        <v>50</v>
      </c>
      <c r="D2562" t="s">
        <v>139</v>
      </c>
      <c r="E2562" t="s">
        <v>17</v>
      </c>
      <c r="F2562">
        <v>2.0569999999999999</v>
      </c>
      <c r="G2562" t="s">
        <v>18</v>
      </c>
    </row>
    <row r="2563" spans="1:7" x14ac:dyDescent="0.25">
      <c r="A2563">
        <v>143</v>
      </c>
      <c r="B2563" t="s">
        <v>732</v>
      </c>
      <c r="C2563">
        <v>60</v>
      </c>
      <c r="D2563" t="s">
        <v>733</v>
      </c>
      <c r="E2563" t="s">
        <v>11</v>
      </c>
      <c r="F2563">
        <v>1</v>
      </c>
      <c r="G2563" t="s">
        <v>18</v>
      </c>
    </row>
    <row r="2564" spans="1:7" x14ac:dyDescent="0.25">
      <c r="A2564">
        <v>143</v>
      </c>
      <c r="B2564" t="s">
        <v>732</v>
      </c>
      <c r="C2564">
        <v>70</v>
      </c>
      <c r="D2564" t="s">
        <v>599</v>
      </c>
      <c r="E2564" t="s">
        <v>17</v>
      </c>
      <c r="F2564">
        <v>23.774000000000001</v>
      </c>
      <c r="G2564" t="s">
        <v>15</v>
      </c>
    </row>
    <row r="2565" spans="1:7" x14ac:dyDescent="0.25">
      <c r="A2565">
        <v>143</v>
      </c>
      <c r="B2565" t="s">
        <v>732</v>
      </c>
      <c r="C2565">
        <v>80</v>
      </c>
      <c r="D2565" t="s">
        <v>20</v>
      </c>
      <c r="E2565" t="s">
        <v>17</v>
      </c>
      <c r="F2565">
        <v>194.95</v>
      </c>
      <c r="G2565" t="s">
        <v>15</v>
      </c>
    </row>
    <row r="2566" spans="1:7" x14ac:dyDescent="0.25">
      <c r="A2566">
        <v>143</v>
      </c>
      <c r="B2566" t="s">
        <v>732</v>
      </c>
      <c r="C2566">
        <v>90</v>
      </c>
      <c r="D2566" t="s">
        <v>24</v>
      </c>
      <c r="E2566" t="s">
        <v>11</v>
      </c>
      <c r="F2566">
        <v>1</v>
      </c>
      <c r="G2566" t="s">
        <v>15</v>
      </c>
    </row>
    <row r="2567" spans="1:7" x14ac:dyDescent="0.25">
      <c r="A2567">
        <v>143</v>
      </c>
      <c r="B2567" t="s">
        <v>732</v>
      </c>
      <c r="C2567">
        <v>100</v>
      </c>
      <c r="D2567" t="s">
        <v>141</v>
      </c>
      <c r="E2567" t="s">
        <v>14</v>
      </c>
      <c r="F2567">
        <v>0.14899999999999999</v>
      </c>
      <c r="G2567" t="s">
        <v>15</v>
      </c>
    </row>
    <row r="2568" spans="1:7" x14ac:dyDescent="0.25">
      <c r="A2568">
        <v>143</v>
      </c>
      <c r="B2568" t="s">
        <v>732</v>
      </c>
      <c r="C2568">
        <v>110</v>
      </c>
      <c r="D2568" t="s">
        <v>140</v>
      </c>
      <c r="E2568" t="s">
        <v>11</v>
      </c>
      <c r="F2568">
        <v>4</v>
      </c>
      <c r="G2568" t="s">
        <v>15</v>
      </c>
    </row>
    <row r="2569" spans="1:7" x14ac:dyDescent="0.25">
      <c r="A2569">
        <v>143</v>
      </c>
      <c r="B2569" t="s">
        <v>732</v>
      </c>
      <c r="C2569">
        <v>120</v>
      </c>
      <c r="D2569" t="s">
        <v>25</v>
      </c>
      <c r="E2569" t="s">
        <v>11</v>
      </c>
      <c r="F2569">
        <v>1</v>
      </c>
      <c r="G2569" t="s">
        <v>15</v>
      </c>
    </row>
    <row r="2570" spans="1:7" x14ac:dyDescent="0.25">
      <c r="A2570">
        <v>143</v>
      </c>
      <c r="B2570" t="s">
        <v>732</v>
      </c>
      <c r="C2570">
        <v>130</v>
      </c>
      <c r="D2570" t="s">
        <v>26</v>
      </c>
      <c r="E2570" t="s">
        <v>11</v>
      </c>
      <c r="F2570">
        <v>1</v>
      </c>
      <c r="G2570" t="s">
        <v>15</v>
      </c>
    </row>
    <row r="2571" spans="1:7" x14ac:dyDescent="0.25">
      <c r="A2571">
        <v>143</v>
      </c>
      <c r="B2571" t="s">
        <v>732</v>
      </c>
      <c r="C2571">
        <v>140</v>
      </c>
      <c r="D2571" t="s">
        <v>100</v>
      </c>
      <c r="E2571" t="s">
        <v>14</v>
      </c>
      <c r="F2571">
        <v>1.216</v>
      </c>
      <c r="G2571" t="s">
        <v>15</v>
      </c>
    </row>
    <row r="2572" spans="1:7" x14ac:dyDescent="0.25">
      <c r="A2572">
        <v>143</v>
      </c>
      <c r="B2572" t="s">
        <v>732</v>
      </c>
      <c r="C2572">
        <v>150</v>
      </c>
      <c r="D2572" t="s">
        <v>551</v>
      </c>
      <c r="E2572" t="s">
        <v>11</v>
      </c>
      <c r="F2572">
        <v>1</v>
      </c>
      <c r="G2572" t="s">
        <v>18</v>
      </c>
    </row>
    <row r="2573" spans="1:7" x14ac:dyDescent="0.25">
      <c r="A2573">
        <v>143</v>
      </c>
      <c r="B2573" t="s">
        <v>732</v>
      </c>
      <c r="C2573">
        <v>160</v>
      </c>
      <c r="D2573" t="s">
        <v>552</v>
      </c>
      <c r="E2573" t="s">
        <v>11</v>
      </c>
      <c r="F2573">
        <v>1</v>
      </c>
      <c r="G2573" t="s">
        <v>18</v>
      </c>
    </row>
    <row r="2574" spans="1:7" x14ac:dyDescent="0.25">
      <c r="A2574">
        <v>143</v>
      </c>
      <c r="B2574" t="s">
        <v>732</v>
      </c>
      <c r="C2574">
        <v>170</v>
      </c>
      <c r="D2574" t="s">
        <v>142</v>
      </c>
      <c r="E2574" t="s">
        <v>11</v>
      </c>
      <c r="F2574">
        <v>7.9249999999999998</v>
      </c>
      <c r="G2574" t="s">
        <v>15</v>
      </c>
    </row>
    <row r="2575" spans="1:7" x14ac:dyDescent="0.25">
      <c r="A2575">
        <v>143</v>
      </c>
      <c r="B2575" t="s">
        <v>732</v>
      </c>
      <c r="C2575">
        <v>180</v>
      </c>
      <c r="D2575" t="s">
        <v>553</v>
      </c>
      <c r="E2575" t="s">
        <v>11</v>
      </c>
      <c r="F2575">
        <v>1</v>
      </c>
      <c r="G2575" t="s">
        <v>18</v>
      </c>
    </row>
    <row r="2576" spans="1:7" x14ac:dyDescent="0.25">
      <c r="A2576">
        <v>144</v>
      </c>
      <c r="B2576" t="s">
        <v>734</v>
      </c>
      <c r="C2576">
        <v>10</v>
      </c>
      <c r="D2576" t="s">
        <v>555</v>
      </c>
      <c r="E2576" t="s">
        <v>11</v>
      </c>
      <c r="F2576">
        <v>1</v>
      </c>
      <c r="G2576" t="s">
        <v>18</v>
      </c>
    </row>
    <row r="2577" spans="1:7" x14ac:dyDescent="0.25">
      <c r="A2577">
        <v>144</v>
      </c>
      <c r="B2577" t="s">
        <v>734</v>
      </c>
      <c r="C2577">
        <v>20</v>
      </c>
      <c r="D2577" t="s">
        <v>132</v>
      </c>
      <c r="E2577" t="s">
        <v>14</v>
      </c>
      <c r="F2577">
        <v>2.2250000000000001</v>
      </c>
      <c r="G2577" t="s">
        <v>15</v>
      </c>
    </row>
    <row r="2578" spans="1:7" x14ac:dyDescent="0.25">
      <c r="A2578">
        <v>144</v>
      </c>
      <c r="B2578" t="s">
        <v>734</v>
      </c>
      <c r="C2578">
        <v>30</v>
      </c>
      <c r="D2578" t="s">
        <v>102</v>
      </c>
      <c r="E2578" t="s">
        <v>103</v>
      </c>
      <c r="F2578">
        <v>0.60899999999999999</v>
      </c>
      <c r="G2578" t="s">
        <v>15</v>
      </c>
    </row>
    <row r="2579" spans="1:7" x14ac:dyDescent="0.25">
      <c r="A2579">
        <v>144</v>
      </c>
      <c r="B2579" t="s">
        <v>734</v>
      </c>
      <c r="C2579">
        <v>40</v>
      </c>
      <c r="D2579" t="s">
        <v>597</v>
      </c>
      <c r="E2579" t="s">
        <v>11</v>
      </c>
      <c r="F2579">
        <v>2.1589999999999998</v>
      </c>
      <c r="G2579" t="s">
        <v>18</v>
      </c>
    </row>
    <row r="2580" spans="1:7" x14ac:dyDescent="0.25">
      <c r="A2580">
        <v>144</v>
      </c>
      <c r="B2580" t="s">
        <v>734</v>
      </c>
      <c r="C2580">
        <v>50</v>
      </c>
      <c r="D2580" t="s">
        <v>139</v>
      </c>
      <c r="E2580" t="s">
        <v>17</v>
      </c>
      <c r="F2580">
        <v>2.1589999999999998</v>
      </c>
      <c r="G2580" t="s">
        <v>18</v>
      </c>
    </row>
    <row r="2581" spans="1:7" x14ac:dyDescent="0.25">
      <c r="A2581">
        <v>144</v>
      </c>
      <c r="B2581" t="s">
        <v>734</v>
      </c>
      <c r="C2581">
        <v>60</v>
      </c>
      <c r="D2581" t="s">
        <v>735</v>
      </c>
      <c r="E2581" t="s">
        <v>11</v>
      </c>
      <c r="F2581">
        <v>1</v>
      </c>
      <c r="G2581" t="s">
        <v>18</v>
      </c>
    </row>
    <row r="2582" spans="1:7" x14ac:dyDescent="0.25">
      <c r="A2582">
        <v>144</v>
      </c>
      <c r="B2582" t="s">
        <v>734</v>
      </c>
      <c r="C2582">
        <v>70</v>
      </c>
      <c r="D2582" t="s">
        <v>599</v>
      </c>
      <c r="E2582" t="s">
        <v>17</v>
      </c>
      <c r="F2582">
        <v>17.983000000000001</v>
      </c>
      <c r="G2582" t="s">
        <v>15</v>
      </c>
    </row>
    <row r="2583" spans="1:7" x14ac:dyDescent="0.25">
      <c r="A2583">
        <v>144</v>
      </c>
      <c r="B2583" t="s">
        <v>734</v>
      </c>
      <c r="C2583">
        <v>80</v>
      </c>
      <c r="D2583" t="s">
        <v>20</v>
      </c>
      <c r="E2583" t="s">
        <v>17</v>
      </c>
      <c r="F2583">
        <v>147.46199999999999</v>
      </c>
      <c r="G2583" t="s">
        <v>15</v>
      </c>
    </row>
    <row r="2584" spans="1:7" x14ac:dyDescent="0.25">
      <c r="A2584">
        <v>144</v>
      </c>
      <c r="B2584" t="s">
        <v>734</v>
      </c>
      <c r="C2584">
        <v>90</v>
      </c>
      <c r="D2584" t="s">
        <v>24</v>
      </c>
      <c r="E2584" t="s">
        <v>11</v>
      </c>
      <c r="F2584">
        <v>1</v>
      </c>
      <c r="G2584" t="s">
        <v>15</v>
      </c>
    </row>
    <row r="2585" spans="1:7" x14ac:dyDescent="0.25">
      <c r="A2585">
        <v>144</v>
      </c>
      <c r="B2585" t="s">
        <v>734</v>
      </c>
      <c r="C2585">
        <v>100</v>
      </c>
      <c r="D2585" t="s">
        <v>141</v>
      </c>
      <c r="E2585" t="s">
        <v>14</v>
      </c>
      <c r="F2585">
        <v>7.5999999999999998E-2</v>
      </c>
      <c r="G2585" t="s">
        <v>15</v>
      </c>
    </row>
    <row r="2586" spans="1:7" x14ac:dyDescent="0.25">
      <c r="A2586">
        <v>144</v>
      </c>
      <c r="B2586" t="s">
        <v>734</v>
      </c>
      <c r="C2586">
        <v>110</v>
      </c>
      <c r="D2586" t="s">
        <v>140</v>
      </c>
      <c r="E2586" t="s">
        <v>11</v>
      </c>
      <c r="F2586">
        <v>4</v>
      </c>
      <c r="G2586" t="s">
        <v>15</v>
      </c>
    </row>
    <row r="2587" spans="1:7" x14ac:dyDescent="0.25">
      <c r="A2587">
        <v>144</v>
      </c>
      <c r="B2587" t="s">
        <v>734</v>
      </c>
      <c r="C2587">
        <v>120</v>
      </c>
      <c r="D2587" t="s">
        <v>25</v>
      </c>
      <c r="E2587" t="s">
        <v>11</v>
      </c>
      <c r="F2587">
        <v>1</v>
      </c>
      <c r="G2587" t="s">
        <v>15</v>
      </c>
    </row>
    <row r="2588" spans="1:7" x14ac:dyDescent="0.25">
      <c r="A2588">
        <v>144</v>
      </c>
      <c r="B2588" t="s">
        <v>734</v>
      </c>
      <c r="C2588">
        <v>130</v>
      </c>
      <c r="D2588" t="s">
        <v>26</v>
      </c>
      <c r="E2588" t="s">
        <v>11</v>
      </c>
      <c r="F2588">
        <v>1</v>
      </c>
      <c r="G2588" t="s">
        <v>15</v>
      </c>
    </row>
    <row r="2589" spans="1:7" x14ac:dyDescent="0.25">
      <c r="A2589">
        <v>144</v>
      </c>
      <c r="B2589" t="s">
        <v>734</v>
      </c>
      <c r="C2589">
        <v>140</v>
      </c>
      <c r="D2589" t="s">
        <v>100</v>
      </c>
      <c r="E2589" t="s">
        <v>14</v>
      </c>
      <c r="F2589">
        <v>1.27</v>
      </c>
      <c r="G2589" t="s">
        <v>15</v>
      </c>
    </row>
    <row r="2590" spans="1:7" x14ac:dyDescent="0.25">
      <c r="A2590">
        <v>144</v>
      </c>
      <c r="B2590" t="s">
        <v>734</v>
      </c>
      <c r="C2590">
        <v>150</v>
      </c>
      <c r="D2590" t="s">
        <v>557</v>
      </c>
      <c r="E2590" t="s">
        <v>11</v>
      </c>
      <c r="F2590">
        <v>1</v>
      </c>
      <c r="G2590" t="s">
        <v>18</v>
      </c>
    </row>
    <row r="2591" spans="1:7" x14ac:dyDescent="0.25">
      <c r="A2591">
        <v>144</v>
      </c>
      <c r="B2591" t="s">
        <v>734</v>
      </c>
      <c r="C2591">
        <v>160</v>
      </c>
      <c r="D2591" t="s">
        <v>558</v>
      </c>
      <c r="E2591" t="s">
        <v>11</v>
      </c>
      <c r="F2591">
        <v>1</v>
      </c>
      <c r="G2591" t="s">
        <v>18</v>
      </c>
    </row>
    <row r="2592" spans="1:7" x14ac:dyDescent="0.25">
      <c r="A2592">
        <v>144</v>
      </c>
      <c r="B2592" t="s">
        <v>734</v>
      </c>
      <c r="C2592">
        <v>170</v>
      </c>
      <c r="D2592" t="s">
        <v>142</v>
      </c>
      <c r="E2592" t="s">
        <v>11</v>
      </c>
      <c r="F2592">
        <v>5.9939999999999998</v>
      </c>
      <c r="G2592" t="s">
        <v>15</v>
      </c>
    </row>
    <row r="2593" spans="1:7" x14ac:dyDescent="0.25">
      <c r="A2593">
        <v>144</v>
      </c>
      <c r="B2593" t="s">
        <v>734</v>
      </c>
      <c r="C2593">
        <v>180</v>
      </c>
      <c r="D2593" t="s">
        <v>559</v>
      </c>
      <c r="E2593" t="s">
        <v>11</v>
      </c>
      <c r="F2593">
        <v>1</v>
      </c>
      <c r="G2593" t="s">
        <v>18</v>
      </c>
    </row>
    <row r="2594" spans="1:7" x14ac:dyDescent="0.25">
      <c r="A2594">
        <v>145</v>
      </c>
      <c r="B2594" t="s">
        <v>736</v>
      </c>
      <c r="C2594">
        <v>10</v>
      </c>
      <c r="D2594" t="s">
        <v>561</v>
      </c>
      <c r="E2594" t="s">
        <v>11</v>
      </c>
      <c r="F2594">
        <v>1</v>
      </c>
      <c r="G2594" t="s">
        <v>18</v>
      </c>
    </row>
    <row r="2595" spans="1:7" x14ac:dyDescent="0.25">
      <c r="A2595">
        <v>145</v>
      </c>
      <c r="B2595" t="s">
        <v>736</v>
      </c>
      <c r="C2595">
        <v>20</v>
      </c>
      <c r="D2595" t="s">
        <v>132</v>
      </c>
      <c r="E2595" t="s">
        <v>14</v>
      </c>
      <c r="F2595">
        <v>2.677</v>
      </c>
      <c r="G2595" t="s">
        <v>15</v>
      </c>
    </row>
    <row r="2596" spans="1:7" x14ac:dyDescent="0.25">
      <c r="A2596">
        <v>145</v>
      </c>
      <c r="B2596" t="s">
        <v>736</v>
      </c>
      <c r="C2596">
        <v>30</v>
      </c>
      <c r="D2596" t="s">
        <v>102</v>
      </c>
      <c r="E2596" t="s">
        <v>103</v>
      </c>
      <c r="F2596">
        <v>0.73499999999999999</v>
      </c>
      <c r="G2596" t="s">
        <v>15</v>
      </c>
    </row>
    <row r="2597" spans="1:7" x14ac:dyDescent="0.25">
      <c r="A2597">
        <v>145</v>
      </c>
      <c r="B2597" t="s">
        <v>736</v>
      </c>
      <c r="C2597">
        <v>40</v>
      </c>
      <c r="D2597" t="s">
        <v>597</v>
      </c>
      <c r="E2597" t="s">
        <v>11</v>
      </c>
      <c r="F2597">
        <v>2.1589999999999998</v>
      </c>
      <c r="G2597" t="s">
        <v>18</v>
      </c>
    </row>
    <row r="2598" spans="1:7" x14ac:dyDescent="0.25">
      <c r="A2598">
        <v>145</v>
      </c>
      <c r="B2598" t="s">
        <v>736</v>
      </c>
      <c r="C2598">
        <v>50</v>
      </c>
      <c r="D2598" t="s">
        <v>139</v>
      </c>
      <c r="E2598" t="s">
        <v>17</v>
      </c>
      <c r="F2598">
        <v>2.1589999999999998</v>
      </c>
      <c r="G2598" t="s">
        <v>18</v>
      </c>
    </row>
    <row r="2599" spans="1:7" x14ac:dyDescent="0.25">
      <c r="A2599">
        <v>145</v>
      </c>
      <c r="B2599" t="s">
        <v>736</v>
      </c>
      <c r="C2599">
        <v>60</v>
      </c>
      <c r="D2599" t="s">
        <v>737</v>
      </c>
      <c r="E2599" t="s">
        <v>11</v>
      </c>
      <c r="F2599">
        <v>1</v>
      </c>
      <c r="G2599" t="s">
        <v>18</v>
      </c>
    </row>
    <row r="2600" spans="1:7" x14ac:dyDescent="0.25">
      <c r="A2600">
        <v>145</v>
      </c>
      <c r="B2600" t="s">
        <v>736</v>
      </c>
      <c r="C2600">
        <v>70</v>
      </c>
      <c r="D2600" t="s">
        <v>599</v>
      </c>
      <c r="E2600" t="s">
        <v>17</v>
      </c>
      <c r="F2600">
        <v>18.898</v>
      </c>
      <c r="G2600" t="s">
        <v>15</v>
      </c>
    </row>
    <row r="2601" spans="1:7" x14ac:dyDescent="0.25">
      <c r="A2601">
        <v>145</v>
      </c>
      <c r="B2601" t="s">
        <v>736</v>
      </c>
      <c r="C2601">
        <v>80</v>
      </c>
      <c r="D2601" t="s">
        <v>20</v>
      </c>
      <c r="E2601" t="s">
        <v>17</v>
      </c>
      <c r="F2601">
        <v>154.96</v>
      </c>
      <c r="G2601" t="s">
        <v>15</v>
      </c>
    </row>
    <row r="2602" spans="1:7" x14ac:dyDescent="0.25">
      <c r="A2602">
        <v>145</v>
      </c>
      <c r="B2602" t="s">
        <v>736</v>
      </c>
      <c r="C2602">
        <v>90</v>
      </c>
      <c r="D2602" t="s">
        <v>24</v>
      </c>
      <c r="E2602" t="s">
        <v>11</v>
      </c>
      <c r="F2602">
        <v>1</v>
      </c>
      <c r="G2602" t="s">
        <v>15</v>
      </c>
    </row>
    <row r="2603" spans="1:7" x14ac:dyDescent="0.25">
      <c r="A2603">
        <v>145</v>
      </c>
      <c r="B2603" t="s">
        <v>736</v>
      </c>
      <c r="C2603">
        <v>100</v>
      </c>
      <c r="D2603" t="s">
        <v>141</v>
      </c>
      <c r="E2603" t="s">
        <v>14</v>
      </c>
      <c r="F2603">
        <v>8.5999999999999993E-2</v>
      </c>
      <c r="G2603" t="s">
        <v>15</v>
      </c>
    </row>
    <row r="2604" spans="1:7" x14ac:dyDescent="0.25">
      <c r="A2604">
        <v>145</v>
      </c>
      <c r="B2604" t="s">
        <v>736</v>
      </c>
      <c r="C2604">
        <v>110</v>
      </c>
      <c r="D2604" t="s">
        <v>140</v>
      </c>
      <c r="E2604" t="s">
        <v>11</v>
      </c>
      <c r="F2604">
        <v>4</v>
      </c>
      <c r="G2604" t="s">
        <v>15</v>
      </c>
    </row>
    <row r="2605" spans="1:7" x14ac:dyDescent="0.25">
      <c r="A2605">
        <v>145</v>
      </c>
      <c r="B2605" t="s">
        <v>736</v>
      </c>
      <c r="C2605">
        <v>120</v>
      </c>
      <c r="D2605" t="s">
        <v>25</v>
      </c>
      <c r="E2605" t="s">
        <v>11</v>
      </c>
      <c r="F2605">
        <v>1</v>
      </c>
      <c r="G2605" t="s">
        <v>15</v>
      </c>
    </row>
    <row r="2606" spans="1:7" x14ac:dyDescent="0.25">
      <c r="A2606">
        <v>145</v>
      </c>
      <c r="B2606" t="s">
        <v>736</v>
      </c>
      <c r="C2606">
        <v>130</v>
      </c>
      <c r="D2606" t="s">
        <v>26</v>
      </c>
      <c r="E2606" t="s">
        <v>11</v>
      </c>
      <c r="F2606">
        <v>1</v>
      </c>
      <c r="G2606" t="s">
        <v>15</v>
      </c>
    </row>
    <row r="2607" spans="1:7" x14ac:dyDescent="0.25">
      <c r="A2607">
        <v>145</v>
      </c>
      <c r="B2607" t="s">
        <v>736</v>
      </c>
      <c r="C2607">
        <v>140</v>
      </c>
      <c r="D2607" t="s">
        <v>100</v>
      </c>
      <c r="E2607" t="s">
        <v>14</v>
      </c>
      <c r="F2607">
        <v>1.27</v>
      </c>
      <c r="G2607" t="s">
        <v>15</v>
      </c>
    </row>
    <row r="2608" spans="1:7" x14ac:dyDescent="0.25">
      <c r="A2608">
        <v>145</v>
      </c>
      <c r="B2608" t="s">
        <v>736</v>
      </c>
      <c r="C2608">
        <v>150</v>
      </c>
      <c r="D2608" t="s">
        <v>563</v>
      </c>
      <c r="E2608" t="s">
        <v>11</v>
      </c>
      <c r="F2608">
        <v>1</v>
      </c>
      <c r="G2608" t="s">
        <v>18</v>
      </c>
    </row>
    <row r="2609" spans="1:7" x14ac:dyDescent="0.25">
      <c r="A2609">
        <v>145</v>
      </c>
      <c r="B2609" t="s">
        <v>736</v>
      </c>
      <c r="C2609">
        <v>160</v>
      </c>
      <c r="D2609" t="s">
        <v>564</v>
      </c>
      <c r="E2609" t="s">
        <v>11</v>
      </c>
      <c r="F2609">
        <v>1</v>
      </c>
      <c r="G2609" t="s">
        <v>18</v>
      </c>
    </row>
    <row r="2610" spans="1:7" x14ac:dyDescent="0.25">
      <c r="A2610">
        <v>145</v>
      </c>
      <c r="B2610" t="s">
        <v>736</v>
      </c>
      <c r="C2610">
        <v>170</v>
      </c>
      <c r="D2610" t="s">
        <v>142</v>
      </c>
      <c r="E2610" t="s">
        <v>11</v>
      </c>
      <c r="F2610">
        <v>6.2990000000000004</v>
      </c>
      <c r="G2610" t="s">
        <v>15</v>
      </c>
    </row>
    <row r="2611" spans="1:7" x14ac:dyDescent="0.25">
      <c r="A2611">
        <v>145</v>
      </c>
      <c r="B2611" t="s">
        <v>736</v>
      </c>
      <c r="C2611">
        <v>180</v>
      </c>
      <c r="D2611" t="s">
        <v>565</v>
      </c>
      <c r="E2611" t="s">
        <v>11</v>
      </c>
      <c r="F2611">
        <v>1</v>
      </c>
      <c r="G2611" t="s">
        <v>18</v>
      </c>
    </row>
    <row r="2612" spans="1:7" x14ac:dyDescent="0.25">
      <c r="A2612">
        <v>146</v>
      </c>
      <c r="B2612" t="s">
        <v>738</v>
      </c>
      <c r="C2612">
        <v>10</v>
      </c>
      <c r="D2612" t="s">
        <v>567</v>
      </c>
      <c r="E2612" t="s">
        <v>11</v>
      </c>
      <c r="F2612">
        <v>1</v>
      </c>
      <c r="G2612" t="s">
        <v>18</v>
      </c>
    </row>
    <row r="2613" spans="1:7" x14ac:dyDescent="0.25">
      <c r="A2613">
        <v>146</v>
      </c>
      <c r="B2613" t="s">
        <v>738</v>
      </c>
      <c r="C2613">
        <v>20</v>
      </c>
      <c r="D2613" t="s">
        <v>132</v>
      </c>
      <c r="E2613" t="s">
        <v>14</v>
      </c>
      <c r="F2613">
        <v>3.13</v>
      </c>
      <c r="G2613" t="s">
        <v>15</v>
      </c>
    </row>
    <row r="2614" spans="1:7" x14ac:dyDescent="0.25">
      <c r="A2614">
        <v>146</v>
      </c>
      <c r="B2614" t="s">
        <v>738</v>
      </c>
      <c r="C2614">
        <v>30</v>
      </c>
      <c r="D2614" t="s">
        <v>102</v>
      </c>
      <c r="E2614" t="s">
        <v>103</v>
      </c>
      <c r="F2614">
        <v>0.86099999999999999</v>
      </c>
      <c r="G2614" t="s">
        <v>15</v>
      </c>
    </row>
    <row r="2615" spans="1:7" x14ac:dyDescent="0.25">
      <c r="A2615">
        <v>146</v>
      </c>
      <c r="B2615" t="s">
        <v>738</v>
      </c>
      <c r="C2615">
        <v>40</v>
      </c>
      <c r="D2615" t="s">
        <v>597</v>
      </c>
      <c r="E2615" t="s">
        <v>11</v>
      </c>
      <c r="F2615">
        <v>2.1589999999999998</v>
      </c>
      <c r="G2615" t="s">
        <v>18</v>
      </c>
    </row>
    <row r="2616" spans="1:7" x14ac:dyDescent="0.25">
      <c r="A2616">
        <v>146</v>
      </c>
      <c r="B2616" t="s">
        <v>738</v>
      </c>
      <c r="C2616">
        <v>50</v>
      </c>
      <c r="D2616" t="s">
        <v>139</v>
      </c>
      <c r="E2616" t="s">
        <v>17</v>
      </c>
      <c r="F2616">
        <v>2.1589999999999998</v>
      </c>
      <c r="G2616" t="s">
        <v>18</v>
      </c>
    </row>
    <row r="2617" spans="1:7" x14ac:dyDescent="0.25">
      <c r="A2617">
        <v>146</v>
      </c>
      <c r="B2617" t="s">
        <v>738</v>
      </c>
      <c r="C2617">
        <v>60</v>
      </c>
      <c r="D2617" t="s">
        <v>739</v>
      </c>
      <c r="E2617" t="s">
        <v>11</v>
      </c>
      <c r="F2617">
        <v>1</v>
      </c>
      <c r="G2617" t="s">
        <v>18</v>
      </c>
    </row>
    <row r="2618" spans="1:7" x14ac:dyDescent="0.25">
      <c r="A2618">
        <v>146</v>
      </c>
      <c r="B2618" t="s">
        <v>738</v>
      </c>
      <c r="C2618">
        <v>70</v>
      </c>
      <c r="D2618" t="s">
        <v>599</v>
      </c>
      <c r="E2618" t="s">
        <v>17</v>
      </c>
      <c r="F2618">
        <v>19.812000000000001</v>
      </c>
      <c r="G2618" t="s">
        <v>15</v>
      </c>
    </row>
    <row r="2619" spans="1:7" x14ac:dyDescent="0.25">
      <c r="A2619">
        <v>146</v>
      </c>
      <c r="B2619" t="s">
        <v>738</v>
      </c>
      <c r="C2619">
        <v>80</v>
      </c>
      <c r="D2619" t="s">
        <v>20</v>
      </c>
      <c r="E2619" t="s">
        <v>17</v>
      </c>
      <c r="F2619">
        <v>162.458</v>
      </c>
      <c r="G2619" t="s">
        <v>15</v>
      </c>
    </row>
    <row r="2620" spans="1:7" x14ac:dyDescent="0.25">
      <c r="A2620">
        <v>146</v>
      </c>
      <c r="B2620" t="s">
        <v>738</v>
      </c>
      <c r="C2620">
        <v>90</v>
      </c>
      <c r="D2620" t="s">
        <v>24</v>
      </c>
      <c r="E2620" t="s">
        <v>11</v>
      </c>
      <c r="F2620">
        <v>1</v>
      </c>
      <c r="G2620" t="s">
        <v>15</v>
      </c>
    </row>
    <row r="2621" spans="1:7" x14ac:dyDescent="0.25">
      <c r="A2621">
        <v>146</v>
      </c>
      <c r="B2621" t="s">
        <v>738</v>
      </c>
      <c r="C2621">
        <v>100</v>
      </c>
      <c r="D2621" t="s">
        <v>141</v>
      </c>
      <c r="E2621" t="s">
        <v>14</v>
      </c>
      <c r="F2621">
        <v>9.7000000000000003E-2</v>
      </c>
      <c r="G2621" t="s">
        <v>15</v>
      </c>
    </row>
    <row r="2622" spans="1:7" x14ac:dyDescent="0.25">
      <c r="A2622">
        <v>146</v>
      </c>
      <c r="B2622" t="s">
        <v>738</v>
      </c>
      <c r="C2622">
        <v>110</v>
      </c>
      <c r="D2622" t="s">
        <v>140</v>
      </c>
      <c r="E2622" t="s">
        <v>11</v>
      </c>
      <c r="F2622">
        <v>4</v>
      </c>
      <c r="G2622" t="s">
        <v>15</v>
      </c>
    </row>
    <row r="2623" spans="1:7" x14ac:dyDescent="0.25">
      <c r="A2623">
        <v>146</v>
      </c>
      <c r="B2623" t="s">
        <v>738</v>
      </c>
      <c r="C2623">
        <v>120</v>
      </c>
      <c r="D2623" t="s">
        <v>25</v>
      </c>
      <c r="E2623" t="s">
        <v>11</v>
      </c>
      <c r="F2623">
        <v>1</v>
      </c>
      <c r="G2623" t="s">
        <v>15</v>
      </c>
    </row>
    <row r="2624" spans="1:7" x14ac:dyDescent="0.25">
      <c r="A2624">
        <v>146</v>
      </c>
      <c r="B2624" t="s">
        <v>738</v>
      </c>
      <c r="C2624">
        <v>130</v>
      </c>
      <c r="D2624" t="s">
        <v>26</v>
      </c>
      <c r="E2624" t="s">
        <v>11</v>
      </c>
      <c r="F2624">
        <v>1</v>
      </c>
      <c r="G2624" t="s">
        <v>15</v>
      </c>
    </row>
    <row r="2625" spans="1:7" x14ac:dyDescent="0.25">
      <c r="A2625">
        <v>146</v>
      </c>
      <c r="B2625" t="s">
        <v>738</v>
      </c>
      <c r="C2625">
        <v>140</v>
      </c>
      <c r="D2625" t="s">
        <v>100</v>
      </c>
      <c r="E2625" t="s">
        <v>14</v>
      </c>
      <c r="F2625">
        <v>1.27</v>
      </c>
      <c r="G2625" t="s">
        <v>15</v>
      </c>
    </row>
    <row r="2626" spans="1:7" x14ac:dyDescent="0.25">
      <c r="A2626">
        <v>146</v>
      </c>
      <c r="B2626" t="s">
        <v>738</v>
      </c>
      <c r="C2626">
        <v>150</v>
      </c>
      <c r="D2626" t="s">
        <v>569</v>
      </c>
      <c r="E2626" t="s">
        <v>11</v>
      </c>
      <c r="F2626">
        <v>1</v>
      </c>
      <c r="G2626" t="s">
        <v>18</v>
      </c>
    </row>
    <row r="2627" spans="1:7" x14ac:dyDescent="0.25">
      <c r="A2627">
        <v>146</v>
      </c>
      <c r="B2627" t="s">
        <v>738</v>
      </c>
      <c r="C2627">
        <v>160</v>
      </c>
      <c r="D2627" t="s">
        <v>570</v>
      </c>
      <c r="E2627" t="s">
        <v>11</v>
      </c>
      <c r="F2627">
        <v>1</v>
      </c>
      <c r="G2627" t="s">
        <v>18</v>
      </c>
    </row>
    <row r="2628" spans="1:7" x14ac:dyDescent="0.25">
      <c r="A2628">
        <v>146</v>
      </c>
      <c r="B2628" t="s">
        <v>738</v>
      </c>
      <c r="C2628">
        <v>170</v>
      </c>
      <c r="D2628" t="s">
        <v>142</v>
      </c>
      <c r="E2628" t="s">
        <v>11</v>
      </c>
      <c r="F2628">
        <v>6.6040000000000001</v>
      </c>
      <c r="G2628" t="s">
        <v>15</v>
      </c>
    </row>
    <row r="2629" spans="1:7" x14ac:dyDescent="0.25">
      <c r="A2629">
        <v>146</v>
      </c>
      <c r="B2629" t="s">
        <v>738</v>
      </c>
      <c r="C2629">
        <v>180</v>
      </c>
      <c r="D2629" t="s">
        <v>571</v>
      </c>
      <c r="E2629" t="s">
        <v>11</v>
      </c>
      <c r="F2629">
        <v>1</v>
      </c>
      <c r="G2629" t="s">
        <v>18</v>
      </c>
    </row>
    <row r="2630" spans="1:7" x14ac:dyDescent="0.25">
      <c r="A2630">
        <v>147</v>
      </c>
      <c r="B2630" t="s">
        <v>740</v>
      </c>
      <c r="C2630">
        <v>10</v>
      </c>
      <c r="D2630" t="s">
        <v>573</v>
      </c>
      <c r="E2630" t="s">
        <v>11</v>
      </c>
      <c r="F2630">
        <v>1</v>
      </c>
      <c r="G2630" t="s">
        <v>18</v>
      </c>
    </row>
    <row r="2631" spans="1:7" x14ac:dyDescent="0.25">
      <c r="A2631">
        <v>147</v>
      </c>
      <c r="B2631" t="s">
        <v>740</v>
      </c>
      <c r="C2631">
        <v>20</v>
      </c>
      <c r="D2631" t="s">
        <v>132</v>
      </c>
      <c r="E2631" t="s">
        <v>14</v>
      </c>
      <c r="F2631">
        <v>3.5819999999999999</v>
      </c>
      <c r="G2631" t="s">
        <v>15</v>
      </c>
    </row>
    <row r="2632" spans="1:7" x14ac:dyDescent="0.25">
      <c r="A2632">
        <v>147</v>
      </c>
      <c r="B2632" t="s">
        <v>740</v>
      </c>
      <c r="C2632">
        <v>30</v>
      </c>
      <c r="D2632" t="s">
        <v>102</v>
      </c>
      <c r="E2632" t="s">
        <v>103</v>
      </c>
      <c r="F2632">
        <v>0.98699999999999999</v>
      </c>
      <c r="G2632" t="s">
        <v>15</v>
      </c>
    </row>
    <row r="2633" spans="1:7" x14ac:dyDescent="0.25">
      <c r="A2633">
        <v>147</v>
      </c>
      <c r="B2633" t="s">
        <v>740</v>
      </c>
      <c r="C2633">
        <v>40</v>
      </c>
      <c r="D2633" t="s">
        <v>597</v>
      </c>
      <c r="E2633" t="s">
        <v>11</v>
      </c>
      <c r="F2633">
        <v>2.1589999999999998</v>
      </c>
      <c r="G2633" t="s">
        <v>18</v>
      </c>
    </row>
    <row r="2634" spans="1:7" x14ac:dyDescent="0.25">
      <c r="A2634">
        <v>147</v>
      </c>
      <c r="B2634" t="s">
        <v>740</v>
      </c>
      <c r="C2634">
        <v>50</v>
      </c>
      <c r="D2634" t="s">
        <v>139</v>
      </c>
      <c r="E2634" t="s">
        <v>17</v>
      </c>
      <c r="F2634">
        <v>2.1589999999999998</v>
      </c>
      <c r="G2634" t="s">
        <v>18</v>
      </c>
    </row>
    <row r="2635" spans="1:7" x14ac:dyDescent="0.25">
      <c r="A2635">
        <v>147</v>
      </c>
      <c r="B2635" t="s">
        <v>740</v>
      </c>
      <c r="C2635">
        <v>60</v>
      </c>
      <c r="D2635" t="s">
        <v>741</v>
      </c>
      <c r="E2635" t="s">
        <v>11</v>
      </c>
      <c r="F2635">
        <v>1</v>
      </c>
      <c r="G2635" t="s">
        <v>18</v>
      </c>
    </row>
    <row r="2636" spans="1:7" x14ac:dyDescent="0.25">
      <c r="A2636">
        <v>147</v>
      </c>
      <c r="B2636" t="s">
        <v>740</v>
      </c>
      <c r="C2636">
        <v>70</v>
      </c>
      <c r="D2636" t="s">
        <v>599</v>
      </c>
      <c r="E2636" t="s">
        <v>17</v>
      </c>
      <c r="F2636">
        <v>20.725999999999999</v>
      </c>
      <c r="G2636" t="s">
        <v>15</v>
      </c>
    </row>
    <row r="2637" spans="1:7" x14ac:dyDescent="0.25">
      <c r="A2637">
        <v>147</v>
      </c>
      <c r="B2637" t="s">
        <v>740</v>
      </c>
      <c r="C2637">
        <v>80</v>
      </c>
      <c r="D2637" t="s">
        <v>20</v>
      </c>
      <c r="E2637" t="s">
        <v>17</v>
      </c>
      <c r="F2637">
        <v>169.95599999999999</v>
      </c>
      <c r="G2637" t="s">
        <v>15</v>
      </c>
    </row>
    <row r="2638" spans="1:7" x14ac:dyDescent="0.25">
      <c r="A2638">
        <v>147</v>
      </c>
      <c r="B2638" t="s">
        <v>740</v>
      </c>
      <c r="C2638">
        <v>90</v>
      </c>
      <c r="D2638" t="s">
        <v>24</v>
      </c>
      <c r="E2638" t="s">
        <v>11</v>
      </c>
      <c r="F2638">
        <v>1</v>
      </c>
      <c r="G2638" t="s">
        <v>15</v>
      </c>
    </row>
    <row r="2639" spans="1:7" x14ac:dyDescent="0.25">
      <c r="A2639">
        <v>147</v>
      </c>
      <c r="B2639" t="s">
        <v>740</v>
      </c>
      <c r="C2639">
        <v>100</v>
      </c>
      <c r="D2639" t="s">
        <v>141</v>
      </c>
      <c r="E2639" t="s">
        <v>14</v>
      </c>
      <c r="F2639">
        <v>0.107</v>
      </c>
      <c r="G2639" t="s">
        <v>15</v>
      </c>
    </row>
    <row r="2640" spans="1:7" x14ac:dyDescent="0.25">
      <c r="A2640">
        <v>147</v>
      </c>
      <c r="B2640" t="s">
        <v>740</v>
      </c>
      <c r="C2640">
        <v>110</v>
      </c>
      <c r="D2640" t="s">
        <v>140</v>
      </c>
      <c r="E2640" t="s">
        <v>11</v>
      </c>
      <c r="F2640">
        <v>4</v>
      </c>
      <c r="G2640" t="s">
        <v>15</v>
      </c>
    </row>
    <row r="2641" spans="1:7" x14ac:dyDescent="0.25">
      <c r="A2641">
        <v>147</v>
      </c>
      <c r="B2641" t="s">
        <v>740</v>
      </c>
      <c r="C2641">
        <v>120</v>
      </c>
      <c r="D2641" t="s">
        <v>25</v>
      </c>
      <c r="E2641" t="s">
        <v>11</v>
      </c>
      <c r="F2641">
        <v>1</v>
      </c>
      <c r="G2641" t="s">
        <v>15</v>
      </c>
    </row>
    <row r="2642" spans="1:7" x14ac:dyDescent="0.25">
      <c r="A2642">
        <v>147</v>
      </c>
      <c r="B2642" t="s">
        <v>740</v>
      </c>
      <c r="C2642">
        <v>130</v>
      </c>
      <c r="D2642" t="s">
        <v>26</v>
      </c>
      <c r="E2642" t="s">
        <v>11</v>
      </c>
      <c r="F2642">
        <v>1</v>
      </c>
      <c r="G2642" t="s">
        <v>15</v>
      </c>
    </row>
    <row r="2643" spans="1:7" x14ac:dyDescent="0.25">
      <c r="A2643">
        <v>147</v>
      </c>
      <c r="B2643" t="s">
        <v>740</v>
      </c>
      <c r="C2643">
        <v>140</v>
      </c>
      <c r="D2643" t="s">
        <v>100</v>
      </c>
      <c r="E2643" t="s">
        <v>14</v>
      </c>
      <c r="F2643">
        <v>1.27</v>
      </c>
      <c r="G2643" t="s">
        <v>15</v>
      </c>
    </row>
    <row r="2644" spans="1:7" x14ac:dyDescent="0.25">
      <c r="A2644">
        <v>147</v>
      </c>
      <c r="B2644" t="s">
        <v>740</v>
      </c>
      <c r="C2644">
        <v>150</v>
      </c>
      <c r="D2644" t="s">
        <v>575</v>
      </c>
      <c r="E2644" t="s">
        <v>11</v>
      </c>
      <c r="F2644">
        <v>1</v>
      </c>
      <c r="G2644" t="s">
        <v>18</v>
      </c>
    </row>
    <row r="2645" spans="1:7" x14ac:dyDescent="0.25">
      <c r="A2645">
        <v>147</v>
      </c>
      <c r="B2645" t="s">
        <v>740</v>
      </c>
      <c r="C2645">
        <v>160</v>
      </c>
      <c r="D2645" t="s">
        <v>576</v>
      </c>
      <c r="E2645" t="s">
        <v>11</v>
      </c>
      <c r="F2645">
        <v>1</v>
      </c>
      <c r="G2645" t="s">
        <v>18</v>
      </c>
    </row>
    <row r="2646" spans="1:7" x14ac:dyDescent="0.25">
      <c r="A2646">
        <v>147</v>
      </c>
      <c r="B2646" t="s">
        <v>740</v>
      </c>
      <c r="C2646">
        <v>170</v>
      </c>
      <c r="D2646" t="s">
        <v>142</v>
      </c>
      <c r="E2646" t="s">
        <v>11</v>
      </c>
      <c r="F2646">
        <v>6.9089999999999998</v>
      </c>
      <c r="G2646" t="s">
        <v>15</v>
      </c>
    </row>
    <row r="2647" spans="1:7" x14ac:dyDescent="0.25">
      <c r="A2647">
        <v>147</v>
      </c>
      <c r="B2647" t="s">
        <v>740</v>
      </c>
      <c r="C2647">
        <v>180</v>
      </c>
      <c r="D2647" t="s">
        <v>577</v>
      </c>
      <c r="E2647" t="s">
        <v>11</v>
      </c>
      <c r="F2647">
        <v>1</v>
      </c>
      <c r="G2647" t="s">
        <v>18</v>
      </c>
    </row>
    <row r="2648" spans="1:7" x14ac:dyDescent="0.25">
      <c r="A2648">
        <v>148</v>
      </c>
      <c r="B2648" t="s">
        <v>742</v>
      </c>
      <c r="C2648">
        <v>10</v>
      </c>
      <c r="D2648" t="s">
        <v>579</v>
      </c>
      <c r="E2648" t="s">
        <v>11</v>
      </c>
      <c r="F2648">
        <v>1</v>
      </c>
      <c r="G2648" t="s">
        <v>18</v>
      </c>
    </row>
    <row r="2649" spans="1:7" x14ac:dyDescent="0.25">
      <c r="A2649">
        <v>148</v>
      </c>
      <c r="B2649" t="s">
        <v>742</v>
      </c>
      <c r="C2649">
        <v>20</v>
      </c>
      <c r="D2649" t="s">
        <v>132</v>
      </c>
      <c r="E2649" t="s">
        <v>14</v>
      </c>
      <c r="F2649">
        <v>4.4870000000000001</v>
      </c>
      <c r="G2649" t="s">
        <v>15</v>
      </c>
    </row>
    <row r="2650" spans="1:7" x14ac:dyDescent="0.25">
      <c r="A2650">
        <v>148</v>
      </c>
      <c r="B2650" t="s">
        <v>742</v>
      </c>
      <c r="C2650">
        <v>30</v>
      </c>
      <c r="D2650" t="s">
        <v>102</v>
      </c>
      <c r="E2650" t="s">
        <v>103</v>
      </c>
      <c r="F2650">
        <v>1.24</v>
      </c>
      <c r="G2650" t="s">
        <v>15</v>
      </c>
    </row>
    <row r="2651" spans="1:7" x14ac:dyDescent="0.25">
      <c r="A2651">
        <v>148</v>
      </c>
      <c r="B2651" t="s">
        <v>742</v>
      </c>
      <c r="C2651">
        <v>40</v>
      </c>
      <c r="D2651" t="s">
        <v>597</v>
      </c>
      <c r="E2651" t="s">
        <v>11</v>
      </c>
      <c r="F2651">
        <v>2.1589999999999998</v>
      </c>
      <c r="G2651" t="s">
        <v>18</v>
      </c>
    </row>
    <row r="2652" spans="1:7" x14ac:dyDescent="0.25">
      <c r="A2652">
        <v>148</v>
      </c>
      <c r="B2652" t="s">
        <v>742</v>
      </c>
      <c r="C2652">
        <v>50</v>
      </c>
      <c r="D2652" t="s">
        <v>139</v>
      </c>
      <c r="E2652" t="s">
        <v>17</v>
      </c>
      <c r="F2652">
        <v>2.1589999999999998</v>
      </c>
      <c r="G2652" t="s">
        <v>18</v>
      </c>
    </row>
    <row r="2653" spans="1:7" x14ac:dyDescent="0.25">
      <c r="A2653">
        <v>148</v>
      </c>
      <c r="B2653" t="s">
        <v>742</v>
      </c>
      <c r="C2653">
        <v>60</v>
      </c>
      <c r="D2653" t="s">
        <v>743</v>
      </c>
      <c r="E2653" t="s">
        <v>11</v>
      </c>
      <c r="F2653">
        <v>1</v>
      </c>
      <c r="G2653" t="s">
        <v>18</v>
      </c>
    </row>
    <row r="2654" spans="1:7" x14ac:dyDescent="0.25">
      <c r="A2654">
        <v>148</v>
      </c>
      <c r="B2654" t="s">
        <v>742</v>
      </c>
      <c r="C2654">
        <v>70</v>
      </c>
      <c r="D2654" t="s">
        <v>599</v>
      </c>
      <c r="E2654" t="s">
        <v>17</v>
      </c>
      <c r="F2654">
        <v>22.555</v>
      </c>
      <c r="G2654" t="s">
        <v>15</v>
      </c>
    </row>
    <row r="2655" spans="1:7" x14ac:dyDescent="0.25">
      <c r="A2655">
        <v>148</v>
      </c>
      <c r="B2655" t="s">
        <v>742</v>
      </c>
      <c r="C2655">
        <v>80</v>
      </c>
      <c r="D2655" t="s">
        <v>20</v>
      </c>
      <c r="E2655" t="s">
        <v>17</v>
      </c>
      <c r="F2655">
        <v>184.953</v>
      </c>
      <c r="G2655" t="s">
        <v>15</v>
      </c>
    </row>
    <row r="2656" spans="1:7" x14ac:dyDescent="0.25">
      <c r="A2656">
        <v>148</v>
      </c>
      <c r="B2656" t="s">
        <v>742</v>
      </c>
      <c r="C2656">
        <v>90</v>
      </c>
      <c r="D2656" t="s">
        <v>24</v>
      </c>
      <c r="E2656" t="s">
        <v>11</v>
      </c>
      <c r="F2656">
        <v>1</v>
      </c>
      <c r="G2656" t="s">
        <v>15</v>
      </c>
    </row>
    <row r="2657" spans="1:7" x14ac:dyDescent="0.25">
      <c r="A2657">
        <v>148</v>
      </c>
      <c r="B2657" t="s">
        <v>742</v>
      </c>
      <c r="C2657">
        <v>100</v>
      </c>
      <c r="D2657" t="s">
        <v>141</v>
      </c>
      <c r="E2657" t="s">
        <v>14</v>
      </c>
      <c r="F2657">
        <v>0.128</v>
      </c>
      <c r="G2657" t="s">
        <v>15</v>
      </c>
    </row>
    <row r="2658" spans="1:7" x14ac:dyDescent="0.25">
      <c r="A2658">
        <v>148</v>
      </c>
      <c r="B2658" t="s">
        <v>742</v>
      </c>
      <c r="C2658">
        <v>110</v>
      </c>
      <c r="D2658" t="s">
        <v>140</v>
      </c>
      <c r="E2658" t="s">
        <v>11</v>
      </c>
      <c r="F2658">
        <v>4</v>
      </c>
      <c r="G2658" t="s">
        <v>15</v>
      </c>
    </row>
    <row r="2659" spans="1:7" x14ac:dyDescent="0.25">
      <c r="A2659">
        <v>148</v>
      </c>
      <c r="B2659" t="s">
        <v>742</v>
      </c>
      <c r="C2659">
        <v>120</v>
      </c>
      <c r="D2659" t="s">
        <v>25</v>
      </c>
      <c r="E2659" t="s">
        <v>11</v>
      </c>
      <c r="F2659">
        <v>1</v>
      </c>
      <c r="G2659" t="s">
        <v>15</v>
      </c>
    </row>
    <row r="2660" spans="1:7" x14ac:dyDescent="0.25">
      <c r="A2660">
        <v>148</v>
      </c>
      <c r="B2660" t="s">
        <v>742</v>
      </c>
      <c r="C2660">
        <v>130</v>
      </c>
      <c r="D2660" t="s">
        <v>26</v>
      </c>
      <c r="E2660" t="s">
        <v>11</v>
      </c>
      <c r="F2660">
        <v>1</v>
      </c>
      <c r="G2660" t="s">
        <v>15</v>
      </c>
    </row>
    <row r="2661" spans="1:7" x14ac:dyDescent="0.25">
      <c r="A2661">
        <v>148</v>
      </c>
      <c r="B2661" t="s">
        <v>742</v>
      </c>
      <c r="C2661">
        <v>140</v>
      </c>
      <c r="D2661" t="s">
        <v>100</v>
      </c>
      <c r="E2661" t="s">
        <v>14</v>
      </c>
      <c r="F2661">
        <v>1.27</v>
      </c>
      <c r="G2661" t="s">
        <v>15</v>
      </c>
    </row>
    <row r="2662" spans="1:7" x14ac:dyDescent="0.25">
      <c r="A2662">
        <v>148</v>
      </c>
      <c r="B2662" t="s">
        <v>742</v>
      </c>
      <c r="C2662">
        <v>150</v>
      </c>
      <c r="D2662" t="s">
        <v>581</v>
      </c>
      <c r="E2662" t="s">
        <v>11</v>
      </c>
      <c r="F2662">
        <v>1</v>
      </c>
      <c r="G2662" t="s">
        <v>18</v>
      </c>
    </row>
    <row r="2663" spans="1:7" x14ac:dyDescent="0.25">
      <c r="A2663">
        <v>148</v>
      </c>
      <c r="B2663" t="s">
        <v>742</v>
      </c>
      <c r="C2663">
        <v>160</v>
      </c>
      <c r="D2663" t="s">
        <v>582</v>
      </c>
      <c r="E2663" t="s">
        <v>11</v>
      </c>
      <c r="F2663">
        <v>1</v>
      </c>
      <c r="G2663" t="s">
        <v>18</v>
      </c>
    </row>
    <row r="2664" spans="1:7" x14ac:dyDescent="0.25">
      <c r="A2664">
        <v>148</v>
      </c>
      <c r="B2664" t="s">
        <v>742</v>
      </c>
      <c r="C2664">
        <v>170</v>
      </c>
      <c r="D2664" t="s">
        <v>142</v>
      </c>
      <c r="E2664" t="s">
        <v>11</v>
      </c>
      <c r="F2664">
        <v>7.5179999999999998</v>
      </c>
      <c r="G2664" t="s">
        <v>15</v>
      </c>
    </row>
    <row r="2665" spans="1:7" x14ac:dyDescent="0.25">
      <c r="A2665">
        <v>148</v>
      </c>
      <c r="B2665" t="s">
        <v>742</v>
      </c>
      <c r="C2665">
        <v>180</v>
      </c>
      <c r="D2665" t="s">
        <v>583</v>
      </c>
      <c r="E2665" t="s">
        <v>11</v>
      </c>
      <c r="F2665">
        <v>1</v>
      </c>
      <c r="G2665" t="s">
        <v>18</v>
      </c>
    </row>
    <row r="2666" spans="1:7" x14ac:dyDescent="0.25">
      <c r="A2666">
        <v>149</v>
      </c>
      <c r="B2666" t="s">
        <v>744</v>
      </c>
      <c r="C2666">
        <v>10</v>
      </c>
      <c r="D2666" t="s">
        <v>585</v>
      </c>
      <c r="E2666" t="s">
        <v>11</v>
      </c>
      <c r="F2666">
        <v>1</v>
      </c>
      <c r="G2666" t="s">
        <v>18</v>
      </c>
    </row>
    <row r="2667" spans="1:7" x14ac:dyDescent="0.25">
      <c r="A2667">
        <v>149</v>
      </c>
      <c r="B2667" t="s">
        <v>744</v>
      </c>
      <c r="C2667">
        <v>20</v>
      </c>
      <c r="D2667" t="s">
        <v>132</v>
      </c>
      <c r="E2667" t="s">
        <v>14</v>
      </c>
      <c r="F2667">
        <v>4.9400000000000004</v>
      </c>
      <c r="G2667" t="s">
        <v>15</v>
      </c>
    </row>
    <row r="2668" spans="1:7" x14ac:dyDescent="0.25">
      <c r="A2668">
        <v>149</v>
      </c>
      <c r="B2668" t="s">
        <v>744</v>
      </c>
      <c r="C2668">
        <v>30</v>
      </c>
      <c r="D2668" t="s">
        <v>102</v>
      </c>
      <c r="E2668" t="s">
        <v>103</v>
      </c>
      <c r="F2668">
        <v>1.3660000000000001</v>
      </c>
      <c r="G2668" t="s">
        <v>15</v>
      </c>
    </row>
    <row r="2669" spans="1:7" x14ac:dyDescent="0.25">
      <c r="A2669">
        <v>149</v>
      </c>
      <c r="B2669" t="s">
        <v>744</v>
      </c>
      <c r="C2669">
        <v>40</v>
      </c>
      <c r="D2669" t="s">
        <v>597</v>
      </c>
      <c r="E2669" t="s">
        <v>11</v>
      </c>
      <c r="F2669">
        <v>2.1589999999999998</v>
      </c>
      <c r="G2669" t="s">
        <v>18</v>
      </c>
    </row>
    <row r="2670" spans="1:7" x14ac:dyDescent="0.25">
      <c r="A2670">
        <v>149</v>
      </c>
      <c r="B2670" t="s">
        <v>744</v>
      </c>
      <c r="C2670">
        <v>50</v>
      </c>
      <c r="D2670" t="s">
        <v>139</v>
      </c>
      <c r="E2670" t="s">
        <v>17</v>
      </c>
      <c r="F2670">
        <v>2.1589999999999998</v>
      </c>
      <c r="G2670" t="s">
        <v>18</v>
      </c>
    </row>
    <row r="2671" spans="1:7" x14ac:dyDescent="0.25">
      <c r="A2671">
        <v>149</v>
      </c>
      <c r="B2671" t="s">
        <v>744</v>
      </c>
      <c r="C2671">
        <v>60</v>
      </c>
      <c r="D2671" t="s">
        <v>745</v>
      </c>
      <c r="E2671" t="s">
        <v>11</v>
      </c>
      <c r="F2671">
        <v>1</v>
      </c>
      <c r="G2671" t="s">
        <v>18</v>
      </c>
    </row>
    <row r="2672" spans="1:7" x14ac:dyDescent="0.25">
      <c r="A2672">
        <v>149</v>
      </c>
      <c r="B2672" t="s">
        <v>744</v>
      </c>
      <c r="C2672">
        <v>70</v>
      </c>
      <c r="D2672" t="s">
        <v>599</v>
      </c>
      <c r="E2672" t="s">
        <v>17</v>
      </c>
      <c r="F2672">
        <v>23.47</v>
      </c>
      <c r="G2672" t="s">
        <v>15</v>
      </c>
    </row>
    <row r="2673" spans="1:7" x14ac:dyDescent="0.25">
      <c r="A2673">
        <v>149</v>
      </c>
      <c r="B2673" t="s">
        <v>744</v>
      </c>
      <c r="C2673">
        <v>80</v>
      </c>
      <c r="D2673" t="s">
        <v>20</v>
      </c>
      <c r="E2673" t="s">
        <v>17</v>
      </c>
      <c r="F2673">
        <v>192.45099999999999</v>
      </c>
      <c r="G2673" t="s">
        <v>15</v>
      </c>
    </row>
    <row r="2674" spans="1:7" x14ac:dyDescent="0.25">
      <c r="A2674">
        <v>149</v>
      </c>
      <c r="B2674" t="s">
        <v>744</v>
      </c>
      <c r="C2674">
        <v>90</v>
      </c>
      <c r="D2674" t="s">
        <v>24</v>
      </c>
      <c r="E2674" t="s">
        <v>11</v>
      </c>
      <c r="F2674">
        <v>1</v>
      </c>
      <c r="G2674" t="s">
        <v>15</v>
      </c>
    </row>
    <row r="2675" spans="1:7" x14ac:dyDescent="0.25">
      <c r="A2675">
        <v>149</v>
      </c>
      <c r="B2675" t="s">
        <v>744</v>
      </c>
      <c r="C2675">
        <v>100</v>
      </c>
      <c r="D2675" t="s">
        <v>141</v>
      </c>
      <c r="E2675" t="s">
        <v>14</v>
      </c>
      <c r="F2675">
        <v>0.13800000000000001</v>
      </c>
      <c r="G2675" t="s">
        <v>15</v>
      </c>
    </row>
    <row r="2676" spans="1:7" x14ac:dyDescent="0.25">
      <c r="A2676">
        <v>149</v>
      </c>
      <c r="B2676" t="s">
        <v>744</v>
      </c>
      <c r="C2676">
        <v>110</v>
      </c>
      <c r="D2676" t="s">
        <v>140</v>
      </c>
      <c r="E2676" t="s">
        <v>11</v>
      </c>
      <c r="F2676">
        <v>4</v>
      </c>
      <c r="G2676" t="s">
        <v>15</v>
      </c>
    </row>
    <row r="2677" spans="1:7" x14ac:dyDescent="0.25">
      <c r="A2677">
        <v>149</v>
      </c>
      <c r="B2677" t="s">
        <v>744</v>
      </c>
      <c r="C2677">
        <v>120</v>
      </c>
      <c r="D2677" t="s">
        <v>25</v>
      </c>
      <c r="E2677" t="s">
        <v>11</v>
      </c>
      <c r="F2677">
        <v>1</v>
      </c>
      <c r="G2677" t="s">
        <v>15</v>
      </c>
    </row>
    <row r="2678" spans="1:7" x14ac:dyDescent="0.25">
      <c r="A2678">
        <v>149</v>
      </c>
      <c r="B2678" t="s">
        <v>744</v>
      </c>
      <c r="C2678">
        <v>130</v>
      </c>
      <c r="D2678" t="s">
        <v>26</v>
      </c>
      <c r="E2678" t="s">
        <v>11</v>
      </c>
      <c r="F2678">
        <v>1</v>
      </c>
      <c r="G2678" t="s">
        <v>15</v>
      </c>
    </row>
    <row r="2679" spans="1:7" x14ac:dyDescent="0.25">
      <c r="A2679">
        <v>149</v>
      </c>
      <c r="B2679" t="s">
        <v>744</v>
      </c>
      <c r="C2679">
        <v>140</v>
      </c>
      <c r="D2679" t="s">
        <v>100</v>
      </c>
      <c r="E2679" t="s">
        <v>14</v>
      </c>
      <c r="F2679">
        <v>1.27</v>
      </c>
      <c r="G2679" t="s">
        <v>15</v>
      </c>
    </row>
    <row r="2680" spans="1:7" x14ac:dyDescent="0.25">
      <c r="A2680">
        <v>149</v>
      </c>
      <c r="B2680" t="s">
        <v>744</v>
      </c>
      <c r="C2680">
        <v>150</v>
      </c>
      <c r="D2680" t="s">
        <v>587</v>
      </c>
      <c r="E2680" t="s">
        <v>11</v>
      </c>
      <c r="F2680">
        <v>1</v>
      </c>
      <c r="G2680" t="s">
        <v>18</v>
      </c>
    </row>
    <row r="2681" spans="1:7" x14ac:dyDescent="0.25">
      <c r="A2681">
        <v>149</v>
      </c>
      <c r="B2681" t="s">
        <v>744</v>
      </c>
      <c r="C2681">
        <v>160</v>
      </c>
      <c r="D2681" t="s">
        <v>588</v>
      </c>
      <c r="E2681" t="s">
        <v>11</v>
      </c>
      <c r="F2681">
        <v>1</v>
      </c>
      <c r="G2681" t="s">
        <v>18</v>
      </c>
    </row>
    <row r="2682" spans="1:7" x14ac:dyDescent="0.25">
      <c r="A2682">
        <v>149</v>
      </c>
      <c r="B2682" t="s">
        <v>744</v>
      </c>
      <c r="C2682">
        <v>170</v>
      </c>
      <c r="D2682" t="s">
        <v>142</v>
      </c>
      <c r="E2682" t="s">
        <v>11</v>
      </c>
      <c r="F2682">
        <v>7.8230000000000004</v>
      </c>
      <c r="G2682" t="s">
        <v>15</v>
      </c>
    </row>
    <row r="2683" spans="1:7" x14ac:dyDescent="0.25">
      <c r="A2683">
        <v>149</v>
      </c>
      <c r="B2683" t="s">
        <v>744</v>
      </c>
      <c r="C2683">
        <v>180</v>
      </c>
      <c r="D2683" t="s">
        <v>589</v>
      </c>
      <c r="E2683" t="s">
        <v>11</v>
      </c>
      <c r="F2683">
        <v>1</v>
      </c>
      <c r="G2683" t="s">
        <v>18</v>
      </c>
    </row>
    <row r="2684" spans="1:7" x14ac:dyDescent="0.25">
      <c r="A2684">
        <v>150</v>
      </c>
      <c r="B2684" t="s">
        <v>746</v>
      </c>
      <c r="C2684">
        <v>10</v>
      </c>
      <c r="D2684" t="s">
        <v>591</v>
      </c>
      <c r="E2684" t="s">
        <v>11</v>
      </c>
      <c r="F2684">
        <v>1</v>
      </c>
      <c r="G2684" t="s">
        <v>18</v>
      </c>
    </row>
    <row r="2685" spans="1:7" x14ac:dyDescent="0.25">
      <c r="A2685">
        <v>150</v>
      </c>
      <c r="B2685" t="s">
        <v>746</v>
      </c>
      <c r="C2685">
        <v>20</v>
      </c>
      <c r="D2685" t="s">
        <v>132</v>
      </c>
      <c r="E2685" t="s">
        <v>14</v>
      </c>
      <c r="F2685">
        <v>5.3920000000000003</v>
      </c>
      <c r="G2685" t="s">
        <v>15</v>
      </c>
    </row>
    <row r="2686" spans="1:7" x14ac:dyDescent="0.25">
      <c r="A2686">
        <v>150</v>
      </c>
      <c r="B2686" t="s">
        <v>746</v>
      </c>
      <c r="C2686">
        <v>30</v>
      </c>
      <c r="D2686" t="s">
        <v>102</v>
      </c>
      <c r="E2686" t="s">
        <v>103</v>
      </c>
      <c r="F2686">
        <v>1.492</v>
      </c>
      <c r="G2686" t="s">
        <v>15</v>
      </c>
    </row>
    <row r="2687" spans="1:7" x14ac:dyDescent="0.25">
      <c r="A2687">
        <v>150</v>
      </c>
      <c r="B2687" t="s">
        <v>746</v>
      </c>
      <c r="C2687">
        <v>40</v>
      </c>
      <c r="D2687" t="s">
        <v>597</v>
      </c>
      <c r="E2687" t="s">
        <v>11</v>
      </c>
      <c r="F2687">
        <v>2.1589999999999998</v>
      </c>
      <c r="G2687" t="s">
        <v>18</v>
      </c>
    </row>
    <row r="2688" spans="1:7" x14ac:dyDescent="0.25">
      <c r="A2688">
        <v>150</v>
      </c>
      <c r="B2688" t="s">
        <v>746</v>
      </c>
      <c r="C2688">
        <v>50</v>
      </c>
      <c r="D2688" t="s">
        <v>139</v>
      </c>
      <c r="E2688" t="s">
        <v>17</v>
      </c>
      <c r="F2688">
        <v>2.1589999999999998</v>
      </c>
      <c r="G2688" t="s">
        <v>18</v>
      </c>
    </row>
    <row r="2689" spans="1:7" x14ac:dyDescent="0.25">
      <c r="A2689">
        <v>150</v>
      </c>
      <c r="B2689" t="s">
        <v>746</v>
      </c>
      <c r="C2689">
        <v>60</v>
      </c>
      <c r="D2689" t="s">
        <v>747</v>
      </c>
      <c r="E2689" t="s">
        <v>11</v>
      </c>
      <c r="F2689">
        <v>1</v>
      </c>
      <c r="G2689" t="s">
        <v>18</v>
      </c>
    </row>
    <row r="2690" spans="1:7" x14ac:dyDescent="0.25">
      <c r="A2690">
        <v>150</v>
      </c>
      <c r="B2690" t="s">
        <v>746</v>
      </c>
      <c r="C2690">
        <v>70</v>
      </c>
      <c r="D2690" t="s">
        <v>599</v>
      </c>
      <c r="E2690" t="s">
        <v>17</v>
      </c>
      <c r="F2690">
        <v>24.384</v>
      </c>
      <c r="G2690" t="s">
        <v>15</v>
      </c>
    </row>
    <row r="2691" spans="1:7" x14ac:dyDescent="0.25">
      <c r="A2691">
        <v>150</v>
      </c>
      <c r="B2691" t="s">
        <v>746</v>
      </c>
      <c r="C2691">
        <v>80</v>
      </c>
      <c r="D2691" t="s">
        <v>20</v>
      </c>
      <c r="E2691" t="s">
        <v>17</v>
      </c>
      <c r="F2691">
        <v>199.94900000000001</v>
      </c>
      <c r="G2691" t="s">
        <v>15</v>
      </c>
    </row>
    <row r="2692" spans="1:7" x14ac:dyDescent="0.25">
      <c r="A2692">
        <v>150</v>
      </c>
      <c r="B2692" t="s">
        <v>746</v>
      </c>
      <c r="C2692">
        <v>90</v>
      </c>
      <c r="D2692" t="s">
        <v>24</v>
      </c>
      <c r="E2692" t="s">
        <v>11</v>
      </c>
      <c r="F2692">
        <v>1</v>
      </c>
      <c r="G2692" t="s">
        <v>15</v>
      </c>
    </row>
    <row r="2693" spans="1:7" x14ac:dyDescent="0.25">
      <c r="A2693">
        <v>150</v>
      </c>
      <c r="B2693" t="s">
        <v>746</v>
      </c>
      <c r="C2693">
        <v>100</v>
      </c>
      <c r="D2693" t="s">
        <v>141</v>
      </c>
      <c r="E2693" t="s">
        <v>14</v>
      </c>
      <c r="F2693">
        <v>0.14899999999999999</v>
      </c>
      <c r="G2693" t="s">
        <v>15</v>
      </c>
    </row>
    <row r="2694" spans="1:7" x14ac:dyDescent="0.25">
      <c r="A2694">
        <v>150</v>
      </c>
      <c r="B2694" t="s">
        <v>746</v>
      </c>
      <c r="C2694">
        <v>110</v>
      </c>
      <c r="D2694" t="s">
        <v>140</v>
      </c>
      <c r="E2694" t="s">
        <v>11</v>
      </c>
      <c r="F2694">
        <v>4</v>
      </c>
      <c r="G2694" t="s">
        <v>15</v>
      </c>
    </row>
    <row r="2695" spans="1:7" x14ac:dyDescent="0.25">
      <c r="A2695">
        <v>150</v>
      </c>
      <c r="B2695" t="s">
        <v>746</v>
      </c>
      <c r="C2695">
        <v>120</v>
      </c>
      <c r="D2695" t="s">
        <v>25</v>
      </c>
      <c r="E2695" t="s">
        <v>11</v>
      </c>
      <c r="F2695">
        <v>1</v>
      </c>
      <c r="G2695" t="s">
        <v>15</v>
      </c>
    </row>
    <row r="2696" spans="1:7" x14ac:dyDescent="0.25">
      <c r="A2696">
        <v>150</v>
      </c>
      <c r="B2696" t="s">
        <v>746</v>
      </c>
      <c r="C2696">
        <v>130</v>
      </c>
      <c r="D2696" t="s">
        <v>26</v>
      </c>
      <c r="E2696" t="s">
        <v>11</v>
      </c>
      <c r="F2696">
        <v>1</v>
      </c>
      <c r="G2696" t="s">
        <v>15</v>
      </c>
    </row>
    <row r="2697" spans="1:7" x14ac:dyDescent="0.25">
      <c r="A2697">
        <v>150</v>
      </c>
      <c r="B2697" t="s">
        <v>746</v>
      </c>
      <c r="C2697">
        <v>140</v>
      </c>
      <c r="D2697" t="s">
        <v>100</v>
      </c>
      <c r="E2697" t="s">
        <v>14</v>
      </c>
      <c r="F2697">
        <v>1.27</v>
      </c>
      <c r="G2697" t="s">
        <v>15</v>
      </c>
    </row>
    <row r="2698" spans="1:7" x14ac:dyDescent="0.25">
      <c r="A2698">
        <v>150</v>
      </c>
      <c r="B2698" t="s">
        <v>746</v>
      </c>
      <c r="C2698">
        <v>150</v>
      </c>
      <c r="D2698" t="s">
        <v>593</v>
      </c>
      <c r="E2698" t="s">
        <v>11</v>
      </c>
      <c r="F2698">
        <v>1</v>
      </c>
      <c r="G2698" t="s">
        <v>18</v>
      </c>
    </row>
    <row r="2699" spans="1:7" x14ac:dyDescent="0.25">
      <c r="A2699">
        <v>150</v>
      </c>
      <c r="B2699" t="s">
        <v>746</v>
      </c>
      <c r="C2699">
        <v>160</v>
      </c>
      <c r="D2699" t="s">
        <v>594</v>
      </c>
      <c r="E2699" t="s">
        <v>11</v>
      </c>
      <c r="F2699">
        <v>1</v>
      </c>
      <c r="G2699" t="s">
        <v>18</v>
      </c>
    </row>
    <row r="2700" spans="1:7" x14ac:dyDescent="0.25">
      <c r="A2700">
        <v>150</v>
      </c>
      <c r="B2700" t="s">
        <v>746</v>
      </c>
      <c r="C2700">
        <v>170</v>
      </c>
      <c r="D2700" t="s">
        <v>142</v>
      </c>
      <c r="E2700" t="s">
        <v>11</v>
      </c>
      <c r="F2700">
        <v>8.1280000000000001</v>
      </c>
      <c r="G2700" t="s">
        <v>15</v>
      </c>
    </row>
    <row r="2701" spans="1:7" x14ac:dyDescent="0.25">
      <c r="A2701">
        <v>150</v>
      </c>
      <c r="B2701" t="s">
        <v>746</v>
      </c>
      <c r="C2701">
        <v>180</v>
      </c>
      <c r="D2701" t="s">
        <v>595</v>
      </c>
      <c r="E2701" t="s">
        <v>11</v>
      </c>
      <c r="F2701">
        <v>1</v>
      </c>
      <c r="G27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704"/>
  <sheetViews>
    <sheetView topLeftCell="A2677" zoomScale="85" zoomScaleNormal="85" workbookViewId="0">
      <selection activeCell="A2704" sqref="A270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8" t="s">
        <v>29</v>
      </c>
      <c r="B1" s="59" t="s">
        <v>30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60" t="s">
        <v>31</v>
      </c>
      <c r="N1" s="61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</row>
    <row r="2" spans="1:38" x14ac:dyDescent="0.25">
      <c r="A2" s="58"/>
      <c r="B2" s="50" t="s">
        <v>32</v>
      </c>
      <c r="C2" s="50" t="s">
        <v>33</v>
      </c>
      <c r="D2" s="50" t="s">
        <v>34</v>
      </c>
      <c r="E2" s="50" t="s">
        <v>33</v>
      </c>
      <c r="F2" s="50" t="s">
        <v>34</v>
      </c>
      <c r="G2" s="50" t="s">
        <v>32</v>
      </c>
      <c r="H2" s="50" t="s">
        <v>34</v>
      </c>
      <c r="I2" s="50" t="s">
        <v>34</v>
      </c>
      <c r="J2" s="50" t="s">
        <v>34</v>
      </c>
      <c r="K2" s="50" t="s">
        <v>34</v>
      </c>
      <c r="L2" s="50" t="s">
        <v>32</v>
      </c>
      <c r="M2" s="51" t="s">
        <v>35</v>
      </c>
      <c r="N2" s="17" t="s">
        <v>35</v>
      </c>
      <c r="O2" s="51" t="s">
        <v>35</v>
      </c>
      <c r="P2" s="51" t="s">
        <v>36</v>
      </c>
      <c r="Q2" s="51" t="s">
        <v>35</v>
      </c>
      <c r="R2" s="51" t="s">
        <v>36</v>
      </c>
      <c r="S2" s="51" t="s">
        <v>35</v>
      </c>
      <c r="T2" s="51" t="s">
        <v>35</v>
      </c>
      <c r="U2" s="51" t="s">
        <v>36</v>
      </c>
      <c r="V2" s="51" t="s">
        <v>35</v>
      </c>
      <c r="W2" s="51" t="s">
        <v>35</v>
      </c>
      <c r="X2" s="51" t="s">
        <v>35</v>
      </c>
      <c r="Y2" s="51" t="s">
        <v>36</v>
      </c>
      <c r="Z2" s="51" t="s">
        <v>37</v>
      </c>
      <c r="AA2" s="51" t="s">
        <v>35</v>
      </c>
      <c r="AB2" s="51" t="s">
        <v>35</v>
      </c>
      <c r="AC2" s="51" t="s">
        <v>35</v>
      </c>
      <c r="AD2" s="51" t="s">
        <v>35</v>
      </c>
      <c r="AE2" s="51" t="s">
        <v>35</v>
      </c>
      <c r="AF2" s="51" t="s">
        <v>35</v>
      </c>
      <c r="AG2" s="51" t="s">
        <v>37</v>
      </c>
      <c r="AH2" s="51" t="s">
        <v>37</v>
      </c>
      <c r="AI2" s="51" t="s">
        <v>37</v>
      </c>
      <c r="AJ2" s="51" t="s">
        <v>35</v>
      </c>
      <c r="AK2" s="51" t="s">
        <v>35</v>
      </c>
      <c r="AL2" s="51" t="s">
        <v>35</v>
      </c>
    </row>
    <row r="3" spans="1:38" x14ac:dyDescent="0.25">
      <c r="A3" s="58"/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41</v>
      </c>
      <c r="G3" s="50" t="s">
        <v>42</v>
      </c>
      <c r="H3" s="50" t="s">
        <v>43</v>
      </c>
      <c r="I3" s="50" t="s">
        <v>44</v>
      </c>
      <c r="J3" s="50" t="s">
        <v>39</v>
      </c>
      <c r="K3" s="50" t="s">
        <v>39</v>
      </c>
      <c r="L3" s="50" t="s">
        <v>45</v>
      </c>
      <c r="M3" s="51" t="s">
        <v>46</v>
      </c>
      <c r="N3" s="17" t="s">
        <v>39</v>
      </c>
      <c r="O3" s="51" t="s">
        <v>41</v>
      </c>
      <c r="P3" s="51" t="s">
        <v>47</v>
      </c>
      <c r="Q3" s="51" t="s">
        <v>44</v>
      </c>
      <c r="R3" s="51" t="s">
        <v>43</v>
      </c>
      <c r="S3" s="51" t="s">
        <v>48</v>
      </c>
      <c r="T3" s="51" t="s">
        <v>46</v>
      </c>
      <c r="U3" s="51" t="s">
        <v>49</v>
      </c>
      <c r="V3" s="51" t="s">
        <v>43</v>
      </c>
      <c r="W3" s="51" t="s">
        <v>44</v>
      </c>
      <c r="X3" s="51" t="s">
        <v>44</v>
      </c>
      <c r="Y3" s="51" t="s">
        <v>38</v>
      </c>
      <c r="Z3" s="51" t="s">
        <v>45</v>
      </c>
      <c r="AA3" s="51" t="s">
        <v>50</v>
      </c>
      <c r="AB3" s="51" t="s">
        <v>50</v>
      </c>
      <c r="AC3" s="51" t="s">
        <v>44</v>
      </c>
      <c r="AD3" s="51" t="s">
        <v>44</v>
      </c>
      <c r="AE3" s="51" t="s">
        <v>49</v>
      </c>
      <c r="AF3" s="51" t="s">
        <v>48</v>
      </c>
      <c r="AG3" s="51" t="s">
        <v>38</v>
      </c>
      <c r="AH3" s="51" t="s">
        <v>45</v>
      </c>
      <c r="AI3" s="51" t="s">
        <v>45</v>
      </c>
      <c r="AJ3" s="51" t="s">
        <v>39</v>
      </c>
      <c r="AK3" s="51" t="s">
        <v>41</v>
      </c>
      <c r="AL3" s="51" t="s">
        <v>51</v>
      </c>
    </row>
    <row r="4" spans="1:38" x14ac:dyDescent="0.25">
      <c r="A4" s="58"/>
      <c r="B4" s="18" t="s">
        <v>52</v>
      </c>
      <c r="C4" s="18" t="s">
        <v>53</v>
      </c>
      <c r="D4" s="50" t="s">
        <v>54</v>
      </c>
      <c r="E4" s="18" t="s">
        <v>3</v>
      </c>
      <c r="F4" s="50" t="s">
        <v>55</v>
      </c>
      <c r="G4" s="18" t="s">
        <v>56</v>
      </c>
      <c r="H4" s="18" t="s">
        <v>6</v>
      </c>
      <c r="I4" s="18" t="s">
        <v>57</v>
      </c>
      <c r="J4" s="50" t="s">
        <v>58</v>
      </c>
      <c r="K4" s="50" t="s">
        <v>59</v>
      </c>
      <c r="L4" s="50" t="s">
        <v>60</v>
      </c>
      <c r="M4" s="19" t="s">
        <v>61</v>
      </c>
      <c r="N4" s="20" t="s">
        <v>3</v>
      </c>
      <c r="O4" s="51" t="s">
        <v>55</v>
      </c>
      <c r="P4" s="51" t="s">
        <v>62</v>
      </c>
      <c r="Q4" s="51" t="s">
        <v>63</v>
      </c>
      <c r="R4" s="51" t="s">
        <v>4</v>
      </c>
      <c r="S4" s="51" t="s">
        <v>64</v>
      </c>
      <c r="T4" s="51" t="s">
        <v>65</v>
      </c>
      <c r="U4" s="51" t="s">
        <v>66</v>
      </c>
      <c r="V4" s="51" t="s">
        <v>6</v>
      </c>
      <c r="W4" s="51" t="s">
        <v>67</v>
      </c>
      <c r="X4" s="51" t="s">
        <v>68</v>
      </c>
      <c r="Y4" s="51" t="s">
        <v>69</v>
      </c>
      <c r="Z4" s="51" t="s">
        <v>70</v>
      </c>
      <c r="AA4" s="51" t="s">
        <v>71</v>
      </c>
      <c r="AB4" s="51" t="s">
        <v>72</v>
      </c>
      <c r="AC4" s="51" t="s">
        <v>73</v>
      </c>
      <c r="AD4" s="51" t="s">
        <v>74</v>
      </c>
      <c r="AE4" s="51" t="s">
        <v>75</v>
      </c>
      <c r="AF4" s="51" t="s">
        <v>76</v>
      </c>
      <c r="AG4" s="51" t="s">
        <v>77</v>
      </c>
      <c r="AH4" s="51" t="s">
        <v>78</v>
      </c>
      <c r="AI4" s="51" t="s">
        <v>79</v>
      </c>
      <c r="AJ4" s="51" t="s">
        <v>80</v>
      </c>
      <c r="AK4" s="51" t="s">
        <v>81</v>
      </c>
      <c r="AL4" s="51" t="s">
        <v>82</v>
      </c>
    </row>
    <row r="5" spans="1:38" x14ac:dyDescent="0.25">
      <c r="A5">
        <v>1</v>
      </c>
      <c r="B5" t="s">
        <v>92</v>
      </c>
      <c r="C5" t="s">
        <v>144</v>
      </c>
      <c r="E5" t="s">
        <v>144</v>
      </c>
      <c r="L5" t="s">
        <v>93</v>
      </c>
      <c r="M5">
        <v>10</v>
      </c>
      <c r="N5" t="s">
        <v>145</v>
      </c>
      <c r="Q5">
        <v>1</v>
      </c>
      <c r="R5" t="s">
        <v>11</v>
      </c>
      <c r="T5">
        <v>10</v>
      </c>
      <c r="V5" t="s">
        <v>18</v>
      </c>
    </row>
    <row r="6" spans="1:38" x14ac:dyDescent="0.25">
      <c r="A6">
        <v>1</v>
      </c>
      <c r="B6" t="s">
        <v>92</v>
      </c>
      <c r="C6" t="s">
        <v>144</v>
      </c>
      <c r="E6" t="s">
        <v>144</v>
      </c>
      <c r="L6" t="s">
        <v>93</v>
      </c>
      <c r="M6">
        <v>20</v>
      </c>
      <c r="N6" t="s">
        <v>114</v>
      </c>
      <c r="Q6">
        <v>2.2930000000000001</v>
      </c>
      <c r="R6" t="s">
        <v>14</v>
      </c>
      <c r="T6">
        <v>10</v>
      </c>
      <c r="V6" t="s">
        <v>15</v>
      </c>
    </row>
    <row r="7" spans="1:38" x14ac:dyDescent="0.25">
      <c r="A7">
        <v>1</v>
      </c>
      <c r="B7" t="s">
        <v>92</v>
      </c>
      <c r="C7" t="s">
        <v>144</v>
      </c>
      <c r="E7" t="s">
        <v>144</v>
      </c>
      <c r="L7" t="s">
        <v>93</v>
      </c>
      <c r="M7">
        <v>30</v>
      </c>
      <c r="N7" t="s">
        <v>102</v>
      </c>
      <c r="Q7">
        <v>0.57499999999999996</v>
      </c>
      <c r="R7" t="s">
        <v>103</v>
      </c>
      <c r="T7">
        <v>10</v>
      </c>
      <c r="V7" t="s">
        <v>15</v>
      </c>
    </row>
    <row r="8" spans="1:38" x14ac:dyDescent="0.25">
      <c r="A8">
        <v>1</v>
      </c>
      <c r="B8" t="s">
        <v>92</v>
      </c>
      <c r="C8" t="s">
        <v>144</v>
      </c>
      <c r="E8" t="s">
        <v>144</v>
      </c>
      <c r="L8" t="s">
        <v>93</v>
      </c>
      <c r="M8">
        <v>40</v>
      </c>
      <c r="N8" t="s">
        <v>146</v>
      </c>
      <c r="Q8">
        <v>0.86399999999999999</v>
      </c>
      <c r="R8" t="s">
        <v>11</v>
      </c>
      <c r="T8">
        <v>10</v>
      </c>
      <c r="V8" t="s">
        <v>18</v>
      </c>
    </row>
    <row r="9" spans="1:38" x14ac:dyDescent="0.25">
      <c r="A9">
        <v>1</v>
      </c>
      <c r="B9" t="s">
        <v>92</v>
      </c>
      <c r="C9" t="s">
        <v>144</v>
      </c>
      <c r="E9" t="s">
        <v>144</v>
      </c>
      <c r="L9" t="s">
        <v>93</v>
      </c>
      <c r="M9">
        <v>50</v>
      </c>
      <c r="N9" t="s">
        <v>139</v>
      </c>
      <c r="Q9">
        <v>0.86399999999999999</v>
      </c>
      <c r="R9" t="s">
        <v>17</v>
      </c>
      <c r="T9">
        <v>10</v>
      </c>
      <c r="V9" t="s">
        <v>18</v>
      </c>
    </row>
    <row r="10" spans="1:38" x14ac:dyDescent="0.25">
      <c r="A10">
        <v>1</v>
      </c>
      <c r="B10" t="s">
        <v>92</v>
      </c>
      <c r="C10" t="s">
        <v>144</v>
      </c>
      <c r="E10" t="s">
        <v>144</v>
      </c>
      <c r="L10" t="s">
        <v>93</v>
      </c>
      <c r="M10">
        <v>60</v>
      </c>
      <c r="N10" t="s">
        <v>147</v>
      </c>
      <c r="Q10">
        <v>1</v>
      </c>
      <c r="R10" t="s">
        <v>11</v>
      </c>
      <c r="T10">
        <v>10</v>
      </c>
      <c r="V10" t="s">
        <v>18</v>
      </c>
    </row>
    <row r="11" spans="1:38" x14ac:dyDescent="0.25">
      <c r="A11">
        <v>1</v>
      </c>
      <c r="B11" t="s">
        <v>92</v>
      </c>
      <c r="C11" t="s">
        <v>144</v>
      </c>
      <c r="E11" t="s">
        <v>144</v>
      </c>
      <c r="L11" t="s">
        <v>93</v>
      </c>
      <c r="M11">
        <v>70</v>
      </c>
      <c r="N11" t="s">
        <v>148</v>
      </c>
      <c r="Q11">
        <v>16.611999999999998</v>
      </c>
      <c r="R11" t="s">
        <v>17</v>
      </c>
      <c r="T11">
        <v>10</v>
      </c>
      <c r="V11" t="s">
        <v>15</v>
      </c>
    </row>
    <row r="12" spans="1:38" x14ac:dyDescent="0.25">
      <c r="A12">
        <v>1</v>
      </c>
      <c r="B12" t="s">
        <v>92</v>
      </c>
      <c r="C12" t="s">
        <v>144</v>
      </c>
      <c r="E12" t="s">
        <v>144</v>
      </c>
      <c r="L12" t="s">
        <v>93</v>
      </c>
      <c r="M12">
        <v>80</v>
      </c>
      <c r="N12" t="s">
        <v>20</v>
      </c>
      <c r="Q12">
        <v>136.215</v>
      </c>
      <c r="R12" t="s">
        <v>17</v>
      </c>
      <c r="T12">
        <v>10</v>
      </c>
      <c r="V12" t="s">
        <v>15</v>
      </c>
    </row>
    <row r="13" spans="1:38" x14ac:dyDescent="0.25">
      <c r="A13">
        <v>1</v>
      </c>
      <c r="B13" t="s">
        <v>92</v>
      </c>
      <c r="C13" t="s">
        <v>144</v>
      </c>
      <c r="E13" t="s">
        <v>144</v>
      </c>
      <c r="L13" t="s">
        <v>93</v>
      </c>
      <c r="M13">
        <v>90</v>
      </c>
      <c r="N13" t="s">
        <v>24</v>
      </c>
      <c r="Q13">
        <v>1</v>
      </c>
      <c r="R13" t="s">
        <v>11</v>
      </c>
      <c r="T13">
        <v>10</v>
      </c>
      <c r="V13" t="s">
        <v>15</v>
      </c>
    </row>
    <row r="14" spans="1:38" x14ac:dyDescent="0.25">
      <c r="A14">
        <v>1</v>
      </c>
      <c r="B14" t="s">
        <v>92</v>
      </c>
      <c r="C14" t="s">
        <v>144</v>
      </c>
      <c r="E14" t="s">
        <v>144</v>
      </c>
      <c r="L14" t="s">
        <v>93</v>
      </c>
      <c r="M14">
        <v>100</v>
      </c>
      <c r="N14" t="s">
        <v>141</v>
      </c>
      <c r="Q14">
        <v>8.1000000000000003E-2</v>
      </c>
      <c r="R14" t="s">
        <v>14</v>
      </c>
      <c r="T14">
        <v>10</v>
      </c>
      <c r="V14" t="s">
        <v>15</v>
      </c>
    </row>
    <row r="15" spans="1:38" x14ac:dyDescent="0.25">
      <c r="A15">
        <v>1</v>
      </c>
      <c r="B15" t="s">
        <v>92</v>
      </c>
      <c r="C15" t="s">
        <v>144</v>
      </c>
      <c r="E15" t="s">
        <v>144</v>
      </c>
      <c r="L15" t="s">
        <v>93</v>
      </c>
      <c r="M15">
        <v>110</v>
      </c>
      <c r="N15" t="s">
        <v>140</v>
      </c>
      <c r="Q15">
        <v>4</v>
      </c>
      <c r="R15" t="s">
        <v>11</v>
      </c>
      <c r="T15">
        <v>10</v>
      </c>
      <c r="V15" t="s">
        <v>15</v>
      </c>
    </row>
    <row r="16" spans="1:38" x14ac:dyDescent="0.25">
      <c r="A16">
        <v>1</v>
      </c>
      <c r="B16" t="s">
        <v>92</v>
      </c>
      <c r="C16" t="s">
        <v>144</v>
      </c>
      <c r="E16" t="s">
        <v>144</v>
      </c>
      <c r="L16" t="s">
        <v>93</v>
      </c>
      <c r="M16">
        <v>120</v>
      </c>
      <c r="N16" t="s">
        <v>25</v>
      </c>
      <c r="Q16">
        <v>1</v>
      </c>
      <c r="R16" t="s">
        <v>11</v>
      </c>
      <c r="T16">
        <v>10</v>
      </c>
      <c r="V16" t="s">
        <v>15</v>
      </c>
    </row>
    <row r="17" spans="1:22" x14ac:dyDescent="0.25">
      <c r="A17">
        <v>1</v>
      </c>
      <c r="B17" t="s">
        <v>92</v>
      </c>
      <c r="C17" t="s">
        <v>144</v>
      </c>
      <c r="E17" t="s">
        <v>144</v>
      </c>
      <c r="L17" t="s">
        <v>93</v>
      </c>
      <c r="M17">
        <v>130</v>
      </c>
      <c r="N17" t="s">
        <v>26</v>
      </c>
      <c r="Q17">
        <v>1</v>
      </c>
      <c r="R17" t="s">
        <v>11</v>
      </c>
      <c r="T17">
        <v>10</v>
      </c>
      <c r="V17" t="s">
        <v>15</v>
      </c>
    </row>
    <row r="18" spans="1:22" x14ac:dyDescent="0.25">
      <c r="A18">
        <v>1</v>
      </c>
      <c r="B18" t="s">
        <v>92</v>
      </c>
      <c r="C18" t="s">
        <v>144</v>
      </c>
      <c r="E18" t="s">
        <v>144</v>
      </c>
      <c r="L18" t="s">
        <v>93</v>
      </c>
      <c r="M18">
        <v>140</v>
      </c>
      <c r="N18" t="s">
        <v>100</v>
      </c>
      <c r="Q18">
        <v>0.58099999999999996</v>
      </c>
      <c r="R18" t="s">
        <v>14</v>
      </c>
      <c r="T18">
        <v>10</v>
      </c>
      <c r="V18" t="s">
        <v>15</v>
      </c>
    </row>
    <row r="19" spans="1:22" x14ac:dyDescent="0.25">
      <c r="A19">
        <v>1</v>
      </c>
      <c r="B19" t="s">
        <v>92</v>
      </c>
      <c r="C19" t="s">
        <v>144</v>
      </c>
      <c r="E19" t="s">
        <v>144</v>
      </c>
      <c r="L19" t="s">
        <v>93</v>
      </c>
      <c r="M19">
        <v>150</v>
      </c>
      <c r="N19" t="s">
        <v>149</v>
      </c>
      <c r="Q19">
        <v>1</v>
      </c>
      <c r="R19" t="s">
        <v>11</v>
      </c>
      <c r="T19">
        <v>10</v>
      </c>
      <c r="V19" t="s">
        <v>18</v>
      </c>
    </row>
    <row r="20" spans="1:22" x14ac:dyDescent="0.25">
      <c r="A20">
        <v>1</v>
      </c>
      <c r="B20" t="s">
        <v>92</v>
      </c>
      <c r="C20" t="s">
        <v>144</v>
      </c>
      <c r="E20" t="s">
        <v>144</v>
      </c>
      <c r="L20" t="s">
        <v>93</v>
      </c>
      <c r="M20">
        <v>160</v>
      </c>
      <c r="N20" t="s">
        <v>150</v>
      </c>
      <c r="Q20">
        <v>1</v>
      </c>
      <c r="R20" t="s">
        <v>11</v>
      </c>
      <c r="T20">
        <v>10</v>
      </c>
      <c r="V20" t="s">
        <v>18</v>
      </c>
    </row>
    <row r="21" spans="1:22" x14ac:dyDescent="0.25">
      <c r="A21">
        <v>1</v>
      </c>
      <c r="B21" t="s">
        <v>92</v>
      </c>
      <c r="C21" t="s">
        <v>144</v>
      </c>
      <c r="E21" t="s">
        <v>144</v>
      </c>
      <c r="L21" t="s">
        <v>93</v>
      </c>
      <c r="M21">
        <v>170</v>
      </c>
      <c r="N21" t="s">
        <v>142</v>
      </c>
      <c r="Q21">
        <v>5.5369999999999999</v>
      </c>
      <c r="R21" t="s">
        <v>11</v>
      </c>
      <c r="T21">
        <v>10</v>
      </c>
      <c r="V21" t="s">
        <v>15</v>
      </c>
    </row>
    <row r="22" spans="1:22" x14ac:dyDescent="0.25">
      <c r="A22">
        <v>1</v>
      </c>
      <c r="B22" t="s">
        <v>92</v>
      </c>
      <c r="C22" t="s">
        <v>144</v>
      </c>
      <c r="E22" t="s">
        <v>144</v>
      </c>
      <c r="L22" t="s">
        <v>93</v>
      </c>
      <c r="M22">
        <v>180</v>
      </c>
      <c r="N22" t="s">
        <v>151</v>
      </c>
      <c r="Q22">
        <v>1</v>
      </c>
      <c r="R22" t="s">
        <v>11</v>
      </c>
      <c r="T22">
        <v>10</v>
      </c>
      <c r="V22" t="s">
        <v>18</v>
      </c>
    </row>
    <row r="23" spans="1:22" x14ac:dyDescent="0.25">
      <c r="A23">
        <v>2</v>
      </c>
      <c r="B23" t="s">
        <v>92</v>
      </c>
      <c r="C23" t="s">
        <v>152</v>
      </c>
      <c r="E23" t="s">
        <v>152</v>
      </c>
      <c r="L23" t="s">
        <v>93</v>
      </c>
      <c r="M23">
        <v>10</v>
      </c>
      <c r="N23" t="s">
        <v>153</v>
      </c>
      <c r="Q23">
        <v>1</v>
      </c>
      <c r="R23" t="s">
        <v>11</v>
      </c>
      <c r="T23">
        <v>10</v>
      </c>
      <c r="V23" t="s">
        <v>18</v>
      </c>
    </row>
    <row r="24" spans="1:22" x14ac:dyDescent="0.25">
      <c r="A24">
        <v>2</v>
      </c>
      <c r="B24" t="s">
        <v>92</v>
      </c>
      <c r="C24" t="s">
        <v>152</v>
      </c>
      <c r="E24" t="s">
        <v>152</v>
      </c>
      <c r="L24" t="s">
        <v>93</v>
      </c>
      <c r="M24">
        <v>20</v>
      </c>
      <c r="N24" t="s">
        <v>115</v>
      </c>
      <c r="Q24">
        <v>2.68</v>
      </c>
      <c r="R24" t="s">
        <v>14</v>
      </c>
      <c r="T24">
        <v>10</v>
      </c>
      <c r="V24" t="s">
        <v>15</v>
      </c>
    </row>
    <row r="25" spans="1:22" x14ac:dyDescent="0.25">
      <c r="A25">
        <v>2</v>
      </c>
      <c r="B25" t="s">
        <v>92</v>
      </c>
      <c r="C25" t="s">
        <v>152</v>
      </c>
      <c r="E25" t="s">
        <v>152</v>
      </c>
      <c r="L25" t="s">
        <v>93</v>
      </c>
      <c r="M25">
        <v>30</v>
      </c>
      <c r="N25" t="s">
        <v>102</v>
      </c>
      <c r="Q25">
        <v>0.68300000000000005</v>
      </c>
      <c r="R25" t="s">
        <v>103</v>
      </c>
      <c r="T25">
        <v>10</v>
      </c>
      <c r="V25" t="s">
        <v>15</v>
      </c>
    </row>
    <row r="26" spans="1:22" x14ac:dyDescent="0.25">
      <c r="A26">
        <v>2</v>
      </c>
      <c r="B26" t="s">
        <v>92</v>
      </c>
      <c r="C26" t="s">
        <v>152</v>
      </c>
      <c r="E26" t="s">
        <v>152</v>
      </c>
      <c r="L26" t="s">
        <v>93</v>
      </c>
      <c r="M26">
        <v>40</v>
      </c>
      <c r="N26" t="s">
        <v>146</v>
      </c>
      <c r="Q26">
        <v>1.016</v>
      </c>
      <c r="R26" t="s">
        <v>11</v>
      </c>
      <c r="T26">
        <v>10</v>
      </c>
      <c r="V26" t="s">
        <v>18</v>
      </c>
    </row>
    <row r="27" spans="1:22" x14ac:dyDescent="0.25">
      <c r="A27">
        <v>2</v>
      </c>
      <c r="B27" t="s">
        <v>92</v>
      </c>
      <c r="C27" t="s">
        <v>152</v>
      </c>
      <c r="E27" t="s">
        <v>152</v>
      </c>
      <c r="L27" t="s">
        <v>93</v>
      </c>
      <c r="M27">
        <v>50</v>
      </c>
      <c r="N27" t="s">
        <v>139</v>
      </c>
      <c r="Q27">
        <v>1.016</v>
      </c>
      <c r="R27" t="s">
        <v>17</v>
      </c>
      <c r="T27">
        <v>10</v>
      </c>
      <c r="V27" t="s">
        <v>18</v>
      </c>
    </row>
    <row r="28" spans="1:22" x14ac:dyDescent="0.25">
      <c r="A28">
        <v>2</v>
      </c>
      <c r="B28" t="s">
        <v>92</v>
      </c>
      <c r="C28" t="s">
        <v>152</v>
      </c>
      <c r="E28" t="s">
        <v>152</v>
      </c>
      <c r="L28" t="s">
        <v>93</v>
      </c>
      <c r="M28">
        <v>60</v>
      </c>
      <c r="N28" t="s">
        <v>154</v>
      </c>
      <c r="Q28">
        <v>1</v>
      </c>
      <c r="R28" t="s">
        <v>11</v>
      </c>
      <c r="T28">
        <v>10</v>
      </c>
      <c r="V28" t="s">
        <v>18</v>
      </c>
    </row>
    <row r="29" spans="1:22" x14ac:dyDescent="0.25">
      <c r="A29">
        <v>2</v>
      </c>
      <c r="B29" t="s">
        <v>92</v>
      </c>
      <c r="C29" t="s">
        <v>152</v>
      </c>
      <c r="E29" t="s">
        <v>152</v>
      </c>
      <c r="L29" t="s">
        <v>93</v>
      </c>
      <c r="M29">
        <v>70</v>
      </c>
      <c r="N29" t="s">
        <v>148</v>
      </c>
      <c r="Q29">
        <v>17.526</v>
      </c>
      <c r="R29" t="s">
        <v>17</v>
      </c>
      <c r="T29">
        <v>10</v>
      </c>
      <c r="V29" t="s">
        <v>15</v>
      </c>
    </row>
    <row r="30" spans="1:22" x14ac:dyDescent="0.25">
      <c r="A30">
        <v>2</v>
      </c>
      <c r="B30" t="s">
        <v>92</v>
      </c>
      <c r="C30" t="s">
        <v>152</v>
      </c>
      <c r="E30" t="s">
        <v>152</v>
      </c>
      <c r="L30" t="s">
        <v>93</v>
      </c>
      <c r="M30">
        <v>80</v>
      </c>
      <c r="N30" t="s">
        <v>20</v>
      </c>
      <c r="Q30">
        <v>143.71299999999999</v>
      </c>
      <c r="R30" t="s">
        <v>17</v>
      </c>
      <c r="T30">
        <v>10</v>
      </c>
      <c r="V30" t="s">
        <v>15</v>
      </c>
    </row>
    <row r="31" spans="1:22" x14ac:dyDescent="0.25">
      <c r="A31">
        <v>2</v>
      </c>
      <c r="B31" t="s">
        <v>92</v>
      </c>
      <c r="C31" t="s">
        <v>152</v>
      </c>
      <c r="E31" t="s">
        <v>152</v>
      </c>
      <c r="L31" t="s">
        <v>93</v>
      </c>
      <c r="M31">
        <v>90</v>
      </c>
      <c r="N31" t="s">
        <v>24</v>
      </c>
      <c r="Q31">
        <v>1</v>
      </c>
      <c r="R31" t="s">
        <v>11</v>
      </c>
      <c r="T31">
        <v>10</v>
      </c>
      <c r="V31" t="s">
        <v>15</v>
      </c>
    </row>
    <row r="32" spans="1:22" x14ac:dyDescent="0.25">
      <c r="A32">
        <v>2</v>
      </c>
      <c r="B32" t="s">
        <v>92</v>
      </c>
      <c r="C32" t="s">
        <v>152</v>
      </c>
      <c r="E32" t="s">
        <v>152</v>
      </c>
      <c r="L32" t="s">
        <v>93</v>
      </c>
      <c r="M32">
        <v>100</v>
      </c>
      <c r="N32" t="s">
        <v>141</v>
      </c>
      <c r="Q32">
        <v>9.1999999999999998E-2</v>
      </c>
      <c r="R32" t="s">
        <v>14</v>
      </c>
      <c r="T32">
        <v>10</v>
      </c>
      <c r="V32" t="s">
        <v>15</v>
      </c>
    </row>
    <row r="33" spans="1:22" x14ac:dyDescent="0.25">
      <c r="A33">
        <v>2</v>
      </c>
      <c r="B33" t="s">
        <v>92</v>
      </c>
      <c r="C33" t="s">
        <v>152</v>
      </c>
      <c r="E33" t="s">
        <v>152</v>
      </c>
      <c r="L33" t="s">
        <v>93</v>
      </c>
      <c r="M33">
        <v>110</v>
      </c>
      <c r="N33" t="s">
        <v>140</v>
      </c>
      <c r="Q33">
        <v>4</v>
      </c>
      <c r="R33" t="s">
        <v>11</v>
      </c>
      <c r="T33">
        <v>10</v>
      </c>
      <c r="V33" t="s">
        <v>15</v>
      </c>
    </row>
    <row r="34" spans="1:22" x14ac:dyDescent="0.25">
      <c r="A34">
        <v>2</v>
      </c>
      <c r="B34" t="s">
        <v>92</v>
      </c>
      <c r="C34" t="s">
        <v>152</v>
      </c>
      <c r="E34" t="s">
        <v>152</v>
      </c>
      <c r="L34" t="s">
        <v>93</v>
      </c>
      <c r="M34">
        <v>120</v>
      </c>
      <c r="N34" t="s">
        <v>25</v>
      </c>
      <c r="Q34">
        <v>1</v>
      </c>
      <c r="R34" t="s">
        <v>11</v>
      </c>
      <c r="T34">
        <v>10</v>
      </c>
      <c r="V34" t="s">
        <v>15</v>
      </c>
    </row>
    <row r="35" spans="1:22" x14ac:dyDescent="0.25">
      <c r="A35">
        <v>2</v>
      </c>
      <c r="B35" t="s">
        <v>92</v>
      </c>
      <c r="C35" t="s">
        <v>152</v>
      </c>
      <c r="E35" t="s">
        <v>152</v>
      </c>
      <c r="L35" t="s">
        <v>93</v>
      </c>
      <c r="M35">
        <v>130</v>
      </c>
      <c r="N35" t="s">
        <v>26</v>
      </c>
      <c r="Q35">
        <v>1</v>
      </c>
      <c r="R35" t="s">
        <v>11</v>
      </c>
      <c r="T35">
        <v>10</v>
      </c>
      <c r="V35" t="s">
        <v>15</v>
      </c>
    </row>
    <row r="36" spans="1:22" x14ac:dyDescent="0.25">
      <c r="A36">
        <v>2</v>
      </c>
      <c r="B36" t="s">
        <v>92</v>
      </c>
      <c r="C36" t="s">
        <v>152</v>
      </c>
      <c r="E36" t="s">
        <v>152</v>
      </c>
      <c r="L36" t="s">
        <v>93</v>
      </c>
      <c r="M36">
        <v>140</v>
      </c>
      <c r="N36" t="s">
        <v>100</v>
      </c>
      <c r="Q36">
        <v>0.66200000000000003</v>
      </c>
      <c r="R36" t="s">
        <v>14</v>
      </c>
      <c r="T36">
        <v>10</v>
      </c>
      <c r="V36" t="s">
        <v>15</v>
      </c>
    </row>
    <row r="37" spans="1:22" x14ac:dyDescent="0.25">
      <c r="A37">
        <v>2</v>
      </c>
      <c r="B37" t="s">
        <v>92</v>
      </c>
      <c r="C37" t="s">
        <v>152</v>
      </c>
      <c r="E37" t="s">
        <v>152</v>
      </c>
      <c r="L37" t="s">
        <v>93</v>
      </c>
      <c r="M37">
        <v>150</v>
      </c>
      <c r="N37" t="s">
        <v>155</v>
      </c>
      <c r="Q37">
        <v>1</v>
      </c>
      <c r="R37" t="s">
        <v>11</v>
      </c>
      <c r="T37">
        <v>10</v>
      </c>
      <c r="V37" t="s">
        <v>18</v>
      </c>
    </row>
    <row r="38" spans="1:22" x14ac:dyDescent="0.25">
      <c r="A38">
        <v>2</v>
      </c>
      <c r="B38" t="s">
        <v>92</v>
      </c>
      <c r="C38" t="s">
        <v>152</v>
      </c>
      <c r="E38" t="s">
        <v>152</v>
      </c>
      <c r="L38" t="s">
        <v>93</v>
      </c>
      <c r="M38">
        <v>160</v>
      </c>
      <c r="N38" t="s">
        <v>156</v>
      </c>
      <c r="Q38">
        <v>1</v>
      </c>
      <c r="R38" t="s">
        <v>11</v>
      </c>
      <c r="T38">
        <v>10</v>
      </c>
      <c r="V38" t="s">
        <v>18</v>
      </c>
    </row>
    <row r="39" spans="1:22" x14ac:dyDescent="0.25">
      <c r="A39">
        <v>2</v>
      </c>
      <c r="B39" t="s">
        <v>92</v>
      </c>
      <c r="C39" t="s">
        <v>152</v>
      </c>
      <c r="E39" t="s">
        <v>152</v>
      </c>
      <c r="L39" t="s">
        <v>93</v>
      </c>
      <c r="M39">
        <v>170</v>
      </c>
      <c r="N39" t="s">
        <v>142</v>
      </c>
      <c r="Q39">
        <v>5.8419999999999996</v>
      </c>
      <c r="R39" t="s">
        <v>11</v>
      </c>
      <c r="T39">
        <v>10</v>
      </c>
      <c r="V39" t="s">
        <v>15</v>
      </c>
    </row>
    <row r="40" spans="1:22" x14ac:dyDescent="0.25">
      <c r="A40">
        <v>2</v>
      </c>
      <c r="B40" t="s">
        <v>92</v>
      </c>
      <c r="C40" t="s">
        <v>152</v>
      </c>
      <c r="E40" t="s">
        <v>152</v>
      </c>
      <c r="L40" t="s">
        <v>93</v>
      </c>
      <c r="M40">
        <v>180</v>
      </c>
      <c r="N40" t="s">
        <v>157</v>
      </c>
      <c r="Q40">
        <v>1</v>
      </c>
      <c r="R40" t="s">
        <v>11</v>
      </c>
      <c r="T40">
        <v>10</v>
      </c>
      <c r="V40" t="s">
        <v>18</v>
      </c>
    </row>
    <row r="41" spans="1:22" x14ac:dyDescent="0.25">
      <c r="A41">
        <v>3</v>
      </c>
      <c r="B41" t="s">
        <v>92</v>
      </c>
      <c r="C41" t="s">
        <v>158</v>
      </c>
      <c r="E41" t="s">
        <v>158</v>
      </c>
      <c r="L41" t="s">
        <v>93</v>
      </c>
      <c r="M41">
        <v>10</v>
      </c>
      <c r="N41" t="s">
        <v>159</v>
      </c>
      <c r="Q41">
        <v>1</v>
      </c>
      <c r="R41" t="s">
        <v>11</v>
      </c>
      <c r="T41">
        <v>10</v>
      </c>
      <c r="V41" t="s">
        <v>18</v>
      </c>
    </row>
    <row r="42" spans="1:22" x14ac:dyDescent="0.25">
      <c r="A42">
        <v>3</v>
      </c>
      <c r="B42" t="s">
        <v>92</v>
      </c>
      <c r="C42" t="s">
        <v>158</v>
      </c>
      <c r="E42" t="s">
        <v>158</v>
      </c>
      <c r="L42" t="s">
        <v>93</v>
      </c>
      <c r="M42">
        <v>20</v>
      </c>
      <c r="N42" t="s">
        <v>116</v>
      </c>
      <c r="Q42">
        <v>3.0680000000000001</v>
      </c>
      <c r="R42" t="s">
        <v>14</v>
      </c>
      <c r="T42">
        <v>10</v>
      </c>
      <c r="V42" t="s">
        <v>15</v>
      </c>
    </row>
    <row r="43" spans="1:22" x14ac:dyDescent="0.25">
      <c r="A43">
        <v>3</v>
      </c>
      <c r="B43" t="s">
        <v>92</v>
      </c>
      <c r="C43" t="s">
        <v>158</v>
      </c>
      <c r="E43" t="s">
        <v>158</v>
      </c>
      <c r="L43" t="s">
        <v>93</v>
      </c>
      <c r="M43">
        <v>30</v>
      </c>
      <c r="N43" t="s">
        <v>102</v>
      </c>
      <c r="Q43">
        <v>0.79100000000000004</v>
      </c>
      <c r="R43" t="s">
        <v>103</v>
      </c>
      <c r="T43">
        <v>10</v>
      </c>
      <c r="V43" t="s">
        <v>15</v>
      </c>
    </row>
    <row r="44" spans="1:22" x14ac:dyDescent="0.25">
      <c r="A44">
        <v>3</v>
      </c>
      <c r="B44" t="s">
        <v>92</v>
      </c>
      <c r="C44" t="s">
        <v>158</v>
      </c>
      <c r="E44" t="s">
        <v>158</v>
      </c>
      <c r="L44" t="s">
        <v>93</v>
      </c>
      <c r="M44">
        <v>40</v>
      </c>
      <c r="N44" t="s">
        <v>146</v>
      </c>
      <c r="Q44">
        <v>1.1679999999999999</v>
      </c>
      <c r="R44" t="s">
        <v>11</v>
      </c>
      <c r="T44">
        <v>10</v>
      </c>
      <c r="V44" t="s">
        <v>18</v>
      </c>
    </row>
    <row r="45" spans="1:22" x14ac:dyDescent="0.25">
      <c r="A45">
        <v>3</v>
      </c>
      <c r="B45" t="s">
        <v>92</v>
      </c>
      <c r="C45" t="s">
        <v>158</v>
      </c>
      <c r="E45" t="s">
        <v>158</v>
      </c>
      <c r="L45" t="s">
        <v>93</v>
      </c>
      <c r="M45">
        <v>50</v>
      </c>
      <c r="N45" t="s">
        <v>139</v>
      </c>
      <c r="Q45">
        <v>1.1679999999999999</v>
      </c>
      <c r="R45" t="s">
        <v>17</v>
      </c>
      <c r="T45">
        <v>10</v>
      </c>
      <c r="V45" t="s">
        <v>18</v>
      </c>
    </row>
    <row r="46" spans="1:22" x14ac:dyDescent="0.25">
      <c r="A46">
        <v>3</v>
      </c>
      <c r="B46" t="s">
        <v>92</v>
      </c>
      <c r="C46" t="s">
        <v>158</v>
      </c>
      <c r="E46" t="s">
        <v>158</v>
      </c>
      <c r="L46" t="s">
        <v>93</v>
      </c>
      <c r="M46">
        <v>60</v>
      </c>
      <c r="N46" t="s">
        <v>160</v>
      </c>
      <c r="Q46">
        <v>1</v>
      </c>
      <c r="R46" t="s">
        <v>11</v>
      </c>
      <c r="T46">
        <v>10</v>
      </c>
      <c r="V46" t="s">
        <v>18</v>
      </c>
    </row>
    <row r="47" spans="1:22" x14ac:dyDescent="0.25">
      <c r="A47">
        <v>3</v>
      </c>
      <c r="B47" t="s">
        <v>92</v>
      </c>
      <c r="C47" t="s">
        <v>158</v>
      </c>
      <c r="E47" t="s">
        <v>158</v>
      </c>
      <c r="L47" t="s">
        <v>93</v>
      </c>
      <c r="M47">
        <v>70</v>
      </c>
      <c r="N47" t="s">
        <v>148</v>
      </c>
      <c r="Q47">
        <v>18.440000000000001</v>
      </c>
      <c r="R47" t="s">
        <v>17</v>
      </c>
      <c r="T47">
        <v>10</v>
      </c>
      <c r="V47" t="s">
        <v>15</v>
      </c>
    </row>
    <row r="48" spans="1:22" x14ac:dyDescent="0.25">
      <c r="A48">
        <v>3</v>
      </c>
      <c r="B48" t="s">
        <v>92</v>
      </c>
      <c r="C48" t="s">
        <v>158</v>
      </c>
      <c r="E48" t="s">
        <v>158</v>
      </c>
      <c r="L48" t="s">
        <v>93</v>
      </c>
      <c r="M48">
        <v>80</v>
      </c>
      <c r="N48" t="s">
        <v>20</v>
      </c>
      <c r="Q48">
        <v>151.21100000000001</v>
      </c>
      <c r="R48" t="s">
        <v>17</v>
      </c>
      <c r="T48">
        <v>10</v>
      </c>
      <c r="V48" t="s">
        <v>15</v>
      </c>
    </row>
    <row r="49" spans="1:22" x14ac:dyDescent="0.25">
      <c r="A49">
        <v>3</v>
      </c>
      <c r="B49" t="s">
        <v>92</v>
      </c>
      <c r="C49" t="s">
        <v>158</v>
      </c>
      <c r="E49" t="s">
        <v>158</v>
      </c>
      <c r="L49" t="s">
        <v>93</v>
      </c>
      <c r="M49">
        <v>90</v>
      </c>
      <c r="N49" t="s">
        <v>24</v>
      </c>
      <c r="Q49">
        <v>1</v>
      </c>
      <c r="R49" t="s">
        <v>11</v>
      </c>
      <c r="T49">
        <v>10</v>
      </c>
      <c r="V49" t="s">
        <v>15</v>
      </c>
    </row>
    <row r="50" spans="1:22" x14ac:dyDescent="0.25">
      <c r="A50">
        <v>3</v>
      </c>
      <c r="B50" t="s">
        <v>92</v>
      </c>
      <c r="C50" t="s">
        <v>158</v>
      </c>
      <c r="E50" t="s">
        <v>158</v>
      </c>
      <c r="L50" t="s">
        <v>93</v>
      </c>
      <c r="M50">
        <v>100</v>
      </c>
      <c r="N50" t="s">
        <v>141</v>
      </c>
      <c r="Q50">
        <v>0.10199999999999999</v>
      </c>
      <c r="R50" t="s">
        <v>14</v>
      </c>
      <c r="T50">
        <v>10</v>
      </c>
      <c r="V50" t="s">
        <v>15</v>
      </c>
    </row>
    <row r="51" spans="1:22" x14ac:dyDescent="0.25">
      <c r="A51">
        <v>3</v>
      </c>
      <c r="B51" t="s">
        <v>92</v>
      </c>
      <c r="C51" t="s">
        <v>158</v>
      </c>
      <c r="E51" t="s">
        <v>158</v>
      </c>
      <c r="L51" t="s">
        <v>93</v>
      </c>
      <c r="M51">
        <v>110</v>
      </c>
      <c r="N51" t="s">
        <v>140</v>
      </c>
      <c r="Q51">
        <v>4</v>
      </c>
      <c r="R51" t="s">
        <v>11</v>
      </c>
      <c r="T51">
        <v>10</v>
      </c>
      <c r="V51" t="s">
        <v>15</v>
      </c>
    </row>
    <row r="52" spans="1:22" x14ac:dyDescent="0.25">
      <c r="A52">
        <v>3</v>
      </c>
      <c r="B52" t="s">
        <v>92</v>
      </c>
      <c r="C52" t="s">
        <v>158</v>
      </c>
      <c r="E52" t="s">
        <v>158</v>
      </c>
      <c r="L52" t="s">
        <v>93</v>
      </c>
      <c r="M52">
        <v>120</v>
      </c>
      <c r="N52" t="s">
        <v>25</v>
      </c>
      <c r="Q52">
        <v>1</v>
      </c>
      <c r="R52" t="s">
        <v>11</v>
      </c>
      <c r="T52">
        <v>10</v>
      </c>
      <c r="V52" t="s">
        <v>15</v>
      </c>
    </row>
    <row r="53" spans="1:22" x14ac:dyDescent="0.25">
      <c r="A53">
        <v>3</v>
      </c>
      <c r="B53" t="s">
        <v>92</v>
      </c>
      <c r="C53" t="s">
        <v>158</v>
      </c>
      <c r="E53" t="s">
        <v>158</v>
      </c>
      <c r="L53" t="s">
        <v>93</v>
      </c>
      <c r="M53">
        <v>130</v>
      </c>
      <c r="N53" t="s">
        <v>26</v>
      </c>
      <c r="Q53">
        <v>1</v>
      </c>
      <c r="R53" t="s">
        <v>11</v>
      </c>
      <c r="T53">
        <v>10</v>
      </c>
      <c r="V53" t="s">
        <v>15</v>
      </c>
    </row>
    <row r="54" spans="1:22" x14ac:dyDescent="0.25">
      <c r="A54">
        <v>3</v>
      </c>
      <c r="B54" t="s">
        <v>92</v>
      </c>
      <c r="C54" t="s">
        <v>158</v>
      </c>
      <c r="E54" t="s">
        <v>158</v>
      </c>
      <c r="L54" t="s">
        <v>93</v>
      </c>
      <c r="M54">
        <v>140</v>
      </c>
      <c r="N54" t="s">
        <v>100</v>
      </c>
      <c r="Q54">
        <v>0.74299999999999999</v>
      </c>
      <c r="R54" t="s">
        <v>14</v>
      </c>
      <c r="T54">
        <v>10</v>
      </c>
      <c r="V54" t="s">
        <v>15</v>
      </c>
    </row>
    <row r="55" spans="1:22" x14ac:dyDescent="0.25">
      <c r="A55">
        <v>3</v>
      </c>
      <c r="B55" t="s">
        <v>92</v>
      </c>
      <c r="C55" t="s">
        <v>158</v>
      </c>
      <c r="E55" t="s">
        <v>158</v>
      </c>
      <c r="L55" t="s">
        <v>93</v>
      </c>
      <c r="M55">
        <v>150</v>
      </c>
      <c r="N55" t="s">
        <v>161</v>
      </c>
      <c r="Q55">
        <v>1</v>
      </c>
      <c r="R55" t="s">
        <v>11</v>
      </c>
      <c r="T55">
        <v>10</v>
      </c>
      <c r="V55" t="s">
        <v>18</v>
      </c>
    </row>
    <row r="56" spans="1:22" x14ac:dyDescent="0.25">
      <c r="A56">
        <v>3</v>
      </c>
      <c r="B56" t="s">
        <v>92</v>
      </c>
      <c r="C56" t="s">
        <v>158</v>
      </c>
      <c r="E56" t="s">
        <v>158</v>
      </c>
      <c r="L56" t="s">
        <v>93</v>
      </c>
      <c r="M56">
        <v>160</v>
      </c>
      <c r="N56" t="s">
        <v>162</v>
      </c>
      <c r="Q56">
        <v>1</v>
      </c>
      <c r="R56" t="s">
        <v>11</v>
      </c>
      <c r="T56">
        <v>10</v>
      </c>
      <c r="V56" t="s">
        <v>18</v>
      </c>
    </row>
    <row r="57" spans="1:22" x14ac:dyDescent="0.25">
      <c r="A57">
        <v>3</v>
      </c>
      <c r="B57" t="s">
        <v>92</v>
      </c>
      <c r="C57" t="s">
        <v>158</v>
      </c>
      <c r="E57" t="s">
        <v>158</v>
      </c>
      <c r="L57" t="s">
        <v>93</v>
      </c>
      <c r="M57">
        <v>170</v>
      </c>
      <c r="N57" t="s">
        <v>142</v>
      </c>
      <c r="Q57">
        <v>6.1470000000000002</v>
      </c>
      <c r="R57" t="s">
        <v>11</v>
      </c>
      <c r="T57">
        <v>10</v>
      </c>
      <c r="V57" t="s">
        <v>15</v>
      </c>
    </row>
    <row r="58" spans="1:22" x14ac:dyDescent="0.25">
      <c r="A58">
        <v>3</v>
      </c>
      <c r="B58" t="s">
        <v>92</v>
      </c>
      <c r="C58" t="s">
        <v>158</v>
      </c>
      <c r="E58" t="s">
        <v>158</v>
      </c>
      <c r="L58" t="s">
        <v>93</v>
      </c>
      <c r="M58">
        <v>180</v>
      </c>
      <c r="N58" t="s">
        <v>163</v>
      </c>
      <c r="Q58">
        <v>1</v>
      </c>
      <c r="R58" t="s">
        <v>11</v>
      </c>
      <c r="T58">
        <v>10</v>
      </c>
      <c r="V58" t="s">
        <v>18</v>
      </c>
    </row>
    <row r="59" spans="1:22" x14ac:dyDescent="0.25">
      <c r="A59">
        <v>4</v>
      </c>
      <c r="B59" t="s">
        <v>92</v>
      </c>
      <c r="C59" t="s">
        <v>164</v>
      </c>
      <c r="E59" t="s">
        <v>164</v>
      </c>
      <c r="L59" t="s">
        <v>93</v>
      </c>
      <c r="M59">
        <v>10</v>
      </c>
      <c r="N59" t="s">
        <v>165</v>
      </c>
      <c r="Q59">
        <v>1</v>
      </c>
      <c r="R59" t="s">
        <v>11</v>
      </c>
      <c r="T59">
        <v>10</v>
      </c>
      <c r="V59" t="s">
        <v>18</v>
      </c>
    </row>
    <row r="60" spans="1:22" x14ac:dyDescent="0.25">
      <c r="A60">
        <v>4</v>
      </c>
      <c r="B60" t="s">
        <v>92</v>
      </c>
      <c r="C60" t="s">
        <v>164</v>
      </c>
      <c r="E60" t="s">
        <v>164</v>
      </c>
      <c r="L60" t="s">
        <v>93</v>
      </c>
      <c r="M60">
        <v>20</v>
      </c>
      <c r="N60" t="s">
        <v>117</v>
      </c>
      <c r="Q60">
        <v>3.843</v>
      </c>
      <c r="R60" t="s">
        <v>14</v>
      </c>
      <c r="T60">
        <v>10</v>
      </c>
      <c r="V60" t="s">
        <v>15</v>
      </c>
    </row>
    <row r="61" spans="1:22" x14ac:dyDescent="0.25">
      <c r="A61">
        <v>4</v>
      </c>
      <c r="B61" t="s">
        <v>92</v>
      </c>
      <c r="C61" t="s">
        <v>164</v>
      </c>
      <c r="E61" t="s">
        <v>164</v>
      </c>
      <c r="L61" t="s">
        <v>93</v>
      </c>
      <c r="M61">
        <v>30</v>
      </c>
      <c r="N61" t="s">
        <v>102</v>
      </c>
      <c r="Q61">
        <v>0.89900000000000002</v>
      </c>
      <c r="R61" t="s">
        <v>103</v>
      </c>
      <c r="T61">
        <v>10</v>
      </c>
      <c r="V61" t="s">
        <v>15</v>
      </c>
    </row>
    <row r="62" spans="1:22" x14ac:dyDescent="0.25">
      <c r="A62">
        <v>4</v>
      </c>
      <c r="B62" t="s">
        <v>92</v>
      </c>
      <c r="C62" t="s">
        <v>164</v>
      </c>
      <c r="E62" t="s">
        <v>164</v>
      </c>
      <c r="L62" t="s">
        <v>93</v>
      </c>
      <c r="M62">
        <v>40</v>
      </c>
      <c r="N62" t="s">
        <v>146</v>
      </c>
      <c r="Q62">
        <v>1.321</v>
      </c>
      <c r="R62" t="s">
        <v>11</v>
      </c>
      <c r="T62">
        <v>10</v>
      </c>
      <c r="V62" t="s">
        <v>18</v>
      </c>
    </row>
    <row r="63" spans="1:22" x14ac:dyDescent="0.25">
      <c r="A63">
        <v>4</v>
      </c>
      <c r="B63" t="s">
        <v>92</v>
      </c>
      <c r="C63" t="s">
        <v>164</v>
      </c>
      <c r="E63" t="s">
        <v>164</v>
      </c>
      <c r="L63" t="s">
        <v>93</v>
      </c>
      <c r="M63">
        <v>50</v>
      </c>
      <c r="N63" t="s">
        <v>139</v>
      </c>
      <c r="Q63">
        <v>1.321</v>
      </c>
      <c r="R63" t="s">
        <v>17</v>
      </c>
      <c r="T63">
        <v>10</v>
      </c>
      <c r="V63" t="s">
        <v>18</v>
      </c>
    </row>
    <row r="64" spans="1:22" x14ac:dyDescent="0.25">
      <c r="A64">
        <v>4</v>
      </c>
      <c r="B64" t="s">
        <v>92</v>
      </c>
      <c r="C64" t="s">
        <v>164</v>
      </c>
      <c r="E64" t="s">
        <v>164</v>
      </c>
      <c r="L64" t="s">
        <v>93</v>
      </c>
      <c r="M64">
        <v>60</v>
      </c>
      <c r="N64" t="s">
        <v>166</v>
      </c>
      <c r="Q64">
        <v>1</v>
      </c>
      <c r="R64" t="s">
        <v>11</v>
      </c>
      <c r="T64">
        <v>10</v>
      </c>
      <c r="V64" t="s">
        <v>18</v>
      </c>
    </row>
    <row r="65" spans="1:22" x14ac:dyDescent="0.25">
      <c r="A65">
        <v>4</v>
      </c>
      <c r="B65" t="s">
        <v>92</v>
      </c>
      <c r="C65" t="s">
        <v>164</v>
      </c>
      <c r="E65" t="s">
        <v>164</v>
      </c>
      <c r="L65" t="s">
        <v>93</v>
      </c>
      <c r="M65">
        <v>70</v>
      </c>
      <c r="N65" t="s">
        <v>148</v>
      </c>
      <c r="Q65">
        <v>19.355</v>
      </c>
      <c r="R65" t="s">
        <v>17</v>
      </c>
      <c r="T65">
        <v>10</v>
      </c>
      <c r="V65" t="s">
        <v>15</v>
      </c>
    </row>
    <row r="66" spans="1:22" x14ac:dyDescent="0.25">
      <c r="A66">
        <v>4</v>
      </c>
      <c r="B66" t="s">
        <v>92</v>
      </c>
      <c r="C66" t="s">
        <v>164</v>
      </c>
      <c r="E66" t="s">
        <v>164</v>
      </c>
      <c r="L66" t="s">
        <v>93</v>
      </c>
      <c r="M66">
        <v>80</v>
      </c>
      <c r="N66" t="s">
        <v>20</v>
      </c>
      <c r="Q66">
        <v>158.709</v>
      </c>
      <c r="R66" t="s">
        <v>17</v>
      </c>
      <c r="T66">
        <v>10</v>
      </c>
      <c r="V66" t="s">
        <v>15</v>
      </c>
    </row>
    <row r="67" spans="1:22" x14ac:dyDescent="0.25">
      <c r="A67">
        <v>4</v>
      </c>
      <c r="B67" t="s">
        <v>92</v>
      </c>
      <c r="C67" t="s">
        <v>164</v>
      </c>
      <c r="E67" t="s">
        <v>164</v>
      </c>
      <c r="L67" t="s">
        <v>93</v>
      </c>
      <c r="M67">
        <v>90</v>
      </c>
      <c r="N67" t="s">
        <v>24</v>
      </c>
      <c r="Q67">
        <v>1</v>
      </c>
      <c r="R67" t="s">
        <v>11</v>
      </c>
      <c r="T67">
        <v>10</v>
      </c>
      <c r="V67" t="s">
        <v>15</v>
      </c>
    </row>
    <row r="68" spans="1:22" x14ac:dyDescent="0.25">
      <c r="A68">
        <v>4</v>
      </c>
      <c r="B68" t="s">
        <v>92</v>
      </c>
      <c r="C68" t="s">
        <v>164</v>
      </c>
      <c r="E68" t="s">
        <v>164</v>
      </c>
      <c r="L68" t="s">
        <v>93</v>
      </c>
      <c r="M68">
        <v>100</v>
      </c>
      <c r="N68" t="s">
        <v>141</v>
      </c>
      <c r="Q68">
        <v>0.112</v>
      </c>
      <c r="R68" t="s">
        <v>14</v>
      </c>
      <c r="T68">
        <v>10</v>
      </c>
      <c r="V68" t="s">
        <v>15</v>
      </c>
    </row>
    <row r="69" spans="1:22" x14ac:dyDescent="0.25">
      <c r="A69">
        <v>4</v>
      </c>
      <c r="B69" t="s">
        <v>92</v>
      </c>
      <c r="C69" t="s">
        <v>164</v>
      </c>
      <c r="E69" t="s">
        <v>164</v>
      </c>
      <c r="L69" t="s">
        <v>93</v>
      </c>
      <c r="M69">
        <v>110</v>
      </c>
      <c r="N69" t="s">
        <v>140</v>
      </c>
      <c r="Q69">
        <v>4</v>
      </c>
      <c r="R69" t="s">
        <v>11</v>
      </c>
      <c r="T69">
        <v>10</v>
      </c>
      <c r="V69" t="s">
        <v>15</v>
      </c>
    </row>
    <row r="70" spans="1:22" x14ac:dyDescent="0.25">
      <c r="A70">
        <v>4</v>
      </c>
      <c r="B70" t="s">
        <v>92</v>
      </c>
      <c r="C70" t="s">
        <v>164</v>
      </c>
      <c r="E70" t="s">
        <v>164</v>
      </c>
      <c r="L70" t="s">
        <v>93</v>
      </c>
      <c r="M70">
        <v>120</v>
      </c>
      <c r="N70" t="s">
        <v>25</v>
      </c>
      <c r="Q70">
        <v>1</v>
      </c>
      <c r="R70" t="s">
        <v>11</v>
      </c>
      <c r="T70">
        <v>10</v>
      </c>
      <c r="V70" t="s">
        <v>15</v>
      </c>
    </row>
    <row r="71" spans="1:22" x14ac:dyDescent="0.25">
      <c r="A71">
        <v>4</v>
      </c>
      <c r="B71" t="s">
        <v>92</v>
      </c>
      <c r="C71" t="s">
        <v>164</v>
      </c>
      <c r="E71" t="s">
        <v>164</v>
      </c>
      <c r="L71" t="s">
        <v>93</v>
      </c>
      <c r="M71">
        <v>130</v>
      </c>
      <c r="N71" t="s">
        <v>26</v>
      </c>
      <c r="Q71">
        <v>1</v>
      </c>
      <c r="R71" t="s">
        <v>11</v>
      </c>
      <c r="T71">
        <v>10</v>
      </c>
      <c r="V71" t="s">
        <v>15</v>
      </c>
    </row>
    <row r="72" spans="1:22" x14ac:dyDescent="0.25">
      <c r="A72">
        <v>4</v>
      </c>
      <c r="B72" t="s">
        <v>92</v>
      </c>
      <c r="C72" t="s">
        <v>164</v>
      </c>
      <c r="E72" t="s">
        <v>164</v>
      </c>
      <c r="L72" t="s">
        <v>93</v>
      </c>
      <c r="M72">
        <v>140</v>
      </c>
      <c r="N72" t="s">
        <v>100</v>
      </c>
      <c r="Q72">
        <v>0.82399999999999995</v>
      </c>
      <c r="R72" t="s">
        <v>14</v>
      </c>
      <c r="T72">
        <v>10</v>
      </c>
      <c r="V72" t="s">
        <v>15</v>
      </c>
    </row>
    <row r="73" spans="1:22" x14ac:dyDescent="0.25">
      <c r="A73">
        <v>4</v>
      </c>
      <c r="B73" t="s">
        <v>92</v>
      </c>
      <c r="C73" t="s">
        <v>164</v>
      </c>
      <c r="E73" t="s">
        <v>164</v>
      </c>
      <c r="L73" t="s">
        <v>93</v>
      </c>
      <c r="M73">
        <v>150</v>
      </c>
      <c r="N73" t="s">
        <v>167</v>
      </c>
      <c r="Q73">
        <v>1</v>
      </c>
      <c r="R73" t="s">
        <v>11</v>
      </c>
      <c r="T73">
        <v>10</v>
      </c>
      <c r="V73" t="s">
        <v>18</v>
      </c>
    </row>
    <row r="74" spans="1:22" x14ac:dyDescent="0.25">
      <c r="A74">
        <v>4</v>
      </c>
      <c r="B74" t="s">
        <v>92</v>
      </c>
      <c r="C74" t="s">
        <v>164</v>
      </c>
      <c r="E74" t="s">
        <v>164</v>
      </c>
      <c r="L74" t="s">
        <v>93</v>
      </c>
      <c r="M74">
        <v>160</v>
      </c>
      <c r="N74" t="s">
        <v>168</v>
      </c>
      <c r="Q74">
        <v>1</v>
      </c>
      <c r="R74" t="s">
        <v>11</v>
      </c>
      <c r="T74">
        <v>10</v>
      </c>
      <c r="V74" t="s">
        <v>18</v>
      </c>
    </row>
    <row r="75" spans="1:22" x14ac:dyDescent="0.25">
      <c r="A75">
        <v>4</v>
      </c>
      <c r="B75" t="s">
        <v>92</v>
      </c>
      <c r="C75" t="s">
        <v>164</v>
      </c>
      <c r="E75" t="s">
        <v>164</v>
      </c>
      <c r="L75" t="s">
        <v>93</v>
      </c>
      <c r="M75">
        <v>170</v>
      </c>
      <c r="N75" t="s">
        <v>142</v>
      </c>
      <c r="Q75">
        <v>6.452</v>
      </c>
      <c r="R75" t="s">
        <v>11</v>
      </c>
      <c r="T75">
        <v>10</v>
      </c>
      <c r="V75" t="s">
        <v>15</v>
      </c>
    </row>
    <row r="76" spans="1:22" x14ac:dyDescent="0.25">
      <c r="A76">
        <v>4</v>
      </c>
      <c r="B76" t="s">
        <v>92</v>
      </c>
      <c r="C76" t="s">
        <v>164</v>
      </c>
      <c r="E76" t="s">
        <v>164</v>
      </c>
      <c r="L76" t="s">
        <v>93</v>
      </c>
      <c r="M76">
        <v>180</v>
      </c>
      <c r="N76" t="s">
        <v>169</v>
      </c>
      <c r="Q76">
        <v>1</v>
      </c>
      <c r="R76" t="s">
        <v>11</v>
      </c>
      <c r="T76">
        <v>10</v>
      </c>
      <c r="V76" t="s">
        <v>18</v>
      </c>
    </row>
    <row r="77" spans="1:22" x14ac:dyDescent="0.25">
      <c r="A77">
        <v>5</v>
      </c>
      <c r="B77" t="s">
        <v>92</v>
      </c>
      <c r="C77" t="s">
        <v>170</v>
      </c>
      <c r="E77" t="s">
        <v>170</v>
      </c>
      <c r="L77" t="s">
        <v>93</v>
      </c>
      <c r="M77">
        <v>10</v>
      </c>
      <c r="N77" t="s">
        <v>171</v>
      </c>
      <c r="Q77">
        <v>1</v>
      </c>
      <c r="R77" t="s">
        <v>11</v>
      </c>
      <c r="T77">
        <v>10</v>
      </c>
      <c r="V77" t="s">
        <v>18</v>
      </c>
    </row>
    <row r="78" spans="1:22" x14ac:dyDescent="0.25">
      <c r="A78">
        <v>5</v>
      </c>
      <c r="B78" t="s">
        <v>92</v>
      </c>
      <c r="C78" t="s">
        <v>170</v>
      </c>
      <c r="E78" t="s">
        <v>170</v>
      </c>
      <c r="L78" t="s">
        <v>93</v>
      </c>
      <c r="M78">
        <v>20</v>
      </c>
      <c r="N78" t="s">
        <v>117</v>
      </c>
      <c r="Q78">
        <v>3.843</v>
      </c>
      <c r="R78" t="s">
        <v>14</v>
      </c>
      <c r="T78">
        <v>10</v>
      </c>
      <c r="V78" t="s">
        <v>15</v>
      </c>
    </row>
    <row r="79" spans="1:22" x14ac:dyDescent="0.25">
      <c r="A79">
        <v>5</v>
      </c>
      <c r="B79" t="s">
        <v>92</v>
      </c>
      <c r="C79" t="s">
        <v>170</v>
      </c>
      <c r="E79" t="s">
        <v>170</v>
      </c>
      <c r="L79" t="s">
        <v>93</v>
      </c>
      <c r="M79">
        <v>30</v>
      </c>
      <c r="N79" t="s">
        <v>102</v>
      </c>
      <c r="Q79">
        <v>0.95299999999999996</v>
      </c>
      <c r="R79" t="s">
        <v>103</v>
      </c>
      <c r="T79">
        <v>10</v>
      </c>
      <c r="V79" t="s">
        <v>15</v>
      </c>
    </row>
    <row r="80" spans="1:22" x14ac:dyDescent="0.25">
      <c r="A80">
        <v>5</v>
      </c>
      <c r="B80" t="s">
        <v>92</v>
      </c>
      <c r="C80" t="s">
        <v>170</v>
      </c>
      <c r="E80" t="s">
        <v>170</v>
      </c>
      <c r="L80" t="s">
        <v>93</v>
      </c>
      <c r="M80">
        <v>40</v>
      </c>
      <c r="N80" t="s">
        <v>146</v>
      </c>
      <c r="Q80">
        <v>1.397</v>
      </c>
      <c r="R80" t="s">
        <v>11</v>
      </c>
      <c r="T80">
        <v>10</v>
      </c>
      <c r="V80" t="s">
        <v>18</v>
      </c>
    </row>
    <row r="81" spans="1:22" x14ac:dyDescent="0.25">
      <c r="A81">
        <v>5</v>
      </c>
      <c r="B81" t="s">
        <v>92</v>
      </c>
      <c r="C81" t="s">
        <v>170</v>
      </c>
      <c r="E81" t="s">
        <v>170</v>
      </c>
      <c r="L81" t="s">
        <v>93</v>
      </c>
      <c r="M81">
        <v>50</v>
      </c>
      <c r="N81" t="s">
        <v>139</v>
      </c>
      <c r="Q81">
        <v>1.397</v>
      </c>
      <c r="R81" t="s">
        <v>17</v>
      </c>
      <c r="T81">
        <v>10</v>
      </c>
      <c r="V81" t="s">
        <v>18</v>
      </c>
    </row>
    <row r="82" spans="1:22" x14ac:dyDescent="0.25">
      <c r="A82">
        <v>5</v>
      </c>
      <c r="B82" t="s">
        <v>92</v>
      </c>
      <c r="C82" t="s">
        <v>170</v>
      </c>
      <c r="E82" t="s">
        <v>170</v>
      </c>
      <c r="L82" t="s">
        <v>93</v>
      </c>
      <c r="M82">
        <v>60</v>
      </c>
      <c r="N82" t="s">
        <v>172</v>
      </c>
      <c r="Q82">
        <v>1</v>
      </c>
      <c r="R82" t="s">
        <v>11</v>
      </c>
      <c r="T82">
        <v>10</v>
      </c>
      <c r="V82" t="s">
        <v>18</v>
      </c>
    </row>
    <row r="83" spans="1:22" x14ac:dyDescent="0.25">
      <c r="A83">
        <v>5</v>
      </c>
      <c r="B83" t="s">
        <v>92</v>
      </c>
      <c r="C83" t="s">
        <v>170</v>
      </c>
      <c r="E83" t="s">
        <v>170</v>
      </c>
      <c r="L83" t="s">
        <v>93</v>
      </c>
      <c r="M83">
        <v>70</v>
      </c>
      <c r="N83" t="s">
        <v>148</v>
      </c>
      <c r="Q83">
        <v>19.812000000000001</v>
      </c>
      <c r="R83" t="s">
        <v>17</v>
      </c>
      <c r="T83">
        <v>10</v>
      </c>
      <c r="V83" t="s">
        <v>15</v>
      </c>
    </row>
    <row r="84" spans="1:22" x14ac:dyDescent="0.25">
      <c r="A84">
        <v>5</v>
      </c>
      <c r="B84" t="s">
        <v>92</v>
      </c>
      <c r="C84" t="s">
        <v>170</v>
      </c>
      <c r="E84" t="s">
        <v>170</v>
      </c>
      <c r="L84" t="s">
        <v>93</v>
      </c>
      <c r="M84">
        <v>80</v>
      </c>
      <c r="N84" t="s">
        <v>20</v>
      </c>
      <c r="Q84">
        <v>162.458</v>
      </c>
      <c r="R84" t="s">
        <v>17</v>
      </c>
      <c r="T84">
        <v>10</v>
      </c>
      <c r="V84" t="s">
        <v>15</v>
      </c>
    </row>
    <row r="85" spans="1:22" x14ac:dyDescent="0.25">
      <c r="A85">
        <v>5</v>
      </c>
      <c r="B85" t="s">
        <v>92</v>
      </c>
      <c r="C85" t="s">
        <v>170</v>
      </c>
      <c r="E85" t="s">
        <v>170</v>
      </c>
      <c r="L85" t="s">
        <v>93</v>
      </c>
      <c r="M85">
        <v>90</v>
      </c>
      <c r="N85" t="s">
        <v>24</v>
      </c>
      <c r="Q85">
        <v>1</v>
      </c>
      <c r="R85" t="s">
        <v>11</v>
      </c>
      <c r="T85">
        <v>10</v>
      </c>
      <c r="V85" t="s">
        <v>15</v>
      </c>
    </row>
    <row r="86" spans="1:22" x14ac:dyDescent="0.25">
      <c r="A86">
        <v>5</v>
      </c>
      <c r="B86" t="s">
        <v>92</v>
      </c>
      <c r="C86" t="s">
        <v>170</v>
      </c>
      <c r="E86" t="s">
        <v>170</v>
      </c>
      <c r="L86" t="s">
        <v>93</v>
      </c>
      <c r="M86">
        <v>100</v>
      </c>
      <c r="N86" t="s">
        <v>141</v>
      </c>
      <c r="Q86">
        <v>0.11700000000000001</v>
      </c>
      <c r="R86" t="s">
        <v>14</v>
      </c>
      <c r="T86">
        <v>10</v>
      </c>
      <c r="V86" t="s">
        <v>15</v>
      </c>
    </row>
    <row r="87" spans="1:22" x14ac:dyDescent="0.25">
      <c r="A87">
        <v>5</v>
      </c>
      <c r="B87" t="s">
        <v>92</v>
      </c>
      <c r="C87" t="s">
        <v>170</v>
      </c>
      <c r="E87" t="s">
        <v>170</v>
      </c>
      <c r="L87" t="s">
        <v>93</v>
      </c>
      <c r="M87">
        <v>110</v>
      </c>
      <c r="N87" t="s">
        <v>140</v>
      </c>
      <c r="Q87">
        <v>4</v>
      </c>
      <c r="R87" t="s">
        <v>11</v>
      </c>
      <c r="T87">
        <v>10</v>
      </c>
      <c r="V87" t="s">
        <v>15</v>
      </c>
    </row>
    <row r="88" spans="1:22" x14ac:dyDescent="0.25">
      <c r="A88">
        <v>5</v>
      </c>
      <c r="B88" t="s">
        <v>92</v>
      </c>
      <c r="C88" t="s">
        <v>170</v>
      </c>
      <c r="E88" t="s">
        <v>170</v>
      </c>
      <c r="L88" t="s">
        <v>93</v>
      </c>
      <c r="M88">
        <v>120</v>
      </c>
      <c r="N88" t="s">
        <v>25</v>
      </c>
      <c r="Q88">
        <v>1</v>
      </c>
      <c r="R88" t="s">
        <v>11</v>
      </c>
      <c r="T88">
        <v>10</v>
      </c>
      <c r="V88" t="s">
        <v>15</v>
      </c>
    </row>
    <row r="89" spans="1:22" x14ac:dyDescent="0.25">
      <c r="A89">
        <v>5</v>
      </c>
      <c r="B89" t="s">
        <v>92</v>
      </c>
      <c r="C89" t="s">
        <v>170</v>
      </c>
      <c r="E89" t="s">
        <v>170</v>
      </c>
      <c r="L89" t="s">
        <v>93</v>
      </c>
      <c r="M89">
        <v>130</v>
      </c>
      <c r="N89" t="s">
        <v>26</v>
      </c>
      <c r="Q89">
        <v>1</v>
      </c>
      <c r="R89" t="s">
        <v>11</v>
      </c>
      <c r="T89">
        <v>10</v>
      </c>
      <c r="V89" t="s">
        <v>15</v>
      </c>
    </row>
    <row r="90" spans="1:22" x14ac:dyDescent="0.25">
      <c r="A90">
        <v>5</v>
      </c>
      <c r="B90" t="s">
        <v>92</v>
      </c>
      <c r="C90" t="s">
        <v>170</v>
      </c>
      <c r="E90" t="s">
        <v>170</v>
      </c>
      <c r="L90" t="s">
        <v>93</v>
      </c>
      <c r="M90">
        <v>140</v>
      </c>
      <c r="N90" t="s">
        <v>100</v>
      </c>
      <c r="Q90">
        <v>0.86499999999999999</v>
      </c>
      <c r="R90" t="s">
        <v>14</v>
      </c>
      <c r="T90">
        <v>10</v>
      </c>
      <c r="V90" t="s">
        <v>15</v>
      </c>
    </row>
    <row r="91" spans="1:22" x14ac:dyDescent="0.25">
      <c r="A91">
        <v>5</v>
      </c>
      <c r="B91" t="s">
        <v>92</v>
      </c>
      <c r="C91" t="s">
        <v>170</v>
      </c>
      <c r="E91" t="s">
        <v>170</v>
      </c>
      <c r="L91" t="s">
        <v>93</v>
      </c>
      <c r="M91">
        <v>150</v>
      </c>
      <c r="N91" t="s">
        <v>173</v>
      </c>
      <c r="Q91">
        <v>1</v>
      </c>
      <c r="R91" t="s">
        <v>11</v>
      </c>
      <c r="T91">
        <v>10</v>
      </c>
      <c r="V91" t="s">
        <v>18</v>
      </c>
    </row>
    <row r="92" spans="1:22" x14ac:dyDescent="0.25">
      <c r="A92">
        <v>5</v>
      </c>
      <c r="B92" t="s">
        <v>92</v>
      </c>
      <c r="C92" t="s">
        <v>170</v>
      </c>
      <c r="E92" t="s">
        <v>170</v>
      </c>
      <c r="L92" t="s">
        <v>93</v>
      </c>
      <c r="M92">
        <v>160</v>
      </c>
      <c r="N92" t="s">
        <v>174</v>
      </c>
      <c r="Q92">
        <v>1</v>
      </c>
      <c r="R92" t="s">
        <v>11</v>
      </c>
      <c r="T92">
        <v>10</v>
      </c>
      <c r="V92" t="s">
        <v>18</v>
      </c>
    </row>
    <row r="93" spans="1:22" x14ac:dyDescent="0.25">
      <c r="A93">
        <v>5</v>
      </c>
      <c r="B93" t="s">
        <v>92</v>
      </c>
      <c r="C93" t="s">
        <v>170</v>
      </c>
      <c r="E93" t="s">
        <v>170</v>
      </c>
      <c r="L93" t="s">
        <v>93</v>
      </c>
      <c r="M93">
        <v>170</v>
      </c>
      <c r="N93" t="s">
        <v>142</v>
      </c>
      <c r="Q93">
        <v>6.6040000000000001</v>
      </c>
      <c r="R93" t="s">
        <v>11</v>
      </c>
      <c r="T93">
        <v>10</v>
      </c>
      <c r="V93" t="s">
        <v>15</v>
      </c>
    </row>
    <row r="94" spans="1:22" x14ac:dyDescent="0.25">
      <c r="A94">
        <v>5</v>
      </c>
      <c r="B94" t="s">
        <v>92</v>
      </c>
      <c r="C94" t="s">
        <v>170</v>
      </c>
      <c r="E94" t="s">
        <v>170</v>
      </c>
      <c r="L94" t="s">
        <v>93</v>
      </c>
      <c r="M94">
        <v>180</v>
      </c>
      <c r="N94" t="s">
        <v>175</v>
      </c>
      <c r="Q94">
        <v>1</v>
      </c>
      <c r="R94" t="s">
        <v>11</v>
      </c>
      <c r="T94">
        <v>10</v>
      </c>
      <c r="V94" t="s">
        <v>18</v>
      </c>
    </row>
    <row r="95" spans="1:22" x14ac:dyDescent="0.25">
      <c r="A95">
        <v>6</v>
      </c>
      <c r="B95" t="s">
        <v>92</v>
      </c>
      <c r="C95" t="s">
        <v>176</v>
      </c>
      <c r="E95" t="s">
        <v>176</v>
      </c>
      <c r="L95" t="s">
        <v>93</v>
      </c>
      <c r="M95">
        <v>10</v>
      </c>
      <c r="N95" t="s">
        <v>177</v>
      </c>
      <c r="Q95">
        <v>1</v>
      </c>
      <c r="R95" t="s">
        <v>11</v>
      </c>
      <c r="T95">
        <v>10</v>
      </c>
      <c r="V95" t="s">
        <v>18</v>
      </c>
    </row>
    <row r="96" spans="1:22" x14ac:dyDescent="0.25">
      <c r="A96">
        <v>6</v>
      </c>
      <c r="B96" t="s">
        <v>92</v>
      </c>
      <c r="C96" t="s">
        <v>176</v>
      </c>
      <c r="E96" t="s">
        <v>176</v>
      </c>
      <c r="L96" t="s">
        <v>93</v>
      </c>
      <c r="M96">
        <v>20</v>
      </c>
      <c r="N96" t="s">
        <v>117</v>
      </c>
      <c r="Q96">
        <v>3.843</v>
      </c>
      <c r="R96" t="s">
        <v>14</v>
      </c>
      <c r="T96">
        <v>10</v>
      </c>
      <c r="V96" t="s">
        <v>15</v>
      </c>
    </row>
    <row r="97" spans="1:22" x14ac:dyDescent="0.25">
      <c r="A97">
        <v>6</v>
      </c>
      <c r="B97" t="s">
        <v>92</v>
      </c>
      <c r="C97" t="s">
        <v>176</v>
      </c>
      <c r="E97" t="s">
        <v>176</v>
      </c>
      <c r="L97" t="s">
        <v>93</v>
      </c>
      <c r="M97">
        <v>30</v>
      </c>
      <c r="N97" t="s">
        <v>102</v>
      </c>
      <c r="Q97">
        <v>1.006</v>
      </c>
      <c r="R97" t="s">
        <v>103</v>
      </c>
      <c r="T97">
        <v>10</v>
      </c>
      <c r="V97" t="s">
        <v>15</v>
      </c>
    </row>
    <row r="98" spans="1:22" x14ac:dyDescent="0.25">
      <c r="A98">
        <v>6</v>
      </c>
      <c r="B98" t="s">
        <v>92</v>
      </c>
      <c r="C98" t="s">
        <v>176</v>
      </c>
      <c r="E98" t="s">
        <v>176</v>
      </c>
      <c r="L98" t="s">
        <v>93</v>
      </c>
      <c r="M98">
        <v>40</v>
      </c>
      <c r="N98" t="s">
        <v>146</v>
      </c>
      <c r="Q98">
        <v>1.4730000000000001</v>
      </c>
      <c r="R98" t="s">
        <v>11</v>
      </c>
      <c r="T98">
        <v>10</v>
      </c>
      <c r="V98" t="s">
        <v>18</v>
      </c>
    </row>
    <row r="99" spans="1:22" x14ac:dyDescent="0.25">
      <c r="A99">
        <v>6</v>
      </c>
      <c r="B99" t="s">
        <v>92</v>
      </c>
      <c r="C99" t="s">
        <v>176</v>
      </c>
      <c r="E99" t="s">
        <v>176</v>
      </c>
      <c r="L99" t="s">
        <v>93</v>
      </c>
      <c r="M99">
        <v>50</v>
      </c>
      <c r="N99" t="s">
        <v>139</v>
      </c>
      <c r="Q99">
        <v>1.4730000000000001</v>
      </c>
      <c r="R99" t="s">
        <v>17</v>
      </c>
      <c r="T99">
        <v>10</v>
      </c>
      <c r="V99" t="s">
        <v>18</v>
      </c>
    </row>
    <row r="100" spans="1:22" x14ac:dyDescent="0.25">
      <c r="A100">
        <v>6</v>
      </c>
      <c r="B100" t="s">
        <v>92</v>
      </c>
      <c r="C100" t="s">
        <v>176</v>
      </c>
      <c r="E100" t="s">
        <v>176</v>
      </c>
      <c r="L100" t="s">
        <v>93</v>
      </c>
      <c r="M100">
        <v>60</v>
      </c>
      <c r="N100" t="s">
        <v>178</v>
      </c>
      <c r="Q100">
        <v>1</v>
      </c>
      <c r="R100" t="s">
        <v>11</v>
      </c>
      <c r="T100">
        <v>10</v>
      </c>
      <c r="V100" t="s">
        <v>18</v>
      </c>
    </row>
    <row r="101" spans="1:22" x14ac:dyDescent="0.25">
      <c r="A101">
        <v>6</v>
      </c>
      <c r="B101" t="s">
        <v>92</v>
      </c>
      <c r="C101" t="s">
        <v>176</v>
      </c>
      <c r="E101" t="s">
        <v>176</v>
      </c>
      <c r="L101" t="s">
        <v>93</v>
      </c>
      <c r="M101">
        <v>70</v>
      </c>
      <c r="N101" t="s">
        <v>148</v>
      </c>
      <c r="Q101">
        <v>20.268999999999998</v>
      </c>
      <c r="R101" t="s">
        <v>17</v>
      </c>
      <c r="T101">
        <v>10</v>
      </c>
      <c r="V101" t="s">
        <v>15</v>
      </c>
    </row>
    <row r="102" spans="1:22" x14ac:dyDescent="0.25">
      <c r="A102">
        <v>6</v>
      </c>
      <c r="B102" t="s">
        <v>92</v>
      </c>
      <c r="C102" t="s">
        <v>176</v>
      </c>
      <c r="E102" t="s">
        <v>176</v>
      </c>
      <c r="L102" t="s">
        <v>93</v>
      </c>
      <c r="M102">
        <v>80</v>
      </c>
      <c r="N102" t="s">
        <v>20</v>
      </c>
      <c r="Q102">
        <v>166.20699999999999</v>
      </c>
      <c r="R102" t="s">
        <v>17</v>
      </c>
      <c r="T102">
        <v>10</v>
      </c>
      <c r="V102" t="s">
        <v>15</v>
      </c>
    </row>
    <row r="103" spans="1:22" x14ac:dyDescent="0.25">
      <c r="A103">
        <v>6</v>
      </c>
      <c r="B103" t="s">
        <v>92</v>
      </c>
      <c r="C103" t="s">
        <v>176</v>
      </c>
      <c r="E103" t="s">
        <v>176</v>
      </c>
      <c r="L103" t="s">
        <v>93</v>
      </c>
      <c r="M103">
        <v>90</v>
      </c>
      <c r="N103" t="s">
        <v>24</v>
      </c>
      <c r="Q103">
        <v>1</v>
      </c>
      <c r="R103" t="s">
        <v>11</v>
      </c>
      <c r="T103">
        <v>10</v>
      </c>
      <c r="V103" t="s">
        <v>15</v>
      </c>
    </row>
    <row r="104" spans="1:22" x14ac:dyDescent="0.25">
      <c r="A104">
        <v>6</v>
      </c>
      <c r="B104" t="s">
        <v>92</v>
      </c>
      <c r="C104" t="s">
        <v>176</v>
      </c>
      <c r="E104" t="s">
        <v>176</v>
      </c>
      <c r="L104" t="s">
        <v>93</v>
      </c>
      <c r="M104">
        <v>100</v>
      </c>
      <c r="N104" t="s">
        <v>141</v>
      </c>
      <c r="Q104">
        <v>0.123</v>
      </c>
      <c r="R104" t="s">
        <v>14</v>
      </c>
      <c r="T104">
        <v>10</v>
      </c>
      <c r="V104" t="s">
        <v>15</v>
      </c>
    </row>
    <row r="105" spans="1:22" x14ac:dyDescent="0.25">
      <c r="A105">
        <v>6</v>
      </c>
      <c r="B105" t="s">
        <v>92</v>
      </c>
      <c r="C105" t="s">
        <v>176</v>
      </c>
      <c r="E105" t="s">
        <v>176</v>
      </c>
      <c r="L105" t="s">
        <v>93</v>
      </c>
      <c r="M105">
        <v>110</v>
      </c>
      <c r="N105" t="s">
        <v>140</v>
      </c>
      <c r="Q105">
        <v>4</v>
      </c>
      <c r="R105" t="s">
        <v>11</v>
      </c>
      <c r="T105">
        <v>10</v>
      </c>
      <c r="V105" t="s">
        <v>15</v>
      </c>
    </row>
    <row r="106" spans="1:22" x14ac:dyDescent="0.25">
      <c r="A106">
        <v>6</v>
      </c>
      <c r="B106" t="s">
        <v>92</v>
      </c>
      <c r="C106" t="s">
        <v>176</v>
      </c>
      <c r="E106" t="s">
        <v>176</v>
      </c>
      <c r="L106" t="s">
        <v>93</v>
      </c>
      <c r="M106">
        <v>120</v>
      </c>
      <c r="N106" t="s">
        <v>25</v>
      </c>
      <c r="Q106">
        <v>1</v>
      </c>
      <c r="R106" t="s">
        <v>11</v>
      </c>
      <c r="T106">
        <v>10</v>
      </c>
      <c r="V106" t="s">
        <v>15</v>
      </c>
    </row>
    <row r="107" spans="1:22" x14ac:dyDescent="0.25">
      <c r="A107">
        <v>6</v>
      </c>
      <c r="B107" t="s">
        <v>92</v>
      </c>
      <c r="C107" t="s">
        <v>176</v>
      </c>
      <c r="E107" t="s">
        <v>176</v>
      </c>
      <c r="L107" t="s">
        <v>93</v>
      </c>
      <c r="M107">
        <v>130</v>
      </c>
      <c r="N107" t="s">
        <v>26</v>
      </c>
      <c r="Q107">
        <v>1</v>
      </c>
      <c r="R107" t="s">
        <v>11</v>
      </c>
      <c r="T107">
        <v>10</v>
      </c>
      <c r="V107" t="s">
        <v>15</v>
      </c>
    </row>
    <row r="108" spans="1:22" x14ac:dyDescent="0.25">
      <c r="A108">
        <v>6</v>
      </c>
      <c r="B108" t="s">
        <v>92</v>
      </c>
      <c r="C108" t="s">
        <v>176</v>
      </c>
      <c r="E108" t="s">
        <v>176</v>
      </c>
      <c r="L108" t="s">
        <v>93</v>
      </c>
      <c r="M108">
        <v>140</v>
      </c>
      <c r="N108" t="s">
        <v>100</v>
      </c>
      <c r="Q108">
        <v>0.90500000000000003</v>
      </c>
      <c r="R108" t="s">
        <v>14</v>
      </c>
      <c r="T108">
        <v>10</v>
      </c>
      <c r="V108" t="s">
        <v>15</v>
      </c>
    </row>
    <row r="109" spans="1:22" x14ac:dyDescent="0.25">
      <c r="A109">
        <v>6</v>
      </c>
      <c r="B109" t="s">
        <v>92</v>
      </c>
      <c r="C109" t="s">
        <v>176</v>
      </c>
      <c r="E109" t="s">
        <v>176</v>
      </c>
      <c r="L109" t="s">
        <v>93</v>
      </c>
      <c r="M109">
        <v>150</v>
      </c>
      <c r="N109" t="s">
        <v>179</v>
      </c>
      <c r="Q109">
        <v>1</v>
      </c>
      <c r="R109" t="s">
        <v>11</v>
      </c>
      <c r="T109">
        <v>10</v>
      </c>
      <c r="V109" t="s">
        <v>18</v>
      </c>
    </row>
    <row r="110" spans="1:22" x14ac:dyDescent="0.25">
      <c r="A110">
        <v>6</v>
      </c>
      <c r="B110" t="s">
        <v>92</v>
      </c>
      <c r="C110" t="s">
        <v>176</v>
      </c>
      <c r="E110" t="s">
        <v>176</v>
      </c>
      <c r="L110" t="s">
        <v>93</v>
      </c>
      <c r="M110">
        <v>160</v>
      </c>
      <c r="N110" t="s">
        <v>180</v>
      </c>
      <c r="Q110">
        <v>1</v>
      </c>
      <c r="R110" t="s">
        <v>11</v>
      </c>
      <c r="T110">
        <v>10</v>
      </c>
      <c r="V110" t="s">
        <v>18</v>
      </c>
    </row>
    <row r="111" spans="1:22" x14ac:dyDescent="0.25">
      <c r="A111">
        <v>6</v>
      </c>
      <c r="B111" t="s">
        <v>92</v>
      </c>
      <c r="C111" t="s">
        <v>176</v>
      </c>
      <c r="E111" t="s">
        <v>176</v>
      </c>
      <c r="L111" t="s">
        <v>93</v>
      </c>
      <c r="M111">
        <v>170</v>
      </c>
      <c r="N111" t="s">
        <v>142</v>
      </c>
      <c r="Q111">
        <v>6.7560000000000002</v>
      </c>
      <c r="R111" t="s">
        <v>11</v>
      </c>
      <c r="T111">
        <v>10</v>
      </c>
      <c r="V111" t="s">
        <v>15</v>
      </c>
    </row>
    <row r="112" spans="1:22" x14ac:dyDescent="0.25">
      <c r="A112">
        <v>6</v>
      </c>
      <c r="B112" t="s">
        <v>92</v>
      </c>
      <c r="C112" t="s">
        <v>176</v>
      </c>
      <c r="E112" t="s">
        <v>176</v>
      </c>
      <c r="L112" t="s">
        <v>93</v>
      </c>
      <c r="M112">
        <v>180</v>
      </c>
      <c r="N112" t="s">
        <v>181</v>
      </c>
      <c r="Q112">
        <v>1</v>
      </c>
      <c r="R112" t="s">
        <v>11</v>
      </c>
      <c r="T112">
        <v>10</v>
      </c>
      <c r="V112" t="s">
        <v>18</v>
      </c>
    </row>
    <row r="113" spans="1:22" x14ac:dyDescent="0.25">
      <c r="A113">
        <v>7</v>
      </c>
      <c r="B113" t="s">
        <v>92</v>
      </c>
      <c r="C113" t="s">
        <v>182</v>
      </c>
      <c r="E113" t="s">
        <v>182</v>
      </c>
      <c r="L113" t="s">
        <v>93</v>
      </c>
      <c r="M113">
        <v>10</v>
      </c>
      <c r="N113" t="s">
        <v>183</v>
      </c>
      <c r="Q113">
        <v>1</v>
      </c>
      <c r="R113" t="s">
        <v>11</v>
      </c>
      <c r="T113">
        <v>10</v>
      </c>
      <c r="V113" t="s">
        <v>18</v>
      </c>
    </row>
    <row r="114" spans="1:22" x14ac:dyDescent="0.25">
      <c r="A114">
        <v>7</v>
      </c>
      <c r="B114" t="s">
        <v>92</v>
      </c>
      <c r="C114" t="s">
        <v>182</v>
      </c>
      <c r="E114" t="s">
        <v>182</v>
      </c>
      <c r="L114" t="s">
        <v>93</v>
      </c>
      <c r="M114">
        <v>20</v>
      </c>
      <c r="N114" t="s">
        <v>118</v>
      </c>
      <c r="Q114">
        <v>4.2300000000000004</v>
      </c>
      <c r="R114" t="s">
        <v>14</v>
      </c>
      <c r="T114">
        <v>10</v>
      </c>
      <c r="V114" t="s">
        <v>15</v>
      </c>
    </row>
    <row r="115" spans="1:22" x14ac:dyDescent="0.25">
      <c r="A115">
        <v>7</v>
      </c>
      <c r="B115" t="s">
        <v>92</v>
      </c>
      <c r="C115" t="s">
        <v>182</v>
      </c>
      <c r="E115" t="s">
        <v>182</v>
      </c>
      <c r="L115" t="s">
        <v>93</v>
      </c>
      <c r="M115">
        <v>30</v>
      </c>
      <c r="N115" t="s">
        <v>102</v>
      </c>
      <c r="Q115">
        <v>1.1140000000000001</v>
      </c>
      <c r="R115" t="s">
        <v>103</v>
      </c>
      <c r="T115">
        <v>10</v>
      </c>
      <c r="V115" t="s">
        <v>15</v>
      </c>
    </row>
    <row r="116" spans="1:22" x14ac:dyDescent="0.25">
      <c r="A116">
        <v>7</v>
      </c>
      <c r="B116" t="s">
        <v>92</v>
      </c>
      <c r="C116" t="s">
        <v>182</v>
      </c>
      <c r="E116" t="s">
        <v>182</v>
      </c>
      <c r="L116" t="s">
        <v>93</v>
      </c>
      <c r="M116">
        <v>40</v>
      </c>
      <c r="N116" t="s">
        <v>146</v>
      </c>
      <c r="Q116">
        <v>1.6259999999999999</v>
      </c>
      <c r="R116" t="s">
        <v>11</v>
      </c>
      <c r="T116">
        <v>10</v>
      </c>
      <c r="V116" t="s">
        <v>18</v>
      </c>
    </row>
    <row r="117" spans="1:22" x14ac:dyDescent="0.25">
      <c r="A117">
        <v>7</v>
      </c>
      <c r="B117" t="s">
        <v>92</v>
      </c>
      <c r="C117" t="s">
        <v>182</v>
      </c>
      <c r="E117" t="s">
        <v>182</v>
      </c>
      <c r="L117" t="s">
        <v>93</v>
      </c>
      <c r="M117">
        <v>50</v>
      </c>
      <c r="N117" t="s">
        <v>139</v>
      </c>
      <c r="Q117">
        <v>1.6259999999999999</v>
      </c>
      <c r="R117" t="s">
        <v>17</v>
      </c>
      <c r="T117">
        <v>10</v>
      </c>
      <c r="V117" t="s">
        <v>18</v>
      </c>
    </row>
    <row r="118" spans="1:22" x14ac:dyDescent="0.25">
      <c r="A118">
        <v>7</v>
      </c>
      <c r="B118" t="s">
        <v>92</v>
      </c>
      <c r="C118" t="s">
        <v>182</v>
      </c>
      <c r="E118" t="s">
        <v>182</v>
      </c>
      <c r="L118" t="s">
        <v>93</v>
      </c>
      <c r="M118">
        <v>60</v>
      </c>
      <c r="N118" t="s">
        <v>184</v>
      </c>
      <c r="Q118">
        <v>1</v>
      </c>
      <c r="R118" t="s">
        <v>11</v>
      </c>
      <c r="T118">
        <v>10</v>
      </c>
      <c r="V118" t="s">
        <v>18</v>
      </c>
    </row>
    <row r="119" spans="1:22" x14ac:dyDescent="0.25">
      <c r="A119">
        <v>7</v>
      </c>
      <c r="B119" t="s">
        <v>92</v>
      </c>
      <c r="C119" t="s">
        <v>182</v>
      </c>
      <c r="E119" t="s">
        <v>182</v>
      </c>
      <c r="L119" t="s">
        <v>93</v>
      </c>
      <c r="M119">
        <v>70</v>
      </c>
      <c r="N119" t="s">
        <v>148</v>
      </c>
      <c r="Q119">
        <v>21.184000000000001</v>
      </c>
      <c r="R119" t="s">
        <v>17</v>
      </c>
      <c r="T119">
        <v>10</v>
      </c>
      <c r="V119" t="s">
        <v>15</v>
      </c>
    </row>
    <row r="120" spans="1:22" x14ac:dyDescent="0.25">
      <c r="A120">
        <v>7</v>
      </c>
      <c r="B120" t="s">
        <v>92</v>
      </c>
      <c r="C120" t="s">
        <v>182</v>
      </c>
      <c r="E120" t="s">
        <v>182</v>
      </c>
      <c r="L120" t="s">
        <v>93</v>
      </c>
      <c r="M120">
        <v>80</v>
      </c>
      <c r="N120" t="s">
        <v>20</v>
      </c>
      <c r="Q120">
        <v>173.70599999999999</v>
      </c>
      <c r="R120" t="s">
        <v>17</v>
      </c>
      <c r="T120">
        <v>10</v>
      </c>
      <c r="V120" t="s">
        <v>15</v>
      </c>
    </row>
    <row r="121" spans="1:22" x14ac:dyDescent="0.25">
      <c r="A121">
        <v>7</v>
      </c>
      <c r="B121" t="s">
        <v>92</v>
      </c>
      <c r="C121" t="s">
        <v>182</v>
      </c>
      <c r="E121" t="s">
        <v>182</v>
      </c>
      <c r="L121" t="s">
        <v>93</v>
      </c>
      <c r="M121">
        <v>90</v>
      </c>
      <c r="N121" t="s">
        <v>24</v>
      </c>
      <c r="Q121">
        <v>1</v>
      </c>
      <c r="R121" t="s">
        <v>11</v>
      </c>
      <c r="T121">
        <v>10</v>
      </c>
      <c r="V121" t="s">
        <v>15</v>
      </c>
    </row>
    <row r="122" spans="1:22" x14ac:dyDescent="0.25">
      <c r="A122">
        <v>7</v>
      </c>
      <c r="B122" t="s">
        <v>92</v>
      </c>
      <c r="C122" t="s">
        <v>182</v>
      </c>
      <c r="E122" t="s">
        <v>182</v>
      </c>
      <c r="L122" t="s">
        <v>93</v>
      </c>
      <c r="M122">
        <v>100</v>
      </c>
      <c r="N122" t="s">
        <v>141</v>
      </c>
      <c r="Q122">
        <v>0.13300000000000001</v>
      </c>
      <c r="R122" t="s">
        <v>14</v>
      </c>
      <c r="T122">
        <v>10</v>
      </c>
      <c r="V122" t="s">
        <v>15</v>
      </c>
    </row>
    <row r="123" spans="1:22" x14ac:dyDescent="0.25">
      <c r="A123">
        <v>7</v>
      </c>
      <c r="B123" t="s">
        <v>92</v>
      </c>
      <c r="C123" t="s">
        <v>182</v>
      </c>
      <c r="E123" t="s">
        <v>182</v>
      </c>
      <c r="L123" t="s">
        <v>93</v>
      </c>
      <c r="M123">
        <v>110</v>
      </c>
      <c r="N123" t="s">
        <v>140</v>
      </c>
      <c r="Q123">
        <v>4</v>
      </c>
      <c r="R123" t="s">
        <v>11</v>
      </c>
      <c r="T123">
        <v>10</v>
      </c>
      <c r="V123" t="s">
        <v>15</v>
      </c>
    </row>
    <row r="124" spans="1:22" x14ac:dyDescent="0.25">
      <c r="A124">
        <v>7</v>
      </c>
      <c r="B124" t="s">
        <v>92</v>
      </c>
      <c r="C124" t="s">
        <v>182</v>
      </c>
      <c r="E124" t="s">
        <v>182</v>
      </c>
      <c r="L124" t="s">
        <v>93</v>
      </c>
      <c r="M124">
        <v>120</v>
      </c>
      <c r="N124" t="s">
        <v>25</v>
      </c>
      <c r="Q124">
        <v>1</v>
      </c>
      <c r="R124" t="s">
        <v>11</v>
      </c>
      <c r="T124">
        <v>10</v>
      </c>
      <c r="V124" t="s">
        <v>15</v>
      </c>
    </row>
    <row r="125" spans="1:22" x14ac:dyDescent="0.25">
      <c r="A125">
        <v>7</v>
      </c>
      <c r="B125" t="s">
        <v>92</v>
      </c>
      <c r="C125" t="s">
        <v>182</v>
      </c>
      <c r="E125" t="s">
        <v>182</v>
      </c>
      <c r="L125" t="s">
        <v>93</v>
      </c>
      <c r="M125">
        <v>130</v>
      </c>
      <c r="N125" t="s">
        <v>26</v>
      </c>
      <c r="Q125">
        <v>1</v>
      </c>
      <c r="R125" t="s">
        <v>11</v>
      </c>
      <c r="T125">
        <v>10</v>
      </c>
      <c r="V125" t="s">
        <v>15</v>
      </c>
    </row>
    <row r="126" spans="1:22" x14ac:dyDescent="0.25">
      <c r="A126">
        <v>7</v>
      </c>
      <c r="B126" t="s">
        <v>92</v>
      </c>
      <c r="C126" t="s">
        <v>182</v>
      </c>
      <c r="E126" t="s">
        <v>182</v>
      </c>
      <c r="L126" t="s">
        <v>93</v>
      </c>
      <c r="M126">
        <v>140</v>
      </c>
      <c r="N126" t="s">
        <v>100</v>
      </c>
      <c r="Q126">
        <v>0.98599999999999999</v>
      </c>
      <c r="R126" t="s">
        <v>14</v>
      </c>
      <c r="T126">
        <v>10</v>
      </c>
      <c r="V126" t="s">
        <v>15</v>
      </c>
    </row>
    <row r="127" spans="1:22" x14ac:dyDescent="0.25">
      <c r="A127">
        <v>7</v>
      </c>
      <c r="B127" t="s">
        <v>92</v>
      </c>
      <c r="C127" t="s">
        <v>182</v>
      </c>
      <c r="E127" t="s">
        <v>182</v>
      </c>
      <c r="L127" t="s">
        <v>93</v>
      </c>
      <c r="M127">
        <v>150</v>
      </c>
      <c r="N127" t="s">
        <v>185</v>
      </c>
      <c r="Q127">
        <v>1</v>
      </c>
      <c r="R127" t="s">
        <v>11</v>
      </c>
      <c r="T127">
        <v>10</v>
      </c>
      <c r="V127" t="s">
        <v>18</v>
      </c>
    </row>
    <row r="128" spans="1:22" x14ac:dyDescent="0.25">
      <c r="A128">
        <v>7</v>
      </c>
      <c r="B128" t="s">
        <v>92</v>
      </c>
      <c r="C128" t="s">
        <v>182</v>
      </c>
      <c r="E128" t="s">
        <v>182</v>
      </c>
      <c r="L128" t="s">
        <v>93</v>
      </c>
      <c r="M128">
        <v>160</v>
      </c>
      <c r="N128" t="s">
        <v>186</v>
      </c>
      <c r="Q128">
        <v>1</v>
      </c>
      <c r="R128" t="s">
        <v>11</v>
      </c>
      <c r="T128">
        <v>10</v>
      </c>
      <c r="V128" t="s">
        <v>18</v>
      </c>
    </row>
    <row r="129" spans="1:22" x14ac:dyDescent="0.25">
      <c r="A129">
        <v>7</v>
      </c>
      <c r="B129" t="s">
        <v>92</v>
      </c>
      <c r="C129" t="s">
        <v>182</v>
      </c>
      <c r="E129" t="s">
        <v>182</v>
      </c>
      <c r="L129" t="s">
        <v>93</v>
      </c>
      <c r="M129">
        <v>170</v>
      </c>
      <c r="N129" t="s">
        <v>142</v>
      </c>
      <c r="Q129">
        <v>7.0609999999999999</v>
      </c>
      <c r="R129" t="s">
        <v>11</v>
      </c>
      <c r="T129">
        <v>10</v>
      </c>
      <c r="V129" t="s">
        <v>15</v>
      </c>
    </row>
    <row r="130" spans="1:22" x14ac:dyDescent="0.25">
      <c r="A130">
        <v>7</v>
      </c>
      <c r="B130" t="s">
        <v>92</v>
      </c>
      <c r="C130" t="s">
        <v>182</v>
      </c>
      <c r="E130" t="s">
        <v>182</v>
      </c>
      <c r="L130" t="s">
        <v>93</v>
      </c>
      <c r="M130">
        <v>180</v>
      </c>
      <c r="N130" t="s">
        <v>187</v>
      </c>
      <c r="Q130">
        <v>1</v>
      </c>
      <c r="R130" t="s">
        <v>11</v>
      </c>
      <c r="T130">
        <v>10</v>
      </c>
      <c r="V130" t="s">
        <v>18</v>
      </c>
    </row>
    <row r="131" spans="1:22" x14ac:dyDescent="0.25">
      <c r="A131">
        <v>8</v>
      </c>
      <c r="B131" t="s">
        <v>92</v>
      </c>
      <c r="C131" t="s">
        <v>188</v>
      </c>
      <c r="E131" t="s">
        <v>188</v>
      </c>
      <c r="L131" t="s">
        <v>93</v>
      </c>
      <c r="M131">
        <v>10</v>
      </c>
      <c r="N131" t="s">
        <v>189</v>
      </c>
      <c r="Q131">
        <v>1</v>
      </c>
      <c r="R131" t="s">
        <v>11</v>
      </c>
      <c r="T131">
        <v>10</v>
      </c>
      <c r="V131" t="s">
        <v>18</v>
      </c>
    </row>
    <row r="132" spans="1:22" x14ac:dyDescent="0.25">
      <c r="A132">
        <v>8</v>
      </c>
      <c r="B132" t="s">
        <v>92</v>
      </c>
      <c r="C132" t="s">
        <v>188</v>
      </c>
      <c r="E132" t="s">
        <v>188</v>
      </c>
      <c r="L132" t="s">
        <v>93</v>
      </c>
      <c r="M132">
        <v>20</v>
      </c>
      <c r="N132" t="s">
        <v>119</v>
      </c>
      <c r="Q132">
        <v>4.6180000000000003</v>
      </c>
      <c r="R132" t="s">
        <v>14</v>
      </c>
      <c r="T132">
        <v>10</v>
      </c>
      <c r="V132" t="s">
        <v>15</v>
      </c>
    </row>
    <row r="133" spans="1:22" x14ac:dyDescent="0.25">
      <c r="A133">
        <v>8</v>
      </c>
      <c r="B133" t="s">
        <v>92</v>
      </c>
      <c r="C133" t="s">
        <v>188</v>
      </c>
      <c r="E133" t="s">
        <v>188</v>
      </c>
      <c r="L133" t="s">
        <v>93</v>
      </c>
      <c r="M133">
        <v>30</v>
      </c>
      <c r="N133" t="s">
        <v>102</v>
      </c>
      <c r="Q133">
        <v>1.222</v>
      </c>
      <c r="R133" t="s">
        <v>103</v>
      </c>
      <c r="T133">
        <v>10</v>
      </c>
      <c r="V133" t="s">
        <v>15</v>
      </c>
    </row>
    <row r="134" spans="1:22" x14ac:dyDescent="0.25">
      <c r="A134">
        <v>8</v>
      </c>
      <c r="B134" t="s">
        <v>92</v>
      </c>
      <c r="C134" t="s">
        <v>188</v>
      </c>
      <c r="E134" t="s">
        <v>188</v>
      </c>
      <c r="L134" t="s">
        <v>93</v>
      </c>
      <c r="M134">
        <v>40</v>
      </c>
      <c r="N134" t="s">
        <v>146</v>
      </c>
      <c r="Q134">
        <v>1.778</v>
      </c>
      <c r="R134" t="s">
        <v>11</v>
      </c>
      <c r="T134">
        <v>10</v>
      </c>
      <c r="V134" t="s">
        <v>18</v>
      </c>
    </row>
    <row r="135" spans="1:22" x14ac:dyDescent="0.25">
      <c r="A135">
        <v>8</v>
      </c>
      <c r="B135" t="s">
        <v>92</v>
      </c>
      <c r="C135" t="s">
        <v>188</v>
      </c>
      <c r="E135" t="s">
        <v>188</v>
      </c>
      <c r="L135" t="s">
        <v>93</v>
      </c>
      <c r="M135">
        <v>50</v>
      </c>
      <c r="N135" t="s">
        <v>139</v>
      </c>
      <c r="Q135">
        <v>1.778</v>
      </c>
      <c r="R135" t="s">
        <v>17</v>
      </c>
      <c r="T135">
        <v>10</v>
      </c>
      <c r="V135" t="s">
        <v>18</v>
      </c>
    </row>
    <row r="136" spans="1:22" x14ac:dyDescent="0.25">
      <c r="A136">
        <v>8</v>
      </c>
      <c r="B136" t="s">
        <v>92</v>
      </c>
      <c r="C136" t="s">
        <v>188</v>
      </c>
      <c r="E136" t="s">
        <v>188</v>
      </c>
      <c r="L136" t="s">
        <v>93</v>
      </c>
      <c r="M136">
        <v>60</v>
      </c>
      <c r="N136" t="s">
        <v>190</v>
      </c>
      <c r="Q136">
        <v>1</v>
      </c>
      <c r="R136" t="s">
        <v>11</v>
      </c>
      <c r="T136">
        <v>10</v>
      </c>
      <c r="V136" t="s">
        <v>18</v>
      </c>
    </row>
    <row r="137" spans="1:22" x14ac:dyDescent="0.25">
      <c r="A137">
        <v>8</v>
      </c>
      <c r="B137" t="s">
        <v>92</v>
      </c>
      <c r="C137" t="s">
        <v>188</v>
      </c>
      <c r="E137" t="s">
        <v>188</v>
      </c>
      <c r="L137" t="s">
        <v>93</v>
      </c>
      <c r="M137">
        <v>70</v>
      </c>
      <c r="N137" t="s">
        <v>148</v>
      </c>
      <c r="Q137">
        <v>22.097999999999999</v>
      </c>
      <c r="R137" t="s">
        <v>17</v>
      </c>
      <c r="T137">
        <v>10</v>
      </c>
      <c r="V137" t="s">
        <v>15</v>
      </c>
    </row>
    <row r="138" spans="1:22" x14ac:dyDescent="0.25">
      <c r="A138">
        <v>8</v>
      </c>
      <c r="B138" t="s">
        <v>92</v>
      </c>
      <c r="C138" t="s">
        <v>188</v>
      </c>
      <c r="E138" t="s">
        <v>188</v>
      </c>
      <c r="L138" t="s">
        <v>93</v>
      </c>
      <c r="M138">
        <v>80</v>
      </c>
      <c r="N138" t="s">
        <v>20</v>
      </c>
      <c r="Q138">
        <v>181.20400000000001</v>
      </c>
      <c r="R138" t="s">
        <v>17</v>
      </c>
      <c r="T138">
        <v>10</v>
      </c>
      <c r="V138" t="s">
        <v>15</v>
      </c>
    </row>
    <row r="139" spans="1:22" x14ac:dyDescent="0.25">
      <c r="A139">
        <v>8</v>
      </c>
      <c r="B139" t="s">
        <v>92</v>
      </c>
      <c r="C139" t="s">
        <v>188</v>
      </c>
      <c r="E139" t="s">
        <v>188</v>
      </c>
      <c r="L139" t="s">
        <v>93</v>
      </c>
      <c r="M139">
        <v>90</v>
      </c>
      <c r="N139" t="s">
        <v>24</v>
      </c>
      <c r="Q139">
        <v>1</v>
      </c>
      <c r="R139" t="s">
        <v>11</v>
      </c>
      <c r="T139">
        <v>10</v>
      </c>
      <c r="V139" t="s">
        <v>15</v>
      </c>
    </row>
    <row r="140" spans="1:22" x14ac:dyDescent="0.25">
      <c r="A140">
        <v>8</v>
      </c>
      <c r="B140" t="s">
        <v>92</v>
      </c>
      <c r="C140" t="s">
        <v>188</v>
      </c>
      <c r="E140" t="s">
        <v>188</v>
      </c>
      <c r="L140" t="s">
        <v>93</v>
      </c>
      <c r="M140">
        <v>100</v>
      </c>
      <c r="N140" t="s">
        <v>141</v>
      </c>
      <c r="Q140">
        <v>0.14299999999999999</v>
      </c>
      <c r="R140" t="s">
        <v>14</v>
      </c>
      <c r="T140">
        <v>10</v>
      </c>
      <c r="V140" t="s">
        <v>15</v>
      </c>
    </row>
    <row r="141" spans="1:22" x14ac:dyDescent="0.25">
      <c r="A141">
        <v>8</v>
      </c>
      <c r="B141" t="s">
        <v>92</v>
      </c>
      <c r="C141" t="s">
        <v>188</v>
      </c>
      <c r="E141" t="s">
        <v>188</v>
      </c>
      <c r="L141" t="s">
        <v>93</v>
      </c>
      <c r="M141">
        <v>110</v>
      </c>
      <c r="N141" t="s">
        <v>140</v>
      </c>
      <c r="Q141">
        <v>4</v>
      </c>
      <c r="R141" t="s">
        <v>11</v>
      </c>
      <c r="T141">
        <v>10</v>
      </c>
      <c r="V141" t="s">
        <v>15</v>
      </c>
    </row>
    <row r="142" spans="1:22" x14ac:dyDescent="0.25">
      <c r="A142">
        <v>8</v>
      </c>
      <c r="B142" t="s">
        <v>92</v>
      </c>
      <c r="C142" t="s">
        <v>188</v>
      </c>
      <c r="E142" t="s">
        <v>188</v>
      </c>
      <c r="L142" t="s">
        <v>93</v>
      </c>
      <c r="M142">
        <v>120</v>
      </c>
      <c r="N142" t="s">
        <v>25</v>
      </c>
      <c r="Q142">
        <v>1</v>
      </c>
      <c r="R142" t="s">
        <v>11</v>
      </c>
      <c r="T142">
        <v>10</v>
      </c>
      <c r="V142" t="s">
        <v>15</v>
      </c>
    </row>
    <row r="143" spans="1:22" x14ac:dyDescent="0.25">
      <c r="A143">
        <v>8</v>
      </c>
      <c r="B143" t="s">
        <v>92</v>
      </c>
      <c r="C143" t="s">
        <v>188</v>
      </c>
      <c r="E143" t="s">
        <v>188</v>
      </c>
      <c r="L143" t="s">
        <v>93</v>
      </c>
      <c r="M143">
        <v>130</v>
      </c>
      <c r="N143" t="s">
        <v>26</v>
      </c>
      <c r="Q143">
        <v>1</v>
      </c>
      <c r="R143" t="s">
        <v>11</v>
      </c>
      <c r="T143">
        <v>10</v>
      </c>
      <c r="V143" t="s">
        <v>15</v>
      </c>
    </row>
    <row r="144" spans="1:22" x14ac:dyDescent="0.25">
      <c r="A144">
        <v>8</v>
      </c>
      <c r="B144" t="s">
        <v>92</v>
      </c>
      <c r="C144" t="s">
        <v>188</v>
      </c>
      <c r="E144" t="s">
        <v>188</v>
      </c>
      <c r="L144" t="s">
        <v>93</v>
      </c>
      <c r="M144">
        <v>140</v>
      </c>
      <c r="N144" t="s">
        <v>100</v>
      </c>
      <c r="Q144">
        <v>1.0669999999999999</v>
      </c>
      <c r="R144" t="s">
        <v>14</v>
      </c>
      <c r="T144">
        <v>10</v>
      </c>
      <c r="V144" t="s">
        <v>15</v>
      </c>
    </row>
    <row r="145" spans="1:22" x14ac:dyDescent="0.25">
      <c r="A145">
        <v>8</v>
      </c>
      <c r="B145" t="s">
        <v>92</v>
      </c>
      <c r="C145" t="s">
        <v>188</v>
      </c>
      <c r="E145" t="s">
        <v>188</v>
      </c>
      <c r="L145" t="s">
        <v>93</v>
      </c>
      <c r="M145">
        <v>150</v>
      </c>
      <c r="N145" t="s">
        <v>191</v>
      </c>
      <c r="Q145">
        <v>1</v>
      </c>
      <c r="R145" t="s">
        <v>11</v>
      </c>
      <c r="T145">
        <v>10</v>
      </c>
      <c r="V145" t="s">
        <v>18</v>
      </c>
    </row>
    <row r="146" spans="1:22" x14ac:dyDescent="0.25">
      <c r="A146">
        <v>8</v>
      </c>
      <c r="B146" t="s">
        <v>92</v>
      </c>
      <c r="C146" t="s">
        <v>188</v>
      </c>
      <c r="E146" t="s">
        <v>188</v>
      </c>
      <c r="L146" t="s">
        <v>93</v>
      </c>
      <c r="M146">
        <v>160</v>
      </c>
      <c r="N146" t="s">
        <v>192</v>
      </c>
      <c r="Q146">
        <v>1</v>
      </c>
      <c r="R146" t="s">
        <v>11</v>
      </c>
      <c r="T146">
        <v>10</v>
      </c>
      <c r="V146" t="s">
        <v>18</v>
      </c>
    </row>
    <row r="147" spans="1:22" x14ac:dyDescent="0.25">
      <c r="A147">
        <v>8</v>
      </c>
      <c r="B147" t="s">
        <v>92</v>
      </c>
      <c r="C147" t="s">
        <v>188</v>
      </c>
      <c r="E147" t="s">
        <v>188</v>
      </c>
      <c r="L147" t="s">
        <v>93</v>
      </c>
      <c r="M147">
        <v>170</v>
      </c>
      <c r="N147" t="s">
        <v>142</v>
      </c>
      <c r="Q147">
        <v>7.3659999999999997</v>
      </c>
      <c r="R147" t="s">
        <v>11</v>
      </c>
      <c r="T147">
        <v>10</v>
      </c>
      <c r="V147" t="s">
        <v>15</v>
      </c>
    </row>
    <row r="148" spans="1:22" x14ac:dyDescent="0.25">
      <c r="A148">
        <v>8</v>
      </c>
      <c r="B148" t="s">
        <v>92</v>
      </c>
      <c r="C148" t="s">
        <v>188</v>
      </c>
      <c r="E148" t="s">
        <v>188</v>
      </c>
      <c r="L148" t="s">
        <v>93</v>
      </c>
      <c r="M148">
        <v>180</v>
      </c>
      <c r="N148" t="s">
        <v>193</v>
      </c>
      <c r="Q148">
        <v>1</v>
      </c>
      <c r="R148" t="s">
        <v>11</v>
      </c>
      <c r="T148">
        <v>10</v>
      </c>
      <c r="V148" t="s">
        <v>18</v>
      </c>
    </row>
    <row r="149" spans="1:22" x14ac:dyDescent="0.25">
      <c r="A149">
        <v>9</v>
      </c>
      <c r="B149" t="s">
        <v>92</v>
      </c>
      <c r="C149" t="s">
        <v>194</v>
      </c>
      <c r="E149" t="s">
        <v>194</v>
      </c>
      <c r="L149" t="s">
        <v>93</v>
      </c>
      <c r="M149">
        <v>10</v>
      </c>
      <c r="N149" t="s">
        <v>195</v>
      </c>
      <c r="Q149">
        <v>1</v>
      </c>
      <c r="R149" t="s">
        <v>11</v>
      </c>
      <c r="T149">
        <v>10</v>
      </c>
      <c r="V149" t="s">
        <v>18</v>
      </c>
    </row>
    <row r="150" spans="1:22" x14ac:dyDescent="0.25">
      <c r="A150">
        <v>9</v>
      </c>
      <c r="B150" t="s">
        <v>92</v>
      </c>
      <c r="C150" t="s">
        <v>194</v>
      </c>
      <c r="E150" t="s">
        <v>194</v>
      </c>
      <c r="L150" t="s">
        <v>93</v>
      </c>
      <c r="M150">
        <v>20</v>
      </c>
      <c r="N150" t="s">
        <v>120</v>
      </c>
      <c r="Q150">
        <v>2.3889999999999998</v>
      </c>
      <c r="R150" t="s">
        <v>14</v>
      </c>
      <c r="T150">
        <v>10</v>
      </c>
      <c r="V150" t="s">
        <v>15</v>
      </c>
    </row>
    <row r="151" spans="1:22" x14ac:dyDescent="0.25">
      <c r="A151">
        <v>9</v>
      </c>
      <c r="B151" t="s">
        <v>92</v>
      </c>
      <c r="C151" t="s">
        <v>194</v>
      </c>
      <c r="E151" t="s">
        <v>194</v>
      </c>
      <c r="L151" t="s">
        <v>93</v>
      </c>
      <c r="M151">
        <v>30</v>
      </c>
      <c r="N151" t="s">
        <v>102</v>
      </c>
      <c r="Q151">
        <v>0.59899999999999998</v>
      </c>
      <c r="R151" t="s">
        <v>103</v>
      </c>
      <c r="T151">
        <v>10</v>
      </c>
      <c r="V151" t="s">
        <v>15</v>
      </c>
    </row>
    <row r="152" spans="1:22" x14ac:dyDescent="0.25">
      <c r="A152">
        <v>9</v>
      </c>
      <c r="B152" t="s">
        <v>92</v>
      </c>
      <c r="C152" t="s">
        <v>194</v>
      </c>
      <c r="E152" t="s">
        <v>194</v>
      </c>
      <c r="L152" t="s">
        <v>93</v>
      </c>
      <c r="M152">
        <v>40</v>
      </c>
      <c r="N152" t="s">
        <v>146</v>
      </c>
      <c r="Q152">
        <v>0.86399999999999999</v>
      </c>
      <c r="R152" t="s">
        <v>11</v>
      </c>
      <c r="T152">
        <v>10</v>
      </c>
      <c r="V152" t="s">
        <v>18</v>
      </c>
    </row>
    <row r="153" spans="1:22" x14ac:dyDescent="0.25">
      <c r="A153">
        <v>9</v>
      </c>
      <c r="B153" t="s">
        <v>92</v>
      </c>
      <c r="C153" t="s">
        <v>194</v>
      </c>
      <c r="E153" t="s">
        <v>194</v>
      </c>
      <c r="L153" t="s">
        <v>93</v>
      </c>
      <c r="M153">
        <v>50</v>
      </c>
      <c r="N153" t="s">
        <v>139</v>
      </c>
      <c r="Q153">
        <v>0.86399999999999999</v>
      </c>
      <c r="R153" t="s">
        <v>17</v>
      </c>
      <c r="T153">
        <v>10</v>
      </c>
      <c r="V153" t="s">
        <v>18</v>
      </c>
    </row>
    <row r="154" spans="1:22" x14ac:dyDescent="0.25">
      <c r="A154">
        <v>9</v>
      </c>
      <c r="B154" t="s">
        <v>92</v>
      </c>
      <c r="C154" t="s">
        <v>194</v>
      </c>
      <c r="E154" t="s">
        <v>194</v>
      </c>
      <c r="L154" t="s">
        <v>93</v>
      </c>
      <c r="M154">
        <v>60</v>
      </c>
      <c r="N154" t="s">
        <v>196</v>
      </c>
      <c r="Q154">
        <v>1</v>
      </c>
      <c r="R154" t="s">
        <v>11</v>
      </c>
      <c r="T154">
        <v>10</v>
      </c>
      <c r="V154" t="s">
        <v>18</v>
      </c>
    </row>
    <row r="155" spans="1:22" x14ac:dyDescent="0.25">
      <c r="A155">
        <v>9</v>
      </c>
      <c r="B155" t="s">
        <v>92</v>
      </c>
      <c r="C155" t="s">
        <v>194</v>
      </c>
      <c r="E155" t="s">
        <v>194</v>
      </c>
      <c r="L155" t="s">
        <v>93</v>
      </c>
      <c r="M155">
        <v>70</v>
      </c>
      <c r="N155" t="s">
        <v>148</v>
      </c>
      <c r="Q155">
        <v>17.068999999999999</v>
      </c>
      <c r="R155" t="s">
        <v>17</v>
      </c>
      <c r="T155">
        <v>10</v>
      </c>
      <c r="V155" t="s">
        <v>15</v>
      </c>
    </row>
    <row r="156" spans="1:22" x14ac:dyDescent="0.25">
      <c r="A156">
        <v>9</v>
      </c>
      <c r="B156" t="s">
        <v>92</v>
      </c>
      <c r="C156" t="s">
        <v>194</v>
      </c>
      <c r="E156" t="s">
        <v>194</v>
      </c>
      <c r="L156" t="s">
        <v>93</v>
      </c>
      <c r="M156">
        <v>80</v>
      </c>
      <c r="N156" t="s">
        <v>20</v>
      </c>
      <c r="Q156">
        <v>139.964</v>
      </c>
      <c r="R156" t="s">
        <v>17</v>
      </c>
      <c r="T156">
        <v>10</v>
      </c>
      <c r="V156" t="s">
        <v>15</v>
      </c>
    </row>
    <row r="157" spans="1:22" x14ac:dyDescent="0.25">
      <c r="A157">
        <v>9</v>
      </c>
      <c r="B157" t="s">
        <v>92</v>
      </c>
      <c r="C157" t="s">
        <v>194</v>
      </c>
      <c r="E157" t="s">
        <v>194</v>
      </c>
      <c r="L157" t="s">
        <v>93</v>
      </c>
      <c r="M157">
        <v>90</v>
      </c>
      <c r="N157" t="s">
        <v>24</v>
      </c>
      <c r="Q157">
        <v>1</v>
      </c>
      <c r="R157" t="s">
        <v>11</v>
      </c>
      <c r="T157">
        <v>10</v>
      </c>
      <c r="V157" t="s">
        <v>15</v>
      </c>
    </row>
    <row r="158" spans="1:22" x14ac:dyDescent="0.25">
      <c r="A158">
        <v>9</v>
      </c>
      <c r="B158" t="s">
        <v>92</v>
      </c>
      <c r="C158" t="s">
        <v>194</v>
      </c>
      <c r="E158" t="s">
        <v>194</v>
      </c>
      <c r="L158" t="s">
        <v>93</v>
      </c>
      <c r="M158">
        <v>100</v>
      </c>
      <c r="N158" t="s">
        <v>141</v>
      </c>
      <c r="Q158">
        <v>8.1000000000000003E-2</v>
      </c>
      <c r="R158" t="s">
        <v>14</v>
      </c>
      <c r="T158">
        <v>10</v>
      </c>
      <c r="V158" t="s">
        <v>15</v>
      </c>
    </row>
    <row r="159" spans="1:22" x14ac:dyDescent="0.25">
      <c r="A159">
        <v>9</v>
      </c>
      <c r="B159" t="s">
        <v>92</v>
      </c>
      <c r="C159" t="s">
        <v>194</v>
      </c>
      <c r="E159" t="s">
        <v>194</v>
      </c>
      <c r="L159" t="s">
        <v>93</v>
      </c>
      <c r="M159">
        <v>110</v>
      </c>
      <c r="N159" t="s">
        <v>140</v>
      </c>
      <c r="Q159">
        <v>4</v>
      </c>
      <c r="R159" t="s">
        <v>11</v>
      </c>
      <c r="T159">
        <v>10</v>
      </c>
      <c r="V159" t="s">
        <v>15</v>
      </c>
    </row>
    <row r="160" spans="1:22" x14ac:dyDescent="0.25">
      <c r="A160">
        <v>9</v>
      </c>
      <c r="B160" t="s">
        <v>92</v>
      </c>
      <c r="C160" t="s">
        <v>194</v>
      </c>
      <c r="E160" t="s">
        <v>194</v>
      </c>
      <c r="L160" t="s">
        <v>93</v>
      </c>
      <c r="M160">
        <v>120</v>
      </c>
      <c r="N160" t="s">
        <v>25</v>
      </c>
      <c r="Q160">
        <v>1</v>
      </c>
      <c r="R160" t="s">
        <v>11</v>
      </c>
      <c r="T160">
        <v>10</v>
      </c>
      <c r="V160" t="s">
        <v>15</v>
      </c>
    </row>
    <row r="161" spans="1:22" x14ac:dyDescent="0.25">
      <c r="A161">
        <v>9</v>
      </c>
      <c r="B161" t="s">
        <v>92</v>
      </c>
      <c r="C161" t="s">
        <v>194</v>
      </c>
      <c r="E161" t="s">
        <v>194</v>
      </c>
      <c r="L161" t="s">
        <v>93</v>
      </c>
      <c r="M161">
        <v>130</v>
      </c>
      <c r="N161" t="s">
        <v>26</v>
      </c>
      <c r="Q161">
        <v>1</v>
      </c>
      <c r="R161" t="s">
        <v>11</v>
      </c>
      <c r="T161">
        <v>10</v>
      </c>
      <c r="V161" t="s">
        <v>15</v>
      </c>
    </row>
    <row r="162" spans="1:22" x14ac:dyDescent="0.25">
      <c r="A162">
        <v>9</v>
      </c>
      <c r="B162" t="s">
        <v>92</v>
      </c>
      <c r="C162" t="s">
        <v>194</v>
      </c>
      <c r="E162" t="s">
        <v>194</v>
      </c>
      <c r="L162" t="s">
        <v>93</v>
      </c>
      <c r="M162">
        <v>140</v>
      </c>
      <c r="N162" t="s">
        <v>100</v>
      </c>
      <c r="Q162">
        <v>0.58099999999999996</v>
      </c>
      <c r="R162" t="s">
        <v>14</v>
      </c>
      <c r="T162">
        <v>10</v>
      </c>
      <c r="V162" t="s">
        <v>15</v>
      </c>
    </row>
    <row r="163" spans="1:22" x14ac:dyDescent="0.25">
      <c r="A163">
        <v>9</v>
      </c>
      <c r="B163" t="s">
        <v>92</v>
      </c>
      <c r="C163" t="s">
        <v>194</v>
      </c>
      <c r="E163" t="s">
        <v>194</v>
      </c>
      <c r="L163" t="s">
        <v>93</v>
      </c>
      <c r="M163">
        <v>150</v>
      </c>
      <c r="N163" t="s">
        <v>197</v>
      </c>
      <c r="Q163">
        <v>1</v>
      </c>
      <c r="R163" t="s">
        <v>11</v>
      </c>
      <c r="T163">
        <v>10</v>
      </c>
      <c r="V163" t="s">
        <v>18</v>
      </c>
    </row>
    <row r="164" spans="1:22" x14ac:dyDescent="0.25">
      <c r="A164">
        <v>9</v>
      </c>
      <c r="B164" t="s">
        <v>92</v>
      </c>
      <c r="C164" t="s">
        <v>194</v>
      </c>
      <c r="E164" t="s">
        <v>194</v>
      </c>
      <c r="L164" t="s">
        <v>93</v>
      </c>
      <c r="M164">
        <v>160</v>
      </c>
      <c r="N164" t="s">
        <v>198</v>
      </c>
      <c r="Q164">
        <v>1</v>
      </c>
      <c r="R164" t="s">
        <v>11</v>
      </c>
      <c r="T164">
        <v>10</v>
      </c>
      <c r="V164" t="s">
        <v>18</v>
      </c>
    </row>
    <row r="165" spans="1:22" x14ac:dyDescent="0.25">
      <c r="A165">
        <v>9</v>
      </c>
      <c r="B165" t="s">
        <v>92</v>
      </c>
      <c r="C165" t="s">
        <v>194</v>
      </c>
      <c r="E165" t="s">
        <v>194</v>
      </c>
      <c r="L165" t="s">
        <v>93</v>
      </c>
      <c r="M165">
        <v>170</v>
      </c>
      <c r="N165" t="s">
        <v>142</v>
      </c>
      <c r="Q165">
        <v>5.69</v>
      </c>
      <c r="R165" t="s">
        <v>11</v>
      </c>
      <c r="T165">
        <v>10</v>
      </c>
      <c r="V165" t="s">
        <v>15</v>
      </c>
    </row>
    <row r="166" spans="1:22" x14ac:dyDescent="0.25">
      <c r="A166">
        <v>9</v>
      </c>
      <c r="B166" t="s">
        <v>92</v>
      </c>
      <c r="C166" t="s">
        <v>194</v>
      </c>
      <c r="E166" t="s">
        <v>194</v>
      </c>
      <c r="L166" t="s">
        <v>93</v>
      </c>
      <c r="M166">
        <v>180</v>
      </c>
      <c r="N166" t="s">
        <v>199</v>
      </c>
      <c r="Q166">
        <v>1</v>
      </c>
      <c r="R166" t="s">
        <v>11</v>
      </c>
      <c r="T166">
        <v>10</v>
      </c>
      <c r="V166" t="s">
        <v>18</v>
      </c>
    </row>
    <row r="167" spans="1:22" x14ac:dyDescent="0.25">
      <c r="A167">
        <v>10</v>
      </c>
      <c r="B167" t="s">
        <v>92</v>
      </c>
      <c r="C167" t="s">
        <v>200</v>
      </c>
      <c r="E167" t="s">
        <v>200</v>
      </c>
      <c r="L167" t="s">
        <v>93</v>
      </c>
      <c r="M167">
        <v>10</v>
      </c>
      <c r="N167" t="s">
        <v>201</v>
      </c>
      <c r="Q167">
        <v>1</v>
      </c>
      <c r="R167" t="s">
        <v>11</v>
      </c>
      <c r="T167">
        <v>10</v>
      </c>
      <c r="V167" t="s">
        <v>18</v>
      </c>
    </row>
    <row r="168" spans="1:22" x14ac:dyDescent="0.25">
      <c r="A168">
        <v>10</v>
      </c>
      <c r="B168" t="s">
        <v>92</v>
      </c>
      <c r="C168" t="s">
        <v>200</v>
      </c>
      <c r="E168" t="s">
        <v>200</v>
      </c>
      <c r="L168" t="s">
        <v>93</v>
      </c>
      <c r="M168">
        <v>20</v>
      </c>
      <c r="N168" t="s">
        <v>121</v>
      </c>
      <c r="Q168">
        <v>2.7930000000000001</v>
      </c>
      <c r="R168" t="s">
        <v>14</v>
      </c>
      <c r="T168">
        <v>10</v>
      </c>
      <c r="V168" t="s">
        <v>15</v>
      </c>
    </row>
    <row r="169" spans="1:22" x14ac:dyDescent="0.25">
      <c r="A169">
        <v>10</v>
      </c>
      <c r="B169" t="s">
        <v>92</v>
      </c>
      <c r="C169" t="s">
        <v>200</v>
      </c>
      <c r="E169" t="s">
        <v>200</v>
      </c>
      <c r="L169" t="s">
        <v>93</v>
      </c>
      <c r="M169">
        <v>30</v>
      </c>
      <c r="N169" t="s">
        <v>102</v>
      </c>
      <c r="Q169">
        <v>0.71199999999999997</v>
      </c>
      <c r="R169" t="s">
        <v>103</v>
      </c>
      <c r="T169">
        <v>10</v>
      </c>
      <c r="V169" t="s">
        <v>15</v>
      </c>
    </row>
    <row r="170" spans="1:22" x14ac:dyDescent="0.25">
      <c r="A170">
        <v>10</v>
      </c>
      <c r="B170" t="s">
        <v>92</v>
      </c>
      <c r="C170" t="s">
        <v>200</v>
      </c>
      <c r="E170" t="s">
        <v>200</v>
      </c>
      <c r="L170" t="s">
        <v>93</v>
      </c>
      <c r="M170">
        <v>40</v>
      </c>
      <c r="N170" t="s">
        <v>146</v>
      </c>
      <c r="Q170">
        <v>1.016</v>
      </c>
      <c r="R170" t="s">
        <v>11</v>
      </c>
      <c r="T170">
        <v>10</v>
      </c>
      <c r="V170" t="s">
        <v>18</v>
      </c>
    </row>
    <row r="171" spans="1:22" x14ac:dyDescent="0.25">
      <c r="A171">
        <v>10</v>
      </c>
      <c r="B171" t="s">
        <v>92</v>
      </c>
      <c r="C171" t="s">
        <v>200</v>
      </c>
      <c r="E171" t="s">
        <v>200</v>
      </c>
      <c r="L171" t="s">
        <v>93</v>
      </c>
      <c r="M171">
        <v>50</v>
      </c>
      <c r="N171" t="s">
        <v>139</v>
      </c>
      <c r="Q171">
        <v>1.016</v>
      </c>
      <c r="R171" t="s">
        <v>17</v>
      </c>
      <c r="T171">
        <v>10</v>
      </c>
      <c r="V171" t="s">
        <v>18</v>
      </c>
    </row>
    <row r="172" spans="1:22" x14ac:dyDescent="0.25">
      <c r="A172">
        <v>10</v>
      </c>
      <c r="B172" t="s">
        <v>92</v>
      </c>
      <c r="C172" t="s">
        <v>200</v>
      </c>
      <c r="E172" t="s">
        <v>200</v>
      </c>
      <c r="L172" t="s">
        <v>93</v>
      </c>
      <c r="M172">
        <v>60</v>
      </c>
      <c r="N172" t="s">
        <v>202</v>
      </c>
      <c r="Q172">
        <v>1</v>
      </c>
      <c r="R172" t="s">
        <v>11</v>
      </c>
      <c r="T172">
        <v>10</v>
      </c>
      <c r="V172" t="s">
        <v>18</v>
      </c>
    </row>
    <row r="173" spans="1:22" x14ac:dyDescent="0.25">
      <c r="A173">
        <v>10</v>
      </c>
      <c r="B173" t="s">
        <v>92</v>
      </c>
      <c r="C173" t="s">
        <v>200</v>
      </c>
      <c r="E173" t="s">
        <v>200</v>
      </c>
      <c r="L173" t="s">
        <v>93</v>
      </c>
      <c r="M173">
        <v>70</v>
      </c>
      <c r="N173" t="s">
        <v>148</v>
      </c>
      <c r="Q173">
        <v>17.983000000000001</v>
      </c>
      <c r="R173" t="s">
        <v>17</v>
      </c>
      <c r="T173">
        <v>10</v>
      </c>
      <c r="V173" t="s">
        <v>15</v>
      </c>
    </row>
    <row r="174" spans="1:22" x14ac:dyDescent="0.25">
      <c r="A174">
        <v>10</v>
      </c>
      <c r="B174" t="s">
        <v>92</v>
      </c>
      <c r="C174" t="s">
        <v>200</v>
      </c>
      <c r="E174" t="s">
        <v>200</v>
      </c>
      <c r="L174" t="s">
        <v>93</v>
      </c>
      <c r="M174">
        <v>80</v>
      </c>
      <c r="N174" t="s">
        <v>20</v>
      </c>
      <c r="Q174">
        <v>147.46199999999999</v>
      </c>
      <c r="R174" t="s">
        <v>17</v>
      </c>
      <c r="T174">
        <v>10</v>
      </c>
      <c r="V174" t="s">
        <v>15</v>
      </c>
    </row>
    <row r="175" spans="1:22" x14ac:dyDescent="0.25">
      <c r="A175">
        <v>10</v>
      </c>
      <c r="B175" t="s">
        <v>92</v>
      </c>
      <c r="C175" t="s">
        <v>200</v>
      </c>
      <c r="E175" t="s">
        <v>200</v>
      </c>
      <c r="L175" t="s">
        <v>93</v>
      </c>
      <c r="M175">
        <v>90</v>
      </c>
      <c r="N175" t="s">
        <v>24</v>
      </c>
      <c r="Q175">
        <v>1</v>
      </c>
      <c r="R175" t="s">
        <v>11</v>
      </c>
      <c r="T175">
        <v>10</v>
      </c>
      <c r="V175" t="s">
        <v>15</v>
      </c>
    </row>
    <row r="176" spans="1:22" x14ac:dyDescent="0.25">
      <c r="A176">
        <v>10</v>
      </c>
      <c r="B176" t="s">
        <v>92</v>
      </c>
      <c r="C176" t="s">
        <v>200</v>
      </c>
      <c r="E176" t="s">
        <v>200</v>
      </c>
      <c r="L176" t="s">
        <v>93</v>
      </c>
      <c r="M176">
        <v>100</v>
      </c>
      <c r="N176" t="s">
        <v>141</v>
      </c>
      <c r="Q176">
        <v>9.1999999999999998E-2</v>
      </c>
      <c r="R176" t="s">
        <v>14</v>
      </c>
      <c r="T176">
        <v>10</v>
      </c>
      <c r="V176" t="s">
        <v>15</v>
      </c>
    </row>
    <row r="177" spans="1:22" x14ac:dyDescent="0.25">
      <c r="A177">
        <v>10</v>
      </c>
      <c r="B177" t="s">
        <v>92</v>
      </c>
      <c r="C177" t="s">
        <v>200</v>
      </c>
      <c r="E177" t="s">
        <v>200</v>
      </c>
      <c r="L177" t="s">
        <v>93</v>
      </c>
      <c r="M177">
        <v>110</v>
      </c>
      <c r="N177" t="s">
        <v>140</v>
      </c>
      <c r="Q177">
        <v>4</v>
      </c>
      <c r="R177" t="s">
        <v>11</v>
      </c>
      <c r="T177">
        <v>10</v>
      </c>
      <c r="V177" t="s">
        <v>15</v>
      </c>
    </row>
    <row r="178" spans="1:22" x14ac:dyDescent="0.25">
      <c r="A178">
        <v>10</v>
      </c>
      <c r="B178" t="s">
        <v>92</v>
      </c>
      <c r="C178" t="s">
        <v>200</v>
      </c>
      <c r="E178" t="s">
        <v>200</v>
      </c>
      <c r="L178" t="s">
        <v>93</v>
      </c>
      <c r="M178">
        <v>120</v>
      </c>
      <c r="N178" t="s">
        <v>25</v>
      </c>
      <c r="Q178">
        <v>1</v>
      </c>
      <c r="R178" t="s">
        <v>11</v>
      </c>
      <c r="T178">
        <v>10</v>
      </c>
      <c r="V178" t="s">
        <v>15</v>
      </c>
    </row>
    <row r="179" spans="1:22" x14ac:dyDescent="0.25">
      <c r="A179">
        <v>10</v>
      </c>
      <c r="B179" t="s">
        <v>92</v>
      </c>
      <c r="C179" t="s">
        <v>200</v>
      </c>
      <c r="E179" t="s">
        <v>200</v>
      </c>
      <c r="L179" t="s">
        <v>93</v>
      </c>
      <c r="M179">
        <v>130</v>
      </c>
      <c r="N179" t="s">
        <v>26</v>
      </c>
      <c r="Q179">
        <v>1</v>
      </c>
      <c r="R179" t="s">
        <v>11</v>
      </c>
      <c r="T179">
        <v>10</v>
      </c>
      <c r="V179" t="s">
        <v>15</v>
      </c>
    </row>
    <row r="180" spans="1:22" x14ac:dyDescent="0.25">
      <c r="A180">
        <v>10</v>
      </c>
      <c r="B180" t="s">
        <v>92</v>
      </c>
      <c r="C180" t="s">
        <v>200</v>
      </c>
      <c r="E180" t="s">
        <v>200</v>
      </c>
      <c r="L180" t="s">
        <v>93</v>
      </c>
      <c r="M180">
        <v>140</v>
      </c>
      <c r="N180" t="s">
        <v>100</v>
      </c>
      <c r="Q180">
        <v>0.66200000000000003</v>
      </c>
      <c r="R180" t="s">
        <v>14</v>
      </c>
      <c r="T180">
        <v>10</v>
      </c>
      <c r="V180" t="s">
        <v>15</v>
      </c>
    </row>
    <row r="181" spans="1:22" x14ac:dyDescent="0.25">
      <c r="A181">
        <v>10</v>
      </c>
      <c r="B181" t="s">
        <v>92</v>
      </c>
      <c r="C181" t="s">
        <v>200</v>
      </c>
      <c r="E181" t="s">
        <v>200</v>
      </c>
      <c r="L181" t="s">
        <v>93</v>
      </c>
      <c r="M181">
        <v>150</v>
      </c>
      <c r="N181" t="s">
        <v>203</v>
      </c>
      <c r="Q181">
        <v>1</v>
      </c>
      <c r="R181" t="s">
        <v>11</v>
      </c>
      <c r="T181">
        <v>10</v>
      </c>
      <c r="V181" t="s">
        <v>18</v>
      </c>
    </row>
    <row r="182" spans="1:22" x14ac:dyDescent="0.25">
      <c r="A182">
        <v>10</v>
      </c>
      <c r="B182" t="s">
        <v>92</v>
      </c>
      <c r="C182" t="s">
        <v>200</v>
      </c>
      <c r="E182" t="s">
        <v>200</v>
      </c>
      <c r="L182" t="s">
        <v>93</v>
      </c>
      <c r="M182">
        <v>160</v>
      </c>
      <c r="N182" t="s">
        <v>204</v>
      </c>
      <c r="Q182">
        <v>1</v>
      </c>
      <c r="R182" t="s">
        <v>11</v>
      </c>
      <c r="T182">
        <v>10</v>
      </c>
      <c r="V182" t="s">
        <v>18</v>
      </c>
    </row>
    <row r="183" spans="1:22" x14ac:dyDescent="0.25">
      <c r="A183">
        <v>10</v>
      </c>
      <c r="B183" t="s">
        <v>92</v>
      </c>
      <c r="C183" t="s">
        <v>200</v>
      </c>
      <c r="E183" t="s">
        <v>200</v>
      </c>
      <c r="L183" t="s">
        <v>93</v>
      </c>
      <c r="M183">
        <v>170</v>
      </c>
      <c r="N183" t="s">
        <v>142</v>
      </c>
      <c r="Q183">
        <v>5.9939999999999998</v>
      </c>
      <c r="R183" t="s">
        <v>11</v>
      </c>
      <c r="T183">
        <v>10</v>
      </c>
      <c r="V183" t="s">
        <v>15</v>
      </c>
    </row>
    <row r="184" spans="1:22" x14ac:dyDescent="0.25">
      <c r="A184">
        <v>10</v>
      </c>
      <c r="B184" t="s">
        <v>92</v>
      </c>
      <c r="C184" t="s">
        <v>200</v>
      </c>
      <c r="E184" t="s">
        <v>200</v>
      </c>
      <c r="L184" t="s">
        <v>93</v>
      </c>
      <c r="M184">
        <v>180</v>
      </c>
      <c r="N184" t="s">
        <v>205</v>
      </c>
      <c r="Q184">
        <v>1</v>
      </c>
      <c r="R184" t="s">
        <v>11</v>
      </c>
      <c r="T184">
        <v>10</v>
      </c>
      <c r="V184" t="s">
        <v>18</v>
      </c>
    </row>
    <row r="185" spans="1:22" x14ac:dyDescent="0.25">
      <c r="A185">
        <v>11</v>
      </c>
      <c r="B185" t="s">
        <v>92</v>
      </c>
      <c r="C185" t="s">
        <v>206</v>
      </c>
      <c r="E185" t="s">
        <v>206</v>
      </c>
      <c r="L185" t="s">
        <v>93</v>
      </c>
      <c r="M185">
        <v>10</v>
      </c>
      <c r="N185" t="s">
        <v>207</v>
      </c>
      <c r="Q185">
        <v>1</v>
      </c>
      <c r="R185" t="s">
        <v>11</v>
      </c>
      <c r="T185">
        <v>10</v>
      </c>
      <c r="V185" t="s">
        <v>18</v>
      </c>
    </row>
    <row r="186" spans="1:22" x14ac:dyDescent="0.25">
      <c r="A186">
        <v>11</v>
      </c>
      <c r="B186" t="s">
        <v>92</v>
      </c>
      <c r="C186" t="s">
        <v>206</v>
      </c>
      <c r="E186" t="s">
        <v>206</v>
      </c>
      <c r="L186" t="s">
        <v>93</v>
      </c>
      <c r="M186">
        <v>20</v>
      </c>
      <c r="N186" t="s">
        <v>122</v>
      </c>
      <c r="Q186">
        <v>3.1960000000000002</v>
      </c>
      <c r="R186" t="s">
        <v>14</v>
      </c>
      <c r="T186">
        <v>10</v>
      </c>
      <c r="V186" t="s">
        <v>15</v>
      </c>
    </row>
    <row r="187" spans="1:22" x14ac:dyDescent="0.25">
      <c r="A187">
        <v>11</v>
      </c>
      <c r="B187" t="s">
        <v>92</v>
      </c>
      <c r="C187" t="s">
        <v>206</v>
      </c>
      <c r="E187" t="s">
        <v>206</v>
      </c>
      <c r="L187" t="s">
        <v>93</v>
      </c>
      <c r="M187">
        <v>30</v>
      </c>
      <c r="N187" t="s">
        <v>102</v>
      </c>
      <c r="Q187">
        <v>0.82399999999999995</v>
      </c>
      <c r="R187" t="s">
        <v>103</v>
      </c>
      <c r="T187">
        <v>10</v>
      </c>
      <c r="V187" t="s">
        <v>15</v>
      </c>
    </row>
    <row r="188" spans="1:22" x14ac:dyDescent="0.25">
      <c r="A188">
        <v>11</v>
      </c>
      <c r="B188" t="s">
        <v>92</v>
      </c>
      <c r="C188" t="s">
        <v>206</v>
      </c>
      <c r="E188" t="s">
        <v>206</v>
      </c>
      <c r="L188" t="s">
        <v>93</v>
      </c>
      <c r="M188">
        <v>40</v>
      </c>
      <c r="N188" t="s">
        <v>146</v>
      </c>
      <c r="Q188">
        <v>1.1679999999999999</v>
      </c>
      <c r="R188" t="s">
        <v>11</v>
      </c>
      <c r="T188">
        <v>10</v>
      </c>
      <c r="V188" t="s">
        <v>18</v>
      </c>
    </row>
    <row r="189" spans="1:22" x14ac:dyDescent="0.25">
      <c r="A189">
        <v>11</v>
      </c>
      <c r="B189" t="s">
        <v>92</v>
      </c>
      <c r="C189" t="s">
        <v>206</v>
      </c>
      <c r="E189" t="s">
        <v>206</v>
      </c>
      <c r="L189" t="s">
        <v>93</v>
      </c>
      <c r="M189">
        <v>50</v>
      </c>
      <c r="N189" t="s">
        <v>139</v>
      </c>
      <c r="Q189">
        <v>1.1679999999999999</v>
      </c>
      <c r="R189" t="s">
        <v>17</v>
      </c>
      <c r="T189">
        <v>10</v>
      </c>
      <c r="V189" t="s">
        <v>18</v>
      </c>
    </row>
    <row r="190" spans="1:22" x14ac:dyDescent="0.25">
      <c r="A190">
        <v>11</v>
      </c>
      <c r="B190" t="s">
        <v>92</v>
      </c>
      <c r="C190" t="s">
        <v>206</v>
      </c>
      <c r="E190" t="s">
        <v>206</v>
      </c>
      <c r="L190" t="s">
        <v>93</v>
      </c>
      <c r="M190">
        <v>60</v>
      </c>
      <c r="N190" t="s">
        <v>208</v>
      </c>
      <c r="Q190">
        <v>1</v>
      </c>
      <c r="R190" t="s">
        <v>11</v>
      </c>
      <c r="T190">
        <v>10</v>
      </c>
      <c r="V190" t="s">
        <v>18</v>
      </c>
    </row>
    <row r="191" spans="1:22" x14ac:dyDescent="0.25">
      <c r="A191">
        <v>11</v>
      </c>
      <c r="B191" t="s">
        <v>92</v>
      </c>
      <c r="C191" t="s">
        <v>206</v>
      </c>
      <c r="E191" t="s">
        <v>206</v>
      </c>
      <c r="L191" t="s">
        <v>93</v>
      </c>
      <c r="M191">
        <v>70</v>
      </c>
      <c r="N191" t="s">
        <v>148</v>
      </c>
      <c r="Q191">
        <v>18.898</v>
      </c>
      <c r="R191" t="s">
        <v>17</v>
      </c>
      <c r="T191">
        <v>10</v>
      </c>
      <c r="V191" t="s">
        <v>15</v>
      </c>
    </row>
    <row r="192" spans="1:22" x14ac:dyDescent="0.25">
      <c r="A192">
        <v>11</v>
      </c>
      <c r="B192" t="s">
        <v>92</v>
      </c>
      <c r="C192" t="s">
        <v>206</v>
      </c>
      <c r="E192" t="s">
        <v>206</v>
      </c>
      <c r="L192" t="s">
        <v>93</v>
      </c>
      <c r="M192">
        <v>80</v>
      </c>
      <c r="N192" t="s">
        <v>20</v>
      </c>
      <c r="Q192">
        <v>154.96</v>
      </c>
      <c r="R192" t="s">
        <v>17</v>
      </c>
      <c r="T192">
        <v>10</v>
      </c>
      <c r="V192" t="s">
        <v>15</v>
      </c>
    </row>
    <row r="193" spans="1:22" x14ac:dyDescent="0.25">
      <c r="A193">
        <v>11</v>
      </c>
      <c r="B193" t="s">
        <v>92</v>
      </c>
      <c r="C193" t="s">
        <v>206</v>
      </c>
      <c r="E193" t="s">
        <v>206</v>
      </c>
      <c r="L193" t="s">
        <v>93</v>
      </c>
      <c r="M193">
        <v>90</v>
      </c>
      <c r="N193" t="s">
        <v>24</v>
      </c>
      <c r="Q193">
        <v>1</v>
      </c>
      <c r="R193" t="s">
        <v>11</v>
      </c>
      <c r="T193">
        <v>10</v>
      </c>
      <c r="V193" t="s">
        <v>15</v>
      </c>
    </row>
    <row r="194" spans="1:22" x14ac:dyDescent="0.25">
      <c r="A194">
        <v>11</v>
      </c>
      <c r="B194" t="s">
        <v>92</v>
      </c>
      <c r="C194" t="s">
        <v>206</v>
      </c>
      <c r="E194" t="s">
        <v>206</v>
      </c>
      <c r="L194" t="s">
        <v>93</v>
      </c>
      <c r="M194">
        <v>100</v>
      </c>
      <c r="N194" t="s">
        <v>141</v>
      </c>
      <c r="Q194">
        <v>0.10199999999999999</v>
      </c>
      <c r="R194" t="s">
        <v>14</v>
      </c>
      <c r="T194">
        <v>10</v>
      </c>
      <c r="V194" t="s">
        <v>15</v>
      </c>
    </row>
    <row r="195" spans="1:22" x14ac:dyDescent="0.25">
      <c r="A195">
        <v>11</v>
      </c>
      <c r="B195" t="s">
        <v>92</v>
      </c>
      <c r="C195" t="s">
        <v>206</v>
      </c>
      <c r="E195" t="s">
        <v>206</v>
      </c>
      <c r="L195" t="s">
        <v>93</v>
      </c>
      <c r="M195">
        <v>110</v>
      </c>
      <c r="N195" t="s">
        <v>140</v>
      </c>
      <c r="Q195">
        <v>4</v>
      </c>
      <c r="R195" t="s">
        <v>11</v>
      </c>
      <c r="T195">
        <v>10</v>
      </c>
      <c r="V195" t="s">
        <v>15</v>
      </c>
    </row>
    <row r="196" spans="1:22" x14ac:dyDescent="0.25">
      <c r="A196">
        <v>11</v>
      </c>
      <c r="B196" t="s">
        <v>92</v>
      </c>
      <c r="C196" t="s">
        <v>206</v>
      </c>
      <c r="E196" t="s">
        <v>206</v>
      </c>
      <c r="L196" t="s">
        <v>93</v>
      </c>
      <c r="M196">
        <v>120</v>
      </c>
      <c r="N196" t="s">
        <v>25</v>
      </c>
      <c r="Q196">
        <v>1</v>
      </c>
      <c r="R196" t="s">
        <v>11</v>
      </c>
      <c r="T196">
        <v>10</v>
      </c>
      <c r="V196" t="s">
        <v>15</v>
      </c>
    </row>
    <row r="197" spans="1:22" x14ac:dyDescent="0.25">
      <c r="A197">
        <v>11</v>
      </c>
      <c r="B197" t="s">
        <v>92</v>
      </c>
      <c r="C197" t="s">
        <v>206</v>
      </c>
      <c r="E197" t="s">
        <v>206</v>
      </c>
      <c r="L197" t="s">
        <v>93</v>
      </c>
      <c r="M197">
        <v>130</v>
      </c>
      <c r="N197" t="s">
        <v>26</v>
      </c>
      <c r="Q197">
        <v>1</v>
      </c>
      <c r="R197" t="s">
        <v>11</v>
      </c>
      <c r="T197">
        <v>10</v>
      </c>
      <c r="V197" t="s">
        <v>15</v>
      </c>
    </row>
    <row r="198" spans="1:22" x14ac:dyDescent="0.25">
      <c r="A198">
        <v>11</v>
      </c>
      <c r="B198" t="s">
        <v>92</v>
      </c>
      <c r="C198" t="s">
        <v>206</v>
      </c>
      <c r="E198" t="s">
        <v>206</v>
      </c>
      <c r="L198" t="s">
        <v>93</v>
      </c>
      <c r="M198">
        <v>140</v>
      </c>
      <c r="N198" t="s">
        <v>100</v>
      </c>
      <c r="Q198">
        <v>0.74299999999999999</v>
      </c>
      <c r="R198" t="s">
        <v>14</v>
      </c>
      <c r="T198">
        <v>10</v>
      </c>
      <c r="V198" t="s">
        <v>15</v>
      </c>
    </row>
    <row r="199" spans="1:22" x14ac:dyDescent="0.25">
      <c r="A199">
        <v>11</v>
      </c>
      <c r="B199" t="s">
        <v>92</v>
      </c>
      <c r="C199" t="s">
        <v>206</v>
      </c>
      <c r="E199" t="s">
        <v>206</v>
      </c>
      <c r="L199" t="s">
        <v>93</v>
      </c>
      <c r="M199">
        <v>150</v>
      </c>
      <c r="N199" t="s">
        <v>209</v>
      </c>
      <c r="Q199">
        <v>1</v>
      </c>
      <c r="R199" t="s">
        <v>11</v>
      </c>
      <c r="T199">
        <v>10</v>
      </c>
      <c r="V199" t="s">
        <v>18</v>
      </c>
    </row>
    <row r="200" spans="1:22" x14ac:dyDescent="0.25">
      <c r="A200">
        <v>11</v>
      </c>
      <c r="B200" t="s">
        <v>92</v>
      </c>
      <c r="C200" t="s">
        <v>206</v>
      </c>
      <c r="E200" t="s">
        <v>206</v>
      </c>
      <c r="L200" t="s">
        <v>93</v>
      </c>
      <c r="M200">
        <v>160</v>
      </c>
      <c r="N200" t="s">
        <v>210</v>
      </c>
      <c r="Q200">
        <v>1</v>
      </c>
      <c r="R200" t="s">
        <v>11</v>
      </c>
      <c r="T200">
        <v>10</v>
      </c>
      <c r="V200" t="s">
        <v>18</v>
      </c>
    </row>
    <row r="201" spans="1:22" x14ac:dyDescent="0.25">
      <c r="A201">
        <v>11</v>
      </c>
      <c r="B201" t="s">
        <v>92</v>
      </c>
      <c r="C201" t="s">
        <v>206</v>
      </c>
      <c r="E201" t="s">
        <v>206</v>
      </c>
      <c r="L201" t="s">
        <v>93</v>
      </c>
      <c r="M201">
        <v>170</v>
      </c>
      <c r="N201" t="s">
        <v>142</v>
      </c>
      <c r="Q201">
        <v>6.2990000000000004</v>
      </c>
      <c r="R201" t="s">
        <v>11</v>
      </c>
      <c r="T201">
        <v>10</v>
      </c>
      <c r="V201" t="s">
        <v>15</v>
      </c>
    </row>
    <row r="202" spans="1:22" x14ac:dyDescent="0.25">
      <c r="A202">
        <v>11</v>
      </c>
      <c r="B202" t="s">
        <v>92</v>
      </c>
      <c r="C202" t="s">
        <v>206</v>
      </c>
      <c r="E202" t="s">
        <v>206</v>
      </c>
      <c r="L202" t="s">
        <v>93</v>
      </c>
      <c r="M202">
        <v>180</v>
      </c>
      <c r="N202" t="s">
        <v>211</v>
      </c>
      <c r="Q202">
        <v>1</v>
      </c>
      <c r="R202" t="s">
        <v>11</v>
      </c>
      <c r="T202">
        <v>10</v>
      </c>
      <c r="V202" t="s">
        <v>18</v>
      </c>
    </row>
    <row r="203" spans="1:22" x14ac:dyDescent="0.25">
      <c r="A203">
        <v>12</v>
      </c>
      <c r="B203" t="s">
        <v>92</v>
      </c>
      <c r="C203" t="s">
        <v>212</v>
      </c>
      <c r="E203" t="s">
        <v>212</v>
      </c>
      <c r="L203" t="s">
        <v>93</v>
      </c>
      <c r="M203">
        <v>10</v>
      </c>
      <c r="N203" t="s">
        <v>213</v>
      </c>
      <c r="Q203">
        <v>1</v>
      </c>
      <c r="R203" t="s">
        <v>11</v>
      </c>
      <c r="T203">
        <v>10</v>
      </c>
      <c r="V203" t="s">
        <v>18</v>
      </c>
    </row>
    <row r="204" spans="1:22" x14ac:dyDescent="0.25">
      <c r="A204">
        <v>12</v>
      </c>
      <c r="B204" t="s">
        <v>92</v>
      </c>
      <c r="C204" t="s">
        <v>212</v>
      </c>
      <c r="E204" t="s">
        <v>212</v>
      </c>
      <c r="L204" t="s">
        <v>93</v>
      </c>
      <c r="M204">
        <v>20</v>
      </c>
      <c r="N204" t="s">
        <v>123</v>
      </c>
      <c r="Q204">
        <v>4.0039999999999996</v>
      </c>
      <c r="R204" t="s">
        <v>14</v>
      </c>
      <c r="T204">
        <v>10</v>
      </c>
      <c r="V204" t="s">
        <v>15</v>
      </c>
    </row>
    <row r="205" spans="1:22" x14ac:dyDescent="0.25">
      <c r="A205">
        <v>12</v>
      </c>
      <c r="B205" t="s">
        <v>92</v>
      </c>
      <c r="C205" t="s">
        <v>212</v>
      </c>
      <c r="E205" t="s">
        <v>212</v>
      </c>
      <c r="L205" t="s">
        <v>93</v>
      </c>
      <c r="M205">
        <v>30</v>
      </c>
      <c r="N205" t="s">
        <v>102</v>
      </c>
      <c r="Q205">
        <v>0.93700000000000006</v>
      </c>
      <c r="R205" t="s">
        <v>103</v>
      </c>
      <c r="T205">
        <v>10</v>
      </c>
      <c r="V205" t="s">
        <v>15</v>
      </c>
    </row>
    <row r="206" spans="1:22" x14ac:dyDescent="0.25">
      <c r="A206">
        <v>12</v>
      </c>
      <c r="B206" t="s">
        <v>92</v>
      </c>
      <c r="C206" t="s">
        <v>212</v>
      </c>
      <c r="E206" t="s">
        <v>212</v>
      </c>
      <c r="L206" t="s">
        <v>93</v>
      </c>
      <c r="M206">
        <v>40</v>
      </c>
      <c r="N206" t="s">
        <v>146</v>
      </c>
      <c r="Q206">
        <v>1.321</v>
      </c>
      <c r="R206" t="s">
        <v>11</v>
      </c>
      <c r="T206">
        <v>10</v>
      </c>
      <c r="V206" t="s">
        <v>18</v>
      </c>
    </row>
    <row r="207" spans="1:22" x14ac:dyDescent="0.25">
      <c r="A207">
        <v>12</v>
      </c>
      <c r="B207" t="s">
        <v>92</v>
      </c>
      <c r="C207" t="s">
        <v>212</v>
      </c>
      <c r="E207" t="s">
        <v>212</v>
      </c>
      <c r="L207" t="s">
        <v>93</v>
      </c>
      <c r="M207">
        <v>50</v>
      </c>
      <c r="N207" t="s">
        <v>139</v>
      </c>
      <c r="Q207">
        <v>1.321</v>
      </c>
      <c r="R207" t="s">
        <v>17</v>
      </c>
      <c r="T207">
        <v>10</v>
      </c>
      <c r="V207" t="s">
        <v>18</v>
      </c>
    </row>
    <row r="208" spans="1:22" x14ac:dyDescent="0.25">
      <c r="A208">
        <v>12</v>
      </c>
      <c r="B208" t="s">
        <v>92</v>
      </c>
      <c r="C208" t="s">
        <v>212</v>
      </c>
      <c r="E208" t="s">
        <v>212</v>
      </c>
      <c r="L208" t="s">
        <v>93</v>
      </c>
      <c r="M208">
        <v>60</v>
      </c>
      <c r="N208" t="s">
        <v>214</v>
      </c>
      <c r="Q208">
        <v>1</v>
      </c>
      <c r="R208" t="s">
        <v>11</v>
      </c>
      <c r="T208">
        <v>10</v>
      </c>
      <c r="V208" t="s">
        <v>18</v>
      </c>
    </row>
    <row r="209" spans="1:22" x14ac:dyDescent="0.25">
      <c r="A209">
        <v>12</v>
      </c>
      <c r="B209" t="s">
        <v>92</v>
      </c>
      <c r="C209" t="s">
        <v>212</v>
      </c>
      <c r="E209" t="s">
        <v>212</v>
      </c>
      <c r="L209" t="s">
        <v>93</v>
      </c>
      <c r="M209">
        <v>70</v>
      </c>
      <c r="N209" t="s">
        <v>148</v>
      </c>
      <c r="Q209">
        <v>19.812000000000001</v>
      </c>
      <c r="R209" t="s">
        <v>17</v>
      </c>
      <c r="T209">
        <v>10</v>
      </c>
      <c r="V209" t="s">
        <v>15</v>
      </c>
    </row>
    <row r="210" spans="1:22" x14ac:dyDescent="0.25">
      <c r="A210">
        <v>12</v>
      </c>
      <c r="B210" t="s">
        <v>92</v>
      </c>
      <c r="C210" t="s">
        <v>212</v>
      </c>
      <c r="E210" t="s">
        <v>212</v>
      </c>
      <c r="L210" t="s">
        <v>93</v>
      </c>
      <c r="M210">
        <v>80</v>
      </c>
      <c r="N210" t="s">
        <v>20</v>
      </c>
      <c r="Q210">
        <v>162.458</v>
      </c>
      <c r="R210" t="s">
        <v>17</v>
      </c>
      <c r="T210">
        <v>10</v>
      </c>
      <c r="V210" t="s">
        <v>15</v>
      </c>
    </row>
    <row r="211" spans="1:22" x14ac:dyDescent="0.25">
      <c r="A211">
        <v>12</v>
      </c>
      <c r="B211" t="s">
        <v>92</v>
      </c>
      <c r="C211" t="s">
        <v>212</v>
      </c>
      <c r="E211" t="s">
        <v>212</v>
      </c>
      <c r="L211" t="s">
        <v>93</v>
      </c>
      <c r="M211">
        <v>90</v>
      </c>
      <c r="N211" t="s">
        <v>24</v>
      </c>
      <c r="Q211">
        <v>1</v>
      </c>
      <c r="R211" t="s">
        <v>11</v>
      </c>
      <c r="T211">
        <v>10</v>
      </c>
      <c r="V211" t="s">
        <v>15</v>
      </c>
    </row>
    <row r="212" spans="1:22" x14ac:dyDescent="0.25">
      <c r="A212">
        <v>12</v>
      </c>
      <c r="B212" t="s">
        <v>92</v>
      </c>
      <c r="C212" t="s">
        <v>212</v>
      </c>
      <c r="E212" t="s">
        <v>212</v>
      </c>
      <c r="L212" t="s">
        <v>93</v>
      </c>
      <c r="M212">
        <v>100</v>
      </c>
      <c r="N212" t="s">
        <v>141</v>
      </c>
      <c r="Q212">
        <v>0.112</v>
      </c>
      <c r="R212" t="s">
        <v>14</v>
      </c>
      <c r="T212">
        <v>10</v>
      </c>
      <c r="V212" t="s">
        <v>15</v>
      </c>
    </row>
    <row r="213" spans="1:22" x14ac:dyDescent="0.25">
      <c r="A213">
        <v>12</v>
      </c>
      <c r="B213" t="s">
        <v>92</v>
      </c>
      <c r="C213" t="s">
        <v>212</v>
      </c>
      <c r="E213" t="s">
        <v>212</v>
      </c>
      <c r="L213" t="s">
        <v>93</v>
      </c>
      <c r="M213">
        <v>110</v>
      </c>
      <c r="N213" t="s">
        <v>140</v>
      </c>
      <c r="Q213">
        <v>4</v>
      </c>
      <c r="R213" t="s">
        <v>11</v>
      </c>
      <c r="T213">
        <v>10</v>
      </c>
      <c r="V213" t="s">
        <v>15</v>
      </c>
    </row>
    <row r="214" spans="1:22" x14ac:dyDescent="0.25">
      <c r="A214">
        <v>12</v>
      </c>
      <c r="B214" t="s">
        <v>92</v>
      </c>
      <c r="C214" t="s">
        <v>212</v>
      </c>
      <c r="E214" t="s">
        <v>212</v>
      </c>
      <c r="L214" t="s">
        <v>93</v>
      </c>
      <c r="M214">
        <v>120</v>
      </c>
      <c r="N214" t="s">
        <v>25</v>
      </c>
      <c r="Q214">
        <v>1</v>
      </c>
      <c r="R214" t="s">
        <v>11</v>
      </c>
      <c r="T214">
        <v>10</v>
      </c>
      <c r="V214" t="s">
        <v>15</v>
      </c>
    </row>
    <row r="215" spans="1:22" x14ac:dyDescent="0.25">
      <c r="A215">
        <v>12</v>
      </c>
      <c r="B215" t="s">
        <v>92</v>
      </c>
      <c r="C215" t="s">
        <v>212</v>
      </c>
      <c r="E215" t="s">
        <v>212</v>
      </c>
      <c r="L215" t="s">
        <v>93</v>
      </c>
      <c r="M215">
        <v>130</v>
      </c>
      <c r="N215" t="s">
        <v>26</v>
      </c>
      <c r="Q215">
        <v>1</v>
      </c>
      <c r="R215" t="s">
        <v>11</v>
      </c>
      <c r="T215">
        <v>10</v>
      </c>
      <c r="V215" t="s">
        <v>15</v>
      </c>
    </row>
    <row r="216" spans="1:22" x14ac:dyDescent="0.25">
      <c r="A216">
        <v>12</v>
      </c>
      <c r="B216" t="s">
        <v>92</v>
      </c>
      <c r="C216" t="s">
        <v>212</v>
      </c>
      <c r="E216" t="s">
        <v>212</v>
      </c>
      <c r="L216" t="s">
        <v>93</v>
      </c>
      <c r="M216">
        <v>140</v>
      </c>
      <c r="N216" t="s">
        <v>100</v>
      </c>
      <c r="Q216">
        <v>0.82399999999999995</v>
      </c>
      <c r="R216" t="s">
        <v>14</v>
      </c>
      <c r="T216">
        <v>10</v>
      </c>
      <c r="V216" t="s">
        <v>15</v>
      </c>
    </row>
    <row r="217" spans="1:22" x14ac:dyDescent="0.25">
      <c r="A217">
        <v>12</v>
      </c>
      <c r="B217" t="s">
        <v>92</v>
      </c>
      <c r="C217" t="s">
        <v>212</v>
      </c>
      <c r="E217" t="s">
        <v>212</v>
      </c>
      <c r="L217" t="s">
        <v>93</v>
      </c>
      <c r="M217">
        <v>150</v>
      </c>
      <c r="N217" t="s">
        <v>215</v>
      </c>
      <c r="Q217">
        <v>1</v>
      </c>
      <c r="R217" t="s">
        <v>11</v>
      </c>
      <c r="T217">
        <v>10</v>
      </c>
      <c r="V217" t="s">
        <v>18</v>
      </c>
    </row>
    <row r="218" spans="1:22" x14ac:dyDescent="0.25">
      <c r="A218">
        <v>12</v>
      </c>
      <c r="B218" t="s">
        <v>92</v>
      </c>
      <c r="C218" t="s">
        <v>212</v>
      </c>
      <c r="E218" t="s">
        <v>212</v>
      </c>
      <c r="L218" t="s">
        <v>93</v>
      </c>
      <c r="M218">
        <v>160</v>
      </c>
      <c r="N218" t="s">
        <v>216</v>
      </c>
      <c r="Q218">
        <v>1</v>
      </c>
      <c r="R218" t="s">
        <v>11</v>
      </c>
      <c r="T218">
        <v>10</v>
      </c>
      <c r="V218" t="s">
        <v>18</v>
      </c>
    </row>
    <row r="219" spans="1:22" x14ac:dyDescent="0.25">
      <c r="A219">
        <v>12</v>
      </c>
      <c r="B219" t="s">
        <v>92</v>
      </c>
      <c r="C219" t="s">
        <v>212</v>
      </c>
      <c r="E219" t="s">
        <v>212</v>
      </c>
      <c r="L219" t="s">
        <v>93</v>
      </c>
      <c r="M219">
        <v>170</v>
      </c>
      <c r="N219" t="s">
        <v>142</v>
      </c>
      <c r="Q219">
        <v>6.6040000000000001</v>
      </c>
      <c r="R219" t="s">
        <v>11</v>
      </c>
      <c r="T219">
        <v>10</v>
      </c>
      <c r="V219" t="s">
        <v>15</v>
      </c>
    </row>
    <row r="220" spans="1:22" x14ac:dyDescent="0.25">
      <c r="A220">
        <v>12</v>
      </c>
      <c r="B220" t="s">
        <v>92</v>
      </c>
      <c r="C220" t="s">
        <v>212</v>
      </c>
      <c r="E220" t="s">
        <v>212</v>
      </c>
      <c r="L220" t="s">
        <v>93</v>
      </c>
      <c r="M220">
        <v>180</v>
      </c>
      <c r="N220" t="s">
        <v>217</v>
      </c>
      <c r="Q220">
        <v>1</v>
      </c>
      <c r="R220" t="s">
        <v>11</v>
      </c>
      <c r="T220">
        <v>10</v>
      </c>
      <c r="V220" t="s">
        <v>18</v>
      </c>
    </row>
    <row r="221" spans="1:22" x14ac:dyDescent="0.25">
      <c r="A221">
        <v>13</v>
      </c>
      <c r="B221" t="s">
        <v>92</v>
      </c>
      <c r="C221" t="s">
        <v>218</v>
      </c>
      <c r="E221" t="s">
        <v>218</v>
      </c>
      <c r="L221" t="s">
        <v>93</v>
      </c>
      <c r="M221">
        <v>10</v>
      </c>
      <c r="N221" t="s">
        <v>219</v>
      </c>
      <c r="Q221">
        <v>1</v>
      </c>
      <c r="R221" t="s">
        <v>11</v>
      </c>
      <c r="T221">
        <v>10</v>
      </c>
      <c r="V221" t="s">
        <v>18</v>
      </c>
    </row>
    <row r="222" spans="1:22" x14ac:dyDescent="0.25">
      <c r="A222">
        <v>13</v>
      </c>
      <c r="B222" t="s">
        <v>92</v>
      </c>
      <c r="C222" t="s">
        <v>218</v>
      </c>
      <c r="E222" t="s">
        <v>218</v>
      </c>
      <c r="L222" t="s">
        <v>93</v>
      </c>
      <c r="M222">
        <v>20</v>
      </c>
      <c r="N222" t="s">
        <v>123</v>
      </c>
      <c r="Q222">
        <v>4.0039999999999996</v>
      </c>
      <c r="R222" t="s">
        <v>14</v>
      </c>
      <c r="T222">
        <v>10</v>
      </c>
      <c r="V222" t="s">
        <v>15</v>
      </c>
    </row>
    <row r="223" spans="1:22" x14ac:dyDescent="0.25">
      <c r="A223">
        <v>13</v>
      </c>
      <c r="B223" t="s">
        <v>92</v>
      </c>
      <c r="C223" t="s">
        <v>218</v>
      </c>
      <c r="E223" t="s">
        <v>218</v>
      </c>
      <c r="L223" t="s">
        <v>93</v>
      </c>
      <c r="M223">
        <v>30</v>
      </c>
      <c r="N223" t="s">
        <v>102</v>
      </c>
      <c r="Q223">
        <v>0.99299999999999999</v>
      </c>
      <c r="R223" t="s">
        <v>103</v>
      </c>
      <c r="T223">
        <v>10</v>
      </c>
      <c r="V223" t="s">
        <v>15</v>
      </c>
    </row>
    <row r="224" spans="1:22" x14ac:dyDescent="0.25">
      <c r="A224">
        <v>13</v>
      </c>
      <c r="B224" t="s">
        <v>92</v>
      </c>
      <c r="C224" t="s">
        <v>218</v>
      </c>
      <c r="E224" t="s">
        <v>218</v>
      </c>
      <c r="L224" t="s">
        <v>93</v>
      </c>
      <c r="M224">
        <v>40</v>
      </c>
      <c r="N224" t="s">
        <v>146</v>
      </c>
      <c r="Q224">
        <v>1.397</v>
      </c>
      <c r="R224" t="s">
        <v>11</v>
      </c>
      <c r="T224">
        <v>10</v>
      </c>
      <c r="V224" t="s">
        <v>18</v>
      </c>
    </row>
    <row r="225" spans="1:22" x14ac:dyDescent="0.25">
      <c r="A225">
        <v>13</v>
      </c>
      <c r="B225" t="s">
        <v>92</v>
      </c>
      <c r="C225" t="s">
        <v>218</v>
      </c>
      <c r="E225" t="s">
        <v>218</v>
      </c>
      <c r="L225" t="s">
        <v>93</v>
      </c>
      <c r="M225">
        <v>50</v>
      </c>
      <c r="N225" t="s">
        <v>139</v>
      </c>
      <c r="Q225">
        <v>1.397</v>
      </c>
      <c r="R225" t="s">
        <v>17</v>
      </c>
      <c r="T225">
        <v>10</v>
      </c>
      <c r="V225" t="s">
        <v>18</v>
      </c>
    </row>
    <row r="226" spans="1:22" x14ac:dyDescent="0.25">
      <c r="A226">
        <v>13</v>
      </c>
      <c r="B226" t="s">
        <v>92</v>
      </c>
      <c r="C226" t="s">
        <v>218</v>
      </c>
      <c r="E226" t="s">
        <v>218</v>
      </c>
      <c r="L226" t="s">
        <v>93</v>
      </c>
      <c r="M226">
        <v>60</v>
      </c>
      <c r="N226" t="s">
        <v>220</v>
      </c>
      <c r="Q226">
        <v>1</v>
      </c>
      <c r="R226" t="s">
        <v>11</v>
      </c>
      <c r="T226">
        <v>10</v>
      </c>
      <c r="V226" t="s">
        <v>18</v>
      </c>
    </row>
    <row r="227" spans="1:22" x14ac:dyDescent="0.25">
      <c r="A227">
        <v>13</v>
      </c>
      <c r="B227" t="s">
        <v>92</v>
      </c>
      <c r="C227" t="s">
        <v>218</v>
      </c>
      <c r="E227" t="s">
        <v>218</v>
      </c>
      <c r="L227" t="s">
        <v>93</v>
      </c>
      <c r="M227">
        <v>70</v>
      </c>
      <c r="N227" t="s">
        <v>148</v>
      </c>
      <c r="Q227">
        <v>20.268999999999998</v>
      </c>
      <c r="R227" t="s">
        <v>17</v>
      </c>
      <c r="T227">
        <v>10</v>
      </c>
      <c r="V227" t="s">
        <v>15</v>
      </c>
    </row>
    <row r="228" spans="1:22" x14ac:dyDescent="0.25">
      <c r="A228">
        <v>13</v>
      </c>
      <c r="B228" t="s">
        <v>92</v>
      </c>
      <c r="C228" t="s">
        <v>218</v>
      </c>
      <c r="E228" t="s">
        <v>218</v>
      </c>
      <c r="L228" t="s">
        <v>93</v>
      </c>
      <c r="M228">
        <v>80</v>
      </c>
      <c r="N228" t="s">
        <v>20</v>
      </c>
      <c r="Q228">
        <v>166.20699999999999</v>
      </c>
      <c r="R228" t="s">
        <v>17</v>
      </c>
      <c r="T228">
        <v>10</v>
      </c>
      <c r="V228" t="s">
        <v>15</v>
      </c>
    </row>
    <row r="229" spans="1:22" x14ac:dyDescent="0.25">
      <c r="A229">
        <v>13</v>
      </c>
      <c r="B229" t="s">
        <v>92</v>
      </c>
      <c r="C229" t="s">
        <v>218</v>
      </c>
      <c r="E229" t="s">
        <v>218</v>
      </c>
      <c r="L229" t="s">
        <v>93</v>
      </c>
      <c r="M229">
        <v>90</v>
      </c>
      <c r="N229" t="s">
        <v>24</v>
      </c>
      <c r="Q229">
        <v>1</v>
      </c>
      <c r="R229" t="s">
        <v>11</v>
      </c>
      <c r="T229">
        <v>10</v>
      </c>
      <c r="V229" t="s">
        <v>15</v>
      </c>
    </row>
    <row r="230" spans="1:22" x14ac:dyDescent="0.25">
      <c r="A230">
        <v>13</v>
      </c>
      <c r="B230" t="s">
        <v>92</v>
      </c>
      <c r="C230" t="s">
        <v>218</v>
      </c>
      <c r="E230" t="s">
        <v>218</v>
      </c>
      <c r="L230" t="s">
        <v>93</v>
      </c>
      <c r="M230">
        <v>100</v>
      </c>
      <c r="N230" t="s">
        <v>141</v>
      </c>
      <c r="Q230">
        <v>0.11700000000000001</v>
      </c>
      <c r="R230" t="s">
        <v>14</v>
      </c>
      <c r="T230">
        <v>10</v>
      </c>
      <c r="V230" t="s">
        <v>15</v>
      </c>
    </row>
    <row r="231" spans="1:22" x14ac:dyDescent="0.25">
      <c r="A231">
        <v>13</v>
      </c>
      <c r="B231" t="s">
        <v>92</v>
      </c>
      <c r="C231" t="s">
        <v>218</v>
      </c>
      <c r="E231" t="s">
        <v>218</v>
      </c>
      <c r="L231" t="s">
        <v>93</v>
      </c>
      <c r="M231">
        <v>110</v>
      </c>
      <c r="N231" t="s">
        <v>140</v>
      </c>
      <c r="Q231">
        <v>4</v>
      </c>
      <c r="R231" t="s">
        <v>11</v>
      </c>
      <c r="T231">
        <v>10</v>
      </c>
      <c r="V231" t="s">
        <v>15</v>
      </c>
    </row>
    <row r="232" spans="1:22" x14ac:dyDescent="0.25">
      <c r="A232">
        <v>13</v>
      </c>
      <c r="B232" t="s">
        <v>92</v>
      </c>
      <c r="C232" t="s">
        <v>218</v>
      </c>
      <c r="E232" t="s">
        <v>218</v>
      </c>
      <c r="L232" t="s">
        <v>93</v>
      </c>
      <c r="M232">
        <v>120</v>
      </c>
      <c r="N232" t="s">
        <v>25</v>
      </c>
      <c r="Q232">
        <v>1</v>
      </c>
      <c r="R232" t="s">
        <v>11</v>
      </c>
      <c r="T232">
        <v>10</v>
      </c>
      <c r="V232" t="s">
        <v>15</v>
      </c>
    </row>
    <row r="233" spans="1:22" x14ac:dyDescent="0.25">
      <c r="A233">
        <v>13</v>
      </c>
      <c r="B233" t="s">
        <v>92</v>
      </c>
      <c r="C233" t="s">
        <v>218</v>
      </c>
      <c r="E233" t="s">
        <v>218</v>
      </c>
      <c r="L233" t="s">
        <v>93</v>
      </c>
      <c r="M233">
        <v>130</v>
      </c>
      <c r="N233" t="s">
        <v>26</v>
      </c>
      <c r="Q233">
        <v>1</v>
      </c>
      <c r="R233" t="s">
        <v>11</v>
      </c>
      <c r="T233">
        <v>10</v>
      </c>
      <c r="V233" t="s">
        <v>15</v>
      </c>
    </row>
    <row r="234" spans="1:22" x14ac:dyDescent="0.25">
      <c r="A234">
        <v>13</v>
      </c>
      <c r="B234" t="s">
        <v>92</v>
      </c>
      <c r="C234" t="s">
        <v>218</v>
      </c>
      <c r="E234" t="s">
        <v>218</v>
      </c>
      <c r="L234" t="s">
        <v>93</v>
      </c>
      <c r="M234">
        <v>140</v>
      </c>
      <c r="N234" t="s">
        <v>100</v>
      </c>
      <c r="Q234">
        <v>0.86499999999999999</v>
      </c>
      <c r="R234" t="s">
        <v>14</v>
      </c>
      <c r="T234">
        <v>10</v>
      </c>
      <c r="V234" t="s">
        <v>15</v>
      </c>
    </row>
    <row r="235" spans="1:22" x14ac:dyDescent="0.25">
      <c r="A235">
        <v>13</v>
      </c>
      <c r="B235" t="s">
        <v>92</v>
      </c>
      <c r="C235" t="s">
        <v>218</v>
      </c>
      <c r="E235" t="s">
        <v>218</v>
      </c>
      <c r="L235" t="s">
        <v>93</v>
      </c>
      <c r="M235">
        <v>150</v>
      </c>
      <c r="N235" t="s">
        <v>221</v>
      </c>
      <c r="Q235">
        <v>1</v>
      </c>
      <c r="R235" t="s">
        <v>11</v>
      </c>
      <c r="T235">
        <v>10</v>
      </c>
      <c r="V235" t="s">
        <v>18</v>
      </c>
    </row>
    <row r="236" spans="1:22" x14ac:dyDescent="0.25">
      <c r="A236">
        <v>13</v>
      </c>
      <c r="B236" t="s">
        <v>92</v>
      </c>
      <c r="C236" t="s">
        <v>218</v>
      </c>
      <c r="E236" t="s">
        <v>218</v>
      </c>
      <c r="L236" t="s">
        <v>93</v>
      </c>
      <c r="M236">
        <v>160</v>
      </c>
      <c r="N236" t="s">
        <v>222</v>
      </c>
      <c r="Q236">
        <v>1</v>
      </c>
      <c r="R236" t="s">
        <v>11</v>
      </c>
      <c r="T236">
        <v>10</v>
      </c>
      <c r="V236" t="s">
        <v>18</v>
      </c>
    </row>
    <row r="237" spans="1:22" x14ac:dyDescent="0.25">
      <c r="A237">
        <v>13</v>
      </c>
      <c r="B237" t="s">
        <v>92</v>
      </c>
      <c r="C237" t="s">
        <v>218</v>
      </c>
      <c r="E237" t="s">
        <v>218</v>
      </c>
      <c r="L237" t="s">
        <v>93</v>
      </c>
      <c r="M237">
        <v>170</v>
      </c>
      <c r="N237" t="s">
        <v>142</v>
      </c>
      <c r="Q237">
        <v>6.7560000000000002</v>
      </c>
      <c r="R237" t="s">
        <v>11</v>
      </c>
      <c r="T237">
        <v>10</v>
      </c>
      <c r="V237" t="s">
        <v>15</v>
      </c>
    </row>
    <row r="238" spans="1:22" x14ac:dyDescent="0.25">
      <c r="A238">
        <v>13</v>
      </c>
      <c r="B238" t="s">
        <v>92</v>
      </c>
      <c r="C238" t="s">
        <v>218</v>
      </c>
      <c r="E238" t="s">
        <v>218</v>
      </c>
      <c r="L238" t="s">
        <v>93</v>
      </c>
      <c r="M238">
        <v>180</v>
      </c>
      <c r="N238" t="s">
        <v>223</v>
      </c>
      <c r="Q238">
        <v>1</v>
      </c>
      <c r="R238" t="s">
        <v>11</v>
      </c>
      <c r="T238">
        <v>10</v>
      </c>
      <c r="V238" t="s">
        <v>18</v>
      </c>
    </row>
    <row r="239" spans="1:22" x14ac:dyDescent="0.25">
      <c r="A239">
        <v>14</v>
      </c>
      <c r="B239" t="s">
        <v>92</v>
      </c>
      <c r="C239" t="s">
        <v>224</v>
      </c>
      <c r="E239" t="s">
        <v>224</v>
      </c>
      <c r="L239" t="s">
        <v>93</v>
      </c>
      <c r="M239">
        <v>10</v>
      </c>
      <c r="N239" t="s">
        <v>225</v>
      </c>
      <c r="Q239">
        <v>1</v>
      </c>
      <c r="R239" t="s">
        <v>11</v>
      </c>
      <c r="T239">
        <v>10</v>
      </c>
      <c r="V239" t="s">
        <v>18</v>
      </c>
    </row>
    <row r="240" spans="1:22" x14ac:dyDescent="0.25">
      <c r="A240">
        <v>14</v>
      </c>
      <c r="B240" t="s">
        <v>92</v>
      </c>
      <c r="C240" t="s">
        <v>224</v>
      </c>
      <c r="E240" t="s">
        <v>224</v>
      </c>
      <c r="L240" t="s">
        <v>93</v>
      </c>
      <c r="M240">
        <v>20</v>
      </c>
      <c r="N240" t="s">
        <v>123</v>
      </c>
      <c r="Q240">
        <v>4.0039999999999996</v>
      </c>
      <c r="R240" t="s">
        <v>14</v>
      </c>
      <c r="T240">
        <v>10</v>
      </c>
      <c r="V240" t="s">
        <v>15</v>
      </c>
    </row>
    <row r="241" spans="1:22" x14ac:dyDescent="0.25">
      <c r="A241">
        <v>14</v>
      </c>
      <c r="B241" t="s">
        <v>92</v>
      </c>
      <c r="C241" t="s">
        <v>224</v>
      </c>
      <c r="E241" t="s">
        <v>224</v>
      </c>
      <c r="L241" t="s">
        <v>93</v>
      </c>
      <c r="M241">
        <v>30</v>
      </c>
      <c r="N241" t="s">
        <v>102</v>
      </c>
      <c r="Q241">
        <v>1.0489999999999999</v>
      </c>
      <c r="R241" t="s">
        <v>103</v>
      </c>
      <c r="T241">
        <v>10</v>
      </c>
      <c r="V241" t="s">
        <v>15</v>
      </c>
    </row>
    <row r="242" spans="1:22" x14ac:dyDescent="0.25">
      <c r="A242">
        <v>14</v>
      </c>
      <c r="B242" t="s">
        <v>92</v>
      </c>
      <c r="C242" t="s">
        <v>224</v>
      </c>
      <c r="E242" t="s">
        <v>224</v>
      </c>
      <c r="L242" t="s">
        <v>93</v>
      </c>
      <c r="M242">
        <v>40</v>
      </c>
      <c r="N242" t="s">
        <v>146</v>
      </c>
      <c r="Q242">
        <v>1.4730000000000001</v>
      </c>
      <c r="R242" t="s">
        <v>11</v>
      </c>
      <c r="T242">
        <v>10</v>
      </c>
      <c r="V242" t="s">
        <v>18</v>
      </c>
    </row>
    <row r="243" spans="1:22" x14ac:dyDescent="0.25">
      <c r="A243">
        <v>14</v>
      </c>
      <c r="B243" t="s">
        <v>92</v>
      </c>
      <c r="C243" t="s">
        <v>224</v>
      </c>
      <c r="E243" t="s">
        <v>224</v>
      </c>
      <c r="L243" t="s">
        <v>93</v>
      </c>
      <c r="M243">
        <v>50</v>
      </c>
      <c r="N243" t="s">
        <v>139</v>
      </c>
      <c r="Q243">
        <v>1.4730000000000001</v>
      </c>
      <c r="R243" t="s">
        <v>17</v>
      </c>
      <c r="T243">
        <v>10</v>
      </c>
      <c r="V243" t="s">
        <v>18</v>
      </c>
    </row>
    <row r="244" spans="1:22" x14ac:dyDescent="0.25">
      <c r="A244">
        <v>14</v>
      </c>
      <c r="B244" t="s">
        <v>92</v>
      </c>
      <c r="C244" t="s">
        <v>224</v>
      </c>
      <c r="E244" t="s">
        <v>224</v>
      </c>
      <c r="L244" t="s">
        <v>93</v>
      </c>
      <c r="M244">
        <v>60</v>
      </c>
      <c r="N244" t="s">
        <v>226</v>
      </c>
      <c r="Q244">
        <v>1</v>
      </c>
      <c r="R244" t="s">
        <v>11</v>
      </c>
      <c r="T244">
        <v>10</v>
      </c>
      <c r="V244" t="s">
        <v>18</v>
      </c>
    </row>
    <row r="245" spans="1:22" x14ac:dyDescent="0.25">
      <c r="A245">
        <v>14</v>
      </c>
      <c r="B245" t="s">
        <v>92</v>
      </c>
      <c r="C245" t="s">
        <v>224</v>
      </c>
      <c r="E245" t="s">
        <v>224</v>
      </c>
      <c r="L245" t="s">
        <v>93</v>
      </c>
      <c r="M245">
        <v>70</v>
      </c>
      <c r="N245" t="s">
        <v>148</v>
      </c>
      <c r="Q245">
        <v>20.725999999999999</v>
      </c>
      <c r="R245" t="s">
        <v>17</v>
      </c>
      <c r="T245">
        <v>10</v>
      </c>
      <c r="V245" t="s">
        <v>15</v>
      </c>
    </row>
    <row r="246" spans="1:22" x14ac:dyDescent="0.25">
      <c r="A246">
        <v>14</v>
      </c>
      <c r="B246" t="s">
        <v>92</v>
      </c>
      <c r="C246" t="s">
        <v>224</v>
      </c>
      <c r="E246" t="s">
        <v>224</v>
      </c>
      <c r="L246" t="s">
        <v>93</v>
      </c>
      <c r="M246">
        <v>80</v>
      </c>
      <c r="N246" t="s">
        <v>20</v>
      </c>
      <c r="Q246">
        <v>169.95599999999999</v>
      </c>
      <c r="R246" t="s">
        <v>17</v>
      </c>
      <c r="T246">
        <v>10</v>
      </c>
      <c r="V246" t="s">
        <v>15</v>
      </c>
    </row>
    <row r="247" spans="1:22" x14ac:dyDescent="0.25">
      <c r="A247">
        <v>14</v>
      </c>
      <c r="B247" t="s">
        <v>92</v>
      </c>
      <c r="C247" t="s">
        <v>224</v>
      </c>
      <c r="E247" t="s">
        <v>224</v>
      </c>
      <c r="L247" t="s">
        <v>93</v>
      </c>
      <c r="M247">
        <v>90</v>
      </c>
      <c r="N247" t="s">
        <v>24</v>
      </c>
      <c r="Q247">
        <v>1</v>
      </c>
      <c r="R247" t="s">
        <v>11</v>
      </c>
      <c r="T247">
        <v>10</v>
      </c>
      <c r="V247" t="s">
        <v>15</v>
      </c>
    </row>
    <row r="248" spans="1:22" x14ac:dyDescent="0.25">
      <c r="A248">
        <v>14</v>
      </c>
      <c r="B248" t="s">
        <v>92</v>
      </c>
      <c r="C248" t="s">
        <v>224</v>
      </c>
      <c r="E248" t="s">
        <v>224</v>
      </c>
      <c r="L248" t="s">
        <v>93</v>
      </c>
      <c r="M248">
        <v>100</v>
      </c>
      <c r="N248" t="s">
        <v>141</v>
      </c>
      <c r="Q248">
        <v>0.123</v>
      </c>
      <c r="R248" t="s">
        <v>14</v>
      </c>
      <c r="T248">
        <v>10</v>
      </c>
      <c r="V248" t="s">
        <v>15</v>
      </c>
    </row>
    <row r="249" spans="1:22" x14ac:dyDescent="0.25">
      <c r="A249">
        <v>14</v>
      </c>
      <c r="B249" t="s">
        <v>92</v>
      </c>
      <c r="C249" t="s">
        <v>224</v>
      </c>
      <c r="E249" t="s">
        <v>224</v>
      </c>
      <c r="L249" t="s">
        <v>93</v>
      </c>
      <c r="M249">
        <v>110</v>
      </c>
      <c r="N249" t="s">
        <v>140</v>
      </c>
      <c r="Q249">
        <v>4</v>
      </c>
      <c r="R249" t="s">
        <v>11</v>
      </c>
      <c r="T249">
        <v>10</v>
      </c>
      <c r="V249" t="s">
        <v>15</v>
      </c>
    </row>
    <row r="250" spans="1:22" x14ac:dyDescent="0.25">
      <c r="A250">
        <v>14</v>
      </c>
      <c r="B250" t="s">
        <v>92</v>
      </c>
      <c r="C250" t="s">
        <v>224</v>
      </c>
      <c r="E250" t="s">
        <v>224</v>
      </c>
      <c r="L250" t="s">
        <v>93</v>
      </c>
      <c r="M250">
        <v>120</v>
      </c>
      <c r="N250" t="s">
        <v>25</v>
      </c>
      <c r="Q250">
        <v>1</v>
      </c>
      <c r="R250" t="s">
        <v>11</v>
      </c>
      <c r="T250">
        <v>10</v>
      </c>
      <c r="V250" t="s">
        <v>15</v>
      </c>
    </row>
    <row r="251" spans="1:22" x14ac:dyDescent="0.25">
      <c r="A251">
        <v>14</v>
      </c>
      <c r="B251" t="s">
        <v>92</v>
      </c>
      <c r="C251" t="s">
        <v>224</v>
      </c>
      <c r="E251" t="s">
        <v>224</v>
      </c>
      <c r="L251" t="s">
        <v>93</v>
      </c>
      <c r="M251">
        <v>130</v>
      </c>
      <c r="N251" t="s">
        <v>26</v>
      </c>
      <c r="Q251">
        <v>1</v>
      </c>
      <c r="R251" t="s">
        <v>11</v>
      </c>
      <c r="T251">
        <v>10</v>
      </c>
      <c r="V251" t="s">
        <v>15</v>
      </c>
    </row>
    <row r="252" spans="1:22" x14ac:dyDescent="0.25">
      <c r="A252">
        <v>14</v>
      </c>
      <c r="B252" t="s">
        <v>92</v>
      </c>
      <c r="C252" t="s">
        <v>224</v>
      </c>
      <c r="E252" t="s">
        <v>224</v>
      </c>
      <c r="L252" t="s">
        <v>93</v>
      </c>
      <c r="M252">
        <v>140</v>
      </c>
      <c r="N252" t="s">
        <v>100</v>
      </c>
      <c r="Q252">
        <v>0.90500000000000003</v>
      </c>
      <c r="R252" t="s">
        <v>14</v>
      </c>
      <c r="T252">
        <v>10</v>
      </c>
      <c r="V252" t="s">
        <v>15</v>
      </c>
    </row>
    <row r="253" spans="1:22" x14ac:dyDescent="0.25">
      <c r="A253">
        <v>14</v>
      </c>
      <c r="B253" t="s">
        <v>92</v>
      </c>
      <c r="C253" t="s">
        <v>224</v>
      </c>
      <c r="E253" t="s">
        <v>224</v>
      </c>
      <c r="L253" t="s">
        <v>93</v>
      </c>
      <c r="M253">
        <v>150</v>
      </c>
      <c r="N253" t="s">
        <v>227</v>
      </c>
      <c r="Q253">
        <v>1</v>
      </c>
      <c r="R253" t="s">
        <v>11</v>
      </c>
      <c r="T253">
        <v>10</v>
      </c>
      <c r="V253" t="s">
        <v>18</v>
      </c>
    </row>
    <row r="254" spans="1:22" x14ac:dyDescent="0.25">
      <c r="A254">
        <v>14</v>
      </c>
      <c r="B254" t="s">
        <v>92</v>
      </c>
      <c r="C254" t="s">
        <v>224</v>
      </c>
      <c r="E254" t="s">
        <v>224</v>
      </c>
      <c r="L254" t="s">
        <v>93</v>
      </c>
      <c r="M254">
        <v>160</v>
      </c>
      <c r="N254" t="s">
        <v>228</v>
      </c>
      <c r="Q254">
        <v>1</v>
      </c>
      <c r="R254" t="s">
        <v>11</v>
      </c>
      <c r="T254">
        <v>10</v>
      </c>
      <c r="V254" t="s">
        <v>18</v>
      </c>
    </row>
    <row r="255" spans="1:22" x14ac:dyDescent="0.25">
      <c r="A255">
        <v>14</v>
      </c>
      <c r="B255" t="s">
        <v>92</v>
      </c>
      <c r="C255" t="s">
        <v>224</v>
      </c>
      <c r="E255" t="s">
        <v>224</v>
      </c>
      <c r="L255" t="s">
        <v>93</v>
      </c>
      <c r="M255">
        <v>170</v>
      </c>
      <c r="N255" t="s">
        <v>142</v>
      </c>
      <c r="Q255">
        <v>6.9089999999999998</v>
      </c>
      <c r="R255" t="s">
        <v>11</v>
      </c>
      <c r="T255">
        <v>10</v>
      </c>
      <c r="V255" t="s">
        <v>15</v>
      </c>
    </row>
    <row r="256" spans="1:22" x14ac:dyDescent="0.25">
      <c r="A256">
        <v>14</v>
      </c>
      <c r="B256" t="s">
        <v>92</v>
      </c>
      <c r="C256" t="s">
        <v>224</v>
      </c>
      <c r="E256" t="s">
        <v>224</v>
      </c>
      <c r="L256" t="s">
        <v>93</v>
      </c>
      <c r="M256">
        <v>180</v>
      </c>
      <c r="N256" t="s">
        <v>229</v>
      </c>
      <c r="Q256">
        <v>1</v>
      </c>
      <c r="R256" t="s">
        <v>11</v>
      </c>
      <c r="T256">
        <v>10</v>
      </c>
      <c r="V256" t="s">
        <v>18</v>
      </c>
    </row>
    <row r="257" spans="1:22" x14ac:dyDescent="0.25">
      <c r="A257">
        <v>15</v>
      </c>
      <c r="B257" t="s">
        <v>92</v>
      </c>
      <c r="C257" t="s">
        <v>230</v>
      </c>
      <c r="E257" t="s">
        <v>230</v>
      </c>
      <c r="L257" t="s">
        <v>93</v>
      </c>
      <c r="M257">
        <v>10</v>
      </c>
      <c r="N257" t="s">
        <v>231</v>
      </c>
      <c r="Q257">
        <v>1</v>
      </c>
      <c r="R257" t="s">
        <v>11</v>
      </c>
      <c r="T257">
        <v>10</v>
      </c>
      <c r="V257" t="s">
        <v>18</v>
      </c>
    </row>
    <row r="258" spans="1:22" x14ac:dyDescent="0.25">
      <c r="A258">
        <v>15</v>
      </c>
      <c r="B258" t="s">
        <v>92</v>
      </c>
      <c r="C258" t="s">
        <v>230</v>
      </c>
      <c r="E258" t="s">
        <v>230</v>
      </c>
      <c r="L258" t="s">
        <v>93</v>
      </c>
      <c r="M258">
        <v>20</v>
      </c>
      <c r="N258" t="s">
        <v>124</v>
      </c>
      <c r="Q258">
        <v>4.4080000000000004</v>
      </c>
      <c r="R258" t="s">
        <v>14</v>
      </c>
      <c r="T258">
        <v>10</v>
      </c>
      <c r="V258" t="s">
        <v>15</v>
      </c>
    </row>
    <row r="259" spans="1:22" x14ac:dyDescent="0.25">
      <c r="A259">
        <v>15</v>
      </c>
      <c r="B259" t="s">
        <v>92</v>
      </c>
      <c r="C259" t="s">
        <v>230</v>
      </c>
      <c r="E259" t="s">
        <v>230</v>
      </c>
      <c r="L259" t="s">
        <v>93</v>
      </c>
      <c r="M259">
        <v>30</v>
      </c>
      <c r="N259" t="s">
        <v>102</v>
      </c>
      <c r="Q259">
        <v>1.161</v>
      </c>
      <c r="R259" t="s">
        <v>103</v>
      </c>
      <c r="T259">
        <v>10</v>
      </c>
      <c r="V259" t="s">
        <v>15</v>
      </c>
    </row>
    <row r="260" spans="1:22" x14ac:dyDescent="0.25">
      <c r="A260">
        <v>15</v>
      </c>
      <c r="B260" t="s">
        <v>92</v>
      </c>
      <c r="C260" t="s">
        <v>230</v>
      </c>
      <c r="E260" t="s">
        <v>230</v>
      </c>
      <c r="L260" t="s">
        <v>93</v>
      </c>
      <c r="M260">
        <v>40</v>
      </c>
      <c r="N260" t="s">
        <v>146</v>
      </c>
      <c r="Q260">
        <v>1.6259999999999999</v>
      </c>
      <c r="R260" t="s">
        <v>11</v>
      </c>
      <c r="T260">
        <v>10</v>
      </c>
      <c r="V260" t="s">
        <v>18</v>
      </c>
    </row>
    <row r="261" spans="1:22" x14ac:dyDescent="0.25">
      <c r="A261">
        <v>15</v>
      </c>
      <c r="B261" t="s">
        <v>92</v>
      </c>
      <c r="C261" t="s">
        <v>230</v>
      </c>
      <c r="E261" t="s">
        <v>230</v>
      </c>
      <c r="L261" t="s">
        <v>93</v>
      </c>
      <c r="M261">
        <v>50</v>
      </c>
      <c r="N261" t="s">
        <v>139</v>
      </c>
      <c r="Q261">
        <v>1.6259999999999999</v>
      </c>
      <c r="R261" t="s">
        <v>17</v>
      </c>
      <c r="T261">
        <v>10</v>
      </c>
      <c r="V261" t="s">
        <v>18</v>
      </c>
    </row>
    <row r="262" spans="1:22" x14ac:dyDescent="0.25">
      <c r="A262">
        <v>15</v>
      </c>
      <c r="B262" t="s">
        <v>92</v>
      </c>
      <c r="C262" t="s">
        <v>230</v>
      </c>
      <c r="E262" t="s">
        <v>230</v>
      </c>
      <c r="L262" t="s">
        <v>93</v>
      </c>
      <c r="M262">
        <v>60</v>
      </c>
      <c r="N262" t="s">
        <v>232</v>
      </c>
      <c r="Q262">
        <v>1</v>
      </c>
      <c r="R262" t="s">
        <v>11</v>
      </c>
      <c r="T262">
        <v>10</v>
      </c>
      <c r="V262" t="s">
        <v>18</v>
      </c>
    </row>
    <row r="263" spans="1:22" x14ac:dyDescent="0.25">
      <c r="A263">
        <v>15</v>
      </c>
      <c r="B263" t="s">
        <v>92</v>
      </c>
      <c r="C263" t="s">
        <v>230</v>
      </c>
      <c r="E263" t="s">
        <v>230</v>
      </c>
      <c r="L263" t="s">
        <v>93</v>
      </c>
      <c r="M263">
        <v>70</v>
      </c>
      <c r="N263" t="s">
        <v>148</v>
      </c>
      <c r="Q263">
        <v>21.640999999999998</v>
      </c>
      <c r="R263" t="s">
        <v>17</v>
      </c>
      <c r="T263">
        <v>10</v>
      </c>
      <c r="V263" t="s">
        <v>15</v>
      </c>
    </row>
    <row r="264" spans="1:22" x14ac:dyDescent="0.25">
      <c r="A264">
        <v>15</v>
      </c>
      <c r="B264" t="s">
        <v>92</v>
      </c>
      <c r="C264" t="s">
        <v>230</v>
      </c>
      <c r="E264" t="s">
        <v>230</v>
      </c>
      <c r="L264" t="s">
        <v>93</v>
      </c>
      <c r="M264">
        <v>80</v>
      </c>
      <c r="N264" t="s">
        <v>20</v>
      </c>
      <c r="Q264">
        <v>177.45500000000001</v>
      </c>
      <c r="R264" t="s">
        <v>17</v>
      </c>
      <c r="T264">
        <v>10</v>
      </c>
      <c r="V264" t="s">
        <v>15</v>
      </c>
    </row>
    <row r="265" spans="1:22" x14ac:dyDescent="0.25">
      <c r="A265">
        <v>15</v>
      </c>
      <c r="B265" t="s">
        <v>92</v>
      </c>
      <c r="C265" t="s">
        <v>230</v>
      </c>
      <c r="E265" t="s">
        <v>230</v>
      </c>
      <c r="L265" t="s">
        <v>93</v>
      </c>
      <c r="M265">
        <v>90</v>
      </c>
      <c r="N265" t="s">
        <v>24</v>
      </c>
      <c r="Q265">
        <v>1</v>
      </c>
      <c r="R265" t="s">
        <v>11</v>
      </c>
      <c r="T265">
        <v>10</v>
      </c>
      <c r="V265" t="s">
        <v>15</v>
      </c>
    </row>
    <row r="266" spans="1:22" x14ac:dyDescent="0.25">
      <c r="A266">
        <v>15</v>
      </c>
      <c r="B266" t="s">
        <v>92</v>
      </c>
      <c r="C266" t="s">
        <v>230</v>
      </c>
      <c r="E266" t="s">
        <v>230</v>
      </c>
      <c r="L266" t="s">
        <v>93</v>
      </c>
      <c r="M266">
        <v>100</v>
      </c>
      <c r="N266" t="s">
        <v>141</v>
      </c>
      <c r="Q266">
        <v>0.13300000000000001</v>
      </c>
      <c r="R266" t="s">
        <v>14</v>
      </c>
      <c r="T266">
        <v>10</v>
      </c>
      <c r="V266" t="s">
        <v>15</v>
      </c>
    </row>
    <row r="267" spans="1:22" x14ac:dyDescent="0.25">
      <c r="A267">
        <v>15</v>
      </c>
      <c r="B267" t="s">
        <v>92</v>
      </c>
      <c r="C267" t="s">
        <v>230</v>
      </c>
      <c r="E267" t="s">
        <v>230</v>
      </c>
      <c r="L267" t="s">
        <v>93</v>
      </c>
      <c r="M267">
        <v>110</v>
      </c>
      <c r="N267" t="s">
        <v>140</v>
      </c>
      <c r="Q267">
        <v>4</v>
      </c>
      <c r="R267" t="s">
        <v>11</v>
      </c>
      <c r="T267">
        <v>10</v>
      </c>
      <c r="V267" t="s">
        <v>15</v>
      </c>
    </row>
    <row r="268" spans="1:22" x14ac:dyDescent="0.25">
      <c r="A268">
        <v>15</v>
      </c>
      <c r="B268" t="s">
        <v>92</v>
      </c>
      <c r="C268" t="s">
        <v>230</v>
      </c>
      <c r="E268" t="s">
        <v>230</v>
      </c>
      <c r="L268" t="s">
        <v>93</v>
      </c>
      <c r="M268">
        <v>120</v>
      </c>
      <c r="N268" t="s">
        <v>25</v>
      </c>
      <c r="Q268">
        <v>1</v>
      </c>
      <c r="R268" t="s">
        <v>11</v>
      </c>
      <c r="T268">
        <v>10</v>
      </c>
      <c r="V268" t="s">
        <v>15</v>
      </c>
    </row>
    <row r="269" spans="1:22" x14ac:dyDescent="0.25">
      <c r="A269">
        <v>15</v>
      </c>
      <c r="B269" t="s">
        <v>92</v>
      </c>
      <c r="C269" t="s">
        <v>230</v>
      </c>
      <c r="E269" t="s">
        <v>230</v>
      </c>
      <c r="L269" t="s">
        <v>93</v>
      </c>
      <c r="M269">
        <v>130</v>
      </c>
      <c r="N269" t="s">
        <v>26</v>
      </c>
      <c r="Q269">
        <v>1</v>
      </c>
      <c r="R269" t="s">
        <v>11</v>
      </c>
      <c r="T269">
        <v>10</v>
      </c>
      <c r="V269" t="s">
        <v>15</v>
      </c>
    </row>
    <row r="270" spans="1:22" x14ac:dyDescent="0.25">
      <c r="A270">
        <v>15</v>
      </c>
      <c r="B270" t="s">
        <v>92</v>
      </c>
      <c r="C270" t="s">
        <v>230</v>
      </c>
      <c r="E270" t="s">
        <v>230</v>
      </c>
      <c r="L270" t="s">
        <v>93</v>
      </c>
      <c r="M270">
        <v>140</v>
      </c>
      <c r="N270" t="s">
        <v>100</v>
      </c>
      <c r="Q270">
        <v>0.98599999999999999</v>
      </c>
      <c r="R270" t="s">
        <v>14</v>
      </c>
      <c r="T270">
        <v>10</v>
      </c>
      <c r="V270" t="s">
        <v>15</v>
      </c>
    </row>
    <row r="271" spans="1:22" x14ac:dyDescent="0.25">
      <c r="A271">
        <v>15</v>
      </c>
      <c r="B271" t="s">
        <v>92</v>
      </c>
      <c r="C271" t="s">
        <v>230</v>
      </c>
      <c r="E271" t="s">
        <v>230</v>
      </c>
      <c r="L271" t="s">
        <v>93</v>
      </c>
      <c r="M271">
        <v>150</v>
      </c>
      <c r="N271" t="s">
        <v>233</v>
      </c>
      <c r="Q271">
        <v>1</v>
      </c>
      <c r="R271" t="s">
        <v>11</v>
      </c>
      <c r="T271">
        <v>10</v>
      </c>
      <c r="V271" t="s">
        <v>18</v>
      </c>
    </row>
    <row r="272" spans="1:22" x14ac:dyDescent="0.25">
      <c r="A272">
        <v>15</v>
      </c>
      <c r="B272" t="s">
        <v>92</v>
      </c>
      <c r="C272" t="s">
        <v>230</v>
      </c>
      <c r="E272" t="s">
        <v>230</v>
      </c>
      <c r="L272" t="s">
        <v>93</v>
      </c>
      <c r="M272">
        <v>160</v>
      </c>
      <c r="N272" t="s">
        <v>234</v>
      </c>
      <c r="Q272">
        <v>1</v>
      </c>
      <c r="R272" t="s">
        <v>11</v>
      </c>
      <c r="T272">
        <v>10</v>
      </c>
      <c r="V272" t="s">
        <v>18</v>
      </c>
    </row>
    <row r="273" spans="1:22" x14ac:dyDescent="0.25">
      <c r="A273">
        <v>15</v>
      </c>
      <c r="B273" t="s">
        <v>92</v>
      </c>
      <c r="C273" t="s">
        <v>230</v>
      </c>
      <c r="E273" t="s">
        <v>230</v>
      </c>
      <c r="L273" t="s">
        <v>93</v>
      </c>
      <c r="M273">
        <v>170</v>
      </c>
      <c r="N273" t="s">
        <v>142</v>
      </c>
      <c r="Q273">
        <v>7.2140000000000004</v>
      </c>
      <c r="R273" t="s">
        <v>11</v>
      </c>
      <c r="T273">
        <v>10</v>
      </c>
      <c r="V273" t="s">
        <v>15</v>
      </c>
    </row>
    <row r="274" spans="1:22" x14ac:dyDescent="0.25">
      <c r="A274">
        <v>15</v>
      </c>
      <c r="B274" t="s">
        <v>92</v>
      </c>
      <c r="C274" t="s">
        <v>230</v>
      </c>
      <c r="E274" t="s">
        <v>230</v>
      </c>
      <c r="L274" t="s">
        <v>93</v>
      </c>
      <c r="M274">
        <v>180</v>
      </c>
      <c r="N274" t="s">
        <v>235</v>
      </c>
      <c r="Q274">
        <v>1</v>
      </c>
      <c r="R274" t="s">
        <v>11</v>
      </c>
      <c r="T274">
        <v>10</v>
      </c>
      <c r="V274" t="s">
        <v>18</v>
      </c>
    </row>
    <row r="275" spans="1:22" x14ac:dyDescent="0.25">
      <c r="A275">
        <v>16</v>
      </c>
      <c r="B275" t="s">
        <v>92</v>
      </c>
      <c r="C275" t="s">
        <v>236</v>
      </c>
      <c r="E275" t="s">
        <v>236</v>
      </c>
      <c r="L275" t="s">
        <v>93</v>
      </c>
      <c r="M275">
        <v>10</v>
      </c>
      <c r="N275" t="s">
        <v>237</v>
      </c>
      <c r="Q275">
        <v>1</v>
      </c>
      <c r="R275" t="s">
        <v>11</v>
      </c>
      <c r="T275">
        <v>10</v>
      </c>
      <c r="V275" t="s">
        <v>18</v>
      </c>
    </row>
    <row r="276" spans="1:22" x14ac:dyDescent="0.25">
      <c r="A276">
        <v>16</v>
      </c>
      <c r="B276" t="s">
        <v>92</v>
      </c>
      <c r="C276" t="s">
        <v>236</v>
      </c>
      <c r="E276" t="s">
        <v>236</v>
      </c>
      <c r="L276" t="s">
        <v>93</v>
      </c>
      <c r="M276">
        <v>20</v>
      </c>
      <c r="N276" t="s">
        <v>125</v>
      </c>
      <c r="Q276">
        <v>4.8109999999999999</v>
      </c>
      <c r="R276" t="s">
        <v>14</v>
      </c>
      <c r="T276">
        <v>10</v>
      </c>
      <c r="V276" t="s">
        <v>15</v>
      </c>
    </row>
    <row r="277" spans="1:22" x14ac:dyDescent="0.25">
      <c r="A277">
        <v>16</v>
      </c>
      <c r="B277" t="s">
        <v>92</v>
      </c>
      <c r="C277" t="s">
        <v>236</v>
      </c>
      <c r="E277" t="s">
        <v>236</v>
      </c>
      <c r="L277" t="s">
        <v>93</v>
      </c>
      <c r="M277">
        <v>30</v>
      </c>
      <c r="N277" t="s">
        <v>102</v>
      </c>
      <c r="Q277">
        <v>1.274</v>
      </c>
      <c r="R277" t="s">
        <v>103</v>
      </c>
      <c r="T277">
        <v>10</v>
      </c>
      <c r="V277" t="s">
        <v>15</v>
      </c>
    </row>
    <row r="278" spans="1:22" x14ac:dyDescent="0.25">
      <c r="A278">
        <v>16</v>
      </c>
      <c r="B278" t="s">
        <v>92</v>
      </c>
      <c r="C278" t="s">
        <v>236</v>
      </c>
      <c r="E278" t="s">
        <v>236</v>
      </c>
      <c r="L278" t="s">
        <v>93</v>
      </c>
      <c r="M278">
        <v>40</v>
      </c>
      <c r="N278" t="s">
        <v>146</v>
      </c>
      <c r="Q278">
        <v>1.778</v>
      </c>
      <c r="R278" t="s">
        <v>11</v>
      </c>
      <c r="T278">
        <v>10</v>
      </c>
      <c r="V278" t="s">
        <v>18</v>
      </c>
    </row>
    <row r="279" spans="1:22" x14ac:dyDescent="0.25">
      <c r="A279">
        <v>16</v>
      </c>
      <c r="B279" t="s">
        <v>92</v>
      </c>
      <c r="C279" t="s">
        <v>236</v>
      </c>
      <c r="E279" t="s">
        <v>236</v>
      </c>
      <c r="L279" t="s">
        <v>93</v>
      </c>
      <c r="M279">
        <v>50</v>
      </c>
      <c r="N279" t="s">
        <v>139</v>
      </c>
      <c r="Q279">
        <v>1.778</v>
      </c>
      <c r="R279" t="s">
        <v>17</v>
      </c>
      <c r="T279">
        <v>10</v>
      </c>
      <c r="V279" t="s">
        <v>18</v>
      </c>
    </row>
    <row r="280" spans="1:22" x14ac:dyDescent="0.25">
      <c r="A280">
        <v>16</v>
      </c>
      <c r="B280" t="s">
        <v>92</v>
      </c>
      <c r="C280" t="s">
        <v>236</v>
      </c>
      <c r="E280" t="s">
        <v>236</v>
      </c>
      <c r="L280" t="s">
        <v>93</v>
      </c>
      <c r="M280">
        <v>60</v>
      </c>
      <c r="N280" t="s">
        <v>238</v>
      </c>
      <c r="Q280">
        <v>1</v>
      </c>
      <c r="R280" t="s">
        <v>11</v>
      </c>
      <c r="T280">
        <v>10</v>
      </c>
      <c r="V280" t="s">
        <v>18</v>
      </c>
    </row>
    <row r="281" spans="1:22" x14ac:dyDescent="0.25">
      <c r="A281">
        <v>16</v>
      </c>
      <c r="B281" t="s">
        <v>92</v>
      </c>
      <c r="C281" t="s">
        <v>236</v>
      </c>
      <c r="E281" t="s">
        <v>236</v>
      </c>
      <c r="L281" t="s">
        <v>93</v>
      </c>
      <c r="M281">
        <v>70</v>
      </c>
      <c r="N281" t="s">
        <v>148</v>
      </c>
      <c r="Q281">
        <v>22.555</v>
      </c>
      <c r="R281" t="s">
        <v>17</v>
      </c>
      <c r="T281">
        <v>10</v>
      </c>
      <c r="V281" t="s">
        <v>15</v>
      </c>
    </row>
    <row r="282" spans="1:22" x14ac:dyDescent="0.25">
      <c r="A282">
        <v>16</v>
      </c>
      <c r="B282" t="s">
        <v>92</v>
      </c>
      <c r="C282" t="s">
        <v>236</v>
      </c>
      <c r="E282" t="s">
        <v>236</v>
      </c>
      <c r="L282" t="s">
        <v>93</v>
      </c>
      <c r="M282">
        <v>80</v>
      </c>
      <c r="N282" t="s">
        <v>20</v>
      </c>
      <c r="Q282">
        <v>184.953</v>
      </c>
      <c r="R282" t="s">
        <v>17</v>
      </c>
      <c r="T282">
        <v>10</v>
      </c>
      <c r="V282" t="s">
        <v>15</v>
      </c>
    </row>
    <row r="283" spans="1:22" x14ac:dyDescent="0.25">
      <c r="A283">
        <v>16</v>
      </c>
      <c r="B283" t="s">
        <v>92</v>
      </c>
      <c r="C283" t="s">
        <v>236</v>
      </c>
      <c r="E283" t="s">
        <v>236</v>
      </c>
      <c r="L283" t="s">
        <v>93</v>
      </c>
      <c r="M283">
        <v>90</v>
      </c>
      <c r="N283" t="s">
        <v>24</v>
      </c>
      <c r="Q283">
        <v>1</v>
      </c>
      <c r="R283" t="s">
        <v>11</v>
      </c>
      <c r="T283">
        <v>10</v>
      </c>
      <c r="V283" t="s">
        <v>15</v>
      </c>
    </row>
    <row r="284" spans="1:22" x14ac:dyDescent="0.25">
      <c r="A284">
        <v>16</v>
      </c>
      <c r="B284" t="s">
        <v>92</v>
      </c>
      <c r="C284" t="s">
        <v>236</v>
      </c>
      <c r="E284" t="s">
        <v>236</v>
      </c>
      <c r="L284" t="s">
        <v>93</v>
      </c>
      <c r="M284">
        <v>100</v>
      </c>
      <c r="N284" t="s">
        <v>141</v>
      </c>
      <c r="Q284">
        <v>0.14299999999999999</v>
      </c>
      <c r="R284" t="s">
        <v>14</v>
      </c>
      <c r="T284">
        <v>10</v>
      </c>
      <c r="V284" t="s">
        <v>15</v>
      </c>
    </row>
    <row r="285" spans="1:22" x14ac:dyDescent="0.25">
      <c r="A285">
        <v>16</v>
      </c>
      <c r="B285" t="s">
        <v>92</v>
      </c>
      <c r="C285" t="s">
        <v>236</v>
      </c>
      <c r="E285" t="s">
        <v>236</v>
      </c>
      <c r="L285" t="s">
        <v>93</v>
      </c>
      <c r="M285">
        <v>110</v>
      </c>
      <c r="N285" t="s">
        <v>140</v>
      </c>
      <c r="Q285">
        <v>4</v>
      </c>
      <c r="R285" t="s">
        <v>11</v>
      </c>
      <c r="T285">
        <v>10</v>
      </c>
      <c r="V285" t="s">
        <v>15</v>
      </c>
    </row>
    <row r="286" spans="1:22" x14ac:dyDescent="0.25">
      <c r="A286">
        <v>16</v>
      </c>
      <c r="B286" t="s">
        <v>92</v>
      </c>
      <c r="C286" t="s">
        <v>236</v>
      </c>
      <c r="E286" t="s">
        <v>236</v>
      </c>
      <c r="L286" t="s">
        <v>93</v>
      </c>
      <c r="M286">
        <v>120</v>
      </c>
      <c r="N286" t="s">
        <v>25</v>
      </c>
      <c r="Q286">
        <v>1</v>
      </c>
      <c r="R286" t="s">
        <v>11</v>
      </c>
      <c r="T286">
        <v>10</v>
      </c>
      <c r="V286" t="s">
        <v>15</v>
      </c>
    </row>
    <row r="287" spans="1:22" x14ac:dyDescent="0.25">
      <c r="A287">
        <v>16</v>
      </c>
      <c r="B287" t="s">
        <v>92</v>
      </c>
      <c r="C287" t="s">
        <v>236</v>
      </c>
      <c r="E287" t="s">
        <v>236</v>
      </c>
      <c r="L287" t="s">
        <v>93</v>
      </c>
      <c r="M287">
        <v>130</v>
      </c>
      <c r="N287" t="s">
        <v>26</v>
      </c>
      <c r="Q287">
        <v>1</v>
      </c>
      <c r="R287" t="s">
        <v>11</v>
      </c>
      <c r="T287">
        <v>10</v>
      </c>
      <c r="V287" t="s">
        <v>15</v>
      </c>
    </row>
    <row r="288" spans="1:22" x14ac:dyDescent="0.25">
      <c r="A288">
        <v>16</v>
      </c>
      <c r="B288" t="s">
        <v>92</v>
      </c>
      <c r="C288" t="s">
        <v>236</v>
      </c>
      <c r="E288" t="s">
        <v>236</v>
      </c>
      <c r="L288" t="s">
        <v>93</v>
      </c>
      <c r="M288">
        <v>140</v>
      </c>
      <c r="N288" t="s">
        <v>100</v>
      </c>
      <c r="Q288">
        <v>1.0669999999999999</v>
      </c>
      <c r="R288" t="s">
        <v>14</v>
      </c>
      <c r="T288">
        <v>10</v>
      </c>
      <c r="V288" t="s">
        <v>15</v>
      </c>
    </row>
    <row r="289" spans="1:22" x14ac:dyDescent="0.25">
      <c r="A289">
        <v>16</v>
      </c>
      <c r="B289" t="s">
        <v>92</v>
      </c>
      <c r="C289" t="s">
        <v>236</v>
      </c>
      <c r="E289" t="s">
        <v>236</v>
      </c>
      <c r="L289" t="s">
        <v>93</v>
      </c>
      <c r="M289">
        <v>150</v>
      </c>
      <c r="N289" t="s">
        <v>239</v>
      </c>
      <c r="Q289">
        <v>1</v>
      </c>
      <c r="R289" t="s">
        <v>11</v>
      </c>
      <c r="T289">
        <v>10</v>
      </c>
      <c r="V289" t="s">
        <v>18</v>
      </c>
    </row>
    <row r="290" spans="1:22" x14ac:dyDescent="0.25">
      <c r="A290">
        <v>16</v>
      </c>
      <c r="B290" t="s">
        <v>92</v>
      </c>
      <c r="C290" t="s">
        <v>236</v>
      </c>
      <c r="E290" t="s">
        <v>236</v>
      </c>
      <c r="L290" t="s">
        <v>93</v>
      </c>
      <c r="M290">
        <v>160</v>
      </c>
      <c r="N290" t="s">
        <v>240</v>
      </c>
      <c r="Q290">
        <v>1</v>
      </c>
      <c r="R290" t="s">
        <v>11</v>
      </c>
      <c r="T290">
        <v>10</v>
      </c>
      <c r="V290" t="s">
        <v>18</v>
      </c>
    </row>
    <row r="291" spans="1:22" x14ac:dyDescent="0.25">
      <c r="A291">
        <v>16</v>
      </c>
      <c r="B291" t="s">
        <v>92</v>
      </c>
      <c r="C291" t="s">
        <v>236</v>
      </c>
      <c r="E291" t="s">
        <v>236</v>
      </c>
      <c r="L291" t="s">
        <v>93</v>
      </c>
      <c r="M291">
        <v>170</v>
      </c>
      <c r="N291" t="s">
        <v>142</v>
      </c>
      <c r="Q291">
        <v>7.5179999999999998</v>
      </c>
      <c r="R291" t="s">
        <v>11</v>
      </c>
      <c r="T291">
        <v>10</v>
      </c>
      <c r="V291" t="s">
        <v>15</v>
      </c>
    </row>
    <row r="292" spans="1:22" x14ac:dyDescent="0.25">
      <c r="A292">
        <v>16</v>
      </c>
      <c r="B292" t="s">
        <v>92</v>
      </c>
      <c r="C292" t="s">
        <v>236</v>
      </c>
      <c r="E292" t="s">
        <v>236</v>
      </c>
      <c r="L292" t="s">
        <v>93</v>
      </c>
      <c r="M292">
        <v>180</v>
      </c>
      <c r="N292" t="s">
        <v>241</v>
      </c>
      <c r="Q292">
        <v>1</v>
      </c>
      <c r="R292" t="s">
        <v>11</v>
      </c>
      <c r="T292">
        <v>10</v>
      </c>
      <c r="V292" t="s">
        <v>18</v>
      </c>
    </row>
    <row r="293" spans="1:22" x14ac:dyDescent="0.25">
      <c r="A293">
        <v>17</v>
      </c>
      <c r="B293" t="s">
        <v>92</v>
      </c>
      <c r="C293" t="s">
        <v>242</v>
      </c>
      <c r="E293" t="s">
        <v>242</v>
      </c>
      <c r="L293" t="s">
        <v>93</v>
      </c>
      <c r="M293">
        <v>10</v>
      </c>
      <c r="N293" t="s">
        <v>243</v>
      </c>
      <c r="Q293">
        <v>1</v>
      </c>
      <c r="R293" t="s">
        <v>11</v>
      </c>
      <c r="T293">
        <v>10</v>
      </c>
      <c r="V293" t="s">
        <v>18</v>
      </c>
    </row>
    <row r="294" spans="1:22" x14ac:dyDescent="0.25">
      <c r="A294">
        <v>17</v>
      </c>
      <c r="B294" t="s">
        <v>92</v>
      </c>
      <c r="C294" t="s">
        <v>242</v>
      </c>
      <c r="E294" t="s">
        <v>242</v>
      </c>
      <c r="L294" t="s">
        <v>93</v>
      </c>
      <c r="M294">
        <v>20</v>
      </c>
      <c r="N294" t="s">
        <v>126</v>
      </c>
      <c r="Q294">
        <v>2.4849999999999999</v>
      </c>
      <c r="R294" t="s">
        <v>14</v>
      </c>
      <c r="T294">
        <v>10</v>
      </c>
      <c r="V294" t="s">
        <v>15</v>
      </c>
    </row>
    <row r="295" spans="1:22" x14ac:dyDescent="0.25">
      <c r="A295">
        <v>17</v>
      </c>
      <c r="B295" t="s">
        <v>92</v>
      </c>
      <c r="C295" t="s">
        <v>242</v>
      </c>
      <c r="E295" t="s">
        <v>242</v>
      </c>
      <c r="L295" t="s">
        <v>93</v>
      </c>
      <c r="M295">
        <v>30</v>
      </c>
      <c r="N295" t="s">
        <v>102</v>
      </c>
      <c r="Q295">
        <v>0.624</v>
      </c>
      <c r="R295" t="s">
        <v>103</v>
      </c>
      <c r="T295">
        <v>10</v>
      </c>
      <c r="V295" t="s">
        <v>15</v>
      </c>
    </row>
    <row r="296" spans="1:22" x14ac:dyDescent="0.25">
      <c r="A296">
        <v>17</v>
      </c>
      <c r="B296" t="s">
        <v>92</v>
      </c>
      <c r="C296" t="s">
        <v>242</v>
      </c>
      <c r="E296" t="s">
        <v>242</v>
      </c>
      <c r="L296" t="s">
        <v>93</v>
      </c>
      <c r="M296">
        <v>40</v>
      </c>
      <c r="N296" t="s">
        <v>146</v>
      </c>
      <c r="Q296">
        <v>0.86399999999999999</v>
      </c>
      <c r="R296" t="s">
        <v>11</v>
      </c>
      <c r="T296">
        <v>10</v>
      </c>
      <c r="V296" t="s">
        <v>18</v>
      </c>
    </row>
    <row r="297" spans="1:22" x14ac:dyDescent="0.25">
      <c r="A297">
        <v>17</v>
      </c>
      <c r="B297" t="s">
        <v>92</v>
      </c>
      <c r="C297" t="s">
        <v>242</v>
      </c>
      <c r="E297" t="s">
        <v>242</v>
      </c>
      <c r="L297" t="s">
        <v>93</v>
      </c>
      <c r="M297">
        <v>50</v>
      </c>
      <c r="N297" t="s">
        <v>139</v>
      </c>
      <c r="Q297">
        <v>0.86399999999999999</v>
      </c>
      <c r="R297" t="s">
        <v>17</v>
      </c>
      <c r="T297">
        <v>10</v>
      </c>
      <c r="V297" t="s">
        <v>18</v>
      </c>
    </row>
    <row r="298" spans="1:22" x14ac:dyDescent="0.25">
      <c r="A298">
        <v>17</v>
      </c>
      <c r="B298" t="s">
        <v>92</v>
      </c>
      <c r="C298" t="s">
        <v>242</v>
      </c>
      <c r="E298" t="s">
        <v>242</v>
      </c>
      <c r="L298" t="s">
        <v>93</v>
      </c>
      <c r="M298">
        <v>60</v>
      </c>
      <c r="N298" t="s">
        <v>244</v>
      </c>
      <c r="Q298">
        <v>1</v>
      </c>
      <c r="R298" t="s">
        <v>11</v>
      </c>
      <c r="T298">
        <v>10</v>
      </c>
      <c r="V298" t="s">
        <v>18</v>
      </c>
    </row>
    <row r="299" spans="1:22" x14ac:dyDescent="0.25">
      <c r="A299">
        <v>17</v>
      </c>
      <c r="B299" t="s">
        <v>92</v>
      </c>
      <c r="C299" t="s">
        <v>242</v>
      </c>
      <c r="E299" t="s">
        <v>242</v>
      </c>
      <c r="L299" t="s">
        <v>93</v>
      </c>
      <c r="M299">
        <v>70</v>
      </c>
      <c r="N299" t="s">
        <v>148</v>
      </c>
      <c r="Q299">
        <v>17.526</v>
      </c>
      <c r="R299" t="s">
        <v>17</v>
      </c>
      <c r="T299">
        <v>10</v>
      </c>
      <c r="V299" t="s">
        <v>15</v>
      </c>
    </row>
    <row r="300" spans="1:22" x14ac:dyDescent="0.25">
      <c r="A300">
        <v>17</v>
      </c>
      <c r="B300" t="s">
        <v>92</v>
      </c>
      <c r="C300" t="s">
        <v>242</v>
      </c>
      <c r="E300" t="s">
        <v>242</v>
      </c>
      <c r="L300" t="s">
        <v>93</v>
      </c>
      <c r="M300">
        <v>80</v>
      </c>
      <c r="N300" t="s">
        <v>20</v>
      </c>
      <c r="Q300">
        <v>143.71299999999999</v>
      </c>
      <c r="R300" t="s">
        <v>17</v>
      </c>
      <c r="T300">
        <v>10</v>
      </c>
      <c r="V300" t="s">
        <v>15</v>
      </c>
    </row>
    <row r="301" spans="1:22" x14ac:dyDescent="0.25">
      <c r="A301">
        <v>17</v>
      </c>
      <c r="B301" t="s">
        <v>92</v>
      </c>
      <c r="C301" t="s">
        <v>242</v>
      </c>
      <c r="E301" t="s">
        <v>242</v>
      </c>
      <c r="L301" t="s">
        <v>93</v>
      </c>
      <c r="M301">
        <v>90</v>
      </c>
      <c r="N301" t="s">
        <v>24</v>
      </c>
      <c r="Q301">
        <v>1</v>
      </c>
      <c r="R301" t="s">
        <v>11</v>
      </c>
      <c r="T301">
        <v>10</v>
      </c>
      <c r="V301" t="s">
        <v>15</v>
      </c>
    </row>
    <row r="302" spans="1:22" x14ac:dyDescent="0.25">
      <c r="A302">
        <v>17</v>
      </c>
      <c r="B302" t="s">
        <v>92</v>
      </c>
      <c r="C302" t="s">
        <v>242</v>
      </c>
      <c r="E302" t="s">
        <v>242</v>
      </c>
      <c r="L302" t="s">
        <v>93</v>
      </c>
      <c r="M302">
        <v>100</v>
      </c>
      <c r="N302" t="s">
        <v>141</v>
      </c>
      <c r="Q302">
        <v>8.1000000000000003E-2</v>
      </c>
      <c r="R302" t="s">
        <v>14</v>
      </c>
      <c r="T302">
        <v>10</v>
      </c>
      <c r="V302" t="s">
        <v>15</v>
      </c>
    </row>
    <row r="303" spans="1:22" x14ac:dyDescent="0.25">
      <c r="A303">
        <v>17</v>
      </c>
      <c r="B303" t="s">
        <v>92</v>
      </c>
      <c r="C303" t="s">
        <v>242</v>
      </c>
      <c r="E303" t="s">
        <v>242</v>
      </c>
      <c r="L303" t="s">
        <v>93</v>
      </c>
      <c r="M303">
        <v>110</v>
      </c>
      <c r="N303" t="s">
        <v>140</v>
      </c>
      <c r="Q303">
        <v>4</v>
      </c>
      <c r="R303" t="s">
        <v>11</v>
      </c>
      <c r="T303">
        <v>10</v>
      </c>
      <c r="V303" t="s">
        <v>15</v>
      </c>
    </row>
    <row r="304" spans="1:22" x14ac:dyDescent="0.25">
      <c r="A304">
        <v>17</v>
      </c>
      <c r="B304" t="s">
        <v>92</v>
      </c>
      <c r="C304" t="s">
        <v>242</v>
      </c>
      <c r="E304" t="s">
        <v>242</v>
      </c>
      <c r="L304" t="s">
        <v>93</v>
      </c>
      <c r="M304">
        <v>120</v>
      </c>
      <c r="N304" t="s">
        <v>25</v>
      </c>
      <c r="Q304">
        <v>1</v>
      </c>
      <c r="R304" t="s">
        <v>11</v>
      </c>
      <c r="T304">
        <v>10</v>
      </c>
      <c r="V304" t="s">
        <v>15</v>
      </c>
    </row>
    <row r="305" spans="1:22" x14ac:dyDescent="0.25">
      <c r="A305">
        <v>17</v>
      </c>
      <c r="B305" t="s">
        <v>92</v>
      </c>
      <c r="C305" t="s">
        <v>242</v>
      </c>
      <c r="E305" t="s">
        <v>242</v>
      </c>
      <c r="L305" t="s">
        <v>93</v>
      </c>
      <c r="M305">
        <v>130</v>
      </c>
      <c r="N305" t="s">
        <v>26</v>
      </c>
      <c r="Q305">
        <v>1</v>
      </c>
      <c r="R305" t="s">
        <v>11</v>
      </c>
      <c r="T305">
        <v>10</v>
      </c>
      <c r="V305" t="s">
        <v>15</v>
      </c>
    </row>
    <row r="306" spans="1:22" x14ac:dyDescent="0.25">
      <c r="A306">
        <v>17</v>
      </c>
      <c r="B306" t="s">
        <v>92</v>
      </c>
      <c r="C306" t="s">
        <v>242</v>
      </c>
      <c r="E306" t="s">
        <v>242</v>
      </c>
      <c r="L306" t="s">
        <v>93</v>
      </c>
      <c r="M306">
        <v>140</v>
      </c>
      <c r="N306" t="s">
        <v>100</v>
      </c>
      <c r="Q306">
        <v>1.1890000000000001</v>
      </c>
      <c r="R306" t="s">
        <v>14</v>
      </c>
      <c r="T306">
        <v>10</v>
      </c>
      <c r="V306" t="s">
        <v>15</v>
      </c>
    </row>
    <row r="307" spans="1:22" x14ac:dyDescent="0.25">
      <c r="A307">
        <v>17</v>
      </c>
      <c r="B307" t="s">
        <v>92</v>
      </c>
      <c r="C307" t="s">
        <v>242</v>
      </c>
      <c r="E307" t="s">
        <v>242</v>
      </c>
      <c r="L307" t="s">
        <v>93</v>
      </c>
      <c r="M307">
        <v>150</v>
      </c>
      <c r="N307" t="s">
        <v>245</v>
      </c>
      <c r="Q307">
        <v>1</v>
      </c>
      <c r="R307" t="s">
        <v>11</v>
      </c>
      <c r="T307">
        <v>10</v>
      </c>
      <c r="V307" t="s">
        <v>18</v>
      </c>
    </row>
    <row r="308" spans="1:22" x14ac:dyDescent="0.25">
      <c r="A308">
        <v>17</v>
      </c>
      <c r="B308" t="s">
        <v>92</v>
      </c>
      <c r="C308" t="s">
        <v>242</v>
      </c>
      <c r="E308" t="s">
        <v>242</v>
      </c>
      <c r="L308" t="s">
        <v>93</v>
      </c>
      <c r="M308">
        <v>160</v>
      </c>
      <c r="N308" t="s">
        <v>246</v>
      </c>
      <c r="Q308">
        <v>1</v>
      </c>
      <c r="R308" t="s">
        <v>11</v>
      </c>
      <c r="T308">
        <v>10</v>
      </c>
      <c r="V308" t="s">
        <v>18</v>
      </c>
    </row>
    <row r="309" spans="1:22" x14ac:dyDescent="0.25">
      <c r="A309">
        <v>17</v>
      </c>
      <c r="B309" t="s">
        <v>92</v>
      </c>
      <c r="C309" t="s">
        <v>242</v>
      </c>
      <c r="E309" t="s">
        <v>242</v>
      </c>
      <c r="L309" t="s">
        <v>93</v>
      </c>
      <c r="M309">
        <v>170</v>
      </c>
      <c r="N309" t="s">
        <v>142</v>
      </c>
      <c r="Q309">
        <v>5.8419999999999996</v>
      </c>
      <c r="R309" t="s">
        <v>11</v>
      </c>
      <c r="T309">
        <v>10</v>
      </c>
      <c r="V309" t="s">
        <v>15</v>
      </c>
    </row>
    <row r="310" spans="1:22" x14ac:dyDescent="0.25">
      <c r="A310">
        <v>17</v>
      </c>
      <c r="B310" t="s">
        <v>92</v>
      </c>
      <c r="C310" t="s">
        <v>242</v>
      </c>
      <c r="E310" t="s">
        <v>242</v>
      </c>
      <c r="L310" t="s">
        <v>93</v>
      </c>
      <c r="M310">
        <v>180</v>
      </c>
      <c r="N310" t="s">
        <v>247</v>
      </c>
      <c r="Q310">
        <v>1</v>
      </c>
      <c r="R310" t="s">
        <v>11</v>
      </c>
      <c r="T310">
        <v>10</v>
      </c>
      <c r="V310" t="s">
        <v>18</v>
      </c>
    </row>
    <row r="311" spans="1:22" x14ac:dyDescent="0.25">
      <c r="A311">
        <v>18</v>
      </c>
      <c r="B311" t="s">
        <v>92</v>
      </c>
      <c r="C311" t="s">
        <v>248</v>
      </c>
      <c r="E311" t="s">
        <v>248</v>
      </c>
      <c r="L311" t="s">
        <v>93</v>
      </c>
      <c r="M311">
        <v>10</v>
      </c>
      <c r="N311" t="s">
        <v>249</v>
      </c>
      <c r="Q311">
        <v>1</v>
      </c>
      <c r="R311" t="s">
        <v>11</v>
      </c>
      <c r="T311">
        <v>10</v>
      </c>
      <c r="V311" t="s">
        <v>18</v>
      </c>
    </row>
    <row r="312" spans="1:22" x14ac:dyDescent="0.25">
      <c r="A312">
        <v>18</v>
      </c>
      <c r="B312" t="s">
        <v>92</v>
      </c>
      <c r="C312" t="s">
        <v>248</v>
      </c>
      <c r="E312" t="s">
        <v>248</v>
      </c>
      <c r="L312" t="s">
        <v>93</v>
      </c>
      <c r="M312">
        <v>20</v>
      </c>
      <c r="N312" t="s">
        <v>127</v>
      </c>
      <c r="Q312">
        <v>2.9049999999999998</v>
      </c>
      <c r="R312" t="s">
        <v>14</v>
      </c>
      <c r="T312">
        <v>10</v>
      </c>
      <c r="V312" t="s">
        <v>15</v>
      </c>
    </row>
    <row r="313" spans="1:22" x14ac:dyDescent="0.25">
      <c r="A313">
        <v>18</v>
      </c>
      <c r="B313" t="s">
        <v>92</v>
      </c>
      <c r="C313" t="s">
        <v>248</v>
      </c>
      <c r="E313" t="s">
        <v>248</v>
      </c>
      <c r="L313" t="s">
        <v>93</v>
      </c>
      <c r="M313">
        <v>30</v>
      </c>
      <c r="N313" t="s">
        <v>102</v>
      </c>
      <c r="Q313">
        <v>0.74099999999999999</v>
      </c>
      <c r="R313" t="s">
        <v>103</v>
      </c>
      <c r="T313">
        <v>10</v>
      </c>
      <c r="V313" t="s">
        <v>15</v>
      </c>
    </row>
    <row r="314" spans="1:22" x14ac:dyDescent="0.25">
      <c r="A314">
        <v>18</v>
      </c>
      <c r="B314" t="s">
        <v>92</v>
      </c>
      <c r="C314" t="s">
        <v>248</v>
      </c>
      <c r="E314" t="s">
        <v>248</v>
      </c>
      <c r="L314" t="s">
        <v>93</v>
      </c>
      <c r="M314">
        <v>40</v>
      </c>
      <c r="N314" t="s">
        <v>146</v>
      </c>
      <c r="Q314">
        <v>1.016</v>
      </c>
      <c r="R314" t="s">
        <v>11</v>
      </c>
      <c r="T314">
        <v>10</v>
      </c>
      <c r="V314" t="s">
        <v>18</v>
      </c>
    </row>
    <row r="315" spans="1:22" x14ac:dyDescent="0.25">
      <c r="A315">
        <v>18</v>
      </c>
      <c r="B315" t="s">
        <v>92</v>
      </c>
      <c r="C315" t="s">
        <v>248</v>
      </c>
      <c r="E315" t="s">
        <v>248</v>
      </c>
      <c r="L315" t="s">
        <v>93</v>
      </c>
      <c r="M315">
        <v>50</v>
      </c>
      <c r="N315" t="s">
        <v>139</v>
      </c>
      <c r="Q315">
        <v>1.016</v>
      </c>
      <c r="R315" t="s">
        <v>17</v>
      </c>
      <c r="T315">
        <v>10</v>
      </c>
      <c r="V315" t="s">
        <v>18</v>
      </c>
    </row>
    <row r="316" spans="1:22" x14ac:dyDescent="0.25">
      <c r="A316">
        <v>18</v>
      </c>
      <c r="B316" t="s">
        <v>92</v>
      </c>
      <c r="C316" t="s">
        <v>248</v>
      </c>
      <c r="E316" t="s">
        <v>248</v>
      </c>
      <c r="L316" t="s">
        <v>93</v>
      </c>
      <c r="M316">
        <v>60</v>
      </c>
      <c r="N316" t="s">
        <v>250</v>
      </c>
      <c r="Q316">
        <v>1</v>
      </c>
      <c r="R316" t="s">
        <v>11</v>
      </c>
      <c r="T316">
        <v>10</v>
      </c>
      <c r="V316" t="s">
        <v>18</v>
      </c>
    </row>
    <row r="317" spans="1:22" x14ac:dyDescent="0.25">
      <c r="A317">
        <v>18</v>
      </c>
      <c r="B317" t="s">
        <v>92</v>
      </c>
      <c r="C317" t="s">
        <v>248</v>
      </c>
      <c r="E317" t="s">
        <v>248</v>
      </c>
      <c r="L317" t="s">
        <v>93</v>
      </c>
      <c r="M317">
        <v>70</v>
      </c>
      <c r="N317" t="s">
        <v>148</v>
      </c>
      <c r="Q317">
        <v>18.440000000000001</v>
      </c>
      <c r="R317" t="s">
        <v>17</v>
      </c>
      <c r="T317">
        <v>10</v>
      </c>
      <c r="V317" t="s">
        <v>15</v>
      </c>
    </row>
    <row r="318" spans="1:22" x14ac:dyDescent="0.25">
      <c r="A318">
        <v>18</v>
      </c>
      <c r="B318" t="s">
        <v>92</v>
      </c>
      <c r="C318" t="s">
        <v>248</v>
      </c>
      <c r="E318" t="s">
        <v>248</v>
      </c>
      <c r="L318" t="s">
        <v>93</v>
      </c>
      <c r="M318">
        <v>80</v>
      </c>
      <c r="N318" t="s">
        <v>20</v>
      </c>
      <c r="Q318">
        <v>151.21100000000001</v>
      </c>
      <c r="R318" t="s">
        <v>17</v>
      </c>
      <c r="T318">
        <v>10</v>
      </c>
      <c r="V318" t="s">
        <v>15</v>
      </c>
    </row>
    <row r="319" spans="1:22" x14ac:dyDescent="0.25">
      <c r="A319">
        <v>18</v>
      </c>
      <c r="B319" t="s">
        <v>92</v>
      </c>
      <c r="C319" t="s">
        <v>248</v>
      </c>
      <c r="E319" t="s">
        <v>248</v>
      </c>
      <c r="L319" t="s">
        <v>93</v>
      </c>
      <c r="M319">
        <v>90</v>
      </c>
      <c r="N319" t="s">
        <v>24</v>
      </c>
      <c r="Q319">
        <v>1</v>
      </c>
      <c r="R319" t="s">
        <v>11</v>
      </c>
      <c r="T319">
        <v>10</v>
      </c>
      <c r="V319" t="s">
        <v>15</v>
      </c>
    </row>
    <row r="320" spans="1:22" x14ac:dyDescent="0.25">
      <c r="A320">
        <v>18</v>
      </c>
      <c r="B320" t="s">
        <v>92</v>
      </c>
      <c r="C320" t="s">
        <v>248</v>
      </c>
      <c r="E320" t="s">
        <v>248</v>
      </c>
      <c r="L320" t="s">
        <v>93</v>
      </c>
      <c r="M320">
        <v>100</v>
      </c>
      <c r="N320" t="s">
        <v>141</v>
      </c>
      <c r="Q320">
        <v>9.1999999999999998E-2</v>
      </c>
      <c r="R320" t="s">
        <v>14</v>
      </c>
      <c r="T320">
        <v>10</v>
      </c>
      <c r="V320" t="s">
        <v>15</v>
      </c>
    </row>
    <row r="321" spans="1:22" x14ac:dyDescent="0.25">
      <c r="A321">
        <v>18</v>
      </c>
      <c r="B321" t="s">
        <v>92</v>
      </c>
      <c r="C321" t="s">
        <v>248</v>
      </c>
      <c r="E321" t="s">
        <v>248</v>
      </c>
      <c r="L321" t="s">
        <v>93</v>
      </c>
      <c r="M321">
        <v>110</v>
      </c>
      <c r="N321" t="s">
        <v>140</v>
      </c>
      <c r="Q321">
        <v>4</v>
      </c>
      <c r="R321" t="s">
        <v>11</v>
      </c>
      <c r="T321">
        <v>10</v>
      </c>
      <c r="V321" t="s">
        <v>15</v>
      </c>
    </row>
    <row r="322" spans="1:22" x14ac:dyDescent="0.25">
      <c r="A322">
        <v>18</v>
      </c>
      <c r="B322" t="s">
        <v>92</v>
      </c>
      <c r="C322" t="s">
        <v>248</v>
      </c>
      <c r="E322" t="s">
        <v>248</v>
      </c>
      <c r="L322" t="s">
        <v>93</v>
      </c>
      <c r="M322">
        <v>120</v>
      </c>
      <c r="N322" t="s">
        <v>25</v>
      </c>
      <c r="Q322">
        <v>1</v>
      </c>
      <c r="R322" t="s">
        <v>11</v>
      </c>
      <c r="T322">
        <v>10</v>
      </c>
      <c r="V322" t="s">
        <v>15</v>
      </c>
    </row>
    <row r="323" spans="1:22" x14ac:dyDescent="0.25">
      <c r="A323">
        <v>18</v>
      </c>
      <c r="B323" t="s">
        <v>92</v>
      </c>
      <c r="C323" t="s">
        <v>248</v>
      </c>
      <c r="E323" t="s">
        <v>248</v>
      </c>
      <c r="L323" t="s">
        <v>93</v>
      </c>
      <c r="M323">
        <v>130</v>
      </c>
      <c r="N323" t="s">
        <v>26</v>
      </c>
      <c r="Q323">
        <v>1</v>
      </c>
      <c r="R323" t="s">
        <v>11</v>
      </c>
      <c r="T323">
        <v>10</v>
      </c>
      <c r="V323" t="s">
        <v>15</v>
      </c>
    </row>
    <row r="324" spans="1:22" x14ac:dyDescent="0.25">
      <c r="A324">
        <v>18</v>
      </c>
      <c r="B324" t="s">
        <v>92</v>
      </c>
      <c r="C324" t="s">
        <v>248</v>
      </c>
      <c r="E324" t="s">
        <v>248</v>
      </c>
      <c r="L324" t="s">
        <v>93</v>
      </c>
      <c r="M324">
        <v>140</v>
      </c>
      <c r="N324" t="s">
        <v>100</v>
      </c>
      <c r="Q324">
        <v>1.1890000000000001</v>
      </c>
      <c r="R324" t="s">
        <v>14</v>
      </c>
      <c r="T324">
        <v>10</v>
      </c>
      <c r="V324" t="s">
        <v>15</v>
      </c>
    </row>
    <row r="325" spans="1:22" x14ac:dyDescent="0.25">
      <c r="A325">
        <v>18</v>
      </c>
      <c r="B325" t="s">
        <v>92</v>
      </c>
      <c r="C325" t="s">
        <v>248</v>
      </c>
      <c r="E325" t="s">
        <v>248</v>
      </c>
      <c r="L325" t="s">
        <v>93</v>
      </c>
      <c r="M325">
        <v>150</v>
      </c>
      <c r="N325" t="s">
        <v>251</v>
      </c>
      <c r="Q325">
        <v>1</v>
      </c>
      <c r="R325" t="s">
        <v>11</v>
      </c>
      <c r="T325">
        <v>10</v>
      </c>
      <c r="V325" t="s">
        <v>18</v>
      </c>
    </row>
    <row r="326" spans="1:22" x14ac:dyDescent="0.25">
      <c r="A326">
        <v>18</v>
      </c>
      <c r="B326" t="s">
        <v>92</v>
      </c>
      <c r="C326" t="s">
        <v>248</v>
      </c>
      <c r="E326" t="s">
        <v>248</v>
      </c>
      <c r="L326" t="s">
        <v>93</v>
      </c>
      <c r="M326">
        <v>160</v>
      </c>
      <c r="N326" t="s">
        <v>252</v>
      </c>
      <c r="Q326">
        <v>1</v>
      </c>
      <c r="R326" t="s">
        <v>11</v>
      </c>
      <c r="T326">
        <v>10</v>
      </c>
      <c r="V326" t="s">
        <v>18</v>
      </c>
    </row>
    <row r="327" spans="1:22" x14ac:dyDescent="0.25">
      <c r="A327">
        <v>18</v>
      </c>
      <c r="B327" t="s">
        <v>92</v>
      </c>
      <c r="C327" t="s">
        <v>248</v>
      </c>
      <c r="E327" t="s">
        <v>248</v>
      </c>
      <c r="L327" t="s">
        <v>93</v>
      </c>
      <c r="M327">
        <v>170</v>
      </c>
      <c r="N327" t="s">
        <v>142</v>
      </c>
      <c r="Q327">
        <v>6.1470000000000002</v>
      </c>
      <c r="R327" t="s">
        <v>11</v>
      </c>
      <c r="T327">
        <v>10</v>
      </c>
      <c r="V327" t="s">
        <v>15</v>
      </c>
    </row>
    <row r="328" spans="1:22" x14ac:dyDescent="0.25">
      <c r="A328">
        <v>18</v>
      </c>
      <c r="B328" t="s">
        <v>92</v>
      </c>
      <c r="C328" t="s">
        <v>248</v>
      </c>
      <c r="E328" t="s">
        <v>248</v>
      </c>
      <c r="L328" t="s">
        <v>93</v>
      </c>
      <c r="M328">
        <v>180</v>
      </c>
      <c r="N328" t="s">
        <v>253</v>
      </c>
      <c r="Q328">
        <v>1</v>
      </c>
      <c r="R328" t="s">
        <v>11</v>
      </c>
      <c r="T328">
        <v>10</v>
      </c>
      <c r="V328" t="s">
        <v>18</v>
      </c>
    </row>
    <row r="329" spans="1:22" x14ac:dyDescent="0.25">
      <c r="A329">
        <v>19</v>
      </c>
      <c r="B329" t="s">
        <v>92</v>
      </c>
      <c r="C329" t="s">
        <v>254</v>
      </c>
      <c r="E329" t="s">
        <v>254</v>
      </c>
      <c r="L329" t="s">
        <v>93</v>
      </c>
      <c r="M329">
        <v>10</v>
      </c>
      <c r="N329" t="s">
        <v>255</v>
      </c>
      <c r="Q329">
        <v>1</v>
      </c>
      <c r="R329" t="s">
        <v>11</v>
      </c>
      <c r="T329">
        <v>10</v>
      </c>
      <c r="V329" t="s">
        <v>18</v>
      </c>
    </row>
    <row r="330" spans="1:22" x14ac:dyDescent="0.25">
      <c r="A330">
        <v>19</v>
      </c>
      <c r="B330" t="s">
        <v>92</v>
      </c>
      <c r="C330" t="s">
        <v>254</v>
      </c>
      <c r="E330" t="s">
        <v>254</v>
      </c>
      <c r="L330" t="s">
        <v>93</v>
      </c>
      <c r="M330">
        <v>20</v>
      </c>
      <c r="N330" t="s">
        <v>128</v>
      </c>
      <c r="Q330">
        <v>3.3250000000000002</v>
      </c>
      <c r="R330" t="s">
        <v>14</v>
      </c>
      <c r="T330">
        <v>10</v>
      </c>
      <c r="V330" t="s">
        <v>15</v>
      </c>
    </row>
    <row r="331" spans="1:22" x14ac:dyDescent="0.25">
      <c r="A331">
        <v>19</v>
      </c>
      <c r="B331" t="s">
        <v>92</v>
      </c>
      <c r="C331" t="s">
        <v>254</v>
      </c>
      <c r="E331" t="s">
        <v>254</v>
      </c>
      <c r="L331" t="s">
        <v>93</v>
      </c>
      <c r="M331">
        <v>30</v>
      </c>
      <c r="N331" t="s">
        <v>102</v>
      </c>
      <c r="Q331">
        <v>0.85799999999999998</v>
      </c>
      <c r="R331" t="s">
        <v>103</v>
      </c>
      <c r="T331">
        <v>10</v>
      </c>
      <c r="V331" t="s">
        <v>15</v>
      </c>
    </row>
    <row r="332" spans="1:22" x14ac:dyDescent="0.25">
      <c r="A332">
        <v>19</v>
      </c>
      <c r="B332" t="s">
        <v>92</v>
      </c>
      <c r="C332" t="s">
        <v>254</v>
      </c>
      <c r="E332" t="s">
        <v>254</v>
      </c>
      <c r="L332" t="s">
        <v>93</v>
      </c>
      <c r="M332">
        <v>40</v>
      </c>
      <c r="N332" t="s">
        <v>146</v>
      </c>
      <c r="Q332">
        <v>1.1679999999999999</v>
      </c>
      <c r="R332" t="s">
        <v>11</v>
      </c>
      <c r="T332">
        <v>10</v>
      </c>
      <c r="V332" t="s">
        <v>18</v>
      </c>
    </row>
    <row r="333" spans="1:22" x14ac:dyDescent="0.25">
      <c r="A333">
        <v>19</v>
      </c>
      <c r="B333" t="s">
        <v>92</v>
      </c>
      <c r="C333" t="s">
        <v>254</v>
      </c>
      <c r="E333" t="s">
        <v>254</v>
      </c>
      <c r="L333" t="s">
        <v>93</v>
      </c>
      <c r="M333">
        <v>50</v>
      </c>
      <c r="N333" t="s">
        <v>139</v>
      </c>
      <c r="Q333">
        <v>1.1679999999999999</v>
      </c>
      <c r="R333" t="s">
        <v>17</v>
      </c>
      <c r="T333">
        <v>10</v>
      </c>
      <c r="V333" t="s">
        <v>18</v>
      </c>
    </row>
    <row r="334" spans="1:22" x14ac:dyDescent="0.25">
      <c r="A334">
        <v>19</v>
      </c>
      <c r="B334" t="s">
        <v>92</v>
      </c>
      <c r="C334" t="s">
        <v>254</v>
      </c>
      <c r="E334" t="s">
        <v>254</v>
      </c>
      <c r="L334" t="s">
        <v>93</v>
      </c>
      <c r="M334">
        <v>60</v>
      </c>
      <c r="N334" t="s">
        <v>256</v>
      </c>
      <c r="Q334">
        <v>1</v>
      </c>
      <c r="R334" t="s">
        <v>11</v>
      </c>
      <c r="T334">
        <v>10</v>
      </c>
      <c r="V334" t="s">
        <v>18</v>
      </c>
    </row>
    <row r="335" spans="1:22" x14ac:dyDescent="0.25">
      <c r="A335">
        <v>19</v>
      </c>
      <c r="B335" t="s">
        <v>92</v>
      </c>
      <c r="C335" t="s">
        <v>254</v>
      </c>
      <c r="E335" t="s">
        <v>254</v>
      </c>
      <c r="L335" t="s">
        <v>93</v>
      </c>
      <c r="M335">
        <v>70</v>
      </c>
      <c r="N335" t="s">
        <v>148</v>
      </c>
      <c r="Q335">
        <v>19.355</v>
      </c>
      <c r="R335" t="s">
        <v>17</v>
      </c>
      <c r="T335">
        <v>10</v>
      </c>
      <c r="V335" t="s">
        <v>15</v>
      </c>
    </row>
    <row r="336" spans="1:22" x14ac:dyDescent="0.25">
      <c r="A336">
        <v>19</v>
      </c>
      <c r="B336" t="s">
        <v>92</v>
      </c>
      <c r="C336" t="s">
        <v>254</v>
      </c>
      <c r="E336" t="s">
        <v>254</v>
      </c>
      <c r="L336" t="s">
        <v>93</v>
      </c>
      <c r="M336">
        <v>80</v>
      </c>
      <c r="N336" t="s">
        <v>20</v>
      </c>
      <c r="Q336">
        <v>158.709</v>
      </c>
      <c r="R336" t="s">
        <v>17</v>
      </c>
      <c r="T336">
        <v>10</v>
      </c>
      <c r="V336" t="s">
        <v>15</v>
      </c>
    </row>
    <row r="337" spans="1:22" x14ac:dyDescent="0.25">
      <c r="A337">
        <v>19</v>
      </c>
      <c r="B337" t="s">
        <v>92</v>
      </c>
      <c r="C337" t="s">
        <v>254</v>
      </c>
      <c r="E337" t="s">
        <v>254</v>
      </c>
      <c r="L337" t="s">
        <v>93</v>
      </c>
      <c r="M337">
        <v>90</v>
      </c>
      <c r="N337" t="s">
        <v>24</v>
      </c>
      <c r="Q337">
        <v>1</v>
      </c>
      <c r="R337" t="s">
        <v>11</v>
      </c>
      <c r="T337">
        <v>10</v>
      </c>
      <c r="V337" t="s">
        <v>15</v>
      </c>
    </row>
    <row r="338" spans="1:22" x14ac:dyDescent="0.25">
      <c r="A338">
        <v>19</v>
      </c>
      <c r="B338" t="s">
        <v>92</v>
      </c>
      <c r="C338" t="s">
        <v>254</v>
      </c>
      <c r="E338" t="s">
        <v>254</v>
      </c>
      <c r="L338" t="s">
        <v>93</v>
      </c>
      <c r="M338">
        <v>100</v>
      </c>
      <c r="N338" t="s">
        <v>141</v>
      </c>
      <c r="Q338">
        <v>0.10199999999999999</v>
      </c>
      <c r="R338" t="s">
        <v>14</v>
      </c>
      <c r="T338">
        <v>10</v>
      </c>
      <c r="V338" t="s">
        <v>15</v>
      </c>
    </row>
    <row r="339" spans="1:22" x14ac:dyDescent="0.25">
      <c r="A339">
        <v>19</v>
      </c>
      <c r="B339" t="s">
        <v>92</v>
      </c>
      <c r="C339" t="s">
        <v>254</v>
      </c>
      <c r="E339" t="s">
        <v>254</v>
      </c>
      <c r="L339" t="s">
        <v>93</v>
      </c>
      <c r="M339">
        <v>110</v>
      </c>
      <c r="N339" t="s">
        <v>140</v>
      </c>
      <c r="Q339">
        <v>4</v>
      </c>
      <c r="R339" t="s">
        <v>11</v>
      </c>
      <c r="T339">
        <v>10</v>
      </c>
      <c r="V339" t="s">
        <v>15</v>
      </c>
    </row>
    <row r="340" spans="1:22" x14ac:dyDescent="0.25">
      <c r="A340">
        <v>19</v>
      </c>
      <c r="B340" t="s">
        <v>92</v>
      </c>
      <c r="C340" t="s">
        <v>254</v>
      </c>
      <c r="E340" t="s">
        <v>254</v>
      </c>
      <c r="L340" t="s">
        <v>93</v>
      </c>
      <c r="M340">
        <v>120</v>
      </c>
      <c r="N340" t="s">
        <v>25</v>
      </c>
      <c r="Q340">
        <v>1</v>
      </c>
      <c r="R340" t="s">
        <v>11</v>
      </c>
      <c r="T340">
        <v>10</v>
      </c>
      <c r="V340" t="s">
        <v>15</v>
      </c>
    </row>
    <row r="341" spans="1:22" x14ac:dyDescent="0.25">
      <c r="A341">
        <v>19</v>
      </c>
      <c r="B341" t="s">
        <v>92</v>
      </c>
      <c r="C341" t="s">
        <v>254</v>
      </c>
      <c r="E341" t="s">
        <v>254</v>
      </c>
      <c r="L341" t="s">
        <v>93</v>
      </c>
      <c r="M341">
        <v>130</v>
      </c>
      <c r="N341" t="s">
        <v>26</v>
      </c>
      <c r="Q341">
        <v>1</v>
      </c>
      <c r="R341" t="s">
        <v>11</v>
      </c>
      <c r="T341">
        <v>10</v>
      </c>
      <c r="V341" t="s">
        <v>15</v>
      </c>
    </row>
    <row r="342" spans="1:22" x14ac:dyDescent="0.25">
      <c r="A342">
        <v>19</v>
      </c>
      <c r="B342" t="s">
        <v>92</v>
      </c>
      <c r="C342" t="s">
        <v>254</v>
      </c>
      <c r="E342" t="s">
        <v>254</v>
      </c>
      <c r="L342" t="s">
        <v>93</v>
      </c>
      <c r="M342">
        <v>140</v>
      </c>
      <c r="N342" t="s">
        <v>100</v>
      </c>
      <c r="Q342">
        <v>1.1890000000000001</v>
      </c>
      <c r="R342" t="s">
        <v>14</v>
      </c>
      <c r="T342">
        <v>10</v>
      </c>
      <c r="V342" t="s">
        <v>15</v>
      </c>
    </row>
    <row r="343" spans="1:22" x14ac:dyDescent="0.25">
      <c r="A343">
        <v>19</v>
      </c>
      <c r="B343" t="s">
        <v>92</v>
      </c>
      <c r="C343" t="s">
        <v>254</v>
      </c>
      <c r="E343" t="s">
        <v>254</v>
      </c>
      <c r="L343" t="s">
        <v>93</v>
      </c>
      <c r="M343">
        <v>150</v>
      </c>
      <c r="N343" t="s">
        <v>257</v>
      </c>
      <c r="Q343">
        <v>1</v>
      </c>
      <c r="R343" t="s">
        <v>11</v>
      </c>
      <c r="T343">
        <v>10</v>
      </c>
      <c r="V343" t="s">
        <v>18</v>
      </c>
    </row>
    <row r="344" spans="1:22" x14ac:dyDescent="0.25">
      <c r="A344">
        <v>19</v>
      </c>
      <c r="B344" t="s">
        <v>92</v>
      </c>
      <c r="C344" t="s">
        <v>254</v>
      </c>
      <c r="E344" t="s">
        <v>254</v>
      </c>
      <c r="L344" t="s">
        <v>93</v>
      </c>
      <c r="M344">
        <v>160</v>
      </c>
      <c r="N344" t="s">
        <v>258</v>
      </c>
      <c r="Q344">
        <v>1</v>
      </c>
      <c r="R344" t="s">
        <v>11</v>
      </c>
      <c r="T344">
        <v>10</v>
      </c>
      <c r="V344" t="s">
        <v>18</v>
      </c>
    </row>
    <row r="345" spans="1:22" x14ac:dyDescent="0.25">
      <c r="A345">
        <v>19</v>
      </c>
      <c r="B345" t="s">
        <v>92</v>
      </c>
      <c r="C345" t="s">
        <v>254</v>
      </c>
      <c r="E345" t="s">
        <v>254</v>
      </c>
      <c r="L345" t="s">
        <v>93</v>
      </c>
      <c r="M345">
        <v>170</v>
      </c>
      <c r="N345" t="s">
        <v>142</v>
      </c>
      <c r="Q345">
        <v>6.452</v>
      </c>
      <c r="R345" t="s">
        <v>11</v>
      </c>
      <c r="T345">
        <v>10</v>
      </c>
      <c r="V345" t="s">
        <v>15</v>
      </c>
    </row>
    <row r="346" spans="1:22" x14ac:dyDescent="0.25">
      <c r="A346">
        <v>19</v>
      </c>
      <c r="B346" t="s">
        <v>92</v>
      </c>
      <c r="C346" t="s">
        <v>254</v>
      </c>
      <c r="E346" t="s">
        <v>254</v>
      </c>
      <c r="L346" t="s">
        <v>93</v>
      </c>
      <c r="M346">
        <v>180</v>
      </c>
      <c r="N346" t="s">
        <v>259</v>
      </c>
      <c r="Q346">
        <v>1</v>
      </c>
      <c r="R346" t="s">
        <v>11</v>
      </c>
      <c r="T346">
        <v>10</v>
      </c>
      <c r="V346" t="s">
        <v>18</v>
      </c>
    </row>
    <row r="347" spans="1:22" x14ac:dyDescent="0.25">
      <c r="A347">
        <v>20</v>
      </c>
      <c r="B347" t="s">
        <v>92</v>
      </c>
      <c r="C347" t="s">
        <v>260</v>
      </c>
      <c r="E347" t="s">
        <v>260</v>
      </c>
      <c r="L347" t="s">
        <v>93</v>
      </c>
      <c r="M347">
        <v>10</v>
      </c>
      <c r="N347" t="s">
        <v>261</v>
      </c>
      <c r="Q347">
        <v>1</v>
      </c>
      <c r="R347" t="s">
        <v>11</v>
      </c>
      <c r="T347">
        <v>10</v>
      </c>
      <c r="V347" t="s">
        <v>18</v>
      </c>
    </row>
    <row r="348" spans="1:22" x14ac:dyDescent="0.25">
      <c r="A348">
        <v>20</v>
      </c>
      <c r="B348" t="s">
        <v>92</v>
      </c>
      <c r="C348" t="s">
        <v>260</v>
      </c>
      <c r="E348" t="s">
        <v>260</v>
      </c>
      <c r="L348" t="s">
        <v>93</v>
      </c>
      <c r="M348">
        <v>20</v>
      </c>
      <c r="N348" t="s">
        <v>129</v>
      </c>
      <c r="Q348">
        <v>4.165</v>
      </c>
      <c r="R348" t="s">
        <v>14</v>
      </c>
      <c r="T348">
        <v>10</v>
      </c>
      <c r="V348" t="s">
        <v>15</v>
      </c>
    </row>
    <row r="349" spans="1:22" x14ac:dyDescent="0.25">
      <c r="A349">
        <v>20</v>
      </c>
      <c r="B349" t="s">
        <v>92</v>
      </c>
      <c r="C349" t="s">
        <v>260</v>
      </c>
      <c r="E349" t="s">
        <v>260</v>
      </c>
      <c r="L349" t="s">
        <v>93</v>
      </c>
      <c r="M349">
        <v>30</v>
      </c>
      <c r="N349" t="s">
        <v>102</v>
      </c>
      <c r="Q349">
        <v>0.97499999999999998</v>
      </c>
      <c r="R349" t="s">
        <v>103</v>
      </c>
      <c r="T349">
        <v>10</v>
      </c>
      <c r="V349" t="s">
        <v>15</v>
      </c>
    </row>
    <row r="350" spans="1:22" x14ac:dyDescent="0.25">
      <c r="A350">
        <v>20</v>
      </c>
      <c r="B350" t="s">
        <v>92</v>
      </c>
      <c r="C350" t="s">
        <v>260</v>
      </c>
      <c r="E350" t="s">
        <v>260</v>
      </c>
      <c r="L350" t="s">
        <v>93</v>
      </c>
      <c r="M350">
        <v>40</v>
      </c>
      <c r="N350" t="s">
        <v>146</v>
      </c>
      <c r="Q350">
        <v>1.321</v>
      </c>
      <c r="R350" t="s">
        <v>11</v>
      </c>
      <c r="T350">
        <v>10</v>
      </c>
      <c r="V350" t="s">
        <v>18</v>
      </c>
    </row>
    <row r="351" spans="1:22" x14ac:dyDescent="0.25">
      <c r="A351">
        <v>20</v>
      </c>
      <c r="B351" t="s">
        <v>92</v>
      </c>
      <c r="C351" t="s">
        <v>260</v>
      </c>
      <c r="E351" t="s">
        <v>260</v>
      </c>
      <c r="L351" t="s">
        <v>93</v>
      </c>
      <c r="M351">
        <v>50</v>
      </c>
      <c r="N351" t="s">
        <v>139</v>
      </c>
      <c r="Q351">
        <v>1.321</v>
      </c>
      <c r="R351" t="s">
        <v>17</v>
      </c>
      <c r="T351">
        <v>10</v>
      </c>
      <c r="V351" t="s">
        <v>18</v>
      </c>
    </row>
    <row r="352" spans="1:22" x14ac:dyDescent="0.25">
      <c r="A352">
        <v>20</v>
      </c>
      <c r="B352" t="s">
        <v>92</v>
      </c>
      <c r="C352" t="s">
        <v>260</v>
      </c>
      <c r="E352" t="s">
        <v>260</v>
      </c>
      <c r="L352" t="s">
        <v>93</v>
      </c>
      <c r="M352">
        <v>60</v>
      </c>
      <c r="N352" t="s">
        <v>262</v>
      </c>
      <c r="Q352">
        <v>1</v>
      </c>
      <c r="R352" t="s">
        <v>11</v>
      </c>
      <c r="T352">
        <v>10</v>
      </c>
      <c r="V352" t="s">
        <v>18</v>
      </c>
    </row>
    <row r="353" spans="1:22" x14ac:dyDescent="0.25">
      <c r="A353">
        <v>20</v>
      </c>
      <c r="B353" t="s">
        <v>92</v>
      </c>
      <c r="C353" t="s">
        <v>260</v>
      </c>
      <c r="E353" t="s">
        <v>260</v>
      </c>
      <c r="L353" t="s">
        <v>93</v>
      </c>
      <c r="M353">
        <v>70</v>
      </c>
      <c r="N353" t="s">
        <v>148</v>
      </c>
      <c r="Q353">
        <v>20.268999999999998</v>
      </c>
      <c r="R353" t="s">
        <v>17</v>
      </c>
      <c r="T353">
        <v>10</v>
      </c>
      <c r="V353" t="s">
        <v>15</v>
      </c>
    </row>
    <row r="354" spans="1:22" x14ac:dyDescent="0.25">
      <c r="A354">
        <v>20</v>
      </c>
      <c r="B354" t="s">
        <v>92</v>
      </c>
      <c r="C354" t="s">
        <v>260</v>
      </c>
      <c r="E354" t="s">
        <v>260</v>
      </c>
      <c r="L354" t="s">
        <v>93</v>
      </c>
      <c r="M354">
        <v>80</v>
      </c>
      <c r="N354" t="s">
        <v>20</v>
      </c>
      <c r="Q354">
        <v>166.20699999999999</v>
      </c>
      <c r="R354" t="s">
        <v>17</v>
      </c>
      <c r="T354">
        <v>10</v>
      </c>
      <c r="V354" t="s">
        <v>15</v>
      </c>
    </row>
    <row r="355" spans="1:22" x14ac:dyDescent="0.25">
      <c r="A355">
        <v>20</v>
      </c>
      <c r="B355" t="s">
        <v>92</v>
      </c>
      <c r="C355" t="s">
        <v>260</v>
      </c>
      <c r="E355" t="s">
        <v>260</v>
      </c>
      <c r="L355" t="s">
        <v>93</v>
      </c>
      <c r="M355">
        <v>90</v>
      </c>
      <c r="N355" t="s">
        <v>24</v>
      </c>
      <c r="Q355">
        <v>1</v>
      </c>
      <c r="R355" t="s">
        <v>11</v>
      </c>
      <c r="T355">
        <v>10</v>
      </c>
      <c r="V355" t="s">
        <v>15</v>
      </c>
    </row>
    <row r="356" spans="1:22" x14ac:dyDescent="0.25">
      <c r="A356">
        <v>20</v>
      </c>
      <c r="B356" t="s">
        <v>92</v>
      </c>
      <c r="C356" t="s">
        <v>260</v>
      </c>
      <c r="E356" t="s">
        <v>260</v>
      </c>
      <c r="L356" t="s">
        <v>93</v>
      </c>
      <c r="M356">
        <v>100</v>
      </c>
      <c r="N356" t="s">
        <v>141</v>
      </c>
      <c r="Q356">
        <v>0.112</v>
      </c>
      <c r="R356" t="s">
        <v>14</v>
      </c>
      <c r="T356">
        <v>10</v>
      </c>
      <c r="V356" t="s">
        <v>15</v>
      </c>
    </row>
    <row r="357" spans="1:22" x14ac:dyDescent="0.25">
      <c r="A357">
        <v>20</v>
      </c>
      <c r="B357" t="s">
        <v>92</v>
      </c>
      <c r="C357" t="s">
        <v>260</v>
      </c>
      <c r="E357" t="s">
        <v>260</v>
      </c>
      <c r="L357" t="s">
        <v>93</v>
      </c>
      <c r="M357">
        <v>110</v>
      </c>
      <c r="N357" t="s">
        <v>140</v>
      </c>
      <c r="Q357">
        <v>4</v>
      </c>
      <c r="R357" t="s">
        <v>11</v>
      </c>
      <c r="T357">
        <v>10</v>
      </c>
      <c r="V357" t="s">
        <v>15</v>
      </c>
    </row>
    <row r="358" spans="1:22" x14ac:dyDescent="0.25">
      <c r="A358">
        <v>20</v>
      </c>
      <c r="B358" t="s">
        <v>92</v>
      </c>
      <c r="C358" t="s">
        <v>260</v>
      </c>
      <c r="E358" t="s">
        <v>260</v>
      </c>
      <c r="L358" t="s">
        <v>93</v>
      </c>
      <c r="M358">
        <v>120</v>
      </c>
      <c r="N358" t="s">
        <v>25</v>
      </c>
      <c r="Q358">
        <v>1</v>
      </c>
      <c r="R358" t="s">
        <v>11</v>
      </c>
      <c r="T358">
        <v>10</v>
      </c>
      <c r="V358" t="s">
        <v>15</v>
      </c>
    </row>
    <row r="359" spans="1:22" x14ac:dyDescent="0.25">
      <c r="A359">
        <v>20</v>
      </c>
      <c r="B359" t="s">
        <v>92</v>
      </c>
      <c r="C359" t="s">
        <v>260</v>
      </c>
      <c r="E359" t="s">
        <v>260</v>
      </c>
      <c r="L359" t="s">
        <v>93</v>
      </c>
      <c r="M359">
        <v>130</v>
      </c>
      <c r="N359" t="s">
        <v>26</v>
      </c>
      <c r="Q359">
        <v>1</v>
      </c>
      <c r="R359" t="s">
        <v>11</v>
      </c>
      <c r="T359">
        <v>10</v>
      </c>
      <c r="V359" t="s">
        <v>15</v>
      </c>
    </row>
    <row r="360" spans="1:22" x14ac:dyDescent="0.25">
      <c r="A360">
        <v>20</v>
      </c>
      <c r="B360" t="s">
        <v>92</v>
      </c>
      <c r="C360" t="s">
        <v>260</v>
      </c>
      <c r="E360" t="s">
        <v>260</v>
      </c>
      <c r="L360" t="s">
        <v>93</v>
      </c>
      <c r="M360">
        <v>140</v>
      </c>
      <c r="N360" t="s">
        <v>100</v>
      </c>
      <c r="Q360">
        <v>1.1890000000000001</v>
      </c>
      <c r="R360" t="s">
        <v>14</v>
      </c>
      <c r="T360">
        <v>10</v>
      </c>
      <c r="V360" t="s">
        <v>15</v>
      </c>
    </row>
    <row r="361" spans="1:22" x14ac:dyDescent="0.25">
      <c r="A361">
        <v>20</v>
      </c>
      <c r="B361" t="s">
        <v>92</v>
      </c>
      <c r="C361" t="s">
        <v>260</v>
      </c>
      <c r="E361" t="s">
        <v>260</v>
      </c>
      <c r="L361" t="s">
        <v>93</v>
      </c>
      <c r="M361">
        <v>150</v>
      </c>
      <c r="N361" t="s">
        <v>263</v>
      </c>
      <c r="Q361">
        <v>1</v>
      </c>
      <c r="R361" t="s">
        <v>11</v>
      </c>
      <c r="T361">
        <v>10</v>
      </c>
      <c r="V361" t="s">
        <v>18</v>
      </c>
    </row>
    <row r="362" spans="1:22" x14ac:dyDescent="0.25">
      <c r="A362">
        <v>20</v>
      </c>
      <c r="B362" t="s">
        <v>92</v>
      </c>
      <c r="C362" t="s">
        <v>260</v>
      </c>
      <c r="E362" t="s">
        <v>260</v>
      </c>
      <c r="L362" t="s">
        <v>93</v>
      </c>
      <c r="M362">
        <v>160</v>
      </c>
      <c r="N362" t="s">
        <v>264</v>
      </c>
      <c r="Q362">
        <v>1</v>
      </c>
      <c r="R362" t="s">
        <v>11</v>
      </c>
      <c r="T362">
        <v>10</v>
      </c>
      <c r="V362" t="s">
        <v>18</v>
      </c>
    </row>
    <row r="363" spans="1:22" x14ac:dyDescent="0.25">
      <c r="A363">
        <v>20</v>
      </c>
      <c r="B363" t="s">
        <v>92</v>
      </c>
      <c r="C363" t="s">
        <v>260</v>
      </c>
      <c r="E363" t="s">
        <v>260</v>
      </c>
      <c r="L363" t="s">
        <v>93</v>
      </c>
      <c r="M363">
        <v>170</v>
      </c>
      <c r="N363" t="s">
        <v>142</v>
      </c>
      <c r="Q363">
        <v>6.7560000000000002</v>
      </c>
      <c r="R363" t="s">
        <v>11</v>
      </c>
      <c r="T363">
        <v>10</v>
      </c>
      <c r="V363" t="s">
        <v>15</v>
      </c>
    </row>
    <row r="364" spans="1:22" x14ac:dyDescent="0.25">
      <c r="A364">
        <v>20</v>
      </c>
      <c r="B364" t="s">
        <v>92</v>
      </c>
      <c r="C364" t="s">
        <v>260</v>
      </c>
      <c r="E364" t="s">
        <v>260</v>
      </c>
      <c r="L364" t="s">
        <v>93</v>
      </c>
      <c r="M364">
        <v>180</v>
      </c>
      <c r="N364" t="s">
        <v>265</v>
      </c>
      <c r="Q364">
        <v>1</v>
      </c>
      <c r="R364" t="s">
        <v>11</v>
      </c>
      <c r="T364">
        <v>10</v>
      </c>
      <c r="V364" t="s">
        <v>18</v>
      </c>
    </row>
    <row r="365" spans="1:22" x14ac:dyDescent="0.25">
      <c r="A365">
        <v>21</v>
      </c>
      <c r="B365" t="s">
        <v>92</v>
      </c>
      <c r="C365" t="s">
        <v>266</v>
      </c>
      <c r="E365" t="s">
        <v>266</v>
      </c>
      <c r="L365" t="s">
        <v>93</v>
      </c>
      <c r="M365">
        <v>10</v>
      </c>
      <c r="N365" t="s">
        <v>267</v>
      </c>
      <c r="Q365">
        <v>1</v>
      </c>
      <c r="R365" t="s">
        <v>11</v>
      </c>
      <c r="T365">
        <v>10</v>
      </c>
      <c r="V365" t="s">
        <v>18</v>
      </c>
    </row>
    <row r="366" spans="1:22" x14ac:dyDescent="0.25">
      <c r="A366">
        <v>21</v>
      </c>
      <c r="B366" t="s">
        <v>92</v>
      </c>
      <c r="C366" t="s">
        <v>266</v>
      </c>
      <c r="E366" t="s">
        <v>266</v>
      </c>
      <c r="L366" t="s">
        <v>93</v>
      </c>
      <c r="M366">
        <v>20</v>
      </c>
      <c r="N366" t="s">
        <v>129</v>
      </c>
      <c r="Q366">
        <v>4.165</v>
      </c>
      <c r="R366" t="s">
        <v>14</v>
      </c>
      <c r="T366">
        <v>10</v>
      </c>
      <c r="V366" t="s">
        <v>15</v>
      </c>
    </row>
    <row r="367" spans="1:22" x14ac:dyDescent="0.25">
      <c r="A367">
        <v>21</v>
      </c>
      <c r="B367" t="s">
        <v>92</v>
      </c>
      <c r="C367" t="s">
        <v>266</v>
      </c>
      <c r="E367" t="s">
        <v>266</v>
      </c>
      <c r="L367" t="s">
        <v>93</v>
      </c>
      <c r="M367">
        <v>30</v>
      </c>
      <c r="N367" t="s">
        <v>102</v>
      </c>
      <c r="Q367">
        <v>1.0329999999999999</v>
      </c>
      <c r="R367" t="s">
        <v>103</v>
      </c>
      <c r="T367">
        <v>10</v>
      </c>
      <c r="V367" t="s">
        <v>15</v>
      </c>
    </row>
    <row r="368" spans="1:22" x14ac:dyDescent="0.25">
      <c r="A368">
        <v>21</v>
      </c>
      <c r="B368" t="s">
        <v>92</v>
      </c>
      <c r="C368" t="s">
        <v>266</v>
      </c>
      <c r="E368" t="s">
        <v>266</v>
      </c>
      <c r="L368" t="s">
        <v>93</v>
      </c>
      <c r="M368">
        <v>40</v>
      </c>
      <c r="N368" t="s">
        <v>146</v>
      </c>
      <c r="Q368">
        <v>1.397</v>
      </c>
      <c r="R368" t="s">
        <v>11</v>
      </c>
      <c r="T368">
        <v>10</v>
      </c>
      <c r="V368" t="s">
        <v>18</v>
      </c>
    </row>
    <row r="369" spans="1:22" x14ac:dyDescent="0.25">
      <c r="A369">
        <v>21</v>
      </c>
      <c r="B369" t="s">
        <v>92</v>
      </c>
      <c r="C369" t="s">
        <v>266</v>
      </c>
      <c r="E369" t="s">
        <v>266</v>
      </c>
      <c r="L369" t="s">
        <v>93</v>
      </c>
      <c r="M369">
        <v>50</v>
      </c>
      <c r="N369" t="s">
        <v>139</v>
      </c>
      <c r="Q369">
        <v>1.397</v>
      </c>
      <c r="R369" t="s">
        <v>17</v>
      </c>
      <c r="T369">
        <v>10</v>
      </c>
      <c r="V369" t="s">
        <v>18</v>
      </c>
    </row>
    <row r="370" spans="1:22" x14ac:dyDescent="0.25">
      <c r="A370">
        <v>21</v>
      </c>
      <c r="B370" t="s">
        <v>92</v>
      </c>
      <c r="C370" t="s">
        <v>266</v>
      </c>
      <c r="E370" t="s">
        <v>266</v>
      </c>
      <c r="L370" t="s">
        <v>93</v>
      </c>
      <c r="M370">
        <v>60</v>
      </c>
      <c r="N370" t="s">
        <v>268</v>
      </c>
      <c r="Q370">
        <v>1</v>
      </c>
      <c r="R370" t="s">
        <v>11</v>
      </c>
      <c r="T370">
        <v>10</v>
      </c>
      <c r="V370" t="s">
        <v>18</v>
      </c>
    </row>
    <row r="371" spans="1:22" x14ac:dyDescent="0.25">
      <c r="A371">
        <v>21</v>
      </c>
      <c r="B371" t="s">
        <v>92</v>
      </c>
      <c r="C371" t="s">
        <v>266</v>
      </c>
      <c r="E371" t="s">
        <v>266</v>
      </c>
      <c r="L371" t="s">
        <v>93</v>
      </c>
      <c r="M371">
        <v>70</v>
      </c>
      <c r="N371" t="s">
        <v>148</v>
      </c>
      <c r="Q371">
        <v>20.725999999999999</v>
      </c>
      <c r="R371" t="s">
        <v>17</v>
      </c>
      <c r="T371">
        <v>10</v>
      </c>
      <c r="V371" t="s">
        <v>15</v>
      </c>
    </row>
    <row r="372" spans="1:22" x14ac:dyDescent="0.25">
      <c r="A372">
        <v>21</v>
      </c>
      <c r="B372" t="s">
        <v>92</v>
      </c>
      <c r="C372" t="s">
        <v>266</v>
      </c>
      <c r="E372" t="s">
        <v>266</v>
      </c>
      <c r="L372" t="s">
        <v>93</v>
      </c>
      <c r="M372">
        <v>80</v>
      </c>
      <c r="N372" t="s">
        <v>20</v>
      </c>
      <c r="Q372">
        <v>169.95599999999999</v>
      </c>
      <c r="R372" t="s">
        <v>17</v>
      </c>
      <c r="T372">
        <v>10</v>
      </c>
      <c r="V372" t="s">
        <v>15</v>
      </c>
    </row>
    <row r="373" spans="1:22" x14ac:dyDescent="0.25">
      <c r="A373">
        <v>21</v>
      </c>
      <c r="B373" t="s">
        <v>92</v>
      </c>
      <c r="C373" t="s">
        <v>266</v>
      </c>
      <c r="E373" t="s">
        <v>266</v>
      </c>
      <c r="L373" t="s">
        <v>93</v>
      </c>
      <c r="M373">
        <v>90</v>
      </c>
      <c r="N373" t="s">
        <v>24</v>
      </c>
      <c r="Q373">
        <v>1</v>
      </c>
      <c r="R373" t="s">
        <v>11</v>
      </c>
      <c r="T373">
        <v>10</v>
      </c>
      <c r="V373" t="s">
        <v>15</v>
      </c>
    </row>
    <row r="374" spans="1:22" x14ac:dyDescent="0.25">
      <c r="A374">
        <v>21</v>
      </c>
      <c r="B374" t="s">
        <v>92</v>
      </c>
      <c r="C374" t="s">
        <v>266</v>
      </c>
      <c r="E374" t="s">
        <v>266</v>
      </c>
      <c r="L374" t="s">
        <v>93</v>
      </c>
      <c r="M374">
        <v>100</v>
      </c>
      <c r="N374" t="s">
        <v>141</v>
      </c>
      <c r="Q374">
        <v>0.11700000000000001</v>
      </c>
      <c r="R374" t="s">
        <v>14</v>
      </c>
      <c r="T374">
        <v>10</v>
      </c>
      <c r="V374" t="s">
        <v>15</v>
      </c>
    </row>
    <row r="375" spans="1:22" x14ac:dyDescent="0.25">
      <c r="A375">
        <v>21</v>
      </c>
      <c r="B375" t="s">
        <v>92</v>
      </c>
      <c r="C375" t="s">
        <v>266</v>
      </c>
      <c r="E375" t="s">
        <v>266</v>
      </c>
      <c r="L375" t="s">
        <v>93</v>
      </c>
      <c r="M375">
        <v>110</v>
      </c>
      <c r="N375" t="s">
        <v>140</v>
      </c>
      <c r="Q375">
        <v>4</v>
      </c>
      <c r="R375" t="s">
        <v>11</v>
      </c>
      <c r="T375">
        <v>10</v>
      </c>
      <c r="V375" t="s">
        <v>15</v>
      </c>
    </row>
    <row r="376" spans="1:22" x14ac:dyDescent="0.25">
      <c r="A376">
        <v>21</v>
      </c>
      <c r="B376" t="s">
        <v>92</v>
      </c>
      <c r="C376" t="s">
        <v>266</v>
      </c>
      <c r="E376" t="s">
        <v>266</v>
      </c>
      <c r="L376" t="s">
        <v>93</v>
      </c>
      <c r="M376">
        <v>120</v>
      </c>
      <c r="N376" t="s">
        <v>25</v>
      </c>
      <c r="Q376">
        <v>1</v>
      </c>
      <c r="R376" t="s">
        <v>11</v>
      </c>
      <c r="T376">
        <v>10</v>
      </c>
      <c r="V376" t="s">
        <v>15</v>
      </c>
    </row>
    <row r="377" spans="1:22" x14ac:dyDescent="0.25">
      <c r="A377">
        <v>21</v>
      </c>
      <c r="B377" t="s">
        <v>92</v>
      </c>
      <c r="C377" t="s">
        <v>266</v>
      </c>
      <c r="E377" t="s">
        <v>266</v>
      </c>
      <c r="L377" t="s">
        <v>93</v>
      </c>
      <c r="M377">
        <v>130</v>
      </c>
      <c r="N377" t="s">
        <v>26</v>
      </c>
      <c r="Q377">
        <v>1</v>
      </c>
      <c r="R377" t="s">
        <v>11</v>
      </c>
      <c r="T377">
        <v>10</v>
      </c>
      <c r="V377" t="s">
        <v>15</v>
      </c>
    </row>
    <row r="378" spans="1:22" x14ac:dyDescent="0.25">
      <c r="A378">
        <v>21</v>
      </c>
      <c r="B378" t="s">
        <v>92</v>
      </c>
      <c r="C378" t="s">
        <v>266</v>
      </c>
      <c r="E378" t="s">
        <v>266</v>
      </c>
      <c r="L378" t="s">
        <v>93</v>
      </c>
      <c r="M378">
        <v>140</v>
      </c>
      <c r="N378" t="s">
        <v>100</v>
      </c>
      <c r="Q378">
        <v>1.1890000000000001</v>
      </c>
      <c r="R378" t="s">
        <v>14</v>
      </c>
      <c r="T378">
        <v>10</v>
      </c>
      <c r="V378" t="s">
        <v>15</v>
      </c>
    </row>
    <row r="379" spans="1:22" x14ac:dyDescent="0.25">
      <c r="A379">
        <v>21</v>
      </c>
      <c r="B379" t="s">
        <v>92</v>
      </c>
      <c r="C379" t="s">
        <v>266</v>
      </c>
      <c r="E379" t="s">
        <v>266</v>
      </c>
      <c r="L379" t="s">
        <v>93</v>
      </c>
      <c r="M379">
        <v>150</v>
      </c>
      <c r="N379" t="s">
        <v>269</v>
      </c>
      <c r="Q379">
        <v>1</v>
      </c>
      <c r="R379" t="s">
        <v>11</v>
      </c>
      <c r="T379">
        <v>10</v>
      </c>
      <c r="V379" t="s">
        <v>18</v>
      </c>
    </row>
    <row r="380" spans="1:22" x14ac:dyDescent="0.25">
      <c r="A380">
        <v>21</v>
      </c>
      <c r="B380" t="s">
        <v>92</v>
      </c>
      <c r="C380" t="s">
        <v>266</v>
      </c>
      <c r="E380" t="s">
        <v>266</v>
      </c>
      <c r="L380" t="s">
        <v>93</v>
      </c>
      <c r="M380">
        <v>160</v>
      </c>
      <c r="N380" t="s">
        <v>270</v>
      </c>
      <c r="Q380">
        <v>1</v>
      </c>
      <c r="R380" t="s">
        <v>11</v>
      </c>
      <c r="T380">
        <v>10</v>
      </c>
      <c r="V380" t="s">
        <v>18</v>
      </c>
    </row>
    <row r="381" spans="1:22" x14ac:dyDescent="0.25">
      <c r="A381">
        <v>21</v>
      </c>
      <c r="B381" t="s">
        <v>92</v>
      </c>
      <c r="C381" t="s">
        <v>266</v>
      </c>
      <c r="E381" t="s">
        <v>266</v>
      </c>
      <c r="L381" t="s">
        <v>93</v>
      </c>
      <c r="M381">
        <v>170</v>
      </c>
      <c r="N381" t="s">
        <v>142</v>
      </c>
      <c r="Q381">
        <v>6.9089999999999998</v>
      </c>
      <c r="R381" t="s">
        <v>11</v>
      </c>
      <c r="T381">
        <v>10</v>
      </c>
      <c r="V381" t="s">
        <v>15</v>
      </c>
    </row>
    <row r="382" spans="1:22" x14ac:dyDescent="0.25">
      <c r="A382">
        <v>21</v>
      </c>
      <c r="B382" t="s">
        <v>92</v>
      </c>
      <c r="C382" t="s">
        <v>266</v>
      </c>
      <c r="E382" t="s">
        <v>266</v>
      </c>
      <c r="L382" t="s">
        <v>93</v>
      </c>
      <c r="M382">
        <v>180</v>
      </c>
      <c r="N382" t="s">
        <v>271</v>
      </c>
      <c r="Q382">
        <v>1</v>
      </c>
      <c r="R382" t="s">
        <v>11</v>
      </c>
      <c r="T382">
        <v>10</v>
      </c>
      <c r="V382" t="s">
        <v>18</v>
      </c>
    </row>
    <row r="383" spans="1:22" x14ac:dyDescent="0.25">
      <c r="A383">
        <v>22</v>
      </c>
      <c r="B383" t="s">
        <v>92</v>
      </c>
      <c r="C383" t="s">
        <v>272</v>
      </c>
      <c r="E383" t="s">
        <v>272</v>
      </c>
      <c r="L383" t="s">
        <v>93</v>
      </c>
      <c r="M383">
        <v>10</v>
      </c>
      <c r="N383" t="s">
        <v>273</v>
      </c>
      <c r="Q383">
        <v>1</v>
      </c>
      <c r="R383" t="s">
        <v>11</v>
      </c>
      <c r="T383">
        <v>10</v>
      </c>
      <c r="V383" t="s">
        <v>18</v>
      </c>
    </row>
    <row r="384" spans="1:22" x14ac:dyDescent="0.25">
      <c r="A384">
        <v>22</v>
      </c>
      <c r="B384" t="s">
        <v>92</v>
      </c>
      <c r="C384" t="s">
        <v>272</v>
      </c>
      <c r="E384" t="s">
        <v>272</v>
      </c>
      <c r="L384" t="s">
        <v>93</v>
      </c>
      <c r="M384">
        <v>20</v>
      </c>
      <c r="N384" t="s">
        <v>129</v>
      </c>
      <c r="Q384">
        <v>4.165</v>
      </c>
      <c r="R384" t="s">
        <v>14</v>
      </c>
      <c r="T384">
        <v>10</v>
      </c>
      <c r="V384" t="s">
        <v>15</v>
      </c>
    </row>
    <row r="385" spans="1:22" x14ac:dyDescent="0.25">
      <c r="A385">
        <v>22</v>
      </c>
      <c r="B385" t="s">
        <v>92</v>
      </c>
      <c r="C385" t="s">
        <v>272</v>
      </c>
      <c r="E385" t="s">
        <v>272</v>
      </c>
      <c r="L385" t="s">
        <v>93</v>
      </c>
      <c r="M385">
        <v>30</v>
      </c>
      <c r="N385" t="s">
        <v>102</v>
      </c>
      <c r="Q385">
        <v>1.091</v>
      </c>
      <c r="R385" t="s">
        <v>103</v>
      </c>
      <c r="T385">
        <v>10</v>
      </c>
      <c r="V385" t="s">
        <v>15</v>
      </c>
    </row>
    <row r="386" spans="1:22" x14ac:dyDescent="0.25">
      <c r="A386">
        <v>22</v>
      </c>
      <c r="B386" t="s">
        <v>92</v>
      </c>
      <c r="C386" t="s">
        <v>272</v>
      </c>
      <c r="E386" t="s">
        <v>272</v>
      </c>
      <c r="L386" t="s">
        <v>93</v>
      </c>
      <c r="M386">
        <v>40</v>
      </c>
      <c r="N386" t="s">
        <v>146</v>
      </c>
      <c r="Q386">
        <v>1.4730000000000001</v>
      </c>
      <c r="R386" t="s">
        <v>11</v>
      </c>
      <c r="T386">
        <v>10</v>
      </c>
      <c r="V386" t="s">
        <v>18</v>
      </c>
    </row>
    <row r="387" spans="1:22" x14ac:dyDescent="0.25">
      <c r="A387">
        <v>22</v>
      </c>
      <c r="B387" t="s">
        <v>92</v>
      </c>
      <c r="C387" t="s">
        <v>272</v>
      </c>
      <c r="E387" t="s">
        <v>272</v>
      </c>
      <c r="L387" t="s">
        <v>93</v>
      </c>
      <c r="M387">
        <v>50</v>
      </c>
      <c r="N387" t="s">
        <v>139</v>
      </c>
      <c r="Q387">
        <v>1.4730000000000001</v>
      </c>
      <c r="R387" t="s">
        <v>17</v>
      </c>
      <c r="T387">
        <v>10</v>
      </c>
      <c r="V387" t="s">
        <v>18</v>
      </c>
    </row>
    <row r="388" spans="1:22" x14ac:dyDescent="0.25">
      <c r="A388">
        <v>22</v>
      </c>
      <c r="B388" t="s">
        <v>92</v>
      </c>
      <c r="C388" t="s">
        <v>272</v>
      </c>
      <c r="E388" t="s">
        <v>272</v>
      </c>
      <c r="L388" t="s">
        <v>93</v>
      </c>
      <c r="M388">
        <v>60</v>
      </c>
      <c r="N388" t="s">
        <v>274</v>
      </c>
      <c r="Q388">
        <v>1</v>
      </c>
      <c r="R388" t="s">
        <v>11</v>
      </c>
      <c r="T388">
        <v>10</v>
      </c>
      <c r="V388" t="s">
        <v>18</v>
      </c>
    </row>
    <row r="389" spans="1:22" x14ac:dyDescent="0.25">
      <c r="A389">
        <v>22</v>
      </c>
      <c r="B389" t="s">
        <v>92</v>
      </c>
      <c r="C389" t="s">
        <v>272</v>
      </c>
      <c r="E389" t="s">
        <v>272</v>
      </c>
      <c r="L389" t="s">
        <v>93</v>
      </c>
      <c r="M389">
        <v>70</v>
      </c>
      <c r="N389" t="s">
        <v>148</v>
      </c>
      <c r="Q389">
        <v>21.184000000000001</v>
      </c>
      <c r="R389" t="s">
        <v>17</v>
      </c>
      <c r="T389">
        <v>10</v>
      </c>
      <c r="V389" t="s">
        <v>15</v>
      </c>
    </row>
    <row r="390" spans="1:22" x14ac:dyDescent="0.25">
      <c r="A390">
        <v>22</v>
      </c>
      <c r="B390" t="s">
        <v>92</v>
      </c>
      <c r="C390" t="s">
        <v>272</v>
      </c>
      <c r="E390" t="s">
        <v>272</v>
      </c>
      <c r="L390" t="s">
        <v>93</v>
      </c>
      <c r="M390">
        <v>80</v>
      </c>
      <c r="N390" t="s">
        <v>20</v>
      </c>
      <c r="Q390">
        <v>173.70599999999999</v>
      </c>
      <c r="R390" t="s">
        <v>17</v>
      </c>
      <c r="T390">
        <v>10</v>
      </c>
      <c r="V390" t="s">
        <v>15</v>
      </c>
    </row>
    <row r="391" spans="1:22" x14ac:dyDescent="0.25">
      <c r="A391">
        <v>22</v>
      </c>
      <c r="B391" t="s">
        <v>92</v>
      </c>
      <c r="C391" t="s">
        <v>272</v>
      </c>
      <c r="E391" t="s">
        <v>272</v>
      </c>
      <c r="L391" t="s">
        <v>93</v>
      </c>
      <c r="M391">
        <v>90</v>
      </c>
      <c r="N391" t="s">
        <v>24</v>
      </c>
      <c r="Q391">
        <v>1</v>
      </c>
      <c r="R391" t="s">
        <v>11</v>
      </c>
      <c r="T391">
        <v>10</v>
      </c>
      <c r="V391" t="s">
        <v>15</v>
      </c>
    </row>
    <row r="392" spans="1:22" x14ac:dyDescent="0.25">
      <c r="A392">
        <v>22</v>
      </c>
      <c r="B392" t="s">
        <v>92</v>
      </c>
      <c r="C392" t="s">
        <v>272</v>
      </c>
      <c r="E392" t="s">
        <v>272</v>
      </c>
      <c r="L392" t="s">
        <v>93</v>
      </c>
      <c r="M392">
        <v>100</v>
      </c>
      <c r="N392" t="s">
        <v>141</v>
      </c>
      <c r="Q392">
        <v>0.123</v>
      </c>
      <c r="R392" t="s">
        <v>14</v>
      </c>
      <c r="T392">
        <v>10</v>
      </c>
      <c r="V392" t="s">
        <v>15</v>
      </c>
    </row>
    <row r="393" spans="1:22" x14ac:dyDescent="0.25">
      <c r="A393">
        <v>22</v>
      </c>
      <c r="B393" t="s">
        <v>92</v>
      </c>
      <c r="C393" t="s">
        <v>272</v>
      </c>
      <c r="E393" t="s">
        <v>272</v>
      </c>
      <c r="L393" t="s">
        <v>93</v>
      </c>
      <c r="M393">
        <v>110</v>
      </c>
      <c r="N393" t="s">
        <v>140</v>
      </c>
      <c r="Q393">
        <v>4</v>
      </c>
      <c r="R393" t="s">
        <v>11</v>
      </c>
      <c r="T393">
        <v>10</v>
      </c>
      <c r="V393" t="s">
        <v>15</v>
      </c>
    </row>
    <row r="394" spans="1:22" x14ac:dyDescent="0.25">
      <c r="A394">
        <v>22</v>
      </c>
      <c r="B394" t="s">
        <v>92</v>
      </c>
      <c r="C394" t="s">
        <v>272</v>
      </c>
      <c r="E394" t="s">
        <v>272</v>
      </c>
      <c r="L394" t="s">
        <v>93</v>
      </c>
      <c r="M394">
        <v>120</v>
      </c>
      <c r="N394" t="s">
        <v>25</v>
      </c>
      <c r="Q394">
        <v>1</v>
      </c>
      <c r="R394" t="s">
        <v>11</v>
      </c>
      <c r="T394">
        <v>10</v>
      </c>
      <c r="V394" t="s">
        <v>15</v>
      </c>
    </row>
    <row r="395" spans="1:22" x14ac:dyDescent="0.25">
      <c r="A395">
        <v>22</v>
      </c>
      <c r="B395" t="s">
        <v>92</v>
      </c>
      <c r="C395" t="s">
        <v>272</v>
      </c>
      <c r="E395" t="s">
        <v>272</v>
      </c>
      <c r="L395" t="s">
        <v>93</v>
      </c>
      <c r="M395">
        <v>130</v>
      </c>
      <c r="N395" t="s">
        <v>26</v>
      </c>
      <c r="Q395">
        <v>1</v>
      </c>
      <c r="R395" t="s">
        <v>11</v>
      </c>
      <c r="T395">
        <v>10</v>
      </c>
      <c r="V395" t="s">
        <v>15</v>
      </c>
    </row>
    <row r="396" spans="1:22" x14ac:dyDescent="0.25">
      <c r="A396">
        <v>22</v>
      </c>
      <c r="B396" t="s">
        <v>92</v>
      </c>
      <c r="C396" t="s">
        <v>272</v>
      </c>
      <c r="E396" t="s">
        <v>272</v>
      </c>
      <c r="L396" t="s">
        <v>93</v>
      </c>
      <c r="M396">
        <v>140</v>
      </c>
      <c r="N396" t="s">
        <v>100</v>
      </c>
      <c r="Q396">
        <v>1.1890000000000001</v>
      </c>
      <c r="R396" t="s">
        <v>14</v>
      </c>
      <c r="T396">
        <v>10</v>
      </c>
      <c r="V396" t="s">
        <v>15</v>
      </c>
    </row>
    <row r="397" spans="1:22" x14ac:dyDescent="0.25">
      <c r="A397">
        <v>22</v>
      </c>
      <c r="B397" t="s">
        <v>92</v>
      </c>
      <c r="C397" t="s">
        <v>272</v>
      </c>
      <c r="E397" t="s">
        <v>272</v>
      </c>
      <c r="L397" t="s">
        <v>93</v>
      </c>
      <c r="M397">
        <v>150</v>
      </c>
      <c r="N397" t="s">
        <v>275</v>
      </c>
      <c r="Q397">
        <v>1</v>
      </c>
      <c r="R397" t="s">
        <v>11</v>
      </c>
      <c r="T397">
        <v>10</v>
      </c>
      <c r="V397" t="s">
        <v>18</v>
      </c>
    </row>
    <row r="398" spans="1:22" x14ac:dyDescent="0.25">
      <c r="A398">
        <v>22</v>
      </c>
      <c r="B398" t="s">
        <v>92</v>
      </c>
      <c r="C398" t="s">
        <v>272</v>
      </c>
      <c r="E398" t="s">
        <v>272</v>
      </c>
      <c r="L398" t="s">
        <v>93</v>
      </c>
      <c r="M398">
        <v>160</v>
      </c>
      <c r="N398" t="s">
        <v>276</v>
      </c>
      <c r="Q398">
        <v>1</v>
      </c>
      <c r="R398" t="s">
        <v>11</v>
      </c>
      <c r="T398">
        <v>10</v>
      </c>
      <c r="V398" t="s">
        <v>18</v>
      </c>
    </row>
    <row r="399" spans="1:22" x14ac:dyDescent="0.25">
      <c r="A399">
        <v>22</v>
      </c>
      <c r="B399" t="s">
        <v>92</v>
      </c>
      <c r="C399" t="s">
        <v>272</v>
      </c>
      <c r="E399" t="s">
        <v>272</v>
      </c>
      <c r="L399" t="s">
        <v>93</v>
      </c>
      <c r="M399">
        <v>170</v>
      </c>
      <c r="N399" t="s">
        <v>142</v>
      </c>
      <c r="Q399">
        <v>7.0609999999999999</v>
      </c>
      <c r="R399" t="s">
        <v>11</v>
      </c>
      <c r="T399">
        <v>10</v>
      </c>
      <c r="V399" t="s">
        <v>15</v>
      </c>
    </row>
    <row r="400" spans="1:22" x14ac:dyDescent="0.25">
      <c r="A400">
        <v>22</v>
      </c>
      <c r="B400" t="s">
        <v>92</v>
      </c>
      <c r="C400" t="s">
        <v>272</v>
      </c>
      <c r="E400" t="s">
        <v>272</v>
      </c>
      <c r="L400" t="s">
        <v>93</v>
      </c>
      <c r="M400">
        <v>180</v>
      </c>
      <c r="N400" t="s">
        <v>277</v>
      </c>
      <c r="Q400">
        <v>1</v>
      </c>
      <c r="R400" t="s">
        <v>11</v>
      </c>
      <c r="T400">
        <v>10</v>
      </c>
      <c r="V400" t="s">
        <v>18</v>
      </c>
    </row>
    <row r="401" spans="1:22" x14ac:dyDescent="0.25">
      <c r="A401">
        <v>23</v>
      </c>
      <c r="B401" t="s">
        <v>92</v>
      </c>
      <c r="C401" t="s">
        <v>278</v>
      </c>
      <c r="E401" t="s">
        <v>278</v>
      </c>
      <c r="L401" t="s">
        <v>93</v>
      </c>
      <c r="M401">
        <v>10</v>
      </c>
      <c r="N401" t="s">
        <v>279</v>
      </c>
      <c r="Q401">
        <v>1</v>
      </c>
      <c r="R401" t="s">
        <v>11</v>
      </c>
      <c r="T401">
        <v>10</v>
      </c>
      <c r="V401" t="s">
        <v>18</v>
      </c>
    </row>
    <row r="402" spans="1:22" x14ac:dyDescent="0.25">
      <c r="A402">
        <v>23</v>
      </c>
      <c r="B402" t="s">
        <v>92</v>
      </c>
      <c r="C402" t="s">
        <v>278</v>
      </c>
      <c r="E402" t="s">
        <v>278</v>
      </c>
      <c r="L402" t="s">
        <v>93</v>
      </c>
      <c r="M402">
        <v>20</v>
      </c>
      <c r="N402" t="s">
        <v>130</v>
      </c>
      <c r="Q402">
        <v>4.585</v>
      </c>
      <c r="R402" t="s">
        <v>14</v>
      </c>
      <c r="T402">
        <v>10</v>
      </c>
      <c r="V402" t="s">
        <v>15</v>
      </c>
    </row>
    <row r="403" spans="1:22" x14ac:dyDescent="0.25">
      <c r="A403">
        <v>23</v>
      </c>
      <c r="B403" t="s">
        <v>92</v>
      </c>
      <c r="C403" t="s">
        <v>278</v>
      </c>
      <c r="E403" t="s">
        <v>278</v>
      </c>
      <c r="L403" t="s">
        <v>93</v>
      </c>
      <c r="M403">
        <v>30</v>
      </c>
      <c r="N403" t="s">
        <v>102</v>
      </c>
      <c r="Q403">
        <v>1.208</v>
      </c>
      <c r="R403" t="s">
        <v>103</v>
      </c>
      <c r="T403">
        <v>10</v>
      </c>
      <c r="V403" t="s">
        <v>15</v>
      </c>
    </row>
    <row r="404" spans="1:22" x14ac:dyDescent="0.25">
      <c r="A404">
        <v>23</v>
      </c>
      <c r="B404" t="s">
        <v>92</v>
      </c>
      <c r="C404" t="s">
        <v>278</v>
      </c>
      <c r="E404" t="s">
        <v>278</v>
      </c>
      <c r="L404" t="s">
        <v>93</v>
      </c>
      <c r="M404">
        <v>40</v>
      </c>
      <c r="N404" t="s">
        <v>146</v>
      </c>
      <c r="Q404">
        <v>1.6259999999999999</v>
      </c>
      <c r="R404" t="s">
        <v>11</v>
      </c>
      <c r="T404">
        <v>10</v>
      </c>
      <c r="V404" t="s">
        <v>18</v>
      </c>
    </row>
    <row r="405" spans="1:22" x14ac:dyDescent="0.25">
      <c r="A405">
        <v>23</v>
      </c>
      <c r="B405" t="s">
        <v>92</v>
      </c>
      <c r="C405" t="s">
        <v>278</v>
      </c>
      <c r="E405" t="s">
        <v>278</v>
      </c>
      <c r="L405" t="s">
        <v>93</v>
      </c>
      <c r="M405">
        <v>50</v>
      </c>
      <c r="N405" t="s">
        <v>139</v>
      </c>
      <c r="Q405">
        <v>1.6259999999999999</v>
      </c>
      <c r="R405" t="s">
        <v>17</v>
      </c>
      <c r="T405">
        <v>10</v>
      </c>
      <c r="V405" t="s">
        <v>18</v>
      </c>
    </row>
    <row r="406" spans="1:22" x14ac:dyDescent="0.25">
      <c r="A406">
        <v>23</v>
      </c>
      <c r="B406" t="s">
        <v>92</v>
      </c>
      <c r="C406" t="s">
        <v>278</v>
      </c>
      <c r="E406" t="s">
        <v>278</v>
      </c>
      <c r="L406" t="s">
        <v>93</v>
      </c>
      <c r="M406">
        <v>60</v>
      </c>
      <c r="N406" t="s">
        <v>280</v>
      </c>
      <c r="Q406">
        <v>1</v>
      </c>
      <c r="R406" t="s">
        <v>11</v>
      </c>
      <c r="T406">
        <v>10</v>
      </c>
      <c r="V406" t="s">
        <v>18</v>
      </c>
    </row>
    <row r="407" spans="1:22" x14ac:dyDescent="0.25">
      <c r="A407">
        <v>23</v>
      </c>
      <c r="B407" t="s">
        <v>92</v>
      </c>
      <c r="C407" t="s">
        <v>278</v>
      </c>
      <c r="E407" t="s">
        <v>278</v>
      </c>
      <c r="L407" t="s">
        <v>93</v>
      </c>
      <c r="M407">
        <v>70</v>
      </c>
      <c r="N407" t="s">
        <v>148</v>
      </c>
      <c r="Q407">
        <v>22.097999999999999</v>
      </c>
      <c r="R407" t="s">
        <v>17</v>
      </c>
      <c r="T407">
        <v>10</v>
      </c>
      <c r="V407" t="s">
        <v>15</v>
      </c>
    </row>
    <row r="408" spans="1:22" x14ac:dyDescent="0.25">
      <c r="A408">
        <v>23</v>
      </c>
      <c r="B408" t="s">
        <v>92</v>
      </c>
      <c r="C408" t="s">
        <v>278</v>
      </c>
      <c r="E408" t="s">
        <v>278</v>
      </c>
      <c r="L408" t="s">
        <v>93</v>
      </c>
      <c r="M408">
        <v>80</v>
      </c>
      <c r="N408" t="s">
        <v>20</v>
      </c>
      <c r="Q408">
        <v>181.20400000000001</v>
      </c>
      <c r="R408" t="s">
        <v>17</v>
      </c>
      <c r="T408">
        <v>10</v>
      </c>
      <c r="V408" t="s">
        <v>15</v>
      </c>
    </row>
    <row r="409" spans="1:22" x14ac:dyDescent="0.25">
      <c r="A409">
        <v>23</v>
      </c>
      <c r="B409" t="s">
        <v>92</v>
      </c>
      <c r="C409" t="s">
        <v>278</v>
      </c>
      <c r="E409" t="s">
        <v>278</v>
      </c>
      <c r="L409" t="s">
        <v>93</v>
      </c>
      <c r="M409">
        <v>90</v>
      </c>
      <c r="N409" t="s">
        <v>24</v>
      </c>
      <c r="Q409">
        <v>1</v>
      </c>
      <c r="R409" t="s">
        <v>11</v>
      </c>
      <c r="T409">
        <v>10</v>
      </c>
      <c r="V409" t="s">
        <v>15</v>
      </c>
    </row>
    <row r="410" spans="1:22" x14ac:dyDescent="0.25">
      <c r="A410">
        <v>23</v>
      </c>
      <c r="B410" t="s">
        <v>92</v>
      </c>
      <c r="C410" t="s">
        <v>278</v>
      </c>
      <c r="E410" t="s">
        <v>278</v>
      </c>
      <c r="L410" t="s">
        <v>93</v>
      </c>
      <c r="M410">
        <v>100</v>
      </c>
      <c r="N410" t="s">
        <v>141</v>
      </c>
      <c r="Q410">
        <v>0.13300000000000001</v>
      </c>
      <c r="R410" t="s">
        <v>14</v>
      </c>
      <c r="T410">
        <v>10</v>
      </c>
      <c r="V410" t="s">
        <v>15</v>
      </c>
    </row>
    <row r="411" spans="1:22" x14ac:dyDescent="0.25">
      <c r="A411">
        <v>23</v>
      </c>
      <c r="B411" t="s">
        <v>92</v>
      </c>
      <c r="C411" t="s">
        <v>278</v>
      </c>
      <c r="E411" t="s">
        <v>278</v>
      </c>
      <c r="L411" t="s">
        <v>93</v>
      </c>
      <c r="M411">
        <v>110</v>
      </c>
      <c r="N411" t="s">
        <v>140</v>
      </c>
      <c r="Q411">
        <v>4</v>
      </c>
      <c r="R411" t="s">
        <v>11</v>
      </c>
      <c r="T411">
        <v>10</v>
      </c>
      <c r="V411" t="s">
        <v>15</v>
      </c>
    </row>
    <row r="412" spans="1:22" x14ac:dyDescent="0.25">
      <c r="A412">
        <v>23</v>
      </c>
      <c r="B412" t="s">
        <v>92</v>
      </c>
      <c r="C412" t="s">
        <v>278</v>
      </c>
      <c r="E412" t="s">
        <v>278</v>
      </c>
      <c r="L412" t="s">
        <v>93</v>
      </c>
      <c r="M412">
        <v>120</v>
      </c>
      <c r="N412" t="s">
        <v>25</v>
      </c>
      <c r="Q412">
        <v>1</v>
      </c>
      <c r="R412" t="s">
        <v>11</v>
      </c>
      <c r="T412">
        <v>10</v>
      </c>
      <c r="V412" t="s">
        <v>15</v>
      </c>
    </row>
    <row r="413" spans="1:22" x14ac:dyDescent="0.25">
      <c r="A413">
        <v>23</v>
      </c>
      <c r="B413" t="s">
        <v>92</v>
      </c>
      <c r="C413" t="s">
        <v>278</v>
      </c>
      <c r="E413" t="s">
        <v>278</v>
      </c>
      <c r="L413" t="s">
        <v>93</v>
      </c>
      <c r="M413">
        <v>130</v>
      </c>
      <c r="N413" t="s">
        <v>26</v>
      </c>
      <c r="Q413">
        <v>1</v>
      </c>
      <c r="R413" t="s">
        <v>11</v>
      </c>
      <c r="T413">
        <v>10</v>
      </c>
      <c r="V413" t="s">
        <v>15</v>
      </c>
    </row>
    <row r="414" spans="1:22" x14ac:dyDescent="0.25">
      <c r="A414">
        <v>23</v>
      </c>
      <c r="B414" t="s">
        <v>92</v>
      </c>
      <c r="C414" t="s">
        <v>278</v>
      </c>
      <c r="E414" t="s">
        <v>278</v>
      </c>
      <c r="L414" t="s">
        <v>93</v>
      </c>
      <c r="M414">
        <v>140</v>
      </c>
      <c r="N414" t="s">
        <v>100</v>
      </c>
      <c r="Q414">
        <v>1.1890000000000001</v>
      </c>
      <c r="R414" t="s">
        <v>14</v>
      </c>
      <c r="T414">
        <v>10</v>
      </c>
      <c r="V414" t="s">
        <v>15</v>
      </c>
    </row>
    <row r="415" spans="1:22" x14ac:dyDescent="0.25">
      <c r="A415">
        <v>23</v>
      </c>
      <c r="B415" t="s">
        <v>92</v>
      </c>
      <c r="C415" t="s">
        <v>278</v>
      </c>
      <c r="E415" t="s">
        <v>278</v>
      </c>
      <c r="L415" t="s">
        <v>93</v>
      </c>
      <c r="M415">
        <v>150</v>
      </c>
      <c r="N415" t="s">
        <v>281</v>
      </c>
      <c r="Q415">
        <v>1</v>
      </c>
      <c r="R415" t="s">
        <v>11</v>
      </c>
      <c r="T415">
        <v>10</v>
      </c>
      <c r="V415" t="s">
        <v>18</v>
      </c>
    </row>
    <row r="416" spans="1:22" x14ac:dyDescent="0.25">
      <c r="A416">
        <v>23</v>
      </c>
      <c r="B416" t="s">
        <v>92</v>
      </c>
      <c r="C416" t="s">
        <v>278</v>
      </c>
      <c r="E416" t="s">
        <v>278</v>
      </c>
      <c r="L416" t="s">
        <v>93</v>
      </c>
      <c r="M416">
        <v>160</v>
      </c>
      <c r="N416" t="s">
        <v>282</v>
      </c>
      <c r="Q416">
        <v>1</v>
      </c>
      <c r="R416" t="s">
        <v>11</v>
      </c>
      <c r="T416">
        <v>10</v>
      </c>
      <c r="V416" t="s">
        <v>18</v>
      </c>
    </row>
    <row r="417" spans="1:22" x14ac:dyDescent="0.25">
      <c r="A417">
        <v>23</v>
      </c>
      <c r="B417" t="s">
        <v>92</v>
      </c>
      <c r="C417" t="s">
        <v>278</v>
      </c>
      <c r="E417" t="s">
        <v>278</v>
      </c>
      <c r="L417" t="s">
        <v>93</v>
      </c>
      <c r="M417">
        <v>170</v>
      </c>
      <c r="N417" t="s">
        <v>142</v>
      </c>
      <c r="Q417">
        <v>7.3659999999999997</v>
      </c>
      <c r="R417" t="s">
        <v>11</v>
      </c>
      <c r="T417">
        <v>10</v>
      </c>
      <c r="V417" t="s">
        <v>15</v>
      </c>
    </row>
    <row r="418" spans="1:22" x14ac:dyDescent="0.25">
      <c r="A418">
        <v>23</v>
      </c>
      <c r="B418" t="s">
        <v>92</v>
      </c>
      <c r="C418" t="s">
        <v>278</v>
      </c>
      <c r="E418" t="s">
        <v>278</v>
      </c>
      <c r="L418" t="s">
        <v>93</v>
      </c>
      <c r="M418">
        <v>180</v>
      </c>
      <c r="N418" t="s">
        <v>283</v>
      </c>
      <c r="Q418">
        <v>1</v>
      </c>
      <c r="R418" t="s">
        <v>11</v>
      </c>
      <c r="T418">
        <v>10</v>
      </c>
      <c r="V418" t="s">
        <v>18</v>
      </c>
    </row>
    <row r="419" spans="1:22" x14ac:dyDescent="0.25">
      <c r="A419">
        <v>24</v>
      </c>
      <c r="B419" t="s">
        <v>92</v>
      </c>
      <c r="C419" t="s">
        <v>284</v>
      </c>
      <c r="E419" t="s">
        <v>284</v>
      </c>
      <c r="L419" t="s">
        <v>93</v>
      </c>
      <c r="M419">
        <v>10</v>
      </c>
      <c r="N419" t="s">
        <v>285</v>
      </c>
      <c r="Q419">
        <v>1</v>
      </c>
      <c r="R419" t="s">
        <v>11</v>
      </c>
      <c r="T419">
        <v>10</v>
      </c>
      <c r="V419" t="s">
        <v>18</v>
      </c>
    </row>
    <row r="420" spans="1:22" x14ac:dyDescent="0.25">
      <c r="A420">
        <v>24</v>
      </c>
      <c r="B420" t="s">
        <v>92</v>
      </c>
      <c r="C420" t="s">
        <v>284</v>
      </c>
      <c r="E420" t="s">
        <v>284</v>
      </c>
      <c r="L420" t="s">
        <v>93</v>
      </c>
      <c r="M420">
        <v>20</v>
      </c>
      <c r="N420" t="s">
        <v>131</v>
      </c>
      <c r="Q420">
        <v>5.0049999999999999</v>
      </c>
      <c r="R420" t="s">
        <v>14</v>
      </c>
      <c r="T420">
        <v>10</v>
      </c>
      <c r="V420" t="s">
        <v>15</v>
      </c>
    </row>
    <row r="421" spans="1:22" x14ac:dyDescent="0.25">
      <c r="A421">
        <v>24</v>
      </c>
      <c r="B421" t="s">
        <v>92</v>
      </c>
      <c r="C421" t="s">
        <v>284</v>
      </c>
      <c r="E421" t="s">
        <v>284</v>
      </c>
      <c r="L421" t="s">
        <v>93</v>
      </c>
      <c r="M421">
        <v>30</v>
      </c>
      <c r="N421" t="s">
        <v>102</v>
      </c>
      <c r="Q421">
        <v>1.325</v>
      </c>
      <c r="R421" t="s">
        <v>103</v>
      </c>
      <c r="T421">
        <v>10</v>
      </c>
      <c r="V421" t="s">
        <v>15</v>
      </c>
    </row>
    <row r="422" spans="1:22" x14ac:dyDescent="0.25">
      <c r="A422">
        <v>24</v>
      </c>
      <c r="B422" t="s">
        <v>92</v>
      </c>
      <c r="C422" t="s">
        <v>284</v>
      </c>
      <c r="E422" t="s">
        <v>284</v>
      </c>
      <c r="L422" t="s">
        <v>93</v>
      </c>
      <c r="M422">
        <v>40</v>
      </c>
      <c r="N422" t="s">
        <v>146</v>
      </c>
      <c r="Q422">
        <v>1.778</v>
      </c>
      <c r="R422" t="s">
        <v>11</v>
      </c>
      <c r="T422">
        <v>10</v>
      </c>
      <c r="V422" t="s">
        <v>18</v>
      </c>
    </row>
    <row r="423" spans="1:22" x14ac:dyDescent="0.25">
      <c r="A423">
        <v>24</v>
      </c>
      <c r="B423" t="s">
        <v>92</v>
      </c>
      <c r="C423" t="s">
        <v>284</v>
      </c>
      <c r="E423" t="s">
        <v>284</v>
      </c>
      <c r="L423" t="s">
        <v>93</v>
      </c>
      <c r="M423">
        <v>50</v>
      </c>
      <c r="N423" t="s">
        <v>139</v>
      </c>
      <c r="Q423">
        <v>1.778</v>
      </c>
      <c r="R423" t="s">
        <v>17</v>
      </c>
      <c r="T423">
        <v>10</v>
      </c>
      <c r="V423" t="s">
        <v>18</v>
      </c>
    </row>
    <row r="424" spans="1:22" x14ac:dyDescent="0.25">
      <c r="A424">
        <v>24</v>
      </c>
      <c r="B424" t="s">
        <v>92</v>
      </c>
      <c r="C424" t="s">
        <v>284</v>
      </c>
      <c r="E424" t="s">
        <v>284</v>
      </c>
      <c r="L424" t="s">
        <v>93</v>
      </c>
      <c r="M424">
        <v>60</v>
      </c>
      <c r="N424" t="s">
        <v>286</v>
      </c>
      <c r="Q424">
        <v>1</v>
      </c>
      <c r="R424" t="s">
        <v>11</v>
      </c>
      <c r="T424">
        <v>10</v>
      </c>
      <c r="V424" t="s">
        <v>18</v>
      </c>
    </row>
    <row r="425" spans="1:22" x14ac:dyDescent="0.25">
      <c r="A425">
        <v>24</v>
      </c>
      <c r="B425" t="s">
        <v>92</v>
      </c>
      <c r="C425" t="s">
        <v>284</v>
      </c>
      <c r="E425" t="s">
        <v>284</v>
      </c>
      <c r="L425" t="s">
        <v>93</v>
      </c>
      <c r="M425">
        <v>70</v>
      </c>
      <c r="N425" t="s">
        <v>148</v>
      </c>
      <c r="Q425">
        <v>23.012</v>
      </c>
      <c r="R425" t="s">
        <v>17</v>
      </c>
      <c r="T425">
        <v>10</v>
      </c>
      <c r="V425" t="s">
        <v>15</v>
      </c>
    </row>
    <row r="426" spans="1:22" x14ac:dyDescent="0.25">
      <c r="A426">
        <v>24</v>
      </c>
      <c r="B426" t="s">
        <v>92</v>
      </c>
      <c r="C426" t="s">
        <v>284</v>
      </c>
      <c r="E426" t="s">
        <v>284</v>
      </c>
      <c r="L426" t="s">
        <v>93</v>
      </c>
      <c r="M426">
        <v>80</v>
      </c>
      <c r="N426" t="s">
        <v>20</v>
      </c>
      <c r="Q426">
        <v>188.702</v>
      </c>
      <c r="R426" t="s">
        <v>17</v>
      </c>
      <c r="T426">
        <v>10</v>
      </c>
      <c r="V426" t="s">
        <v>15</v>
      </c>
    </row>
    <row r="427" spans="1:22" x14ac:dyDescent="0.25">
      <c r="A427">
        <v>24</v>
      </c>
      <c r="B427" t="s">
        <v>92</v>
      </c>
      <c r="C427" t="s">
        <v>284</v>
      </c>
      <c r="E427" t="s">
        <v>284</v>
      </c>
      <c r="L427" t="s">
        <v>93</v>
      </c>
      <c r="M427">
        <v>90</v>
      </c>
      <c r="N427" t="s">
        <v>24</v>
      </c>
      <c r="Q427">
        <v>1</v>
      </c>
      <c r="R427" t="s">
        <v>11</v>
      </c>
      <c r="T427">
        <v>10</v>
      </c>
      <c r="V427" t="s">
        <v>15</v>
      </c>
    </row>
    <row r="428" spans="1:22" x14ac:dyDescent="0.25">
      <c r="A428">
        <v>24</v>
      </c>
      <c r="B428" t="s">
        <v>92</v>
      </c>
      <c r="C428" t="s">
        <v>284</v>
      </c>
      <c r="E428" t="s">
        <v>284</v>
      </c>
      <c r="L428" t="s">
        <v>93</v>
      </c>
      <c r="M428">
        <v>100</v>
      </c>
      <c r="N428" t="s">
        <v>141</v>
      </c>
      <c r="Q428">
        <v>0.14299999999999999</v>
      </c>
      <c r="R428" t="s">
        <v>14</v>
      </c>
      <c r="T428">
        <v>10</v>
      </c>
      <c r="V428" t="s">
        <v>15</v>
      </c>
    </row>
    <row r="429" spans="1:22" x14ac:dyDescent="0.25">
      <c r="A429">
        <v>24</v>
      </c>
      <c r="B429" t="s">
        <v>92</v>
      </c>
      <c r="C429" t="s">
        <v>284</v>
      </c>
      <c r="E429" t="s">
        <v>284</v>
      </c>
      <c r="L429" t="s">
        <v>93</v>
      </c>
      <c r="M429">
        <v>110</v>
      </c>
      <c r="N429" t="s">
        <v>140</v>
      </c>
      <c r="Q429">
        <v>4</v>
      </c>
      <c r="R429" t="s">
        <v>11</v>
      </c>
      <c r="T429">
        <v>10</v>
      </c>
      <c r="V429" t="s">
        <v>15</v>
      </c>
    </row>
    <row r="430" spans="1:22" x14ac:dyDescent="0.25">
      <c r="A430">
        <v>24</v>
      </c>
      <c r="B430" t="s">
        <v>92</v>
      </c>
      <c r="C430" t="s">
        <v>284</v>
      </c>
      <c r="E430" t="s">
        <v>284</v>
      </c>
      <c r="L430" t="s">
        <v>93</v>
      </c>
      <c r="M430">
        <v>120</v>
      </c>
      <c r="N430" t="s">
        <v>25</v>
      </c>
      <c r="Q430">
        <v>1</v>
      </c>
      <c r="R430" t="s">
        <v>11</v>
      </c>
      <c r="T430">
        <v>10</v>
      </c>
      <c r="V430" t="s">
        <v>15</v>
      </c>
    </row>
    <row r="431" spans="1:22" x14ac:dyDescent="0.25">
      <c r="A431">
        <v>24</v>
      </c>
      <c r="B431" t="s">
        <v>92</v>
      </c>
      <c r="C431" t="s">
        <v>284</v>
      </c>
      <c r="E431" t="s">
        <v>284</v>
      </c>
      <c r="L431" t="s">
        <v>93</v>
      </c>
      <c r="M431">
        <v>130</v>
      </c>
      <c r="N431" t="s">
        <v>26</v>
      </c>
      <c r="Q431">
        <v>1</v>
      </c>
      <c r="R431" t="s">
        <v>11</v>
      </c>
      <c r="T431">
        <v>10</v>
      </c>
      <c r="V431" t="s">
        <v>15</v>
      </c>
    </row>
    <row r="432" spans="1:22" x14ac:dyDescent="0.25">
      <c r="A432">
        <v>24</v>
      </c>
      <c r="B432" t="s">
        <v>92</v>
      </c>
      <c r="C432" t="s">
        <v>284</v>
      </c>
      <c r="E432" t="s">
        <v>284</v>
      </c>
      <c r="L432" t="s">
        <v>93</v>
      </c>
      <c r="M432">
        <v>140</v>
      </c>
      <c r="N432" t="s">
        <v>100</v>
      </c>
      <c r="Q432">
        <v>1.1890000000000001</v>
      </c>
      <c r="R432" t="s">
        <v>14</v>
      </c>
      <c r="T432">
        <v>10</v>
      </c>
      <c r="V432" t="s">
        <v>15</v>
      </c>
    </row>
    <row r="433" spans="1:22" x14ac:dyDescent="0.25">
      <c r="A433">
        <v>24</v>
      </c>
      <c r="B433" t="s">
        <v>92</v>
      </c>
      <c r="C433" t="s">
        <v>284</v>
      </c>
      <c r="E433" t="s">
        <v>284</v>
      </c>
      <c r="L433" t="s">
        <v>93</v>
      </c>
      <c r="M433">
        <v>150</v>
      </c>
      <c r="N433" t="s">
        <v>287</v>
      </c>
      <c r="Q433">
        <v>1</v>
      </c>
      <c r="R433" t="s">
        <v>11</v>
      </c>
      <c r="T433">
        <v>10</v>
      </c>
      <c r="V433" t="s">
        <v>18</v>
      </c>
    </row>
    <row r="434" spans="1:22" x14ac:dyDescent="0.25">
      <c r="A434">
        <v>24</v>
      </c>
      <c r="B434" t="s">
        <v>92</v>
      </c>
      <c r="C434" t="s">
        <v>284</v>
      </c>
      <c r="E434" t="s">
        <v>284</v>
      </c>
      <c r="L434" t="s">
        <v>93</v>
      </c>
      <c r="M434">
        <v>160</v>
      </c>
      <c r="N434" t="s">
        <v>288</v>
      </c>
      <c r="Q434">
        <v>1</v>
      </c>
      <c r="R434" t="s">
        <v>11</v>
      </c>
      <c r="T434">
        <v>10</v>
      </c>
      <c r="V434" t="s">
        <v>18</v>
      </c>
    </row>
    <row r="435" spans="1:22" x14ac:dyDescent="0.25">
      <c r="A435">
        <v>24</v>
      </c>
      <c r="B435" t="s">
        <v>92</v>
      </c>
      <c r="C435" t="s">
        <v>284</v>
      </c>
      <c r="E435" t="s">
        <v>284</v>
      </c>
      <c r="L435" t="s">
        <v>93</v>
      </c>
      <c r="M435">
        <v>170</v>
      </c>
      <c r="N435" t="s">
        <v>142</v>
      </c>
      <c r="Q435">
        <v>7.6710000000000003</v>
      </c>
      <c r="R435" t="s">
        <v>11</v>
      </c>
      <c r="T435">
        <v>10</v>
      </c>
      <c r="V435" t="s">
        <v>15</v>
      </c>
    </row>
    <row r="436" spans="1:22" x14ac:dyDescent="0.25">
      <c r="A436">
        <v>24</v>
      </c>
      <c r="B436" t="s">
        <v>92</v>
      </c>
      <c r="C436" t="s">
        <v>284</v>
      </c>
      <c r="E436" t="s">
        <v>284</v>
      </c>
      <c r="L436" t="s">
        <v>93</v>
      </c>
      <c r="M436">
        <v>180</v>
      </c>
      <c r="N436" t="s">
        <v>289</v>
      </c>
      <c r="Q436">
        <v>1</v>
      </c>
      <c r="R436" t="s">
        <v>11</v>
      </c>
      <c r="T436">
        <v>10</v>
      </c>
      <c r="V436" t="s">
        <v>18</v>
      </c>
    </row>
    <row r="437" spans="1:22" x14ac:dyDescent="0.25">
      <c r="A437">
        <v>25</v>
      </c>
      <c r="B437" t="s">
        <v>92</v>
      </c>
      <c r="C437" t="s">
        <v>290</v>
      </c>
      <c r="E437" t="s">
        <v>290</v>
      </c>
      <c r="L437" t="s">
        <v>93</v>
      </c>
      <c r="M437">
        <v>10</v>
      </c>
      <c r="N437" t="s">
        <v>291</v>
      </c>
      <c r="Q437">
        <v>1</v>
      </c>
      <c r="R437" t="s">
        <v>11</v>
      </c>
      <c r="T437">
        <v>10</v>
      </c>
      <c r="V437" t="s">
        <v>18</v>
      </c>
    </row>
    <row r="438" spans="1:22" x14ac:dyDescent="0.25">
      <c r="A438">
        <v>25</v>
      </c>
      <c r="B438" t="s">
        <v>92</v>
      </c>
      <c r="C438" t="s">
        <v>290</v>
      </c>
      <c r="E438" t="s">
        <v>290</v>
      </c>
      <c r="L438" t="s">
        <v>93</v>
      </c>
      <c r="M438">
        <v>20</v>
      </c>
      <c r="N438" t="s">
        <v>132</v>
      </c>
      <c r="Q438">
        <v>2.5489999999999999</v>
      </c>
      <c r="R438" t="s">
        <v>14</v>
      </c>
      <c r="T438">
        <v>10</v>
      </c>
      <c r="V438" t="s">
        <v>15</v>
      </c>
    </row>
    <row r="439" spans="1:22" x14ac:dyDescent="0.25">
      <c r="A439">
        <v>25</v>
      </c>
      <c r="B439" t="s">
        <v>92</v>
      </c>
      <c r="C439" t="s">
        <v>290</v>
      </c>
      <c r="E439" t="s">
        <v>290</v>
      </c>
      <c r="L439" t="s">
        <v>93</v>
      </c>
      <c r="M439">
        <v>30</v>
      </c>
      <c r="N439" t="s">
        <v>102</v>
      </c>
      <c r="Q439">
        <v>0.64</v>
      </c>
      <c r="R439" t="s">
        <v>103</v>
      </c>
      <c r="T439">
        <v>10</v>
      </c>
      <c r="V439" t="s">
        <v>15</v>
      </c>
    </row>
    <row r="440" spans="1:22" x14ac:dyDescent="0.25">
      <c r="A440">
        <v>25</v>
      </c>
      <c r="B440" t="s">
        <v>92</v>
      </c>
      <c r="C440" t="s">
        <v>290</v>
      </c>
      <c r="E440" t="s">
        <v>290</v>
      </c>
      <c r="L440" t="s">
        <v>93</v>
      </c>
      <c r="M440">
        <v>40</v>
      </c>
      <c r="N440" t="s">
        <v>146</v>
      </c>
      <c r="Q440">
        <v>2.0569999999999999</v>
      </c>
      <c r="R440" t="s">
        <v>11</v>
      </c>
      <c r="T440">
        <v>10</v>
      </c>
      <c r="V440" t="s">
        <v>18</v>
      </c>
    </row>
    <row r="441" spans="1:22" x14ac:dyDescent="0.25">
      <c r="A441">
        <v>25</v>
      </c>
      <c r="B441" t="s">
        <v>92</v>
      </c>
      <c r="C441" t="s">
        <v>290</v>
      </c>
      <c r="E441" t="s">
        <v>290</v>
      </c>
      <c r="L441" t="s">
        <v>93</v>
      </c>
      <c r="M441">
        <v>50</v>
      </c>
      <c r="N441" t="s">
        <v>139</v>
      </c>
      <c r="Q441">
        <v>2.0569999999999999</v>
      </c>
      <c r="R441" t="s">
        <v>17</v>
      </c>
      <c r="T441">
        <v>10</v>
      </c>
      <c r="V441" t="s">
        <v>18</v>
      </c>
    </row>
    <row r="442" spans="1:22" x14ac:dyDescent="0.25">
      <c r="A442">
        <v>25</v>
      </c>
      <c r="B442" t="s">
        <v>92</v>
      </c>
      <c r="C442" t="s">
        <v>290</v>
      </c>
      <c r="E442" t="s">
        <v>290</v>
      </c>
      <c r="L442" t="s">
        <v>93</v>
      </c>
      <c r="M442">
        <v>60</v>
      </c>
      <c r="N442" t="s">
        <v>292</v>
      </c>
      <c r="Q442">
        <v>1</v>
      </c>
      <c r="R442" t="s">
        <v>11</v>
      </c>
      <c r="T442">
        <v>10</v>
      </c>
      <c r="V442" t="s">
        <v>18</v>
      </c>
    </row>
    <row r="443" spans="1:22" x14ac:dyDescent="0.25">
      <c r="A443">
        <v>25</v>
      </c>
      <c r="B443" t="s">
        <v>92</v>
      </c>
      <c r="C443" t="s">
        <v>290</v>
      </c>
      <c r="E443" t="s">
        <v>290</v>
      </c>
      <c r="L443" t="s">
        <v>93</v>
      </c>
      <c r="M443">
        <v>70</v>
      </c>
      <c r="N443" t="s">
        <v>148</v>
      </c>
      <c r="Q443">
        <v>17.831</v>
      </c>
      <c r="R443" t="s">
        <v>17</v>
      </c>
      <c r="T443">
        <v>10</v>
      </c>
      <c r="V443" t="s">
        <v>15</v>
      </c>
    </row>
    <row r="444" spans="1:22" x14ac:dyDescent="0.25">
      <c r="A444">
        <v>25</v>
      </c>
      <c r="B444" t="s">
        <v>92</v>
      </c>
      <c r="C444" t="s">
        <v>290</v>
      </c>
      <c r="E444" t="s">
        <v>290</v>
      </c>
      <c r="L444" t="s">
        <v>93</v>
      </c>
      <c r="M444">
        <v>80</v>
      </c>
      <c r="N444" t="s">
        <v>20</v>
      </c>
      <c r="Q444">
        <v>146.21299999999999</v>
      </c>
      <c r="R444" t="s">
        <v>17</v>
      </c>
      <c r="T444">
        <v>10</v>
      </c>
      <c r="V444" t="s">
        <v>15</v>
      </c>
    </row>
    <row r="445" spans="1:22" x14ac:dyDescent="0.25">
      <c r="A445">
        <v>25</v>
      </c>
      <c r="B445" t="s">
        <v>92</v>
      </c>
      <c r="C445" t="s">
        <v>290</v>
      </c>
      <c r="E445" t="s">
        <v>290</v>
      </c>
      <c r="L445" t="s">
        <v>93</v>
      </c>
      <c r="M445">
        <v>90</v>
      </c>
      <c r="N445" t="s">
        <v>24</v>
      </c>
      <c r="Q445">
        <v>1</v>
      </c>
      <c r="R445" t="s">
        <v>11</v>
      </c>
      <c r="T445">
        <v>10</v>
      </c>
      <c r="V445" t="s">
        <v>15</v>
      </c>
    </row>
    <row r="446" spans="1:22" x14ac:dyDescent="0.25">
      <c r="A446">
        <v>25</v>
      </c>
      <c r="B446" t="s">
        <v>92</v>
      </c>
      <c r="C446" t="s">
        <v>290</v>
      </c>
      <c r="E446" t="s">
        <v>290</v>
      </c>
      <c r="L446" t="s">
        <v>93</v>
      </c>
      <c r="M446">
        <v>100</v>
      </c>
      <c r="N446" t="s">
        <v>141</v>
      </c>
      <c r="Q446">
        <v>8.1000000000000003E-2</v>
      </c>
      <c r="R446" t="s">
        <v>14</v>
      </c>
      <c r="T446">
        <v>10</v>
      </c>
      <c r="V446" t="s">
        <v>15</v>
      </c>
    </row>
    <row r="447" spans="1:22" x14ac:dyDescent="0.25">
      <c r="A447">
        <v>25</v>
      </c>
      <c r="B447" t="s">
        <v>92</v>
      </c>
      <c r="C447" t="s">
        <v>290</v>
      </c>
      <c r="E447" t="s">
        <v>290</v>
      </c>
      <c r="L447" t="s">
        <v>93</v>
      </c>
      <c r="M447">
        <v>110</v>
      </c>
      <c r="N447" t="s">
        <v>140</v>
      </c>
      <c r="Q447">
        <v>4</v>
      </c>
      <c r="R447" t="s">
        <v>11</v>
      </c>
      <c r="T447">
        <v>10</v>
      </c>
      <c r="V447" t="s">
        <v>15</v>
      </c>
    </row>
    <row r="448" spans="1:22" x14ac:dyDescent="0.25">
      <c r="A448">
        <v>25</v>
      </c>
      <c r="B448" t="s">
        <v>92</v>
      </c>
      <c r="C448" t="s">
        <v>290</v>
      </c>
      <c r="E448" t="s">
        <v>290</v>
      </c>
      <c r="L448" t="s">
        <v>93</v>
      </c>
      <c r="M448">
        <v>120</v>
      </c>
      <c r="N448" t="s">
        <v>25</v>
      </c>
      <c r="Q448">
        <v>1</v>
      </c>
      <c r="R448" t="s">
        <v>11</v>
      </c>
      <c r="T448">
        <v>10</v>
      </c>
      <c r="V448" t="s">
        <v>15</v>
      </c>
    </row>
    <row r="449" spans="1:22" x14ac:dyDescent="0.25">
      <c r="A449">
        <v>25</v>
      </c>
      <c r="B449" t="s">
        <v>92</v>
      </c>
      <c r="C449" t="s">
        <v>290</v>
      </c>
      <c r="E449" t="s">
        <v>290</v>
      </c>
      <c r="L449" t="s">
        <v>93</v>
      </c>
      <c r="M449">
        <v>130</v>
      </c>
      <c r="N449" t="s">
        <v>26</v>
      </c>
      <c r="Q449">
        <v>1</v>
      </c>
      <c r="R449" t="s">
        <v>11</v>
      </c>
      <c r="T449">
        <v>10</v>
      </c>
      <c r="V449" t="s">
        <v>15</v>
      </c>
    </row>
    <row r="450" spans="1:22" x14ac:dyDescent="0.25">
      <c r="A450">
        <v>25</v>
      </c>
      <c r="B450" t="s">
        <v>92</v>
      </c>
      <c r="C450" t="s">
        <v>290</v>
      </c>
      <c r="E450" t="s">
        <v>290</v>
      </c>
      <c r="L450" t="s">
        <v>93</v>
      </c>
      <c r="M450">
        <v>140</v>
      </c>
      <c r="N450" t="s">
        <v>100</v>
      </c>
      <c r="Q450">
        <v>1.216</v>
      </c>
      <c r="R450" t="s">
        <v>14</v>
      </c>
      <c r="T450">
        <v>10</v>
      </c>
      <c r="V450" t="s">
        <v>15</v>
      </c>
    </row>
    <row r="451" spans="1:22" x14ac:dyDescent="0.25">
      <c r="A451">
        <v>25</v>
      </c>
      <c r="B451" t="s">
        <v>92</v>
      </c>
      <c r="C451" t="s">
        <v>290</v>
      </c>
      <c r="E451" t="s">
        <v>290</v>
      </c>
      <c r="L451" t="s">
        <v>93</v>
      </c>
      <c r="M451">
        <v>150</v>
      </c>
      <c r="N451" t="s">
        <v>293</v>
      </c>
      <c r="Q451">
        <v>1</v>
      </c>
      <c r="R451" t="s">
        <v>11</v>
      </c>
      <c r="T451">
        <v>10</v>
      </c>
      <c r="V451" t="s">
        <v>18</v>
      </c>
    </row>
    <row r="452" spans="1:22" x14ac:dyDescent="0.25">
      <c r="A452">
        <v>25</v>
      </c>
      <c r="B452" t="s">
        <v>92</v>
      </c>
      <c r="C452" t="s">
        <v>290</v>
      </c>
      <c r="E452" t="s">
        <v>290</v>
      </c>
      <c r="L452" t="s">
        <v>93</v>
      </c>
      <c r="M452">
        <v>160</v>
      </c>
      <c r="N452" t="s">
        <v>294</v>
      </c>
      <c r="Q452">
        <v>1</v>
      </c>
      <c r="R452" t="s">
        <v>11</v>
      </c>
      <c r="T452">
        <v>10</v>
      </c>
      <c r="V452" t="s">
        <v>18</v>
      </c>
    </row>
    <row r="453" spans="1:22" x14ac:dyDescent="0.25">
      <c r="A453">
        <v>25</v>
      </c>
      <c r="B453" t="s">
        <v>92</v>
      </c>
      <c r="C453" t="s">
        <v>290</v>
      </c>
      <c r="E453" t="s">
        <v>290</v>
      </c>
      <c r="L453" t="s">
        <v>93</v>
      </c>
      <c r="M453">
        <v>170</v>
      </c>
      <c r="N453" t="s">
        <v>142</v>
      </c>
      <c r="Q453">
        <v>5.944</v>
      </c>
      <c r="R453" t="s">
        <v>11</v>
      </c>
      <c r="T453">
        <v>10</v>
      </c>
      <c r="V453" t="s">
        <v>15</v>
      </c>
    </row>
    <row r="454" spans="1:22" x14ac:dyDescent="0.25">
      <c r="A454">
        <v>25</v>
      </c>
      <c r="B454" t="s">
        <v>92</v>
      </c>
      <c r="C454" t="s">
        <v>290</v>
      </c>
      <c r="E454" t="s">
        <v>290</v>
      </c>
      <c r="L454" t="s">
        <v>93</v>
      </c>
      <c r="M454">
        <v>180</v>
      </c>
      <c r="N454" t="s">
        <v>295</v>
      </c>
      <c r="Q454">
        <v>1</v>
      </c>
      <c r="R454" t="s">
        <v>11</v>
      </c>
      <c r="T454">
        <v>10</v>
      </c>
      <c r="V454" t="s">
        <v>18</v>
      </c>
    </row>
    <row r="455" spans="1:22" x14ac:dyDescent="0.25">
      <c r="A455">
        <v>26</v>
      </c>
      <c r="B455" t="s">
        <v>92</v>
      </c>
      <c r="C455" t="s">
        <v>296</v>
      </c>
      <c r="E455" t="s">
        <v>296</v>
      </c>
      <c r="L455" t="s">
        <v>93</v>
      </c>
      <c r="M455">
        <v>10</v>
      </c>
      <c r="N455" t="s">
        <v>297</v>
      </c>
      <c r="Q455">
        <v>1</v>
      </c>
      <c r="R455" t="s">
        <v>11</v>
      </c>
      <c r="T455">
        <v>10</v>
      </c>
      <c r="V455" t="s">
        <v>18</v>
      </c>
    </row>
    <row r="456" spans="1:22" x14ac:dyDescent="0.25">
      <c r="A456">
        <v>26</v>
      </c>
      <c r="B456" t="s">
        <v>92</v>
      </c>
      <c r="C456" t="s">
        <v>296</v>
      </c>
      <c r="E456" t="s">
        <v>296</v>
      </c>
      <c r="L456" t="s">
        <v>93</v>
      </c>
      <c r="M456">
        <v>20</v>
      </c>
      <c r="N456" t="s">
        <v>132</v>
      </c>
      <c r="Q456">
        <v>2.98</v>
      </c>
      <c r="R456" t="s">
        <v>14</v>
      </c>
      <c r="T456">
        <v>10</v>
      </c>
      <c r="V456" t="s">
        <v>15</v>
      </c>
    </row>
    <row r="457" spans="1:22" x14ac:dyDescent="0.25">
      <c r="A457">
        <v>26</v>
      </c>
      <c r="B457" t="s">
        <v>92</v>
      </c>
      <c r="C457" t="s">
        <v>296</v>
      </c>
      <c r="E457" t="s">
        <v>296</v>
      </c>
      <c r="L457" t="s">
        <v>93</v>
      </c>
      <c r="M457">
        <v>30</v>
      </c>
      <c r="N457" t="s">
        <v>102</v>
      </c>
      <c r="Q457">
        <v>0.76</v>
      </c>
      <c r="R457" t="s">
        <v>103</v>
      </c>
      <c r="T457">
        <v>10</v>
      </c>
      <c r="V457" t="s">
        <v>15</v>
      </c>
    </row>
    <row r="458" spans="1:22" x14ac:dyDescent="0.25">
      <c r="A458">
        <v>26</v>
      </c>
      <c r="B458" t="s">
        <v>92</v>
      </c>
      <c r="C458" t="s">
        <v>296</v>
      </c>
      <c r="E458" t="s">
        <v>296</v>
      </c>
      <c r="L458" t="s">
        <v>93</v>
      </c>
      <c r="M458">
        <v>40</v>
      </c>
      <c r="N458" t="s">
        <v>146</v>
      </c>
      <c r="Q458">
        <v>2.0569999999999999</v>
      </c>
      <c r="R458" t="s">
        <v>11</v>
      </c>
      <c r="T458">
        <v>10</v>
      </c>
      <c r="V458" t="s">
        <v>18</v>
      </c>
    </row>
    <row r="459" spans="1:22" x14ac:dyDescent="0.25">
      <c r="A459">
        <v>26</v>
      </c>
      <c r="B459" t="s">
        <v>92</v>
      </c>
      <c r="C459" t="s">
        <v>296</v>
      </c>
      <c r="E459" t="s">
        <v>296</v>
      </c>
      <c r="L459" t="s">
        <v>93</v>
      </c>
      <c r="M459">
        <v>50</v>
      </c>
      <c r="N459" t="s">
        <v>139</v>
      </c>
      <c r="Q459">
        <v>2.0569999999999999</v>
      </c>
      <c r="R459" t="s">
        <v>17</v>
      </c>
      <c r="T459">
        <v>10</v>
      </c>
      <c r="V459" t="s">
        <v>18</v>
      </c>
    </row>
    <row r="460" spans="1:22" x14ac:dyDescent="0.25">
      <c r="A460">
        <v>26</v>
      </c>
      <c r="B460" t="s">
        <v>92</v>
      </c>
      <c r="C460" t="s">
        <v>296</v>
      </c>
      <c r="E460" t="s">
        <v>296</v>
      </c>
      <c r="L460" t="s">
        <v>93</v>
      </c>
      <c r="M460">
        <v>60</v>
      </c>
      <c r="N460" t="s">
        <v>298</v>
      </c>
      <c r="Q460">
        <v>1</v>
      </c>
      <c r="R460" t="s">
        <v>11</v>
      </c>
      <c r="T460">
        <v>10</v>
      </c>
      <c r="V460" t="s">
        <v>18</v>
      </c>
    </row>
    <row r="461" spans="1:22" x14ac:dyDescent="0.25">
      <c r="A461">
        <v>26</v>
      </c>
      <c r="B461" t="s">
        <v>92</v>
      </c>
      <c r="C461" t="s">
        <v>296</v>
      </c>
      <c r="E461" t="s">
        <v>296</v>
      </c>
      <c r="L461" t="s">
        <v>93</v>
      </c>
      <c r="M461">
        <v>70</v>
      </c>
      <c r="N461" t="s">
        <v>148</v>
      </c>
      <c r="Q461">
        <v>18.745000000000001</v>
      </c>
      <c r="R461" t="s">
        <v>17</v>
      </c>
      <c r="T461">
        <v>10</v>
      </c>
      <c r="V461" t="s">
        <v>15</v>
      </c>
    </row>
    <row r="462" spans="1:22" x14ac:dyDescent="0.25">
      <c r="A462">
        <v>26</v>
      </c>
      <c r="B462" t="s">
        <v>92</v>
      </c>
      <c r="C462" t="s">
        <v>296</v>
      </c>
      <c r="E462" t="s">
        <v>296</v>
      </c>
      <c r="L462" t="s">
        <v>93</v>
      </c>
      <c r="M462">
        <v>80</v>
      </c>
      <c r="N462" t="s">
        <v>20</v>
      </c>
      <c r="Q462">
        <v>153.71100000000001</v>
      </c>
      <c r="R462" t="s">
        <v>17</v>
      </c>
      <c r="T462">
        <v>10</v>
      </c>
      <c r="V462" t="s">
        <v>15</v>
      </c>
    </row>
    <row r="463" spans="1:22" x14ac:dyDescent="0.25">
      <c r="A463">
        <v>26</v>
      </c>
      <c r="B463" t="s">
        <v>92</v>
      </c>
      <c r="C463" t="s">
        <v>296</v>
      </c>
      <c r="E463" t="s">
        <v>296</v>
      </c>
      <c r="L463" t="s">
        <v>93</v>
      </c>
      <c r="M463">
        <v>90</v>
      </c>
      <c r="N463" t="s">
        <v>24</v>
      </c>
      <c r="Q463">
        <v>1</v>
      </c>
      <c r="R463" t="s">
        <v>11</v>
      </c>
      <c r="T463">
        <v>10</v>
      </c>
      <c r="V463" t="s">
        <v>15</v>
      </c>
    </row>
    <row r="464" spans="1:22" x14ac:dyDescent="0.25">
      <c r="A464">
        <v>26</v>
      </c>
      <c r="B464" t="s">
        <v>92</v>
      </c>
      <c r="C464" t="s">
        <v>296</v>
      </c>
      <c r="E464" t="s">
        <v>296</v>
      </c>
      <c r="L464" t="s">
        <v>93</v>
      </c>
      <c r="M464">
        <v>100</v>
      </c>
      <c r="N464" t="s">
        <v>141</v>
      </c>
      <c r="Q464">
        <v>9.1999999999999998E-2</v>
      </c>
      <c r="R464" t="s">
        <v>14</v>
      </c>
      <c r="T464">
        <v>10</v>
      </c>
      <c r="V464" t="s">
        <v>15</v>
      </c>
    </row>
    <row r="465" spans="1:22" x14ac:dyDescent="0.25">
      <c r="A465">
        <v>26</v>
      </c>
      <c r="B465" t="s">
        <v>92</v>
      </c>
      <c r="C465" t="s">
        <v>296</v>
      </c>
      <c r="E465" t="s">
        <v>296</v>
      </c>
      <c r="L465" t="s">
        <v>93</v>
      </c>
      <c r="M465">
        <v>110</v>
      </c>
      <c r="N465" t="s">
        <v>140</v>
      </c>
      <c r="Q465">
        <v>4</v>
      </c>
      <c r="R465" t="s">
        <v>11</v>
      </c>
      <c r="T465">
        <v>10</v>
      </c>
      <c r="V465" t="s">
        <v>15</v>
      </c>
    </row>
    <row r="466" spans="1:22" x14ac:dyDescent="0.25">
      <c r="A466">
        <v>26</v>
      </c>
      <c r="B466" t="s">
        <v>92</v>
      </c>
      <c r="C466" t="s">
        <v>296</v>
      </c>
      <c r="E466" t="s">
        <v>296</v>
      </c>
      <c r="L466" t="s">
        <v>93</v>
      </c>
      <c r="M466">
        <v>120</v>
      </c>
      <c r="N466" t="s">
        <v>25</v>
      </c>
      <c r="Q466">
        <v>1</v>
      </c>
      <c r="R466" t="s">
        <v>11</v>
      </c>
      <c r="T466">
        <v>10</v>
      </c>
      <c r="V466" t="s">
        <v>15</v>
      </c>
    </row>
    <row r="467" spans="1:22" x14ac:dyDescent="0.25">
      <c r="A467">
        <v>26</v>
      </c>
      <c r="B467" t="s">
        <v>92</v>
      </c>
      <c r="C467" t="s">
        <v>296</v>
      </c>
      <c r="E467" t="s">
        <v>296</v>
      </c>
      <c r="L467" t="s">
        <v>93</v>
      </c>
      <c r="M467">
        <v>130</v>
      </c>
      <c r="N467" t="s">
        <v>26</v>
      </c>
      <c r="Q467">
        <v>1</v>
      </c>
      <c r="R467" t="s">
        <v>11</v>
      </c>
      <c r="T467">
        <v>10</v>
      </c>
      <c r="V467" t="s">
        <v>15</v>
      </c>
    </row>
    <row r="468" spans="1:22" x14ac:dyDescent="0.25">
      <c r="A468">
        <v>26</v>
      </c>
      <c r="B468" t="s">
        <v>92</v>
      </c>
      <c r="C468" t="s">
        <v>296</v>
      </c>
      <c r="E468" t="s">
        <v>296</v>
      </c>
      <c r="L468" t="s">
        <v>93</v>
      </c>
      <c r="M468">
        <v>140</v>
      </c>
      <c r="N468" t="s">
        <v>100</v>
      </c>
      <c r="Q468">
        <v>1.216</v>
      </c>
      <c r="R468" t="s">
        <v>14</v>
      </c>
      <c r="T468">
        <v>10</v>
      </c>
      <c r="V468" t="s">
        <v>15</v>
      </c>
    </row>
    <row r="469" spans="1:22" x14ac:dyDescent="0.25">
      <c r="A469">
        <v>26</v>
      </c>
      <c r="B469" t="s">
        <v>92</v>
      </c>
      <c r="C469" t="s">
        <v>296</v>
      </c>
      <c r="E469" t="s">
        <v>296</v>
      </c>
      <c r="L469" t="s">
        <v>93</v>
      </c>
      <c r="M469">
        <v>150</v>
      </c>
      <c r="N469" t="s">
        <v>299</v>
      </c>
      <c r="Q469">
        <v>1</v>
      </c>
      <c r="R469" t="s">
        <v>11</v>
      </c>
      <c r="T469">
        <v>10</v>
      </c>
      <c r="V469" t="s">
        <v>18</v>
      </c>
    </row>
    <row r="470" spans="1:22" x14ac:dyDescent="0.25">
      <c r="A470">
        <v>26</v>
      </c>
      <c r="B470" t="s">
        <v>92</v>
      </c>
      <c r="C470" t="s">
        <v>296</v>
      </c>
      <c r="E470" t="s">
        <v>296</v>
      </c>
      <c r="L470" t="s">
        <v>93</v>
      </c>
      <c r="M470">
        <v>160</v>
      </c>
      <c r="N470" t="s">
        <v>300</v>
      </c>
      <c r="Q470">
        <v>1</v>
      </c>
      <c r="R470" t="s">
        <v>11</v>
      </c>
      <c r="T470">
        <v>10</v>
      </c>
      <c r="V470" t="s">
        <v>18</v>
      </c>
    </row>
    <row r="471" spans="1:22" x14ac:dyDescent="0.25">
      <c r="A471">
        <v>26</v>
      </c>
      <c r="B471" t="s">
        <v>92</v>
      </c>
      <c r="C471" t="s">
        <v>296</v>
      </c>
      <c r="E471" t="s">
        <v>296</v>
      </c>
      <c r="L471" t="s">
        <v>93</v>
      </c>
      <c r="M471">
        <v>170</v>
      </c>
      <c r="N471" t="s">
        <v>142</v>
      </c>
      <c r="Q471">
        <v>6.2480000000000002</v>
      </c>
      <c r="R471" t="s">
        <v>11</v>
      </c>
      <c r="T471">
        <v>10</v>
      </c>
      <c r="V471" t="s">
        <v>15</v>
      </c>
    </row>
    <row r="472" spans="1:22" x14ac:dyDescent="0.25">
      <c r="A472">
        <v>26</v>
      </c>
      <c r="B472" t="s">
        <v>92</v>
      </c>
      <c r="C472" t="s">
        <v>296</v>
      </c>
      <c r="E472" t="s">
        <v>296</v>
      </c>
      <c r="L472" t="s">
        <v>93</v>
      </c>
      <c r="M472">
        <v>180</v>
      </c>
      <c r="N472" t="s">
        <v>301</v>
      </c>
      <c r="Q472">
        <v>1</v>
      </c>
      <c r="R472" t="s">
        <v>11</v>
      </c>
      <c r="T472">
        <v>10</v>
      </c>
      <c r="V472" t="s">
        <v>18</v>
      </c>
    </row>
    <row r="473" spans="1:22" x14ac:dyDescent="0.25">
      <c r="A473">
        <v>27</v>
      </c>
      <c r="B473" t="s">
        <v>92</v>
      </c>
      <c r="C473" t="s">
        <v>302</v>
      </c>
      <c r="E473" t="s">
        <v>302</v>
      </c>
      <c r="L473" t="s">
        <v>93</v>
      </c>
      <c r="M473">
        <v>10</v>
      </c>
      <c r="N473" t="s">
        <v>303</v>
      </c>
      <c r="Q473">
        <v>1</v>
      </c>
      <c r="R473" t="s">
        <v>11</v>
      </c>
      <c r="T473">
        <v>10</v>
      </c>
      <c r="V473" t="s">
        <v>18</v>
      </c>
    </row>
    <row r="474" spans="1:22" x14ac:dyDescent="0.25">
      <c r="A474">
        <v>27</v>
      </c>
      <c r="B474" t="s">
        <v>92</v>
      </c>
      <c r="C474" t="s">
        <v>302</v>
      </c>
      <c r="E474" t="s">
        <v>302</v>
      </c>
      <c r="L474" t="s">
        <v>93</v>
      </c>
      <c r="M474">
        <v>20</v>
      </c>
      <c r="N474" t="s">
        <v>132</v>
      </c>
      <c r="Q474">
        <v>3.411</v>
      </c>
      <c r="R474" t="s">
        <v>14</v>
      </c>
      <c r="T474">
        <v>10</v>
      </c>
      <c r="V474" t="s">
        <v>15</v>
      </c>
    </row>
    <row r="475" spans="1:22" x14ac:dyDescent="0.25">
      <c r="A475">
        <v>27</v>
      </c>
      <c r="B475" t="s">
        <v>92</v>
      </c>
      <c r="C475" t="s">
        <v>302</v>
      </c>
      <c r="E475" t="s">
        <v>302</v>
      </c>
      <c r="L475" t="s">
        <v>93</v>
      </c>
      <c r="M475">
        <v>30</v>
      </c>
      <c r="N475" t="s">
        <v>102</v>
      </c>
      <c r="Q475">
        <v>0.88</v>
      </c>
      <c r="R475" t="s">
        <v>103</v>
      </c>
      <c r="T475">
        <v>10</v>
      </c>
      <c r="V475" t="s">
        <v>15</v>
      </c>
    </row>
    <row r="476" spans="1:22" x14ac:dyDescent="0.25">
      <c r="A476">
        <v>27</v>
      </c>
      <c r="B476" t="s">
        <v>92</v>
      </c>
      <c r="C476" t="s">
        <v>302</v>
      </c>
      <c r="E476" t="s">
        <v>302</v>
      </c>
      <c r="L476" t="s">
        <v>93</v>
      </c>
      <c r="M476">
        <v>40</v>
      </c>
      <c r="N476" t="s">
        <v>146</v>
      </c>
      <c r="Q476">
        <v>2.0569999999999999</v>
      </c>
      <c r="R476" t="s">
        <v>11</v>
      </c>
      <c r="T476">
        <v>10</v>
      </c>
      <c r="V476" t="s">
        <v>18</v>
      </c>
    </row>
    <row r="477" spans="1:22" x14ac:dyDescent="0.25">
      <c r="A477">
        <v>27</v>
      </c>
      <c r="B477" t="s">
        <v>92</v>
      </c>
      <c r="C477" t="s">
        <v>302</v>
      </c>
      <c r="E477" t="s">
        <v>302</v>
      </c>
      <c r="L477" t="s">
        <v>93</v>
      </c>
      <c r="M477">
        <v>50</v>
      </c>
      <c r="N477" t="s">
        <v>139</v>
      </c>
      <c r="Q477">
        <v>2.0569999999999999</v>
      </c>
      <c r="R477" t="s">
        <v>17</v>
      </c>
      <c r="T477">
        <v>10</v>
      </c>
      <c r="V477" t="s">
        <v>18</v>
      </c>
    </row>
    <row r="478" spans="1:22" x14ac:dyDescent="0.25">
      <c r="A478">
        <v>27</v>
      </c>
      <c r="B478" t="s">
        <v>92</v>
      </c>
      <c r="C478" t="s">
        <v>302</v>
      </c>
      <c r="E478" t="s">
        <v>302</v>
      </c>
      <c r="L478" t="s">
        <v>93</v>
      </c>
      <c r="M478">
        <v>60</v>
      </c>
      <c r="N478" t="s">
        <v>304</v>
      </c>
      <c r="Q478">
        <v>1</v>
      </c>
      <c r="R478" t="s">
        <v>11</v>
      </c>
      <c r="T478">
        <v>10</v>
      </c>
      <c r="V478" t="s">
        <v>18</v>
      </c>
    </row>
    <row r="479" spans="1:22" x14ac:dyDescent="0.25">
      <c r="A479">
        <v>27</v>
      </c>
      <c r="B479" t="s">
        <v>92</v>
      </c>
      <c r="C479" t="s">
        <v>302</v>
      </c>
      <c r="E479" t="s">
        <v>302</v>
      </c>
      <c r="L479" t="s">
        <v>93</v>
      </c>
      <c r="M479">
        <v>70</v>
      </c>
      <c r="N479" t="s">
        <v>148</v>
      </c>
      <c r="Q479">
        <v>19.66</v>
      </c>
      <c r="R479" t="s">
        <v>17</v>
      </c>
      <c r="T479">
        <v>10</v>
      </c>
      <c r="V479" t="s">
        <v>15</v>
      </c>
    </row>
    <row r="480" spans="1:22" x14ac:dyDescent="0.25">
      <c r="A480">
        <v>27</v>
      </c>
      <c r="B480" t="s">
        <v>92</v>
      </c>
      <c r="C480" t="s">
        <v>302</v>
      </c>
      <c r="E480" t="s">
        <v>302</v>
      </c>
      <c r="L480" t="s">
        <v>93</v>
      </c>
      <c r="M480">
        <v>80</v>
      </c>
      <c r="N480" t="s">
        <v>20</v>
      </c>
      <c r="Q480">
        <v>161.209</v>
      </c>
      <c r="R480" t="s">
        <v>17</v>
      </c>
      <c r="T480">
        <v>10</v>
      </c>
      <c r="V480" t="s">
        <v>15</v>
      </c>
    </row>
    <row r="481" spans="1:22" x14ac:dyDescent="0.25">
      <c r="A481">
        <v>27</v>
      </c>
      <c r="B481" t="s">
        <v>92</v>
      </c>
      <c r="C481" t="s">
        <v>302</v>
      </c>
      <c r="E481" t="s">
        <v>302</v>
      </c>
      <c r="L481" t="s">
        <v>93</v>
      </c>
      <c r="M481">
        <v>90</v>
      </c>
      <c r="N481" t="s">
        <v>24</v>
      </c>
      <c r="Q481">
        <v>1</v>
      </c>
      <c r="R481" t="s">
        <v>11</v>
      </c>
      <c r="T481">
        <v>10</v>
      </c>
      <c r="V481" t="s">
        <v>15</v>
      </c>
    </row>
    <row r="482" spans="1:22" x14ac:dyDescent="0.25">
      <c r="A482">
        <v>27</v>
      </c>
      <c r="B482" t="s">
        <v>92</v>
      </c>
      <c r="C482" t="s">
        <v>302</v>
      </c>
      <c r="E482" t="s">
        <v>302</v>
      </c>
      <c r="L482" t="s">
        <v>93</v>
      </c>
      <c r="M482">
        <v>100</v>
      </c>
      <c r="N482" t="s">
        <v>141</v>
      </c>
      <c r="Q482">
        <v>0.10199999999999999</v>
      </c>
      <c r="R482" t="s">
        <v>14</v>
      </c>
      <c r="T482">
        <v>10</v>
      </c>
      <c r="V482" t="s">
        <v>15</v>
      </c>
    </row>
    <row r="483" spans="1:22" x14ac:dyDescent="0.25">
      <c r="A483">
        <v>27</v>
      </c>
      <c r="B483" t="s">
        <v>92</v>
      </c>
      <c r="C483" t="s">
        <v>302</v>
      </c>
      <c r="E483" t="s">
        <v>302</v>
      </c>
      <c r="L483" t="s">
        <v>93</v>
      </c>
      <c r="M483">
        <v>110</v>
      </c>
      <c r="N483" t="s">
        <v>140</v>
      </c>
      <c r="Q483">
        <v>4</v>
      </c>
      <c r="R483" t="s">
        <v>11</v>
      </c>
      <c r="T483">
        <v>10</v>
      </c>
      <c r="V483" t="s">
        <v>15</v>
      </c>
    </row>
    <row r="484" spans="1:22" x14ac:dyDescent="0.25">
      <c r="A484">
        <v>27</v>
      </c>
      <c r="B484" t="s">
        <v>92</v>
      </c>
      <c r="C484" t="s">
        <v>302</v>
      </c>
      <c r="E484" t="s">
        <v>302</v>
      </c>
      <c r="L484" t="s">
        <v>93</v>
      </c>
      <c r="M484">
        <v>120</v>
      </c>
      <c r="N484" t="s">
        <v>25</v>
      </c>
      <c r="Q484">
        <v>1</v>
      </c>
      <c r="R484" t="s">
        <v>11</v>
      </c>
      <c r="T484">
        <v>10</v>
      </c>
      <c r="V484" t="s">
        <v>15</v>
      </c>
    </row>
    <row r="485" spans="1:22" x14ac:dyDescent="0.25">
      <c r="A485">
        <v>27</v>
      </c>
      <c r="B485" t="s">
        <v>92</v>
      </c>
      <c r="C485" t="s">
        <v>302</v>
      </c>
      <c r="E485" t="s">
        <v>302</v>
      </c>
      <c r="L485" t="s">
        <v>93</v>
      </c>
      <c r="M485">
        <v>130</v>
      </c>
      <c r="N485" t="s">
        <v>26</v>
      </c>
      <c r="Q485">
        <v>1</v>
      </c>
      <c r="R485" t="s">
        <v>11</v>
      </c>
      <c r="T485">
        <v>10</v>
      </c>
      <c r="V485" t="s">
        <v>15</v>
      </c>
    </row>
    <row r="486" spans="1:22" x14ac:dyDescent="0.25">
      <c r="A486">
        <v>27</v>
      </c>
      <c r="B486" t="s">
        <v>92</v>
      </c>
      <c r="C486" t="s">
        <v>302</v>
      </c>
      <c r="E486" t="s">
        <v>302</v>
      </c>
      <c r="L486" t="s">
        <v>93</v>
      </c>
      <c r="M486">
        <v>140</v>
      </c>
      <c r="N486" t="s">
        <v>100</v>
      </c>
      <c r="Q486">
        <v>1.216</v>
      </c>
      <c r="R486" t="s">
        <v>14</v>
      </c>
      <c r="T486">
        <v>10</v>
      </c>
      <c r="V486" t="s">
        <v>15</v>
      </c>
    </row>
    <row r="487" spans="1:22" x14ac:dyDescent="0.25">
      <c r="A487">
        <v>27</v>
      </c>
      <c r="B487" t="s">
        <v>92</v>
      </c>
      <c r="C487" t="s">
        <v>302</v>
      </c>
      <c r="E487" t="s">
        <v>302</v>
      </c>
      <c r="L487" t="s">
        <v>93</v>
      </c>
      <c r="M487">
        <v>150</v>
      </c>
      <c r="N487" t="s">
        <v>305</v>
      </c>
      <c r="Q487">
        <v>1</v>
      </c>
      <c r="R487" t="s">
        <v>11</v>
      </c>
      <c r="T487">
        <v>10</v>
      </c>
      <c r="V487" t="s">
        <v>18</v>
      </c>
    </row>
    <row r="488" spans="1:22" x14ac:dyDescent="0.25">
      <c r="A488">
        <v>27</v>
      </c>
      <c r="B488" t="s">
        <v>92</v>
      </c>
      <c r="C488" t="s">
        <v>302</v>
      </c>
      <c r="E488" t="s">
        <v>302</v>
      </c>
      <c r="L488" t="s">
        <v>93</v>
      </c>
      <c r="M488">
        <v>160</v>
      </c>
      <c r="N488" t="s">
        <v>306</v>
      </c>
      <c r="Q488">
        <v>1</v>
      </c>
      <c r="R488" t="s">
        <v>11</v>
      </c>
      <c r="T488">
        <v>10</v>
      </c>
      <c r="V488" t="s">
        <v>18</v>
      </c>
    </row>
    <row r="489" spans="1:22" x14ac:dyDescent="0.25">
      <c r="A489">
        <v>27</v>
      </c>
      <c r="B489" t="s">
        <v>92</v>
      </c>
      <c r="C489" t="s">
        <v>302</v>
      </c>
      <c r="E489" t="s">
        <v>302</v>
      </c>
      <c r="L489" t="s">
        <v>93</v>
      </c>
      <c r="M489">
        <v>170</v>
      </c>
      <c r="N489" t="s">
        <v>142</v>
      </c>
      <c r="Q489">
        <v>6.5529999999999999</v>
      </c>
      <c r="R489" t="s">
        <v>11</v>
      </c>
      <c r="T489">
        <v>10</v>
      </c>
      <c r="V489" t="s">
        <v>15</v>
      </c>
    </row>
    <row r="490" spans="1:22" x14ac:dyDescent="0.25">
      <c r="A490">
        <v>27</v>
      </c>
      <c r="B490" t="s">
        <v>92</v>
      </c>
      <c r="C490" t="s">
        <v>302</v>
      </c>
      <c r="E490" t="s">
        <v>302</v>
      </c>
      <c r="L490" t="s">
        <v>93</v>
      </c>
      <c r="M490">
        <v>180</v>
      </c>
      <c r="N490" t="s">
        <v>307</v>
      </c>
      <c r="Q490">
        <v>1</v>
      </c>
      <c r="R490" t="s">
        <v>11</v>
      </c>
      <c r="T490">
        <v>10</v>
      </c>
      <c r="V490" t="s">
        <v>18</v>
      </c>
    </row>
    <row r="491" spans="1:22" x14ac:dyDescent="0.25">
      <c r="A491">
        <v>28</v>
      </c>
      <c r="B491" t="s">
        <v>92</v>
      </c>
      <c r="C491" t="s">
        <v>308</v>
      </c>
      <c r="E491" t="s">
        <v>308</v>
      </c>
      <c r="L491" t="s">
        <v>93</v>
      </c>
      <c r="M491">
        <v>10</v>
      </c>
      <c r="N491" t="s">
        <v>309</v>
      </c>
      <c r="Q491">
        <v>1</v>
      </c>
      <c r="R491" t="s">
        <v>11</v>
      </c>
      <c r="T491">
        <v>10</v>
      </c>
      <c r="V491" t="s">
        <v>18</v>
      </c>
    </row>
    <row r="492" spans="1:22" x14ac:dyDescent="0.25">
      <c r="A492">
        <v>28</v>
      </c>
      <c r="B492" t="s">
        <v>92</v>
      </c>
      <c r="C492" t="s">
        <v>308</v>
      </c>
      <c r="E492" t="s">
        <v>308</v>
      </c>
      <c r="L492" t="s">
        <v>93</v>
      </c>
      <c r="M492">
        <v>20</v>
      </c>
      <c r="N492" t="s">
        <v>132</v>
      </c>
      <c r="Q492">
        <v>4.2720000000000002</v>
      </c>
      <c r="R492" t="s">
        <v>14</v>
      </c>
      <c r="T492">
        <v>10</v>
      </c>
      <c r="V492" t="s">
        <v>15</v>
      </c>
    </row>
    <row r="493" spans="1:22" x14ac:dyDescent="0.25">
      <c r="A493">
        <v>28</v>
      </c>
      <c r="B493" t="s">
        <v>92</v>
      </c>
      <c r="C493" t="s">
        <v>308</v>
      </c>
      <c r="E493" t="s">
        <v>308</v>
      </c>
      <c r="L493" t="s">
        <v>93</v>
      </c>
      <c r="M493">
        <v>30</v>
      </c>
      <c r="N493" t="s">
        <v>102</v>
      </c>
      <c r="Q493">
        <v>1</v>
      </c>
      <c r="R493" t="s">
        <v>103</v>
      </c>
      <c r="T493">
        <v>10</v>
      </c>
      <c r="V493" t="s">
        <v>15</v>
      </c>
    </row>
    <row r="494" spans="1:22" x14ac:dyDescent="0.25">
      <c r="A494">
        <v>28</v>
      </c>
      <c r="B494" t="s">
        <v>92</v>
      </c>
      <c r="C494" t="s">
        <v>308</v>
      </c>
      <c r="E494" t="s">
        <v>308</v>
      </c>
      <c r="L494" t="s">
        <v>93</v>
      </c>
      <c r="M494">
        <v>40</v>
      </c>
      <c r="N494" t="s">
        <v>146</v>
      </c>
      <c r="Q494">
        <v>2.0569999999999999</v>
      </c>
      <c r="R494" t="s">
        <v>11</v>
      </c>
      <c r="T494">
        <v>10</v>
      </c>
      <c r="V494" t="s">
        <v>18</v>
      </c>
    </row>
    <row r="495" spans="1:22" x14ac:dyDescent="0.25">
      <c r="A495">
        <v>28</v>
      </c>
      <c r="B495" t="s">
        <v>92</v>
      </c>
      <c r="C495" t="s">
        <v>308</v>
      </c>
      <c r="E495" t="s">
        <v>308</v>
      </c>
      <c r="L495" t="s">
        <v>93</v>
      </c>
      <c r="M495">
        <v>50</v>
      </c>
      <c r="N495" t="s">
        <v>139</v>
      </c>
      <c r="Q495">
        <v>2.0569999999999999</v>
      </c>
      <c r="R495" t="s">
        <v>17</v>
      </c>
      <c r="T495">
        <v>10</v>
      </c>
      <c r="V495" t="s">
        <v>18</v>
      </c>
    </row>
    <row r="496" spans="1:22" x14ac:dyDescent="0.25">
      <c r="A496">
        <v>28</v>
      </c>
      <c r="B496" t="s">
        <v>92</v>
      </c>
      <c r="C496" t="s">
        <v>308</v>
      </c>
      <c r="E496" t="s">
        <v>308</v>
      </c>
      <c r="L496" t="s">
        <v>93</v>
      </c>
      <c r="M496">
        <v>60</v>
      </c>
      <c r="N496" t="s">
        <v>310</v>
      </c>
      <c r="Q496">
        <v>1</v>
      </c>
      <c r="R496" t="s">
        <v>11</v>
      </c>
      <c r="T496">
        <v>10</v>
      </c>
      <c r="V496" t="s">
        <v>18</v>
      </c>
    </row>
    <row r="497" spans="1:22" x14ac:dyDescent="0.25">
      <c r="A497">
        <v>28</v>
      </c>
      <c r="B497" t="s">
        <v>92</v>
      </c>
      <c r="C497" t="s">
        <v>308</v>
      </c>
      <c r="E497" t="s">
        <v>308</v>
      </c>
      <c r="L497" t="s">
        <v>93</v>
      </c>
      <c r="M497">
        <v>70</v>
      </c>
      <c r="N497" t="s">
        <v>148</v>
      </c>
      <c r="Q497">
        <v>20.574000000000002</v>
      </c>
      <c r="R497" t="s">
        <v>17</v>
      </c>
      <c r="T497">
        <v>10</v>
      </c>
      <c r="V497" t="s">
        <v>15</v>
      </c>
    </row>
    <row r="498" spans="1:22" x14ac:dyDescent="0.25">
      <c r="A498">
        <v>28</v>
      </c>
      <c r="B498" t="s">
        <v>92</v>
      </c>
      <c r="C498" t="s">
        <v>308</v>
      </c>
      <c r="E498" t="s">
        <v>308</v>
      </c>
      <c r="L498" t="s">
        <v>93</v>
      </c>
      <c r="M498">
        <v>80</v>
      </c>
      <c r="N498" t="s">
        <v>20</v>
      </c>
      <c r="Q498">
        <v>168.70699999999999</v>
      </c>
      <c r="R498" t="s">
        <v>17</v>
      </c>
      <c r="T498">
        <v>10</v>
      </c>
      <c r="V498" t="s">
        <v>15</v>
      </c>
    </row>
    <row r="499" spans="1:22" x14ac:dyDescent="0.25">
      <c r="A499">
        <v>28</v>
      </c>
      <c r="B499" t="s">
        <v>92</v>
      </c>
      <c r="C499" t="s">
        <v>308</v>
      </c>
      <c r="E499" t="s">
        <v>308</v>
      </c>
      <c r="L499" t="s">
        <v>93</v>
      </c>
      <c r="M499">
        <v>90</v>
      </c>
      <c r="N499" t="s">
        <v>24</v>
      </c>
      <c r="Q499">
        <v>1</v>
      </c>
      <c r="R499" t="s">
        <v>11</v>
      </c>
      <c r="T499">
        <v>10</v>
      </c>
      <c r="V499" t="s">
        <v>15</v>
      </c>
    </row>
    <row r="500" spans="1:22" x14ac:dyDescent="0.25">
      <c r="A500">
        <v>28</v>
      </c>
      <c r="B500" t="s">
        <v>92</v>
      </c>
      <c r="C500" t="s">
        <v>308</v>
      </c>
      <c r="E500" t="s">
        <v>308</v>
      </c>
      <c r="L500" t="s">
        <v>93</v>
      </c>
      <c r="M500">
        <v>100</v>
      </c>
      <c r="N500" t="s">
        <v>141</v>
      </c>
      <c r="Q500">
        <v>0.112</v>
      </c>
      <c r="R500" t="s">
        <v>14</v>
      </c>
      <c r="T500">
        <v>10</v>
      </c>
      <c r="V500" t="s">
        <v>15</v>
      </c>
    </row>
    <row r="501" spans="1:22" x14ac:dyDescent="0.25">
      <c r="A501">
        <v>28</v>
      </c>
      <c r="B501" t="s">
        <v>92</v>
      </c>
      <c r="C501" t="s">
        <v>308</v>
      </c>
      <c r="E501" t="s">
        <v>308</v>
      </c>
      <c r="L501" t="s">
        <v>93</v>
      </c>
      <c r="M501">
        <v>110</v>
      </c>
      <c r="N501" t="s">
        <v>140</v>
      </c>
      <c r="Q501">
        <v>4</v>
      </c>
      <c r="R501" t="s">
        <v>11</v>
      </c>
      <c r="T501">
        <v>10</v>
      </c>
      <c r="V501" t="s">
        <v>15</v>
      </c>
    </row>
    <row r="502" spans="1:22" x14ac:dyDescent="0.25">
      <c r="A502">
        <v>28</v>
      </c>
      <c r="B502" t="s">
        <v>92</v>
      </c>
      <c r="C502" t="s">
        <v>308</v>
      </c>
      <c r="E502" t="s">
        <v>308</v>
      </c>
      <c r="L502" t="s">
        <v>93</v>
      </c>
      <c r="M502">
        <v>120</v>
      </c>
      <c r="N502" t="s">
        <v>25</v>
      </c>
      <c r="Q502">
        <v>1</v>
      </c>
      <c r="R502" t="s">
        <v>11</v>
      </c>
      <c r="T502">
        <v>10</v>
      </c>
      <c r="V502" t="s">
        <v>15</v>
      </c>
    </row>
    <row r="503" spans="1:22" x14ac:dyDescent="0.25">
      <c r="A503">
        <v>28</v>
      </c>
      <c r="B503" t="s">
        <v>92</v>
      </c>
      <c r="C503" t="s">
        <v>308</v>
      </c>
      <c r="E503" t="s">
        <v>308</v>
      </c>
      <c r="L503" t="s">
        <v>93</v>
      </c>
      <c r="M503">
        <v>130</v>
      </c>
      <c r="N503" t="s">
        <v>26</v>
      </c>
      <c r="Q503">
        <v>1</v>
      </c>
      <c r="R503" t="s">
        <v>11</v>
      </c>
      <c r="T503">
        <v>10</v>
      </c>
      <c r="V503" t="s">
        <v>15</v>
      </c>
    </row>
    <row r="504" spans="1:22" x14ac:dyDescent="0.25">
      <c r="A504">
        <v>28</v>
      </c>
      <c r="B504" t="s">
        <v>92</v>
      </c>
      <c r="C504" t="s">
        <v>308</v>
      </c>
      <c r="E504" t="s">
        <v>308</v>
      </c>
      <c r="L504" t="s">
        <v>93</v>
      </c>
      <c r="M504">
        <v>140</v>
      </c>
      <c r="N504" t="s">
        <v>100</v>
      </c>
      <c r="Q504">
        <v>1.216</v>
      </c>
      <c r="R504" t="s">
        <v>14</v>
      </c>
      <c r="T504">
        <v>10</v>
      </c>
      <c r="V504" t="s">
        <v>15</v>
      </c>
    </row>
    <row r="505" spans="1:22" x14ac:dyDescent="0.25">
      <c r="A505">
        <v>28</v>
      </c>
      <c r="B505" t="s">
        <v>92</v>
      </c>
      <c r="C505" t="s">
        <v>308</v>
      </c>
      <c r="E505" t="s">
        <v>308</v>
      </c>
      <c r="L505" t="s">
        <v>93</v>
      </c>
      <c r="M505">
        <v>150</v>
      </c>
      <c r="N505" t="s">
        <v>311</v>
      </c>
      <c r="Q505">
        <v>1</v>
      </c>
      <c r="R505" t="s">
        <v>11</v>
      </c>
      <c r="T505">
        <v>10</v>
      </c>
      <c r="V505" t="s">
        <v>18</v>
      </c>
    </row>
    <row r="506" spans="1:22" x14ac:dyDescent="0.25">
      <c r="A506">
        <v>28</v>
      </c>
      <c r="B506" t="s">
        <v>92</v>
      </c>
      <c r="C506" t="s">
        <v>308</v>
      </c>
      <c r="E506" t="s">
        <v>308</v>
      </c>
      <c r="L506" t="s">
        <v>93</v>
      </c>
      <c r="M506">
        <v>160</v>
      </c>
      <c r="N506" t="s">
        <v>312</v>
      </c>
      <c r="Q506">
        <v>1</v>
      </c>
      <c r="R506" t="s">
        <v>11</v>
      </c>
      <c r="T506">
        <v>10</v>
      </c>
      <c r="V506" t="s">
        <v>18</v>
      </c>
    </row>
    <row r="507" spans="1:22" x14ac:dyDescent="0.25">
      <c r="A507">
        <v>28</v>
      </c>
      <c r="B507" t="s">
        <v>92</v>
      </c>
      <c r="C507" t="s">
        <v>308</v>
      </c>
      <c r="E507" t="s">
        <v>308</v>
      </c>
      <c r="L507" t="s">
        <v>93</v>
      </c>
      <c r="M507">
        <v>170</v>
      </c>
      <c r="N507" t="s">
        <v>142</v>
      </c>
      <c r="Q507">
        <v>6.8579999999999997</v>
      </c>
      <c r="R507" t="s">
        <v>11</v>
      </c>
      <c r="T507">
        <v>10</v>
      </c>
      <c r="V507" t="s">
        <v>15</v>
      </c>
    </row>
    <row r="508" spans="1:22" x14ac:dyDescent="0.25">
      <c r="A508">
        <v>28</v>
      </c>
      <c r="B508" t="s">
        <v>92</v>
      </c>
      <c r="C508" t="s">
        <v>308</v>
      </c>
      <c r="E508" t="s">
        <v>308</v>
      </c>
      <c r="L508" t="s">
        <v>93</v>
      </c>
      <c r="M508">
        <v>180</v>
      </c>
      <c r="N508" t="s">
        <v>313</v>
      </c>
      <c r="Q508">
        <v>1</v>
      </c>
      <c r="R508" t="s">
        <v>11</v>
      </c>
      <c r="T508">
        <v>10</v>
      </c>
      <c r="V508" t="s">
        <v>18</v>
      </c>
    </row>
    <row r="509" spans="1:22" x14ac:dyDescent="0.25">
      <c r="A509">
        <v>29</v>
      </c>
      <c r="B509" t="s">
        <v>92</v>
      </c>
      <c r="C509" t="s">
        <v>314</v>
      </c>
      <c r="E509" t="s">
        <v>314</v>
      </c>
      <c r="L509" t="s">
        <v>93</v>
      </c>
      <c r="M509">
        <v>10</v>
      </c>
      <c r="N509" t="s">
        <v>315</v>
      </c>
      <c r="Q509">
        <v>1</v>
      </c>
      <c r="R509" t="s">
        <v>11</v>
      </c>
      <c r="T509">
        <v>10</v>
      </c>
      <c r="V509" t="s">
        <v>18</v>
      </c>
    </row>
    <row r="510" spans="1:22" x14ac:dyDescent="0.25">
      <c r="A510">
        <v>29</v>
      </c>
      <c r="B510" t="s">
        <v>92</v>
      </c>
      <c r="C510" t="s">
        <v>314</v>
      </c>
      <c r="E510" t="s">
        <v>314</v>
      </c>
      <c r="L510" t="s">
        <v>93</v>
      </c>
      <c r="M510">
        <v>20</v>
      </c>
      <c r="N510" t="s">
        <v>132</v>
      </c>
      <c r="Q510">
        <v>4.2720000000000002</v>
      </c>
      <c r="R510" t="s">
        <v>14</v>
      </c>
      <c r="T510">
        <v>10</v>
      </c>
      <c r="V510" t="s">
        <v>15</v>
      </c>
    </row>
    <row r="511" spans="1:22" x14ac:dyDescent="0.25">
      <c r="A511">
        <v>29</v>
      </c>
      <c r="B511" t="s">
        <v>92</v>
      </c>
      <c r="C511" t="s">
        <v>314</v>
      </c>
      <c r="E511" t="s">
        <v>314</v>
      </c>
      <c r="L511" t="s">
        <v>93</v>
      </c>
      <c r="M511">
        <v>30</v>
      </c>
      <c r="N511" t="s">
        <v>102</v>
      </c>
      <c r="Q511">
        <v>1.06</v>
      </c>
      <c r="R511" t="s">
        <v>103</v>
      </c>
      <c r="T511">
        <v>10</v>
      </c>
      <c r="V511" t="s">
        <v>15</v>
      </c>
    </row>
    <row r="512" spans="1:22" x14ac:dyDescent="0.25">
      <c r="A512">
        <v>29</v>
      </c>
      <c r="B512" t="s">
        <v>92</v>
      </c>
      <c r="C512" t="s">
        <v>314</v>
      </c>
      <c r="E512" t="s">
        <v>314</v>
      </c>
      <c r="L512" t="s">
        <v>93</v>
      </c>
      <c r="M512">
        <v>40</v>
      </c>
      <c r="N512" t="s">
        <v>146</v>
      </c>
      <c r="Q512">
        <v>2.0569999999999999</v>
      </c>
      <c r="R512" t="s">
        <v>11</v>
      </c>
      <c r="T512">
        <v>10</v>
      </c>
      <c r="V512" t="s">
        <v>18</v>
      </c>
    </row>
    <row r="513" spans="1:22" x14ac:dyDescent="0.25">
      <c r="A513">
        <v>29</v>
      </c>
      <c r="B513" t="s">
        <v>92</v>
      </c>
      <c r="C513" t="s">
        <v>314</v>
      </c>
      <c r="E513" t="s">
        <v>314</v>
      </c>
      <c r="L513" t="s">
        <v>93</v>
      </c>
      <c r="M513">
        <v>50</v>
      </c>
      <c r="N513" t="s">
        <v>139</v>
      </c>
      <c r="Q513">
        <v>2.0569999999999999</v>
      </c>
      <c r="R513" t="s">
        <v>17</v>
      </c>
      <c r="T513">
        <v>10</v>
      </c>
      <c r="V513" t="s">
        <v>18</v>
      </c>
    </row>
    <row r="514" spans="1:22" x14ac:dyDescent="0.25">
      <c r="A514">
        <v>29</v>
      </c>
      <c r="B514" t="s">
        <v>92</v>
      </c>
      <c r="C514" t="s">
        <v>314</v>
      </c>
      <c r="E514" t="s">
        <v>314</v>
      </c>
      <c r="L514" t="s">
        <v>93</v>
      </c>
      <c r="M514">
        <v>60</v>
      </c>
      <c r="N514" t="s">
        <v>316</v>
      </c>
      <c r="Q514">
        <v>1</v>
      </c>
      <c r="R514" t="s">
        <v>11</v>
      </c>
      <c r="T514">
        <v>10</v>
      </c>
      <c r="V514" t="s">
        <v>18</v>
      </c>
    </row>
    <row r="515" spans="1:22" x14ac:dyDescent="0.25">
      <c r="A515">
        <v>29</v>
      </c>
      <c r="B515" t="s">
        <v>92</v>
      </c>
      <c r="C515" t="s">
        <v>314</v>
      </c>
      <c r="E515" t="s">
        <v>314</v>
      </c>
      <c r="L515" t="s">
        <v>93</v>
      </c>
      <c r="M515">
        <v>70</v>
      </c>
      <c r="N515" t="s">
        <v>148</v>
      </c>
      <c r="Q515">
        <v>21.030999999999999</v>
      </c>
      <c r="R515" t="s">
        <v>17</v>
      </c>
      <c r="T515">
        <v>10</v>
      </c>
      <c r="V515" t="s">
        <v>15</v>
      </c>
    </row>
    <row r="516" spans="1:22" x14ac:dyDescent="0.25">
      <c r="A516">
        <v>29</v>
      </c>
      <c r="B516" t="s">
        <v>92</v>
      </c>
      <c r="C516" t="s">
        <v>314</v>
      </c>
      <c r="E516" t="s">
        <v>314</v>
      </c>
      <c r="L516" t="s">
        <v>93</v>
      </c>
      <c r="M516">
        <v>80</v>
      </c>
      <c r="N516" t="s">
        <v>20</v>
      </c>
      <c r="Q516">
        <v>172.45599999999999</v>
      </c>
      <c r="R516" t="s">
        <v>17</v>
      </c>
      <c r="T516">
        <v>10</v>
      </c>
      <c r="V516" t="s">
        <v>15</v>
      </c>
    </row>
    <row r="517" spans="1:22" x14ac:dyDescent="0.25">
      <c r="A517">
        <v>29</v>
      </c>
      <c r="B517" t="s">
        <v>92</v>
      </c>
      <c r="C517" t="s">
        <v>314</v>
      </c>
      <c r="E517" t="s">
        <v>314</v>
      </c>
      <c r="L517" t="s">
        <v>93</v>
      </c>
      <c r="M517">
        <v>90</v>
      </c>
      <c r="N517" t="s">
        <v>24</v>
      </c>
      <c r="Q517">
        <v>1</v>
      </c>
      <c r="R517" t="s">
        <v>11</v>
      </c>
      <c r="T517">
        <v>10</v>
      </c>
      <c r="V517" t="s">
        <v>15</v>
      </c>
    </row>
    <row r="518" spans="1:22" x14ac:dyDescent="0.25">
      <c r="A518">
        <v>29</v>
      </c>
      <c r="B518" t="s">
        <v>92</v>
      </c>
      <c r="C518" t="s">
        <v>314</v>
      </c>
      <c r="E518" t="s">
        <v>314</v>
      </c>
      <c r="L518" t="s">
        <v>93</v>
      </c>
      <c r="M518">
        <v>100</v>
      </c>
      <c r="N518" t="s">
        <v>141</v>
      </c>
      <c r="Q518">
        <v>0.11700000000000001</v>
      </c>
      <c r="R518" t="s">
        <v>14</v>
      </c>
      <c r="T518">
        <v>10</v>
      </c>
      <c r="V518" t="s">
        <v>15</v>
      </c>
    </row>
    <row r="519" spans="1:22" x14ac:dyDescent="0.25">
      <c r="A519">
        <v>29</v>
      </c>
      <c r="B519" t="s">
        <v>92</v>
      </c>
      <c r="C519" t="s">
        <v>314</v>
      </c>
      <c r="E519" t="s">
        <v>314</v>
      </c>
      <c r="L519" t="s">
        <v>93</v>
      </c>
      <c r="M519">
        <v>110</v>
      </c>
      <c r="N519" t="s">
        <v>140</v>
      </c>
      <c r="Q519">
        <v>4</v>
      </c>
      <c r="R519" t="s">
        <v>11</v>
      </c>
      <c r="T519">
        <v>10</v>
      </c>
      <c r="V519" t="s">
        <v>15</v>
      </c>
    </row>
    <row r="520" spans="1:22" x14ac:dyDescent="0.25">
      <c r="A520">
        <v>29</v>
      </c>
      <c r="B520" t="s">
        <v>92</v>
      </c>
      <c r="C520" t="s">
        <v>314</v>
      </c>
      <c r="E520" t="s">
        <v>314</v>
      </c>
      <c r="L520" t="s">
        <v>93</v>
      </c>
      <c r="M520">
        <v>120</v>
      </c>
      <c r="N520" t="s">
        <v>25</v>
      </c>
      <c r="Q520">
        <v>1</v>
      </c>
      <c r="R520" t="s">
        <v>11</v>
      </c>
      <c r="T520">
        <v>10</v>
      </c>
      <c r="V520" t="s">
        <v>15</v>
      </c>
    </row>
    <row r="521" spans="1:22" x14ac:dyDescent="0.25">
      <c r="A521">
        <v>29</v>
      </c>
      <c r="B521" t="s">
        <v>92</v>
      </c>
      <c r="C521" t="s">
        <v>314</v>
      </c>
      <c r="E521" t="s">
        <v>314</v>
      </c>
      <c r="L521" t="s">
        <v>93</v>
      </c>
      <c r="M521">
        <v>130</v>
      </c>
      <c r="N521" t="s">
        <v>26</v>
      </c>
      <c r="Q521">
        <v>1</v>
      </c>
      <c r="R521" t="s">
        <v>11</v>
      </c>
      <c r="T521">
        <v>10</v>
      </c>
      <c r="V521" t="s">
        <v>15</v>
      </c>
    </row>
    <row r="522" spans="1:22" x14ac:dyDescent="0.25">
      <c r="A522">
        <v>29</v>
      </c>
      <c r="B522" t="s">
        <v>92</v>
      </c>
      <c r="C522" t="s">
        <v>314</v>
      </c>
      <c r="E522" t="s">
        <v>314</v>
      </c>
      <c r="L522" t="s">
        <v>93</v>
      </c>
      <c r="M522">
        <v>140</v>
      </c>
      <c r="N522" t="s">
        <v>100</v>
      </c>
      <c r="Q522">
        <v>1.216</v>
      </c>
      <c r="R522" t="s">
        <v>14</v>
      </c>
      <c r="T522">
        <v>10</v>
      </c>
      <c r="V522" t="s">
        <v>15</v>
      </c>
    </row>
    <row r="523" spans="1:22" x14ac:dyDescent="0.25">
      <c r="A523">
        <v>29</v>
      </c>
      <c r="B523" t="s">
        <v>92</v>
      </c>
      <c r="C523" t="s">
        <v>314</v>
      </c>
      <c r="E523" t="s">
        <v>314</v>
      </c>
      <c r="L523" t="s">
        <v>93</v>
      </c>
      <c r="M523">
        <v>150</v>
      </c>
      <c r="N523" t="s">
        <v>317</v>
      </c>
      <c r="Q523">
        <v>1</v>
      </c>
      <c r="R523" t="s">
        <v>11</v>
      </c>
      <c r="T523">
        <v>10</v>
      </c>
      <c r="V523" t="s">
        <v>18</v>
      </c>
    </row>
    <row r="524" spans="1:22" x14ac:dyDescent="0.25">
      <c r="A524">
        <v>29</v>
      </c>
      <c r="B524" t="s">
        <v>92</v>
      </c>
      <c r="C524" t="s">
        <v>314</v>
      </c>
      <c r="E524" t="s">
        <v>314</v>
      </c>
      <c r="L524" t="s">
        <v>93</v>
      </c>
      <c r="M524">
        <v>160</v>
      </c>
      <c r="N524" t="s">
        <v>318</v>
      </c>
      <c r="Q524">
        <v>1</v>
      </c>
      <c r="R524" t="s">
        <v>11</v>
      </c>
      <c r="T524">
        <v>10</v>
      </c>
      <c r="V524" t="s">
        <v>18</v>
      </c>
    </row>
    <row r="525" spans="1:22" x14ac:dyDescent="0.25">
      <c r="A525">
        <v>29</v>
      </c>
      <c r="B525" t="s">
        <v>92</v>
      </c>
      <c r="C525" t="s">
        <v>314</v>
      </c>
      <c r="E525" t="s">
        <v>314</v>
      </c>
      <c r="L525" t="s">
        <v>93</v>
      </c>
      <c r="M525">
        <v>170</v>
      </c>
      <c r="N525" t="s">
        <v>142</v>
      </c>
      <c r="Q525">
        <v>7.01</v>
      </c>
      <c r="R525" t="s">
        <v>11</v>
      </c>
      <c r="T525">
        <v>10</v>
      </c>
      <c r="V525" t="s">
        <v>15</v>
      </c>
    </row>
    <row r="526" spans="1:22" x14ac:dyDescent="0.25">
      <c r="A526">
        <v>29</v>
      </c>
      <c r="B526" t="s">
        <v>92</v>
      </c>
      <c r="C526" t="s">
        <v>314</v>
      </c>
      <c r="E526" t="s">
        <v>314</v>
      </c>
      <c r="L526" t="s">
        <v>93</v>
      </c>
      <c r="M526">
        <v>180</v>
      </c>
      <c r="N526" t="s">
        <v>319</v>
      </c>
      <c r="Q526">
        <v>1</v>
      </c>
      <c r="R526" t="s">
        <v>11</v>
      </c>
      <c r="T526">
        <v>10</v>
      </c>
      <c r="V526" t="s">
        <v>18</v>
      </c>
    </row>
    <row r="527" spans="1:22" x14ac:dyDescent="0.25">
      <c r="A527">
        <v>30</v>
      </c>
      <c r="B527" t="s">
        <v>92</v>
      </c>
      <c r="C527" t="s">
        <v>320</v>
      </c>
      <c r="E527" t="s">
        <v>320</v>
      </c>
      <c r="L527" t="s">
        <v>93</v>
      </c>
      <c r="M527">
        <v>10</v>
      </c>
      <c r="N527" t="s">
        <v>321</v>
      </c>
      <c r="Q527">
        <v>1</v>
      </c>
      <c r="R527" t="s">
        <v>11</v>
      </c>
      <c r="T527">
        <v>10</v>
      </c>
      <c r="V527" t="s">
        <v>18</v>
      </c>
    </row>
    <row r="528" spans="1:22" x14ac:dyDescent="0.25">
      <c r="A528">
        <v>30</v>
      </c>
      <c r="B528" t="s">
        <v>92</v>
      </c>
      <c r="C528" t="s">
        <v>320</v>
      </c>
      <c r="E528" t="s">
        <v>320</v>
      </c>
      <c r="L528" t="s">
        <v>93</v>
      </c>
      <c r="M528">
        <v>20</v>
      </c>
      <c r="N528" t="s">
        <v>132</v>
      </c>
      <c r="Q528">
        <v>4.2720000000000002</v>
      </c>
      <c r="R528" t="s">
        <v>14</v>
      </c>
      <c r="T528">
        <v>10</v>
      </c>
      <c r="V528" t="s">
        <v>15</v>
      </c>
    </row>
    <row r="529" spans="1:22" x14ac:dyDescent="0.25">
      <c r="A529">
        <v>30</v>
      </c>
      <c r="B529" t="s">
        <v>92</v>
      </c>
      <c r="C529" t="s">
        <v>320</v>
      </c>
      <c r="E529" t="s">
        <v>320</v>
      </c>
      <c r="L529" t="s">
        <v>93</v>
      </c>
      <c r="M529">
        <v>30</v>
      </c>
      <c r="N529" t="s">
        <v>102</v>
      </c>
      <c r="Q529">
        <v>1.1200000000000001</v>
      </c>
      <c r="R529" t="s">
        <v>103</v>
      </c>
      <c r="T529">
        <v>10</v>
      </c>
      <c r="V529" t="s">
        <v>15</v>
      </c>
    </row>
    <row r="530" spans="1:22" x14ac:dyDescent="0.25">
      <c r="A530">
        <v>30</v>
      </c>
      <c r="B530" t="s">
        <v>92</v>
      </c>
      <c r="C530" t="s">
        <v>320</v>
      </c>
      <c r="E530" t="s">
        <v>320</v>
      </c>
      <c r="L530" t="s">
        <v>93</v>
      </c>
      <c r="M530">
        <v>40</v>
      </c>
      <c r="N530" t="s">
        <v>146</v>
      </c>
      <c r="Q530">
        <v>2.0569999999999999</v>
      </c>
      <c r="R530" t="s">
        <v>11</v>
      </c>
      <c r="T530">
        <v>10</v>
      </c>
      <c r="V530" t="s">
        <v>18</v>
      </c>
    </row>
    <row r="531" spans="1:22" x14ac:dyDescent="0.25">
      <c r="A531">
        <v>30</v>
      </c>
      <c r="B531" t="s">
        <v>92</v>
      </c>
      <c r="C531" t="s">
        <v>320</v>
      </c>
      <c r="E531" t="s">
        <v>320</v>
      </c>
      <c r="L531" t="s">
        <v>93</v>
      </c>
      <c r="M531">
        <v>50</v>
      </c>
      <c r="N531" t="s">
        <v>139</v>
      </c>
      <c r="Q531">
        <v>2.0569999999999999</v>
      </c>
      <c r="R531" t="s">
        <v>17</v>
      </c>
      <c r="T531">
        <v>10</v>
      </c>
      <c r="V531" t="s">
        <v>18</v>
      </c>
    </row>
    <row r="532" spans="1:22" x14ac:dyDescent="0.25">
      <c r="A532">
        <v>30</v>
      </c>
      <c r="B532" t="s">
        <v>92</v>
      </c>
      <c r="C532" t="s">
        <v>320</v>
      </c>
      <c r="E532" t="s">
        <v>320</v>
      </c>
      <c r="L532" t="s">
        <v>93</v>
      </c>
      <c r="M532">
        <v>60</v>
      </c>
      <c r="N532" t="s">
        <v>322</v>
      </c>
      <c r="Q532">
        <v>1</v>
      </c>
      <c r="R532" t="s">
        <v>11</v>
      </c>
      <c r="T532">
        <v>10</v>
      </c>
      <c r="V532" t="s">
        <v>18</v>
      </c>
    </row>
    <row r="533" spans="1:22" x14ac:dyDescent="0.25">
      <c r="A533">
        <v>30</v>
      </c>
      <c r="B533" t="s">
        <v>92</v>
      </c>
      <c r="C533" t="s">
        <v>320</v>
      </c>
      <c r="E533" t="s">
        <v>320</v>
      </c>
      <c r="L533" t="s">
        <v>93</v>
      </c>
      <c r="M533">
        <v>70</v>
      </c>
      <c r="N533" t="s">
        <v>148</v>
      </c>
      <c r="Q533">
        <v>21.488</v>
      </c>
      <c r="R533" t="s">
        <v>17</v>
      </c>
      <c r="T533">
        <v>10</v>
      </c>
      <c r="V533" t="s">
        <v>15</v>
      </c>
    </row>
    <row r="534" spans="1:22" x14ac:dyDescent="0.25">
      <c r="A534">
        <v>30</v>
      </c>
      <c r="B534" t="s">
        <v>92</v>
      </c>
      <c r="C534" t="s">
        <v>320</v>
      </c>
      <c r="E534" t="s">
        <v>320</v>
      </c>
      <c r="L534" t="s">
        <v>93</v>
      </c>
      <c r="M534">
        <v>80</v>
      </c>
      <c r="N534" t="s">
        <v>20</v>
      </c>
      <c r="Q534">
        <v>176.20500000000001</v>
      </c>
      <c r="R534" t="s">
        <v>17</v>
      </c>
      <c r="T534">
        <v>10</v>
      </c>
      <c r="V534" t="s">
        <v>15</v>
      </c>
    </row>
    <row r="535" spans="1:22" x14ac:dyDescent="0.25">
      <c r="A535">
        <v>30</v>
      </c>
      <c r="B535" t="s">
        <v>92</v>
      </c>
      <c r="C535" t="s">
        <v>320</v>
      </c>
      <c r="E535" t="s">
        <v>320</v>
      </c>
      <c r="L535" t="s">
        <v>93</v>
      </c>
      <c r="M535">
        <v>90</v>
      </c>
      <c r="N535" t="s">
        <v>24</v>
      </c>
      <c r="Q535">
        <v>1</v>
      </c>
      <c r="R535" t="s">
        <v>11</v>
      </c>
      <c r="T535">
        <v>10</v>
      </c>
      <c r="V535" t="s">
        <v>15</v>
      </c>
    </row>
    <row r="536" spans="1:22" x14ac:dyDescent="0.25">
      <c r="A536">
        <v>30</v>
      </c>
      <c r="B536" t="s">
        <v>92</v>
      </c>
      <c r="C536" t="s">
        <v>320</v>
      </c>
      <c r="E536" t="s">
        <v>320</v>
      </c>
      <c r="L536" t="s">
        <v>93</v>
      </c>
      <c r="M536">
        <v>100</v>
      </c>
      <c r="N536" t="s">
        <v>141</v>
      </c>
      <c r="Q536">
        <v>0.123</v>
      </c>
      <c r="R536" t="s">
        <v>14</v>
      </c>
      <c r="T536">
        <v>10</v>
      </c>
      <c r="V536" t="s">
        <v>15</v>
      </c>
    </row>
    <row r="537" spans="1:22" x14ac:dyDescent="0.25">
      <c r="A537">
        <v>30</v>
      </c>
      <c r="B537" t="s">
        <v>92</v>
      </c>
      <c r="C537" t="s">
        <v>320</v>
      </c>
      <c r="E537" t="s">
        <v>320</v>
      </c>
      <c r="L537" t="s">
        <v>93</v>
      </c>
      <c r="M537">
        <v>110</v>
      </c>
      <c r="N537" t="s">
        <v>140</v>
      </c>
      <c r="Q537">
        <v>4</v>
      </c>
      <c r="R537" t="s">
        <v>11</v>
      </c>
      <c r="T537">
        <v>10</v>
      </c>
      <c r="V537" t="s">
        <v>15</v>
      </c>
    </row>
    <row r="538" spans="1:22" x14ac:dyDescent="0.25">
      <c r="A538">
        <v>30</v>
      </c>
      <c r="B538" t="s">
        <v>92</v>
      </c>
      <c r="C538" t="s">
        <v>320</v>
      </c>
      <c r="E538" t="s">
        <v>320</v>
      </c>
      <c r="L538" t="s">
        <v>93</v>
      </c>
      <c r="M538">
        <v>120</v>
      </c>
      <c r="N538" t="s">
        <v>25</v>
      </c>
      <c r="Q538">
        <v>1</v>
      </c>
      <c r="R538" t="s">
        <v>11</v>
      </c>
      <c r="T538">
        <v>10</v>
      </c>
      <c r="V538" t="s">
        <v>15</v>
      </c>
    </row>
    <row r="539" spans="1:22" x14ac:dyDescent="0.25">
      <c r="A539">
        <v>30</v>
      </c>
      <c r="B539" t="s">
        <v>92</v>
      </c>
      <c r="C539" t="s">
        <v>320</v>
      </c>
      <c r="E539" t="s">
        <v>320</v>
      </c>
      <c r="L539" t="s">
        <v>93</v>
      </c>
      <c r="M539">
        <v>130</v>
      </c>
      <c r="N539" t="s">
        <v>26</v>
      </c>
      <c r="Q539">
        <v>1</v>
      </c>
      <c r="R539" t="s">
        <v>11</v>
      </c>
      <c r="T539">
        <v>10</v>
      </c>
      <c r="V539" t="s">
        <v>15</v>
      </c>
    </row>
    <row r="540" spans="1:22" x14ac:dyDescent="0.25">
      <c r="A540">
        <v>30</v>
      </c>
      <c r="B540" t="s">
        <v>92</v>
      </c>
      <c r="C540" t="s">
        <v>320</v>
      </c>
      <c r="E540" t="s">
        <v>320</v>
      </c>
      <c r="L540" t="s">
        <v>93</v>
      </c>
      <c r="M540">
        <v>140</v>
      </c>
      <c r="N540" t="s">
        <v>100</v>
      </c>
      <c r="Q540">
        <v>1.216</v>
      </c>
      <c r="R540" t="s">
        <v>14</v>
      </c>
      <c r="T540">
        <v>10</v>
      </c>
      <c r="V540" t="s">
        <v>15</v>
      </c>
    </row>
    <row r="541" spans="1:22" x14ac:dyDescent="0.25">
      <c r="A541">
        <v>30</v>
      </c>
      <c r="B541" t="s">
        <v>92</v>
      </c>
      <c r="C541" t="s">
        <v>320</v>
      </c>
      <c r="E541" t="s">
        <v>320</v>
      </c>
      <c r="L541" t="s">
        <v>93</v>
      </c>
      <c r="M541">
        <v>150</v>
      </c>
      <c r="N541" t="s">
        <v>323</v>
      </c>
      <c r="Q541">
        <v>1</v>
      </c>
      <c r="R541" t="s">
        <v>11</v>
      </c>
      <c r="T541">
        <v>10</v>
      </c>
      <c r="V541" t="s">
        <v>18</v>
      </c>
    </row>
    <row r="542" spans="1:22" x14ac:dyDescent="0.25">
      <c r="A542">
        <v>30</v>
      </c>
      <c r="B542" t="s">
        <v>92</v>
      </c>
      <c r="C542" t="s">
        <v>320</v>
      </c>
      <c r="E542" t="s">
        <v>320</v>
      </c>
      <c r="L542" t="s">
        <v>93</v>
      </c>
      <c r="M542">
        <v>160</v>
      </c>
      <c r="N542" t="s">
        <v>324</v>
      </c>
      <c r="Q542">
        <v>1</v>
      </c>
      <c r="R542" t="s">
        <v>11</v>
      </c>
      <c r="T542">
        <v>10</v>
      </c>
      <c r="V542" t="s">
        <v>18</v>
      </c>
    </row>
    <row r="543" spans="1:22" x14ac:dyDescent="0.25">
      <c r="A543">
        <v>30</v>
      </c>
      <c r="B543" t="s">
        <v>92</v>
      </c>
      <c r="C543" t="s">
        <v>320</v>
      </c>
      <c r="E543" t="s">
        <v>320</v>
      </c>
      <c r="L543" t="s">
        <v>93</v>
      </c>
      <c r="M543">
        <v>170</v>
      </c>
      <c r="N543" t="s">
        <v>142</v>
      </c>
      <c r="Q543">
        <v>7.1630000000000003</v>
      </c>
      <c r="R543" t="s">
        <v>11</v>
      </c>
      <c r="T543">
        <v>10</v>
      </c>
      <c r="V543" t="s">
        <v>15</v>
      </c>
    </row>
    <row r="544" spans="1:22" x14ac:dyDescent="0.25">
      <c r="A544">
        <v>30</v>
      </c>
      <c r="B544" t="s">
        <v>92</v>
      </c>
      <c r="C544" t="s">
        <v>320</v>
      </c>
      <c r="E544" t="s">
        <v>320</v>
      </c>
      <c r="L544" t="s">
        <v>93</v>
      </c>
      <c r="M544">
        <v>180</v>
      </c>
      <c r="N544" t="s">
        <v>325</v>
      </c>
      <c r="Q544">
        <v>1</v>
      </c>
      <c r="R544" t="s">
        <v>11</v>
      </c>
      <c r="T544">
        <v>10</v>
      </c>
      <c r="V544" t="s">
        <v>18</v>
      </c>
    </row>
    <row r="545" spans="1:22" x14ac:dyDescent="0.25">
      <c r="A545">
        <v>31</v>
      </c>
      <c r="B545" t="s">
        <v>92</v>
      </c>
      <c r="C545" t="s">
        <v>326</v>
      </c>
      <c r="E545" t="s">
        <v>326</v>
      </c>
      <c r="L545" t="s">
        <v>93</v>
      </c>
      <c r="M545">
        <v>10</v>
      </c>
      <c r="N545" t="s">
        <v>327</v>
      </c>
      <c r="Q545">
        <v>1</v>
      </c>
      <c r="R545" t="s">
        <v>11</v>
      </c>
      <c r="T545">
        <v>10</v>
      </c>
      <c r="V545" t="s">
        <v>18</v>
      </c>
    </row>
    <row r="546" spans="1:22" x14ac:dyDescent="0.25">
      <c r="A546">
        <v>31</v>
      </c>
      <c r="B546" t="s">
        <v>92</v>
      </c>
      <c r="C546" t="s">
        <v>326</v>
      </c>
      <c r="E546" t="s">
        <v>326</v>
      </c>
      <c r="L546" t="s">
        <v>93</v>
      </c>
      <c r="M546">
        <v>20</v>
      </c>
      <c r="N546" t="s">
        <v>132</v>
      </c>
      <c r="Q546">
        <v>4.7030000000000003</v>
      </c>
      <c r="R546" t="s">
        <v>14</v>
      </c>
      <c r="T546">
        <v>10</v>
      </c>
      <c r="V546" t="s">
        <v>15</v>
      </c>
    </row>
    <row r="547" spans="1:22" x14ac:dyDescent="0.25">
      <c r="A547">
        <v>31</v>
      </c>
      <c r="B547" t="s">
        <v>92</v>
      </c>
      <c r="C547" t="s">
        <v>326</v>
      </c>
      <c r="E547" t="s">
        <v>326</v>
      </c>
      <c r="L547" t="s">
        <v>93</v>
      </c>
      <c r="M547">
        <v>30</v>
      </c>
      <c r="N547" t="s">
        <v>102</v>
      </c>
      <c r="Q547">
        <v>1.24</v>
      </c>
      <c r="R547" t="s">
        <v>103</v>
      </c>
      <c r="T547">
        <v>10</v>
      </c>
      <c r="V547" t="s">
        <v>15</v>
      </c>
    </row>
    <row r="548" spans="1:22" x14ac:dyDescent="0.25">
      <c r="A548">
        <v>31</v>
      </c>
      <c r="B548" t="s">
        <v>92</v>
      </c>
      <c r="C548" t="s">
        <v>326</v>
      </c>
      <c r="E548" t="s">
        <v>326</v>
      </c>
      <c r="L548" t="s">
        <v>93</v>
      </c>
      <c r="M548">
        <v>40</v>
      </c>
      <c r="N548" t="s">
        <v>146</v>
      </c>
      <c r="Q548">
        <v>2.0569999999999999</v>
      </c>
      <c r="R548" t="s">
        <v>11</v>
      </c>
      <c r="T548">
        <v>10</v>
      </c>
      <c r="V548" t="s">
        <v>18</v>
      </c>
    </row>
    <row r="549" spans="1:22" x14ac:dyDescent="0.25">
      <c r="A549">
        <v>31</v>
      </c>
      <c r="B549" t="s">
        <v>92</v>
      </c>
      <c r="C549" t="s">
        <v>326</v>
      </c>
      <c r="E549" t="s">
        <v>326</v>
      </c>
      <c r="L549" t="s">
        <v>93</v>
      </c>
      <c r="M549">
        <v>50</v>
      </c>
      <c r="N549" t="s">
        <v>139</v>
      </c>
      <c r="Q549">
        <v>2.0569999999999999</v>
      </c>
      <c r="R549" t="s">
        <v>17</v>
      </c>
      <c r="T549">
        <v>10</v>
      </c>
      <c r="V549" t="s">
        <v>18</v>
      </c>
    </row>
    <row r="550" spans="1:22" x14ac:dyDescent="0.25">
      <c r="A550">
        <v>31</v>
      </c>
      <c r="B550" t="s">
        <v>92</v>
      </c>
      <c r="C550" t="s">
        <v>326</v>
      </c>
      <c r="E550" t="s">
        <v>326</v>
      </c>
      <c r="L550" t="s">
        <v>93</v>
      </c>
      <c r="M550">
        <v>60</v>
      </c>
      <c r="N550" t="s">
        <v>328</v>
      </c>
      <c r="Q550">
        <v>1</v>
      </c>
      <c r="R550" t="s">
        <v>11</v>
      </c>
      <c r="T550">
        <v>10</v>
      </c>
      <c r="V550" t="s">
        <v>18</v>
      </c>
    </row>
    <row r="551" spans="1:22" x14ac:dyDescent="0.25">
      <c r="A551">
        <v>31</v>
      </c>
      <c r="B551" t="s">
        <v>92</v>
      </c>
      <c r="C551" t="s">
        <v>326</v>
      </c>
      <c r="E551" t="s">
        <v>326</v>
      </c>
      <c r="L551" t="s">
        <v>93</v>
      </c>
      <c r="M551">
        <v>70</v>
      </c>
      <c r="N551" t="s">
        <v>148</v>
      </c>
      <c r="Q551">
        <v>22.402999999999999</v>
      </c>
      <c r="R551" t="s">
        <v>17</v>
      </c>
      <c r="T551">
        <v>10</v>
      </c>
      <c r="V551" t="s">
        <v>15</v>
      </c>
    </row>
    <row r="552" spans="1:22" x14ac:dyDescent="0.25">
      <c r="A552">
        <v>31</v>
      </c>
      <c r="B552" t="s">
        <v>92</v>
      </c>
      <c r="C552" t="s">
        <v>326</v>
      </c>
      <c r="E552" t="s">
        <v>326</v>
      </c>
      <c r="L552" t="s">
        <v>93</v>
      </c>
      <c r="M552">
        <v>80</v>
      </c>
      <c r="N552" t="s">
        <v>20</v>
      </c>
      <c r="Q552">
        <v>183.703</v>
      </c>
      <c r="R552" t="s">
        <v>17</v>
      </c>
      <c r="T552">
        <v>10</v>
      </c>
      <c r="V552" t="s">
        <v>15</v>
      </c>
    </row>
    <row r="553" spans="1:22" x14ac:dyDescent="0.25">
      <c r="A553">
        <v>31</v>
      </c>
      <c r="B553" t="s">
        <v>92</v>
      </c>
      <c r="C553" t="s">
        <v>326</v>
      </c>
      <c r="E553" t="s">
        <v>326</v>
      </c>
      <c r="L553" t="s">
        <v>93</v>
      </c>
      <c r="M553">
        <v>90</v>
      </c>
      <c r="N553" t="s">
        <v>24</v>
      </c>
      <c r="Q553">
        <v>1</v>
      </c>
      <c r="R553" t="s">
        <v>11</v>
      </c>
      <c r="T553">
        <v>10</v>
      </c>
      <c r="V553" t="s">
        <v>15</v>
      </c>
    </row>
    <row r="554" spans="1:22" x14ac:dyDescent="0.25">
      <c r="A554">
        <v>31</v>
      </c>
      <c r="B554" t="s">
        <v>92</v>
      </c>
      <c r="C554" t="s">
        <v>326</v>
      </c>
      <c r="E554" t="s">
        <v>326</v>
      </c>
      <c r="L554" t="s">
        <v>93</v>
      </c>
      <c r="M554">
        <v>100</v>
      </c>
      <c r="N554" t="s">
        <v>141</v>
      </c>
      <c r="Q554">
        <v>0.13300000000000001</v>
      </c>
      <c r="R554" t="s">
        <v>14</v>
      </c>
      <c r="T554">
        <v>10</v>
      </c>
      <c r="V554" t="s">
        <v>15</v>
      </c>
    </row>
    <row r="555" spans="1:22" x14ac:dyDescent="0.25">
      <c r="A555">
        <v>31</v>
      </c>
      <c r="B555" t="s">
        <v>92</v>
      </c>
      <c r="C555" t="s">
        <v>326</v>
      </c>
      <c r="E555" t="s">
        <v>326</v>
      </c>
      <c r="L555" t="s">
        <v>93</v>
      </c>
      <c r="M555">
        <v>110</v>
      </c>
      <c r="N555" t="s">
        <v>140</v>
      </c>
      <c r="Q555">
        <v>4</v>
      </c>
      <c r="R555" t="s">
        <v>11</v>
      </c>
      <c r="T555">
        <v>10</v>
      </c>
      <c r="V555" t="s">
        <v>15</v>
      </c>
    </row>
    <row r="556" spans="1:22" x14ac:dyDescent="0.25">
      <c r="A556">
        <v>31</v>
      </c>
      <c r="B556" t="s">
        <v>92</v>
      </c>
      <c r="C556" t="s">
        <v>326</v>
      </c>
      <c r="E556" t="s">
        <v>326</v>
      </c>
      <c r="L556" t="s">
        <v>93</v>
      </c>
      <c r="M556">
        <v>120</v>
      </c>
      <c r="N556" t="s">
        <v>25</v>
      </c>
      <c r="Q556">
        <v>1</v>
      </c>
      <c r="R556" t="s">
        <v>11</v>
      </c>
      <c r="T556">
        <v>10</v>
      </c>
      <c r="V556" t="s">
        <v>15</v>
      </c>
    </row>
    <row r="557" spans="1:22" x14ac:dyDescent="0.25">
      <c r="A557">
        <v>31</v>
      </c>
      <c r="B557" t="s">
        <v>92</v>
      </c>
      <c r="C557" t="s">
        <v>326</v>
      </c>
      <c r="E557" t="s">
        <v>326</v>
      </c>
      <c r="L557" t="s">
        <v>93</v>
      </c>
      <c r="M557">
        <v>130</v>
      </c>
      <c r="N557" t="s">
        <v>26</v>
      </c>
      <c r="Q557">
        <v>1</v>
      </c>
      <c r="R557" t="s">
        <v>11</v>
      </c>
      <c r="T557">
        <v>10</v>
      </c>
      <c r="V557" t="s">
        <v>15</v>
      </c>
    </row>
    <row r="558" spans="1:22" x14ac:dyDescent="0.25">
      <c r="A558">
        <v>31</v>
      </c>
      <c r="B558" t="s">
        <v>92</v>
      </c>
      <c r="C558" t="s">
        <v>326</v>
      </c>
      <c r="E558" t="s">
        <v>326</v>
      </c>
      <c r="L558" t="s">
        <v>93</v>
      </c>
      <c r="M558">
        <v>140</v>
      </c>
      <c r="N558" t="s">
        <v>100</v>
      </c>
      <c r="Q558">
        <v>1.216</v>
      </c>
      <c r="R558" t="s">
        <v>14</v>
      </c>
      <c r="T558">
        <v>10</v>
      </c>
      <c r="V558" t="s">
        <v>15</v>
      </c>
    </row>
    <row r="559" spans="1:22" x14ac:dyDescent="0.25">
      <c r="A559">
        <v>31</v>
      </c>
      <c r="B559" t="s">
        <v>92</v>
      </c>
      <c r="C559" t="s">
        <v>326</v>
      </c>
      <c r="E559" t="s">
        <v>326</v>
      </c>
      <c r="L559" t="s">
        <v>93</v>
      </c>
      <c r="M559">
        <v>150</v>
      </c>
      <c r="N559" t="s">
        <v>329</v>
      </c>
      <c r="Q559">
        <v>1</v>
      </c>
      <c r="R559" t="s">
        <v>11</v>
      </c>
      <c r="T559">
        <v>10</v>
      </c>
      <c r="V559" t="s">
        <v>18</v>
      </c>
    </row>
    <row r="560" spans="1:22" x14ac:dyDescent="0.25">
      <c r="A560">
        <v>31</v>
      </c>
      <c r="B560" t="s">
        <v>92</v>
      </c>
      <c r="C560" t="s">
        <v>326</v>
      </c>
      <c r="E560" t="s">
        <v>326</v>
      </c>
      <c r="L560" t="s">
        <v>93</v>
      </c>
      <c r="M560">
        <v>160</v>
      </c>
      <c r="N560" t="s">
        <v>330</v>
      </c>
      <c r="Q560">
        <v>1</v>
      </c>
      <c r="R560" t="s">
        <v>11</v>
      </c>
      <c r="T560">
        <v>10</v>
      </c>
      <c r="V560" t="s">
        <v>18</v>
      </c>
    </row>
    <row r="561" spans="1:22" x14ac:dyDescent="0.25">
      <c r="A561">
        <v>31</v>
      </c>
      <c r="B561" t="s">
        <v>92</v>
      </c>
      <c r="C561" t="s">
        <v>326</v>
      </c>
      <c r="E561" t="s">
        <v>326</v>
      </c>
      <c r="L561" t="s">
        <v>93</v>
      </c>
      <c r="M561">
        <v>170</v>
      </c>
      <c r="N561" t="s">
        <v>142</v>
      </c>
      <c r="Q561">
        <v>7.468</v>
      </c>
      <c r="R561" t="s">
        <v>11</v>
      </c>
      <c r="T561">
        <v>10</v>
      </c>
      <c r="V561" t="s">
        <v>15</v>
      </c>
    </row>
    <row r="562" spans="1:22" x14ac:dyDescent="0.25">
      <c r="A562">
        <v>31</v>
      </c>
      <c r="B562" t="s">
        <v>92</v>
      </c>
      <c r="C562" t="s">
        <v>326</v>
      </c>
      <c r="E562" t="s">
        <v>326</v>
      </c>
      <c r="L562" t="s">
        <v>93</v>
      </c>
      <c r="M562">
        <v>180</v>
      </c>
      <c r="N562" t="s">
        <v>331</v>
      </c>
      <c r="Q562">
        <v>1</v>
      </c>
      <c r="R562" t="s">
        <v>11</v>
      </c>
      <c r="T562">
        <v>10</v>
      </c>
      <c r="V562" t="s">
        <v>18</v>
      </c>
    </row>
    <row r="563" spans="1:22" x14ac:dyDescent="0.25">
      <c r="A563">
        <v>32</v>
      </c>
      <c r="B563" t="s">
        <v>92</v>
      </c>
      <c r="C563" t="s">
        <v>332</v>
      </c>
      <c r="E563" t="s">
        <v>332</v>
      </c>
      <c r="L563" t="s">
        <v>93</v>
      </c>
      <c r="M563">
        <v>10</v>
      </c>
      <c r="N563" t="s">
        <v>333</v>
      </c>
      <c r="Q563">
        <v>1</v>
      </c>
      <c r="R563" t="s">
        <v>11</v>
      </c>
      <c r="T563">
        <v>10</v>
      </c>
      <c r="V563" t="s">
        <v>18</v>
      </c>
    </row>
    <row r="564" spans="1:22" x14ac:dyDescent="0.25">
      <c r="A564">
        <v>32</v>
      </c>
      <c r="B564" t="s">
        <v>92</v>
      </c>
      <c r="C564" t="s">
        <v>332</v>
      </c>
      <c r="E564" t="s">
        <v>332</v>
      </c>
      <c r="L564" t="s">
        <v>93</v>
      </c>
      <c r="M564">
        <v>20</v>
      </c>
      <c r="N564" t="s">
        <v>132</v>
      </c>
      <c r="Q564">
        <v>5.1340000000000003</v>
      </c>
      <c r="R564" t="s">
        <v>14</v>
      </c>
      <c r="T564">
        <v>10</v>
      </c>
      <c r="V564" t="s">
        <v>15</v>
      </c>
    </row>
    <row r="565" spans="1:22" x14ac:dyDescent="0.25">
      <c r="A565">
        <v>32</v>
      </c>
      <c r="B565" t="s">
        <v>92</v>
      </c>
      <c r="C565" t="s">
        <v>332</v>
      </c>
      <c r="E565" t="s">
        <v>332</v>
      </c>
      <c r="L565" t="s">
        <v>93</v>
      </c>
      <c r="M565">
        <v>30</v>
      </c>
      <c r="N565" t="s">
        <v>102</v>
      </c>
      <c r="Q565">
        <v>1.36</v>
      </c>
      <c r="R565" t="s">
        <v>103</v>
      </c>
      <c r="T565">
        <v>10</v>
      </c>
      <c r="V565" t="s">
        <v>15</v>
      </c>
    </row>
    <row r="566" spans="1:22" x14ac:dyDescent="0.25">
      <c r="A566">
        <v>32</v>
      </c>
      <c r="B566" t="s">
        <v>92</v>
      </c>
      <c r="C566" t="s">
        <v>332</v>
      </c>
      <c r="E566" t="s">
        <v>332</v>
      </c>
      <c r="L566" t="s">
        <v>93</v>
      </c>
      <c r="M566">
        <v>40</v>
      </c>
      <c r="N566" t="s">
        <v>146</v>
      </c>
      <c r="Q566">
        <v>2.0569999999999999</v>
      </c>
      <c r="R566" t="s">
        <v>11</v>
      </c>
      <c r="T566">
        <v>10</v>
      </c>
      <c r="V566" t="s">
        <v>18</v>
      </c>
    </row>
    <row r="567" spans="1:22" x14ac:dyDescent="0.25">
      <c r="A567">
        <v>32</v>
      </c>
      <c r="B567" t="s">
        <v>92</v>
      </c>
      <c r="C567" t="s">
        <v>332</v>
      </c>
      <c r="E567" t="s">
        <v>332</v>
      </c>
      <c r="L567" t="s">
        <v>93</v>
      </c>
      <c r="M567">
        <v>50</v>
      </c>
      <c r="N567" t="s">
        <v>139</v>
      </c>
      <c r="Q567">
        <v>2.0569999999999999</v>
      </c>
      <c r="R567" t="s">
        <v>17</v>
      </c>
      <c r="T567">
        <v>10</v>
      </c>
      <c r="V567" t="s">
        <v>18</v>
      </c>
    </row>
    <row r="568" spans="1:22" x14ac:dyDescent="0.25">
      <c r="A568">
        <v>32</v>
      </c>
      <c r="B568" t="s">
        <v>92</v>
      </c>
      <c r="C568" t="s">
        <v>332</v>
      </c>
      <c r="E568" t="s">
        <v>332</v>
      </c>
      <c r="L568" t="s">
        <v>93</v>
      </c>
      <c r="M568">
        <v>60</v>
      </c>
      <c r="N568" t="s">
        <v>334</v>
      </c>
      <c r="Q568">
        <v>1</v>
      </c>
      <c r="R568" t="s">
        <v>11</v>
      </c>
      <c r="T568">
        <v>10</v>
      </c>
      <c r="V568" t="s">
        <v>18</v>
      </c>
    </row>
    <row r="569" spans="1:22" x14ac:dyDescent="0.25">
      <c r="A569">
        <v>32</v>
      </c>
      <c r="B569" t="s">
        <v>92</v>
      </c>
      <c r="C569" t="s">
        <v>332</v>
      </c>
      <c r="E569" t="s">
        <v>332</v>
      </c>
      <c r="L569" t="s">
        <v>93</v>
      </c>
      <c r="M569">
        <v>70</v>
      </c>
      <c r="N569" t="s">
        <v>148</v>
      </c>
      <c r="Q569">
        <v>23.317</v>
      </c>
      <c r="R569" t="s">
        <v>17</v>
      </c>
      <c r="T569">
        <v>10</v>
      </c>
      <c r="V569" t="s">
        <v>15</v>
      </c>
    </row>
    <row r="570" spans="1:22" x14ac:dyDescent="0.25">
      <c r="A570">
        <v>32</v>
      </c>
      <c r="B570" t="s">
        <v>92</v>
      </c>
      <c r="C570" t="s">
        <v>332</v>
      </c>
      <c r="E570" t="s">
        <v>332</v>
      </c>
      <c r="L570" t="s">
        <v>93</v>
      </c>
      <c r="M570">
        <v>80</v>
      </c>
      <c r="N570" t="s">
        <v>20</v>
      </c>
      <c r="Q570">
        <v>191.20099999999999</v>
      </c>
      <c r="R570" t="s">
        <v>17</v>
      </c>
      <c r="T570">
        <v>10</v>
      </c>
      <c r="V570" t="s">
        <v>15</v>
      </c>
    </row>
    <row r="571" spans="1:22" x14ac:dyDescent="0.25">
      <c r="A571">
        <v>32</v>
      </c>
      <c r="B571" t="s">
        <v>92</v>
      </c>
      <c r="C571" t="s">
        <v>332</v>
      </c>
      <c r="E571" t="s">
        <v>332</v>
      </c>
      <c r="L571" t="s">
        <v>93</v>
      </c>
      <c r="M571">
        <v>90</v>
      </c>
      <c r="N571" t="s">
        <v>24</v>
      </c>
      <c r="Q571">
        <v>1</v>
      </c>
      <c r="R571" t="s">
        <v>11</v>
      </c>
      <c r="T571">
        <v>10</v>
      </c>
      <c r="V571" t="s">
        <v>15</v>
      </c>
    </row>
    <row r="572" spans="1:22" x14ac:dyDescent="0.25">
      <c r="A572">
        <v>32</v>
      </c>
      <c r="B572" t="s">
        <v>92</v>
      </c>
      <c r="C572" t="s">
        <v>332</v>
      </c>
      <c r="E572" t="s">
        <v>332</v>
      </c>
      <c r="L572" t="s">
        <v>93</v>
      </c>
      <c r="M572">
        <v>100</v>
      </c>
      <c r="N572" t="s">
        <v>141</v>
      </c>
      <c r="Q572">
        <v>0.14299999999999999</v>
      </c>
      <c r="R572" t="s">
        <v>14</v>
      </c>
      <c r="T572">
        <v>10</v>
      </c>
      <c r="V572" t="s">
        <v>15</v>
      </c>
    </row>
    <row r="573" spans="1:22" x14ac:dyDescent="0.25">
      <c r="A573">
        <v>32</v>
      </c>
      <c r="B573" t="s">
        <v>92</v>
      </c>
      <c r="C573" t="s">
        <v>332</v>
      </c>
      <c r="E573" t="s">
        <v>332</v>
      </c>
      <c r="L573" t="s">
        <v>93</v>
      </c>
      <c r="M573">
        <v>110</v>
      </c>
      <c r="N573" t="s">
        <v>140</v>
      </c>
      <c r="Q573">
        <v>4</v>
      </c>
      <c r="R573" t="s">
        <v>11</v>
      </c>
      <c r="T573">
        <v>10</v>
      </c>
      <c r="V573" t="s">
        <v>15</v>
      </c>
    </row>
    <row r="574" spans="1:22" x14ac:dyDescent="0.25">
      <c r="A574">
        <v>32</v>
      </c>
      <c r="B574" t="s">
        <v>92</v>
      </c>
      <c r="C574" t="s">
        <v>332</v>
      </c>
      <c r="E574" t="s">
        <v>332</v>
      </c>
      <c r="L574" t="s">
        <v>93</v>
      </c>
      <c r="M574">
        <v>120</v>
      </c>
      <c r="N574" t="s">
        <v>25</v>
      </c>
      <c r="Q574">
        <v>1</v>
      </c>
      <c r="R574" t="s">
        <v>11</v>
      </c>
      <c r="T574">
        <v>10</v>
      </c>
      <c r="V574" t="s">
        <v>15</v>
      </c>
    </row>
    <row r="575" spans="1:22" x14ac:dyDescent="0.25">
      <c r="A575">
        <v>32</v>
      </c>
      <c r="B575" t="s">
        <v>92</v>
      </c>
      <c r="C575" t="s">
        <v>332</v>
      </c>
      <c r="E575" t="s">
        <v>332</v>
      </c>
      <c r="L575" t="s">
        <v>93</v>
      </c>
      <c r="M575">
        <v>130</v>
      </c>
      <c r="N575" t="s">
        <v>26</v>
      </c>
      <c r="Q575">
        <v>1</v>
      </c>
      <c r="R575" t="s">
        <v>11</v>
      </c>
      <c r="T575">
        <v>10</v>
      </c>
      <c r="V575" t="s">
        <v>15</v>
      </c>
    </row>
    <row r="576" spans="1:22" x14ac:dyDescent="0.25">
      <c r="A576">
        <v>32</v>
      </c>
      <c r="B576" t="s">
        <v>92</v>
      </c>
      <c r="C576" t="s">
        <v>332</v>
      </c>
      <c r="E576" t="s">
        <v>332</v>
      </c>
      <c r="L576" t="s">
        <v>93</v>
      </c>
      <c r="M576">
        <v>140</v>
      </c>
      <c r="N576" t="s">
        <v>100</v>
      </c>
      <c r="Q576">
        <v>1.216</v>
      </c>
      <c r="R576" t="s">
        <v>14</v>
      </c>
      <c r="T576">
        <v>10</v>
      </c>
      <c r="V576" t="s">
        <v>15</v>
      </c>
    </row>
    <row r="577" spans="1:22" x14ac:dyDescent="0.25">
      <c r="A577">
        <v>32</v>
      </c>
      <c r="B577" t="s">
        <v>92</v>
      </c>
      <c r="C577" t="s">
        <v>332</v>
      </c>
      <c r="E577" t="s">
        <v>332</v>
      </c>
      <c r="L577" t="s">
        <v>93</v>
      </c>
      <c r="M577">
        <v>150</v>
      </c>
      <c r="N577" t="s">
        <v>335</v>
      </c>
      <c r="Q577">
        <v>1</v>
      </c>
      <c r="R577" t="s">
        <v>11</v>
      </c>
      <c r="T577">
        <v>10</v>
      </c>
      <c r="V577" t="s">
        <v>18</v>
      </c>
    </row>
    <row r="578" spans="1:22" x14ac:dyDescent="0.25">
      <c r="A578">
        <v>32</v>
      </c>
      <c r="B578" t="s">
        <v>92</v>
      </c>
      <c r="C578" t="s">
        <v>332</v>
      </c>
      <c r="E578" t="s">
        <v>332</v>
      </c>
      <c r="L578" t="s">
        <v>93</v>
      </c>
      <c r="M578">
        <v>160</v>
      </c>
      <c r="N578" t="s">
        <v>336</v>
      </c>
      <c r="Q578">
        <v>1</v>
      </c>
      <c r="R578" t="s">
        <v>11</v>
      </c>
      <c r="T578">
        <v>10</v>
      </c>
      <c r="V578" t="s">
        <v>18</v>
      </c>
    </row>
    <row r="579" spans="1:22" x14ac:dyDescent="0.25">
      <c r="A579">
        <v>32</v>
      </c>
      <c r="B579" t="s">
        <v>92</v>
      </c>
      <c r="C579" t="s">
        <v>332</v>
      </c>
      <c r="E579" t="s">
        <v>332</v>
      </c>
      <c r="L579" t="s">
        <v>93</v>
      </c>
      <c r="M579">
        <v>170</v>
      </c>
      <c r="N579" t="s">
        <v>142</v>
      </c>
      <c r="Q579">
        <v>7.7720000000000002</v>
      </c>
      <c r="R579" t="s">
        <v>11</v>
      </c>
      <c r="T579">
        <v>10</v>
      </c>
      <c r="V579" t="s">
        <v>15</v>
      </c>
    </row>
    <row r="580" spans="1:22" x14ac:dyDescent="0.25">
      <c r="A580">
        <v>32</v>
      </c>
      <c r="B580" t="s">
        <v>92</v>
      </c>
      <c r="C580" t="s">
        <v>332</v>
      </c>
      <c r="E580" t="s">
        <v>332</v>
      </c>
      <c r="L580" t="s">
        <v>93</v>
      </c>
      <c r="M580">
        <v>180</v>
      </c>
      <c r="N580" t="s">
        <v>337</v>
      </c>
      <c r="Q580">
        <v>1</v>
      </c>
      <c r="R580" t="s">
        <v>11</v>
      </c>
      <c r="T580">
        <v>10</v>
      </c>
      <c r="V580" t="s">
        <v>18</v>
      </c>
    </row>
    <row r="581" spans="1:22" x14ac:dyDescent="0.25">
      <c r="A581">
        <v>33</v>
      </c>
      <c r="B581" t="s">
        <v>92</v>
      </c>
      <c r="C581" t="s">
        <v>338</v>
      </c>
      <c r="E581" t="s">
        <v>338</v>
      </c>
      <c r="L581" t="s">
        <v>93</v>
      </c>
      <c r="M581">
        <v>10</v>
      </c>
      <c r="N581" t="s">
        <v>339</v>
      </c>
      <c r="Q581">
        <v>1</v>
      </c>
      <c r="R581" t="s">
        <v>11</v>
      </c>
      <c r="T581">
        <v>10</v>
      </c>
      <c r="V581" t="s">
        <v>18</v>
      </c>
    </row>
    <row r="582" spans="1:22" x14ac:dyDescent="0.25">
      <c r="A582">
        <v>33</v>
      </c>
      <c r="B582" t="s">
        <v>92</v>
      </c>
      <c r="C582" t="s">
        <v>338</v>
      </c>
      <c r="E582" t="s">
        <v>338</v>
      </c>
      <c r="L582" t="s">
        <v>93</v>
      </c>
      <c r="M582">
        <v>20</v>
      </c>
      <c r="N582" t="s">
        <v>132</v>
      </c>
      <c r="Q582">
        <v>2.677</v>
      </c>
      <c r="R582" t="s">
        <v>14</v>
      </c>
      <c r="T582">
        <v>10</v>
      </c>
      <c r="V582" t="s">
        <v>15</v>
      </c>
    </row>
    <row r="583" spans="1:22" x14ac:dyDescent="0.25">
      <c r="A583">
        <v>33</v>
      </c>
      <c r="B583" t="s">
        <v>92</v>
      </c>
      <c r="C583" t="s">
        <v>338</v>
      </c>
      <c r="E583" t="s">
        <v>338</v>
      </c>
      <c r="L583" t="s">
        <v>93</v>
      </c>
      <c r="M583">
        <v>30</v>
      </c>
      <c r="N583" t="s">
        <v>102</v>
      </c>
      <c r="Q583">
        <v>0.67200000000000004</v>
      </c>
      <c r="R583" t="s">
        <v>103</v>
      </c>
      <c r="T583">
        <v>10</v>
      </c>
      <c r="V583" t="s">
        <v>15</v>
      </c>
    </row>
    <row r="584" spans="1:22" x14ac:dyDescent="0.25">
      <c r="A584">
        <v>33</v>
      </c>
      <c r="B584" t="s">
        <v>92</v>
      </c>
      <c r="C584" t="s">
        <v>338</v>
      </c>
      <c r="E584" t="s">
        <v>338</v>
      </c>
      <c r="L584" t="s">
        <v>93</v>
      </c>
      <c r="M584">
        <v>40</v>
      </c>
      <c r="N584" t="s">
        <v>146</v>
      </c>
      <c r="Q584">
        <v>2.1589999999999998</v>
      </c>
      <c r="R584" t="s">
        <v>11</v>
      </c>
      <c r="T584">
        <v>10</v>
      </c>
      <c r="V584" t="s">
        <v>18</v>
      </c>
    </row>
    <row r="585" spans="1:22" x14ac:dyDescent="0.25">
      <c r="A585">
        <v>33</v>
      </c>
      <c r="B585" t="s">
        <v>92</v>
      </c>
      <c r="C585" t="s">
        <v>338</v>
      </c>
      <c r="E585" t="s">
        <v>338</v>
      </c>
      <c r="L585" t="s">
        <v>93</v>
      </c>
      <c r="M585">
        <v>50</v>
      </c>
      <c r="N585" t="s">
        <v>139</v>
      </c>
      <c r="Q585">
        <v>2.1589999999999998</v>
      </c>
      <c r="R585" t="s">
        <v>17</v>
      </c>
      <c r="T585">
        <v>10</v>
      </c>
      <c r="V585" t="s">
        <v>18</v>
      </c>
    </row>
    <row r="586" spans="1:22" x14ac:dyDescent="0.25">
      <c r="A586">
        <v>33</v>
      </c>
      <c r="B586" t="s">
        <v>92</v>
      </c>
      <c r="C586" t="s">
        <v>338</v>
      </c>
      <c r="E586" t="s">
        <v>338</v>
      </c>
      <c r="L586" t="s">
        <v>93</v>
      </c>
      <c r="M586">
        <v>60</v>
      </c>
      <c r="N586" t="s">
        <v>340</v>
      </c>
      <c r="Q586">
        <v>1</v>
      </c>
      <c r="R586" t="s">
        <v>11</v>
      </c>
      <c r="T586">
        <v>10</v>
      </c>
      <c r="V586" t="s">
        <v>18</v>
      </c>
    </row>
    <row r="587" spans="1:22" x14ac:dyDescent="0.25">
      <c r="A587">
        <v>33</v>
      </c>
      <c r="B587" t="s">
        <v>92</v>
      </c>
      <c r="C587" t="s">
        <v>338</v>
      </c>
      <c r="E587" t="s">
        <v>338</v>
      </c>
      <c r="L587" t="s">
        <v>93</v>
      </c>
      <c r="M587">
        <v>70</v>
      </c>
      <c r="N587" t="s">
        <v>148</v>
      </c>
      <c r="Q587">
        <v>18.440000000000001</v>
      </c>
      <c r="R587" t="s">
        <v>17</v>
      </c>
      <c r="T587">
        <v>10</v>
      </c>
      <c r="V587" t="s">
        <v>15</v>
      </c>
    </row>
    <row r="588" spans="1:22" x14ac:dyDescent="0.25">
      <c r="A588">
        <v>33</v>
      </c>
      <c r="B588" t="s">
        <v>92</v>
      </c>
      <c r="C588" t="s">
        <v>338</v>
      </c>
      <c r="E588" t="s">
        <v>338</v>
      </c>
      <c r="L588" t="s">
        <v>93</v>
      </c>
      <c r="M588">
        <v>80</v>
      </c>
      <c r="N588" t="s">
        <v>20</v>
      </c>
      <c r="Q588">
        <v>151.21100000000001</v>
      </c>
      <c r="R588" t="s">
        <v>17</v>
      </c>
      <c r="T588">
        <v>10</v>
      </c>
      <c r="V588" t="s">
        <v>15</v>
      </c>
    </row>
    <row r="589" spans="1:22" x14ac:dyDescent="0.25">
      <c r="A589">
        <v>33</v>
      </c>
      <c r="B589" t="s">
        <v>92</v>
      </c>
      <c r="C589" t="s">
        <v>338</v>
      </c>
      <c r="E589" t="s">
        <v>338</v>
      </c>
      <c r="L589" t="s">
        <v>93</v>
      </c>
      <c r="M589">
        <v>90</v>
      </c>
      <c r="N589" t="s">
        <v>24</v>
      </c>
      <c r="Q589">
        <v>1</v>
      </c>
      <c r="R589" t="s">
        <v>11</v>
      </c>
      <c r="T589">
        <v>10</v>
      </c>
      <c r="V589" t="s">
        <v>15</v>
      </c>
    </row>
    <row r="590" spans="1:22" x14ac:dyDescent="0.25">
      <c r="A590">
        <v>33</v>
      </c>
      <c r="B590" t="s">
        <v>92</v>
      </c>
      <c r="C590" t="s">
        <v>338</v>
      </c>
      <c r="E590" t="s">
        <v>338</v>
      </c>
      <c r="L590" t="s">
        <v>93</v>
      </c>
      <c r="M590">
        <v>100</v>
      </c>
      <c r="N590" t="s">
        <v>141</v>
      </c>
      <c r="Q590">
        <v>8.1000000000000003E-2</v>
      </c>
      <c r="R590" t="s">
        <v>14</v>
      </c>
      <c r="T590">
        <v>10</v>
      </c>
      <c r="V590" t="s">
        <v>15</v>
      </c>
    </row>
    <row r="591" spans="1:22" x14ac:dyDescent="0.25">
      <c r="A591">
        <v>33</v>
      </c>
      <c r="B591" t="s">
        <v>92</v>
      </c>
      <c r="C591" t="s">
        <v>338</v>
      </c>
      <c r="E591" t="s">
        <v>338</v>
      </c>
      <c r="L591" t="s">
        <v>93</v>
      </c>
      <c r="M591">
        <v>110</v>
      </c>
      <c r="N591" t="s">
        <v>140</v>
      </c>
      <c r="Q591">
        <v>4</v>
      </c>
      <c r="R591" t="s">
        <v>11</v>
      </c>
      <c r="T591">
        <v>10</v>
      </c>
      <c r="V591" t="s">
        <v>15</v>
      </c>
    </row>
    <row r="592" spans="1:22" x14ac:dyDescent="0.25">
      <c r="A592">
        <v>33</v>
      </c>
      <c r="B592" t="s">
        <v>92</v>
      </c>
      <c r="C592" t="s">
        <v>338</v>
      </c>
      <c r="E592" t="s">
        <v>338</v>
      </c>
      <c r="L592" t="s">
        <v>93</v>
      </c>
      <c r="M592">
        <v>120</v>
      </c>
      <c r="N592" t="s">
        <v>25</v>
      </c>
      <c r="Q592">
        <v>1</v>
      </c>
      <c r="R592" t="s">
        <v>11</v>
      </c>
      <c r="T592">
        <v>10</v>
      </c>
      <c r="V592" t="s">
        <v>15</v>
      </c>
    </row>
    <row r="593" spans="1:22" x14ac:dyDescent="0.25">
      <c r="A593">
        <v>33</v>
      </c>
      <c r="B593" t="s">
        <v>92</v>
      </c>
      <c r="C593" t="s">
        <v>338</v>
      </c>
      <c r="E593" t="s">
        <v>338</v>
      </c>
      <c r="L593" t="s">
        <v>93</v>
      </c>
      <c r="M593">
        <v>130</v>
      </c>
      <c r="N593" t="s">
        <v>26</v>
      </c>
      <c r="Q593">
        <v>1</v>
      </c>
      <c r="R593" t="s">
        <v>11</v>
      </c>
      <c r="T593">
        <v>10</v>
      </c>
      <c r="V593" t="s">
        <v>15</v>
      </c>
    </row>
    <row r="594" spans="1:22" x14ac:dyDescent="0.25">
      <c r="A594">
        <v>33</v>
      </c>
      <c r="B594" t="s">
        <v>92</v>
      </c>
      <c r="C594" t="s">
        <v>338</v>
      </c>
      <c r="E594" t="s">
        <v>338</v>
      </c>
      <c r="L594" t="s">
        <v>93</v>
      </c>
      <c r="M594">
        <v>140</v>
      </c>
      <c r="N594" t="s">
        <v>100</v>
      </c>
      <c r="Q594">
        <v>1.27</v>
      </c>
      <c r="R594" t="s">
        <v>14</v>
      </c>
      <c r="T594">
        <v>10</v>
      </c>
      <c r="V594" t="s">
        <v>15</v>
      </c>
    </row>
    <row r="595" spans="1:22" x14ac:dyDescent="0.25">
      <c r="A595">
        <v>33</v>
      </c>
      <c r="B595" t="s">
        <v>92</v>
      </c>
      <c r="C595" t="s">
        <v>338</v>
      </c>
      <c r="E595" t="s">
        <v>338</v>
      </c>
      <c r="L595" t="s">
        <v>93</v>
      </c>
      <c r="M595">
        <v>150</v>
      </c>
      <c r="N595" t="s">
        <v>341</v>
      </c>
      <c r="Q595">
        <v>1</v>
      </c>
      <c r="R595" t="s">
        <v>11</v>
      </c>
      <c r="T595">
        <v>10</v>
      </c>
      <c r="V595" t="s">
        <v>18</v>
      </c>
    </row>
    <row r="596" spans="1:22" x14ac:dyDescent="0.25">
      <c r="A596">
        <v>33</v>
      </c>
      <c r="B596" t="s">
        <v>92</v>
      </c>
      <c r="C596" t="s">
        <v>338</v>
      </c>
      <c r="E596" t="s">
        <v>338</v>
      </c>
      <c r="L596" t="s">
        <v>93</v>
      </c>
      <c r="M596">
        <v>160</v>
      </c>
      <c r="N596" t="s">
        <v>342</v>
      </c>
      <c r="Q596">
        <v>1</v>
      </c>
      <c r="R596" t="s">
        <v>11</v>
      </c>
      <c r="T596">
        <v>10</v>
      </c>
      <c r="V596" t="s">
        <v>18</v>
      </c>
    </row>
    <row r="597" spans="1:22" x14ac:dyDescent="0.25">
      <c r="A597">
        <v>33</v>
      </c>
      <c r="B597" t="s">
        <v>92</v>
      </c>
      <c r="C597" t="s">
        <v>338</v>
      </c>
      <c r="E597" t="s">
        <v>338</v>
      </c>
      <c r="L597" t="s">
        <v>93</v>
      </c>
      <c r="M597">
        <v>170</v>
      </c>
      <c r="N597" t="s">
        <v>142</v>
      </c>
      <c r="Q597">
        <v>6.1470000000000002</v>
      </c>
      <c r="R597" t="s">
        <v>11</v>
      </c>
      <c r="T597">
        <v>10</v>
      </c>
      <c r="V597" t="s">
        <v>15</v>
      </c>
    </row>
    <row r="598" spans="1:22" x14ac:dyDescent="0.25">
      <c r="A598">
        <v>33</v>
      </c>
      <c r="B598" t="s">
        <v>92</v>
      </c>
      <c r="C598" t="s">
        <v>338</v>
      </c>
      <c r="E598" t="s">
        <v>338</v>
      </c>
      <c r="L598" t="s">
        <v>93</v>
      </c>
      <c r="M598">
        <v>180</v>
      </c>
      <c r="N598" t="s">
        <v>343</v>
      </c>
      <c r="Q598">
        <v>1</v>
      </c>
      <c r="R598" t="s">
        <v>11</v>
      </c>
      <c r="T598">
        <v>10</v>
      </c>
      <c r="V598" t="s">
        <v>18</v>
      </c>
    </row>
    <row r="599" spans="1:22" x14ac:dyDescent="0.25">
      <c r="A599">
        <v>34</v>
      </c>
      <c r="B599" t="s">
        <v>92</v>
      </c>
      <c r="C599" t="s">
        <v>344</v>
      </c>
      <c r="E599" t="s">
        <v>344</v>
      </c>
      <c r="L599" t="s">
        <v>93</v>
      </c>
      <c r="M599">
        <v>10</v>
      </c>
      <c r="N599" t="s">
        <v>345</v>
      </c>
      <c r="Q599">
        <v>1</v>
      </c>
      <c r="R599" t="s">
        <v>11</v>
      </c>
      <c r="T599">
        <v>10</v>
      </c>
      <c r="V599" t="s">
        <v>18</v>
      </c>
    </row>
    <row r="600" spans="1:22" x14ac:dyDescent="0.25">
      <c r="A600">
        <v>34</v>
      </c>
      <c r="B600" t="s">
        <v>92</v>
      </c>
      <c r="C600" t="s">
        <v>344</v>
      </c>
      <c r="E600" t="s">
        <v>344</v>
      </c>
      <c r="L600" t="s">
        <v>93</v>
      </c>
      <c r="M600">
        <v>20</v>
      </c>
      <c r="N600" t="s">
        <v>132</v>
      </c>
      <c r="Q600">
        <v>3.13</v>
      </c>
      <c r="R600" t="s">
        <v>14</v>
      </c>
      <c r="T600">
        <v>10</v>
      </c>
      <c r="V600" t="s">
        <v>15</v>
      </c>
    </row>
    <row r="601" spans="1:22" x14ac:dyDescent="0.25">
      <c r="A601">
        <v>34</v>
      </c>
      <c r="B601" t="s">
        <v>92</v>
      </c>
      <c r="C601" t="s">
        <v>344</v>
      </c>
      <c r="E601" t="s">
        <v>344</v>
      </c>
      <c r="L601" t="s">
        <v>93</v>
      </c>
      <c r="M601">
        <v>30</v>
      </c>
      <c r="N601" t="s">
        <v>102</v>
      </c>
      <c r="Q601">
        <v>0.79800000000000004</v>
      </c>
      <c r="R601" t="s">
        <v>103</v>
      </c>
      <c r="T601">
        <v>10</v>
      </c>
      <c r="V601" t="s">
        <v>15</v>
      </c>
    </row>
    <row r="602" spans="1:22" x14ac:dyDescent="0.25">
      <c r="A602">
        <v>34</v>
      </c>
      <c r="B602" t="s">
        <v>92</v>
      </c>
      <c r="C602" t="s">
        <v>344</v>
      </c>
      <c r="E602" t="s">
        <v>344</v>
      </c>
      <c r="L602" t="s">
        <v>93</v>
      </c>
      <c r="M602">
        <v>40</v>
      </c>
      <c r="N602" t="s">
        <v>146</v>
      </c>
      <c r="Q602">
        <v>2.1589999999999998</v>
      </c>
      <c r="R602" t="s">
        <v>11</v>
      </c>
      <c r="T602">
        <v>10</v>
      </c>
      <c r="V602" t="s">
        <v>18</v>
      </c>
    </row>
    <row r="603" spans="1:22" x14ac:dyDescent="0.25">
      <c r="A603">
        <v>34</v>
      </c>
      <c r="B603" t="s">
        <v>92</v>
      </c>
      <c r="C603" t="s">
        <v>344</v>
      </c>
      <c r="E603" t="s">
        <v>344</v>
      </c>
      <c r="L603" t="s">
        <v>93</v>
      </c>
      <c r="M603">
        <v>50</v>
      </c>
      <c r="N603" t="s">
        <v>139</v>
      </c>
      <c r="Q603">
        <v>2.1589999999999998</v>
      </c>
      <c r="R603" t="s">
        <v>17</v>
      </c>
      <c r="T603">
        <v>10</v>
      </c>
      <c r="V603" t="s">
        <v>18</v>
      </c>
    </row>
    <row r="604" spans="1:22" x14ac:dyDescent="0.25">
      <c r="A604">
        <v>34</v>
      </c>
      <c r="B604" t="s">
        <v>92</v>
      </c>
      <c r="C604" t="s">
        <v>344</v>
      </c>
      <c r="E604" t="s">
        <v>344</v>
      </c>
      <c r="L604" t="s">
        <v>93</v>
      </c>
      <c r="M604">
        <v>60</v>
      </c>
      <c r="N604" t="s">
        <v>346</v>
      </c>
      <c r="Q604">
        <v>1</v>
      </c>
      <c r="R604" t="s">
        <v>11</v>
      </c>
      <c r="T604">
        <v>10</v>
      </c>
      <c r="V604" t="s">
        <v>18</v>
      </c>
    </row>
    <row r="605" spans="1:22" x14ac:dyDescent="0.25">
      <c r="A605">
        <v>34</v>
      </c>
      <c r="B605" t="s">
        <v>92</v>
      </c>
      <c r="C605" t="s">
        <v>344</v>
      </c>
      <c r="E605" t="s">
        <v>344</v>
      </c>
      <c r="L605" t="s">
        <v>93</v>
      </c>
      <c r="M605">
        <v>70</v>
      </c>
      <c r="N605" t="s">
        <v>148</v>
      </c>
      <c r="Q605">
        <v>19.355</v>
      </c>
      <c r="R605" t="s">
        <v>17</v>
      </c>
      <c r="T605">
        <v>10</v>
      </c>
      <c r="V605" t="s">
        <v>15</v>
      </c>
    </row>
    <row r="606" spans="1:22" x14ac:dyDescent="0.25">
      <c r="A606">
        <v>34</v>
      </c>
      <c r="B606" t="s">
        <v>92</v>
      </c>
      <c r="C606" t="s">
        <v>344</v>
      </c>
      <c r="E606" t="s">
        <v>344</v>
      </c>
      <c r="L606" t="s">
        <v>93</v>
      </c>
      <c r="M606">
        <v>80</v>
      </c>
      <c r="N606" t="s">
        <v>20</v>
      </c>
      <c r="Q606">
        <v>158.709</v>
      </c>
      <c r="R606" t="s">
        <v>17</v>
      </c>
      <c r="T606">
        <v>10</v>
      </c>
      <c r="V606" t="s">
        <v>15</v>
      </c>
    </row>
    <row r="607" spans="1:22" x14ac:dyDescent="0.25">
      <c r="A607">
        <v>34</v>
      </c>
      <c r="B607" t="s">
        <v>92</v>
      </c>
      <c r="C607" t="s">
        <v>344</v>
      </c>
      <c r="E607" t="s">
        <v>344</v>
      </c>
      <c r="L607" t="s">
        <v>93</v>
      </c>
      <c r="M607">
        <v>90</v>
      </c>
      <c r="N607" t="s">
        <v>24</v>
      </c>
      <c r="Q607">
        <v>1</v>
      </c>
      <c r="R607" t="s">
        <v>11</v>
      </c>
      <c r="T607">
        <v>10</v>
      </c>
      <c r="V607" t="s">
        <v>15</v>
      </c>
    </row>
    <row r="608" spans="1:22" x14ac:dyDescent="0.25">
      <c r="A608">
        <v>34</v>
      </c>
      <c r="B608" t="s">
        <v>92</v>
      </c>
      <c r="C608" t="s">
        <v>344</v>
      </c>
      <c r="E608" t="s">
        <v>344</v>
      </c>
      <c r="L608" t="s">
        <v>93</v>
      </c>
      <c r="M608">
        <v>100</v>
      </c>
      <c r="N608" t="s">
        <v>141</v>
      </c>
      <c r="Q608">
        <v>9.1999999999999998E-2</v>
      </c>
      <c r="R608" t="s">
        <v>14</v>
      </c>
      <c r="T608">
        <v>10</v>
      </c>
      <c r="V608" t="s">
        <v>15</v>
      </c>
    </row>
    <row r="609" spans="1:22" x14ac:dyDescent="0.25">
      <c r="A609">
        <v>34</v>
      </c>
      <c r="B609" t="s">
        <v>92</v>
      </c>
      <c r="C609" t="s">
        <v>344</v>
      </c>
      <c r="E609" t="s">
        <v>344</v>
      </c>
      <c r="L609" t="s">
        <v>93</v>
      </c>
      <c r="M609">
        <v>110</v>
      </c>
      <c r="N609" t="s">
        <v>140</v>
      </c>
      <c r="Q609">
        <v>4</v>
      </c>
      <c r="R609" t="s">
        <v>11</v>
      </c>
      <c r="T609">
        <v>10</v>
      </c>
      <c r="V609" t="s">
        <v>15</v>
      </c>
    </row>
    <row r="610" spans="1:22" x14ac:dyDescent="0.25">
      <c r="A610">
        <v>34</v>
      </c>
      <c r="B610" t="s">
        <v>92</v>
      </c>
      <c r="C610" t="s">
        <v>344</v>
      </c>
      <c r="E610" t="s">
        <v>344</v>
      </c>
      <c r="L610" t="s">
        <v>93</v>
      </c>
      <c r="M610">
        <v>120</v>
      </c>
      <c r="N610" t="s">
        <v>25</v>
      </c>
      <c r="Q610">
        <v>1</v>
      </c>
      <c r="R610" t="s">
        <v>11</v>
      </c>
      <c r="T610">
        <v>10</v>
      </c>
      <c r="V610" t="s">
        <v>15</v>
      </c>
    </row>
    <row r="611" spans="1:22" x14ac:dyDescent="0.25">
      <c r="A611">
        <v>34</v>
      </c>
      <c r="B611" t="s">
        <v>92</v>
      </c>
      <c r="C611" t="s">
        <v>344</v>
      </c>
      <c r="E611" t="s">
        <v>344</v>
      </c>
      <c r="L611" t="s">
        <v>93</v>
      </c>
      <c r="M611">
        <v>130</v>
      </c>
      <c r="N611" t="s">
        <v>26</v>
      </c>
      <c r="Q611">
        <v>1</v>
      </c>
      <c r="R611" t="s">
        <v>11</v>
      </c>
      <c r="T611">
        <v>10</v>
      </c>
      <c r="V611" t="s">
        <v>15</v>
      </c>
    </row>
    <row r="612" spans="1:22" x14ac:dyDescent="0.25">
      <c r="A612">
        <v>34</v>
      </c>
      <c r="B612" t="s">
        <v>92</v>
      </c>
      <c r="C612" t="s">
        <v>344</v>
      </c>
      <c r="E612" t="s">
        <v>344</v>
      </c>
      <c r="L612" t="s">
        <v>93</v>
      </c>
      <c r="M612">
        <v>140</v>
      </c>
      <c r="N612" t="s">
        <v>100</v>
      </c>
      <c r="Q612">
        <v>1.27</v>
      </c>
      <c r="R612" t="s">
        <v>14</v>
      </c>
      <c r="T612">
        <v>10</v>
      </c>
      <c r="V612" t="s">
        <v>15</v>
      </c>
    </row>
    <row r="613" spans="1:22" x14ac:dyDescent="0.25">
      <c r="A613">
        <v>34</v>
      </c>
      <c r="B613" t="s">
        <v>92</v>
      </c>
      <c r="C613" t="s">
        <v>344</v>
      </c>
      <c r="E613" t="s">
        <v>344</v>
      </c>
      <c r="L613" t="s">
        <v>93</v>
      </c>
      <c r="M613">
        <v>150</v>
      </c>
      <c r="N613" t="s">
        <v>347</v>
      </c>
      <c r="Q613">
        <v>1</v>
      </c>
      <c r="R613" t="s">
        <v>11</v>
      </c>
      <c r="T613">
        <v>10</v>
      </c>
      <c r="V613" t="s">
        <v>18</v>
      </c>
    </row>
    <row r="614" spans="1:22" x14ac:dyDescent="0.25">
      <c r="A614">
        <v>34</v>
      </c>
      <c r="B614" t="s">
        <v>92</v>
      </c>
      <c r="C614" t="s">
        <v>344</v>
      </c>
      <c r="E614" t="s">
        <v>344</v>
      </c>
      <c r="L614" t="s">
        <v>93</v>
      </c>
      <c r="M614">
        <v>160</v>
      </c>
      <c r="N614" t="s">
        <v>348</v>
      </c>
      <c r="Q614">
        <v>1</v>
      </c>
      <c r="R614" t="s">
        <v>11</v>
      </c>
      <c r="T614">
        <v>10</v>
      </c>
      <c r="V614" t="s">
        <v>18</v>
      </c>
    </row>
    <row r="615" spans="1:22" x14ac:dyDescent="0.25">
      <c r="A615">
        <v>34</v>
      </c>
      <c r="B615" t="s">
        <v>92</v>
      </c>
      <c r="C615" t="s">
        <v>344</v>
      </c>
      <c r="E615" t="s">
        <v>344</v>
      </c>
      <c r="L615" t="s">
        <v>93</v>
      </c>
      <c r="M615">
        <v>170</v>
      </c>
      <c r="N615" t="s">
        <v>142</v>
      </c>
      <c r="Q615">
        <v>6.452</v>
      </c>
      <c r="R615" t="s">
        <v>11</v>
      </c>
      <c r="T615">
        <v>10</v>
      </c>
      <c r="V615" t="s">
        <v>15</v>
      </c>
    </row>
    <row r="616" spans="1:22" x14ac:dyDescent="0.25">
      <c r="A616">
        <v>34</v>
      </c>
      <c r="B616" t="s">
        <v>92</v>
      </c>
      <c r="C616" t="s">
        <v>344</v>
      </c>
      <c r="E616" t="s">
        <v>344</v>
      </c>
      <c r="L616" t="s">
        <v>93</v>
      </c>
      <c r="M616">
        <v>180</v>
      </c>
      <c r="N616" t="s">
        <v>349</v>
      </c>
      <c r="Q616">
        <v>1</v>
      </c>
      <c r="R616" t="s">
        <v>11</v>
      </c>
      <c r="T616">
        <v>10</v>
      </c>
      <c r="V616" t="s">
        <v>18</v>
      </c>
    </row>
    <row r="617" spans="1:22" x14ac:dyDescent="0.25">
      <c r="A617">
        <v>35</v>
      </c>
      <c r="B617" t="s">
        <v>92</v>
      </c>
      <c r="C617" t="s">
        <v>350</v>
      </c>
      <c r="E617" t="s">
        <v>350</v>
      </c>
      <c r="L617" t="s">
        <v>93</v>
      </c>
      <c r="M617">
        <v>10</v>
      </c>
      <c r="N617" t="s">
        <v>351</v>
      </c>
      <c r="Q617">
        <v>1</v>
      </c>
      <c r="R617" t="s">
        <v>11</v>
      </c>
      <c r="T617">
        <v>10</v>
      </c>
      <c r="V617" t="s">
        <v>18</v>
      </c>
    </row>
    <row r="618" spans="1:22" x14ac:dyDescent="0.25">
      <c r="A618">
        <v>35</v>
      </c>
      <c r="B618" t="s">
        <v>92</v>
      </c>
      <c r="C618" t="s">
        <v>350</v>
      </c>
      <c r="E618" t="s">
        <v>350</v>
      </c>
      <c r="L618" t="s">
        <v>93</v>
      </c>
      <c r="M618">
        <v>20</v>
      </c>
      <c r="N618" t="s">
        <v>132</v>
      </c>
      <c r="Q618">
        <v>3.5819999999999999</v>
      </c>
      <c r="R618" t="s">
        <v>14</v>
      </c>
      <c r="T618">
        <v>10</v>
      </c>
      <c r="V618" t="s">
        <v>15</v>
      </c>
    </row>
    <row r="619" spans="1:22" x14ac:dyDescent="0.25">
      <c r="A619">
        <v>35</v>
      </c>
      <c r="B619" t="s">
        <v>92</v>
      </c>
      <c r="C619" t="s">
        <v>350</v>
      </c>
      <c r="E619" t="s">
        <v>350</v>
      </c>
      <c r="L619" t="s">
        <v>93</v>
      </c>
      <c r="M619">
        <v>30</v>
      </c>
      <c r="N619" t="s">
        <v>102</v>
      </c>
      <c r="Q619">
        <v>0.92400000000000004</v>
      </c>
      <c r="R619" t="s">
        <v>103</v>
      </c>
      <c r="T619">
        <v>10</v>
      </c>
      <c r="V619" t="s">
        <v>15</v>
      </c>
    </row>
    <row r="620" spans="1:22" x14ac:dyDescent="0.25">
      <c r="A620">
        <v>35</v>
      </c>
      <c r="B620" t="s">
        <v>92</v>
      </c>
      <c r="C620" t="s">
        <v>350</v>
      </c>
      <c r="E620" t="s">
        <v>350</v>
      </c>
      <c r="L620" t="s">
        <v>93</v>
      </c>
      <c r="M620">
        <v>40</v>
      </c>
      <c r="N620" t="s">
        <v>146</v>
      </c>
      <c r="Q620">
        <v>2.1589999999999998</v>
      </c>
      <c r="R620" t="s">
        <v>11</v>
      </c>
      <c r="T620">
        <v>10</v>
      </c>
      <c r="V620" t="s">
        <v>18</v>
      </c>
    </row>
    <row r="621" spans="1:22" x14ac:dyDescent="0.25">
      <c r="A621">
        <v>35</v>
      </c>
      <c r="B621" t="s">
        <v>92</v>
      </c>
      <c r="C621" t="s">
        <v>350</v>
      </c>
      <c r="E621" t="s">
        <v>350</v>
      </c>
      <c r="L621" t="s">
        <v>93</v>
      </c>
      <c r="M621">
        <v>50</v>
      </c>
      <c r="N621" t="s">
        <v>139</v>
      </c>
      <c r="Q621">
        <v>2.1589999999999998</v>
      </c>
      <c r="R621" t="s">
        <v>17</v>
      </c>
      <c r="T621">
        <v>10</v>
      </c>
      <c r="V621" t="s">
        <v>18</v>
      </c>
    </row>
    <row r="622" spans="1:22" x14ac:dyDescent="0.25">
      <c r="A622">
        <v>35</v>
      </c>
      <c r="B622" t="s">
        <v>92</v>
      </c>
      <c r="C622" t="s">
        <v>350</v>
      </c>
      <c r="E622" t="s">
        <v>350</v>
      </c>
      <c r="L622" t="s">
        <v>93</v>
      </c>
      <c r="M622">
        <v>60</v>
      </c>
      <c r="N622" t="s">
        <v>352</v>
      </c>
      <c r="Q622">
        <v>1</v>
      </c>
      <c r="R622" t="s">
        <v>11</v>
      </c>
      <c r="T622">
        <v>10</v>
      </c>
      <c r="V622" t="s">
        <v>18</v>
      </c>
    </row>
    <row r="623" spans="1:22" x14ac:dyDescent="0.25">
      <c r="A623">
        <v>35</v>
      </c>
      <c r="B623" t="s">
        <v>92</v>
      </c>
      <c r="C623" t="s">
        <v>350</v>
      </c>
      <c r="E623" t="s">
        <v>350</v>
      </c>
      <c r="L623" t="s">
        <v>93</v>
      </c>
      <c r="M623">
        <v>70</v>
      </c>
      <c r="N623" t="s">
        <v>148</v>
      </c>
      <c r="Q623">
        <v>20.268999999999998</v>
      </c>
      <c r="R623" t="s">
        <v>17</v>
      </c>
      <c r="T623">
        <v>10</v>
      </c>
      <c r="V623" t="s">
        <v>15</v>
      </c>
    </row>
    <row r="624" spans="1:22" x14ac:dyDescent="0.25">
      <c r="A624">
        <v>35</v>
      </c>
      <c r="B624" t="s">
        <v>92</v>
      </c>
      <c r="C624" t="s">
        <v>350</v>
      </c>
      <c r="E624" t="s">
        <v>350</v>
      </c>
      <c r="L624" t="s">
        <v>93</v>
      </c>
      <c r="M624">
        <v>80</v>
      </c>
      <c r="N624" t="s">
        <v>20</v>
      </c>
      <c r="Q624">
        <v>166.20699999999999</v>
      </c>
      <c r="R624" t="s">
        <v>17</v>
      </c>
      <c r="T624">
        <v>10</v>
      </c>
      <c r="V624" t="s">
        <v>15</v>
      </c>
    </row>
    <row r="625" spans="1:22" x14ac:dyDescent="0.25">
      <c r="A625">
        <v>35</v>
      </c>
      <c r="B625" t="s">
        <v>92</v>
      </c>
      <c r="C625" t="s">
        <v>350</v>
      </c>
      <c r="E625" t="s">
        <v>350</v>
      </c>
      <c r="L625" t="s">
        <v>93</v>
      </c>
      <c r="M625">
        <v>90</v>
      </c>
      <c r="N625" t="s">
        <v>24</v>
      </c>
      <c r="Q625">
        <v>1</v>
      </c>
      <c r="R625" t="s">
        <v>11</v>
      </c>
      <c r="T625">
        <v>10</v>
      </c>
      <c r="V625" t="s">
        <v>15</v>
      </c>
    </row>
    <row r="626" spans="1:22" x14ac:dyDescent="0.25">
      <c r="A626">
        <v>35</v>
      </c>
      <c r="B626" t="s">
        <v>92</v>
      </c>
      <c r="C626" t="s">
        <v>350</v>
      </c>
      <c r="E626" t="s">
        <v>350</v>
      </c>
      <c r="L626" t="s">
        <v>93</v>
      </c>
      <c r="M626">
        <v>100</v>
      </c>
      <c r="N626" t="s">
        <v>141</v>
      </c>
      <c r="Q626">
        <v>0.10199999999999999</v>
      </c>
      <c r="R626" t="s">
        <v>14</v>
      </c>
      <c r="T626">
        <v>10</v>
      </c>
      <c r="V626" t="s">
        <v>15</v>
      </c>
    </row>
    <row r="627" spans="1:22" x14ac:dyDescent="0.25">
      <c r="A627">
        <v>35</v>
      </c>
      <c r="B627" t="s">
        <v>92</v>
      </c>
      <c r="C627" t="s">
        <v>350</v>
      </c>
      <c r="E627" t="s">
        <v>350</v>
      </c>
      <c r="L627" t="s">
        <v>93</v>
      </c>
      <c r="M627">
        <v>110</v>
      </c>
      <c r="N627" t="s">
        <v>140</v>
      </c>
      <c r="Q627">
        <v>4</v>
      </c>
      <c r="R627" t="s">
        <v>11</v>
      </c>
      <c r="T627">
        <v>10</v>
      </c>
      <c r="V627" t="s">
        <v>15</v>
      </c>
    </row>
    <row r="628" spans="1:22" x14ac:dyDescent="0.25">
      <c r="A628">
        <v>35</v>
      </c>
      <c r="B628" t="s">
        <v>92</v>
      </c>
      <c r="C628" t="s">
        <v>350</v>
      </c>
      <c r="E628" t="s">
        <v>350</v>
      </c>
      <c r="L628" t="s">
        <v>93</v>
      </c>
      <c r="M628">
        <v>120</v>
      </c>
      <c r="N628" t="s">
        <v>25</v>
      </c>
      <c r="Q628">
        <v>1</v>
      </c>
      <c r="R628" t="s">
        <v>11</v>
      </c>
      <c r="T628">
        <v>10</v>
      </c>
      <c r="V628" t="s">
        <v>15</v>
      </c>
    </row>
    <row r="629" spans="1:22" x14ac:dyDescent="0.25">
      <c r="A629">
        <v>35</v>
      </c>
      <c r="B629" t="s">
        <v>92</v>
      </c>
      <c r="C629" t="s">
        <v>350</v>
      </c>
      <c r="E629" t="s">
        <v>350</v>
      </c>
      <c r="L629" t="s">
        <v>93</v>
      </c>
      <c r="M629">
        <v>130</v>
      </c>
      <c r="N629" t="s">
        <v>26</v>
      </c>
      <c r="Q629">
        <v>1</v>
      </c>
      <c r="R629" t="s">
        <v>11</v>
      </c>
      <c r="T629">
        <v>10</v>
      </c>
      <c r="V629" t="s">
        <v>15</v>
      </c>
    </row>
    <row r="630" spans="1:22" x14ac:dyDescent="0.25">
      <c r="A630">
        <v>35</v>
      </c>
      <c r="B630" t="s">
        <v>92</v>
      </c>
      <c r="C630" t="s">
        <v>350</v>
      </c>
      <c r="E630" t="s">
        <v>350</v>
      </c>
      <c r="L630" t="s">
        <v>93</v>
      </c>
      <c r="M630">
        <v>140</v>
      </c>
      <c r="N630" t="s">
        <v>100</v>
      </c>
      <c r="Q630">
        <v>1.27</v>
      </c>
      <c r="R630" t="s">
        <v>14</v>
      </c>
      <c r="T630">
        <v>10</v>
      </c>
      <c r="V630" t="s">
        <v>15</v>
      </c>
    </row>
    <row r="631" spans="1:22" x14ac:dyDescent="0.25">
      <c r="A631">
        <v>35</v>
      </c>
      <c r="B631" t="s">
        <v>92</v>
      </c>
      <c r="C631" t="s">
        <v>350</v>
      </c>
      <c r="E631" t="s">
        <v>350</v>
      </c>
      <c r="L631" t="s">
        <v>93</v>
      </c>
      <c r="M631">
        <v>150</v>
      </c>
      <c r="N631" t="s">
        <v>353</v>
      </c>
      <c r="Q631">
        <v>1</v>
      </c>
      <c r="R631" t="s">
        <v>11</v>
      </c>
      <c r="T631">
        <v>10</v>
      </c>
      <c r="V631" t="s">
        <v>18</v>
      </c>
    </row>
    <row r="632" spans="1:22" x14ac:dyDescent="0.25">
      <c r="A632">
        <v>35</v>
      </c>
      <c r="B632" t="s">
        <v>92</v>
      </c>
      <c r="C632" t="s">
        <v>350</v>
      </c>
      <c r="E632" t="s">
        <v>350</v>
      </c>
      <c r="L632" t="s">
        <v>93</v>
      </c>
      <c r="M632">
        <v>160</v>
      </c>
      <c r="N632" t="s">
        <v>354</v>
      </c>
      <c r="Q632">
        <v>1</v>
      </c>
      <c r="R632" t="s">
        <v>11</v>
      </c>
      <c r="T632">
        <v>10</v>
      </c>
      <c r="V632" t="s">
        <v>18</v>
      </c>
    </row>
    <row r="633" spans="1:22" x14ac:dyDescent="0.25">
      <c r="A633">
        <v>35</v>
      </c>
      <c r="B633" t="s">
        <v>92</v>
      </c>
      <c r="C633" t="s">
        <v>350</v>
      </c>
      <c r="E633" t="s">
        <v>350</v>
      </c>
      <c r="L633" t="s">
        <v>93</v>
      </c>
      <c r="M633">
        <v>170</v>
      </c>
      <c r="N633" t="s">
        <v>142</v>
      </c>
      <c r="Q633">
        <v>6.7560000000000002</v>
      </c>
      <c r="R633" t="s">
        <v>11</v>
      </c>
      <c r="T633">
        <v>10</v>
      </c>
      <c r="V633" t="s">
        <v>15</v>
      </c>
    </row>
    <row r="634" spans="1:22" x14ac:dyDescent="0.25">
      <c r="A634">
        <v>35</v>
      </c>
      <c r="B634" t="s">
        <v>92</v>
      </c>
      <c r="C634" t="s">
        <v>350</v>
      </c>
      <c r="E634" t="s">
        <v>350</v>
      </c>
      <c r="L634" t="s">
        <v>93</v>
      </c>
      <c r="M634">
        <v>180</v>
      </c>
      <c r="N634" t="s">
        <v>355</v>
      </c>
      <c r="Q634">
        <v>1</v>
      </c>
      <c r="R634" t="s">
        <v>11</v>
      </c>
      <c r="T634">
        <v>10</v>
      </c>
      <c r="V634" t="s">
        <v>18</v>
      </c>
    </row>
    <row r="635" spans="1:22" x14ac:dyDescent="0.25">
      <c r="A635">
        <v>36</v>
      </c>
      <c r="B635" t="s">
        <v>92</v>
      </c>
      <c r="C635" t="s">
        <v>356</v>
      </c>
      <c r="E635" t="s">
        <v>356</v>
      </c>
      <c r="L635" t="s">
        <v>93</v>
      </c>
      <c r="M635">
        <v>10</v>
      </c>
      <c r="N635" t="s">
        <v>357</v>
      </c>
      <c r="Q635">
        <v>1</v>
      </c>
      <c r="R635" t="s">
        <v>11</v>
      </c>
      <c r="T635">
        <v>10</v>
      </c>
      <c r="V635" t="s">
        <v>18</v>
      </c>
    </row>
    <row r="636" spans="1:22" x14ac:dyDescent="0.25">
      <c r="A636">
        <v>36</v>
      </c>
      <c r="B636" t="s">
        <v>92</v>
      </c>
      <c r="C636" t="s">
        <v>356</v>
      </c>
      <c r="E636" t="s">
        <v>356</v>
      </c>
      <c r="L636" t="s">
        <v>93</v>
      </c>
      <c r="M636">
        <v>20</v>
      </c>
      <c r="N636" t="s">
        <v>132</v>
      </c>
      <c r="Q636">
        <v>4.4870000000000001</v>
      </c>
      <c r="R636" t="s">
        <v>14</v>
      </c>
      <c r="T636">
        <v>10</v>
      </c>
      <c r="V636" t="s">
        <v>15</v>
      </c>
    </row>
    <row r="637" spans="1:22" x14ac:dyDescent="0.25">
      <c r="A637">
        <v>36</v>
      </c>
      <c r="B637" t="s">
        <v>92</v>
      </c>
      <c r="C637" t="s">
        <v>356</v>
      </c>
      <c r="E637" t="s">
        <v>356</v>
      </c>
      <c r="L637" t="s">
        <v>93</v>
      </c>
      <c r="M637">
        <v>30</v>
      </c>
      <c r="N637" t="s">
        <v>102</v>
      </c>
      <c r="Q637">
        <v>1.05</v>
      </c>
      <c r="R637" t="s">
        <v>103</v>
      </c>
      <c r="T637">
        <v>10</v>
      </c>
      <c r="V637" t="s">
        <v>15</v>
      </c>
    </row>
    <row r="638" spans="1:22" x14ac:dyDescent="0.25">
      <c r="A638">
        <v>36</v>
      </c>
      <c r="B638" t="s">
        <v>92</v>
      </c>
      <c r="C638" t="s">
        <v>356</v>
      </c>
      <c r="E638" t="s">
        <v>356</v>
      </c>
      <c r="L638" t="s">
        <v>93</v>
      </c>
      <c r="M638">
        <v>40</v>
      </c>
      <c r="N638" t="s">
        <v>146</v>
      </c>
      <c r="Q638">
        <v>2.1589999999999998</v>
      </c>
      <c r="R638" t="s">
        <v>11</v>
      </c>
      <c r="T638">
        <v>10</v>
      </c>
      <c r="V638" t="s">
        <v>18</v>
      </c>
    </row>
    <row r="639" spans="1:22" x14ac:dyDescent="0.25">
      <c r="A639">
        <v>36</v>
      </c>
      <c r="B639" t="s">
        <v>92</v>
      </c>
      <c r="C639" t="s">
        <v>356</v>
      </c>
      <c r="E639" t="s">
        <v>356</v>
      </c>
      <c r="L639" t="s">
        <v>93</v>
      </c>
      <c r="M639">
        <v>50</v>
      </c>
      <c r="N639" t="s">
        <v>139</v>
      </c>
      <c r="Q639">
        <v>2.1589999999999998</v>
      </c>
      <c r="R639" t="s">
        <v>17</v>
      </c>
      <c r="T639">
        <v>10</v>
      </c>
      <c r="V639" t="s">
        <v>18</v>
      </c>
    </row>
    <row r="640" spans="1:22" x14ac:dyDescent="0.25">
      <c r="A640">
        <v>36</v>
      </c>
      <c r="B640" t="s">
        <v>92</v>
      </c>
      <c r="C640" t="s">
        <v>356</v>
      </c>
      <c r="E640" t="s">
        <v>356</v>
      </c>
      <c r="L640" t="s">
        <v>93</v>
      </c>
      <c r="M640">
        <v>60</v>
      </c>
      <c r="N640" t="s">
        <v>358</v>
      </c>
      <c r="Q640">
        <v>1</v>
      </c>
      <c r="R640" t="s">
        <v>11</v>
      </c>
      <c r="T640">
        <v>10</v>
      </c>
      <c r="V640" t="s">
        <v>18</v>
      </c>
    </row>
    <row r="641" spans="1:22" x14ac:dyDescent="0.25">
      <c r="A641">
        <v>36</v>
      </c>
      <c r="B641" t="s">
        <v>92</v>
      </c>
      <c r="C641" t="s">
        <v>356</v>
      </c>
      <c r="E641" t="s">
        <v>356</v>
      </c>
      <c r="L641" t="s">
        <v>93</v>
      </c>
      <c r="M641">
        <v>70</v>
      </c>
      <c r="N641" t="s">
        <v>148</v>
      </c>
      <c r="Q641">
        <v>21.184000000000001</v>
      </c>
      <c r="R641" t="s">
        <v>17</v>
      </c>
      <c r="T641">
        <v>10</v>
      </c>
      <c r="V641" t="s">
        <v>15</v>
      </c>
    </row>
    <row r="642" spans="1:22" x14ac:dyDescent="0.25">
      <c r="A642">
        <v>36</v>
      </c>
      <c r="B642" t="s">
        <v>92</v>
      </c>
      <c r="C642" t="s">
        <v>356</v>
      </c>
      <c r="E642" t="s">
        <v>356</v>
      </c>
      <c r="L642" t="s">
        <v>93</v>
      </c>
      <c r="M642">
        <v>80</v>
      </c>
      <c r="N642" t="s">
        <v>20</v>
      </c>
      <c r="Q642">
        <v>173.70599999999999</v>
      </c>
      <c r="R642" t="s">
        <v>17</v>
      </c>
      <c r="T642">
        <v>10</v>
      </c>
      <c r="V642" t="s">
        <v>15</v>
      </c>
    </row>
    <row r="643" spans="1:22" x14ac:dyDescent="0.25">
      <c r="A643">
        <v>36</v>
      </c>
      <c r="B643" t="s">
        <v>92</v>
      </c>
      <c r="C643" t="s">
        <v>356</v>
      </c>
      <c r="E643" t="s">
        <v>356</v>
      </c>
      <c r="L643" t="s">
        <v>93</v>
      </c>
      <c r="M643">
        <v>90</v>
      </c>
      <c r="N643" t="s">
        <v>24</v>
      </c>
      <c r="Q643">
        <v>1</v>
      </c>
      <c r="R643" t="s">
        <v>11</v>
      </c>
      <c r="T643">
        <v>10</v>
      </c>
      <c r="V643" t="s">
        <v>15</v>
      </c>
    </row>
    <row r="644" spans="1:22" x14ac:dyDescent="0.25">
      <c r="A644">
        <v>36</v>
      </c>
      <c r="B644" t="s">
        <v>92</v>
      </c>
      <c r="C644" t="s">
        <v>356</v>
      </c>
      <c r="E644" t="s">
        <v>356</v>
      </c>
      <c r="L644" t="s">
        <v>93</v>
      </c>
      <c r="M644">
        <v>100</v>
      </c>
      <c r="N644" t="s">
        <v>141</v>
      </c>
      <c r="Q644">
        <v>0.112</v>
      </c>
      <c r="R644" t="s">
        <v>14</v>
      </c>
      <c r="T644">
        <v>10</v>
      </c>
      <c r="V644" t="s">
        <v>15</v>
      </c>
    </row>
    <row r="645" spans="1:22" x14ac:dyDescent="0.25">
      <c r="A645">
        <v>36</v>
      </c>
      <c r="B645" t="s">
        <v>92</v>
      </c>
      <c r="C645" t="s">
        <v>356</v>
      </c>
      <c r="E645" t="s">
        <v>356</v>
      </c>
      <c r="L645" t="s">
        <v>93</v>
      </c>
      <c r="M645">
        <v>110</v>
      </c>
      <c r="N645" t="s">
        <v>140</v>
      </c>
      <c r="Q645">
        <v>4</v>
      </c>
      <c r="R645" t="s">
        <v>11</v>
      </c>
      <c r="T645">
        <v>10</v>
      </c>
      <c r="V645" t="s">
        <v>15</v>
      </c>
    </row>
    <row r="646" spans="1:22" x14ac:dyDescent="0.25">
      <c r="A646">
        <v>36</v>
      </c>
      <c r="B646" t="s">
        <v>92</v>
      </c>
      <c r="C646" t="s">
        <v>356</v>
      </c>
      <c r="E646" t="s">
        <v>356</v>
      </c>
      <c r="L646" t="s">
        <v>93</v>
      </c>
      <c r="M646">
        <v>120</v>
      </c>
      <c r="N646" t="s">
        <v>25</v>
      </c>
      <c r="Q646">
        <v>1</v>
      </c>
      <c r="R646" t="s">
        <v>11</v>
      </c>
      <c r="T646">
        <v>10</v>
      </c>
      <c r="V646" t="s">
        <v>15</v>
      </c>
    </row>
    <row r="647" spans="1:22" x14ac:dyDescent="0.25">
      <c r="A647">
        <v>36</v>
      </c>
      <c r="B647" t="s">
        <v>92</v>
      </c>
      <c r="C647" t="s">
        <v>356</v>
      </c>
      <c r="E647" t="s">
        <v>356</v>
      </c>
      <c r="L647" t="s">
        <v>93</v>
      </c>
      <c r="M647">
        <v>130</v>
      </c>
      <c r="N647" t="s">
        <v>26</v>
      </c>
      <c r="Q647">
        <v>1</v>
      </c>
      <c r="R647" t="s">
        <v>11</v>
      </c>
      <c r="T647">
        <v>10</v>
      </c>
      <c r="V647" t="s">
        <v>15</v>
      </c>
    </row>
    <row r="648" spans="1:22" x14ac:dyDescent="0.25">
      <c r="A648">
        <v>36</v>
      </c>
      <c r="B648" t="s">
        <v>92</v>
      </c>
      <c r="C648" t="s">
        <v>356</v>
      </c>
      <c r="E648" t="s">
        <v>356</v>
      </c>
      <c r="L648" t="s">
        <v>93</v>
      </c>
      <c r="M648">
        <v>140</v>
      </c>
      <c r="N648" t="s">
        <v>100</v>
      </c>
      <c r="Q648">
        <v>1.27</v>
      </c>
      <c r="R648" t="s">
        <v>14</v>
      </c>
      <c r="T648">
        <v>10</v>
      </c>
      <c r="V648" t="s">
        <v>15</v>
      </c>
    </row>
    <row r="649" spans="1:22" x14ac:dyDescent="0.25">
      <c r="A649">
        <v>36</v>
      </c>
      <c r="B649" t="s">
        <v>92</v>
      </c>
      <c r="C649" t="s">
        <v>356</v>
      </c>
      <c r="E649" t="s">
        <v>356</v>
      </c>
      <c r="L649" t="s">
        <v>93</v>
      </c>
      <c r="M649">
        <v>150</v>
      </c>
      <c r="N649" t="s">
        <v>359</v>
      </c>
      <c r="Q649">
        <v>1</v>
      </c>
      <c r="R649" t="s">
        <v>11</v>
      </c>
      <c r="T649">
        <v>10</v>
      </c>
      <c r="V649" t="s">
        <v>18</v>
      </c>
    </row>
    <row r="650" spans="1:22" x14ac:dyDescent="0.25">
      <c r="A650">
        <v>36</v>
      </c>
      <c r="B650" t="s">
        <v>92</v>
      </c>
      <c r="C650" t="s">
        <v>356</v>
      </c>
      <c r="E650" t="s">
        <v>356</v>
      </c>
      <c r="L650" t="s">
        <v>93</v>
      </c>
      <c r="M650">
        <v>160</v>
      </c>
      <c r="N650" t="s">
        <v>360</v>
      </c>
      <c r="Q650">
        <v>1</v>
      </c>
      <c r="R650" t="s">
        <v>11</v>
      </c>
      <c r="T650">
        <v>10</v>
      </c>
      <c r="V650" t="s">
        <v>18</v>
      </c>
    </row>
    <row r="651" spans="1:22" x14ac:dyDescent="0.25">
      <c r="A651">
        <v>36</v>
      </c>
      <c r="B651" t="s">
        <v>92</v>
      </c>
      <c r="C651" t="s">
        <v>356</v>
      </c>
      <c r="E651" t="s">
        <v>356</v>
      </c>
      <c r="L651" t="s">
        <v>93</v>
      </c>
      <c r="M651">
        <v>170</v>
      </c>
      <c r="N651" t="s">
        <v>142</v>
      </c>
      <c r="Q651">
        <v>7.0609999999999999</v>
      </c>
      <c r="R651" t="s">
        <v>11</v>
      </c>
      <c r="T651">
        <v>10</v>
      </c>
      <c r="V651" t="s">
        <v>15</v>
      </c>
    </row>
    <row r="652" spans="1:22" x14ac:dyDescent="0.25">
      <c r="A652">
        <v>36</v>
      </c>
      <c r="B652" t="s">
        <v>92</v>
      </c>
      <c r="C652" t="s">
        <v>356</v>
      </c>
      <c r="E652" t="s">
        <v>356</v>
      </c>
      <c r="L652" t="s">
        <v>93</v>
      </c>
      <c r="M652">
        <v>180</v>
      </c>
      <c r="N652" t="s">
        <v>361</v>
      </c>
      <c r="Q652">
        <v>1</v>
      </c>
      <c r="R652" t="s">
        <v>11</v>
      </c>
      <c r="T652">
        <v>10</v>
      </c>
      <c r="V652" t="s">
        <v>18</v>
      </c>
    </row>
    <row r="653" spans="1:22" x14ac:dyDescent="0.25">
      <c r="A653">
        <v>37</v>
      </c>
      <c r="B653" t="s">
        <v>92</v>
      </c>
      <c r="C653" t="s">
        <v>362</v>
      </c>
      <c r="E653" t="s">
        <v>362</v>
      </c>
      <c r="L653" t="s">
        <v>93</v>
      </c>
      <c r="M653">
        <v>10</v>
      </c>
      <c r="N653" t="s">
        <v>363</v>
      </c>
      <c r="Q653">
        <v>1</v>
      </c>
      <c r="R653" t="s">
        <v>11</v>
      </c>
      <c r="T653">
        <v>10</v>
      </c>
      <c r="V653" t="s">
        <v>18</v>
      </c>
    </row>
    <row r="654" spans="1:22" x14ac:dyDescent="0.25">
      <c r="A654">
        <v>37</v>
      </c>
      <c r="B654" t="s">
        <v>92</v>
      </c>
      <c r="C654" t="s">
        <v>362</v>
      </c>
      <c r="E654" t="s">
        <v>362</v>
      </c>
      <c r="L654" t="s">
        <v>93</v>
      </c>
      <c r="M654">
        <v>20</v>
      </c>
      <c r="N654" t="s">
        <v>132</v>
      </c>
      <c r="Q654">
        <v>4.4870000000000001</v>
      </c>
      <c r="R654" t="s">
        <v>14</v>
      </c>
      <c r="T654">
        <v>10</v>
      </c>
      <c r="V654" t="s">
        <v>15</v>
      </c>
    </row>
    <row r="655" spans="1:22" x14ac:dyDescent="0.25">
      <c r="A655">
        <v>37</v>
      </c>
      <c r="B655" t="s">
        <v>92</v>
      </c>
      <c r="C655" t="s">
        <v>362</v>
      </c>
      <c r="E655" t="s">
        <v>362</v>
      </c>
      <c r="L655" t="s">
        <v>93</v>
      </c>
      <c r="M655">
        <v>30</v>
      </c>
      <c r="N655" t="s">
        <v>102</v>
      </c>
      <c r="Q655">
        <v>1.113</v>
      </c>
      <c r="R655" t="s">
        <v>103</v>
      </c>
      <c r="T655">
        <v>10</v>
      </c>
      <c r="V655" t="s">
        <v>15</v>
      </c>
    </row>
    <row r="656" spans="1:22" x14ac:dyDescent="0.25">
      <c r="A656">
        <v>37</v>
      </c>
      <c r="B656" t="s">
        <v>92</v>
      </c>
      <c r="C656" t="s">
        <v>362</v>
      </c>
      <c r="E656" t="s">
        <v>362</v>
      </c>
      <c r="L656" t="s">
        <v>93</v>
      </c>
      <c r="M656">
        <v>40</v>
      </c>
      <c r="N656" t="s">
        <v>146</v>
      </c>
      <c r="Q656">
        <v>2.1589999999999998</v>
      </c>
      <c r="R656" t="s">
        <v>11</v>
      </c>
      <c r="T656">
        <v>10</v>
      </c>
      <c r="V656" t="s">
        <v>18</v>
      </c>
    </row>
    <row r="657" spans="1:22" x14ac:dyDescent="0.25">
      <c r="A657">
        <v>37</v>
      </c>
      <c r="B657" t="s">
        <v>92</v>
      </c>
      <c r="C657" t="s">
        <v>362</v>
      </c>
      <c r="E657" t="s">
        <v>362</v>
      </c>
      <c r="L657" t="s">
        <v>93</v>
      </c>
      <c r="M657">
        <v>50</v>
      </c>
      <c r="N657" t="s">
        <v>139</v>
      </c>
      <c r="Q657">
        <v>2.1589999999999998</v>
      </c>
      <c r="R657" t="s">
        <v>17</v>
      </c>
      <c r="T657">
        <v>10</v>
      </c>
      <c r="V657" t="s">
        <v>18</v>
      </c>
    </row>
    <row r="658" spans="1:22" x14ac:dyDescent="0.25">
      <c r="A658">
        <v>37</v>
      </c>
      <c r="B658" t="s">
        <v>92</v>
      </c>
      <c r="C658" t="s">
        <v>362</v>
      </c>
      <c r="E658" t="s">
        <v>362</v>
      </c>
      <c r="L658" t="s">
        <v>93</v>
      </c>
      <c r="M658">
        <v>60</v>
      </c>
      <c r="N658" t="s">
        <v>364</v>
      </c>
      <c r="Q658">
        <v>1</v>
      </c>
      <c r="R658" t="s">
        <v>11</v>
      </c>
      <c r="T658">
        <v>10</v>
      </c>
      <c r="V658" t="s">
        <v>18</v>
      </c>
    </row>
    <row r="659" spans="1:22" x14ac:dyDescent="0.25">
      <c r="A659">
        <v>37</v>
      </c>
      <c r="B659" t="s">
        <v>92</v>
      </c>
      <c r="C659" t="s">
        <v>362</v>
      </c>
      <c r="E659" t="s">
        <v>362</v>
      </c>
      <c r="L659" t="s">
        <v>93</v>
      </c>
      <c r="M659">
        <v>70</v>
      </c>
      <c r="N659" t="s">
        <v>148</v>
      </c>
      <c r="Q659">
        <v>21.640999999999998</v>
      </c>
      <c r="R659" t="s">
        <v>17</v>
      </c>
      <c r="T659">
        <v>10</v>
      </c>
      <c r="V659" t="s">
        <v>15</v>
      </c>
    </row>
    <row r="660" spans="1:22" x14ac:dyDescent="0.25">
      <c r="A660">
        <v>37</v>
      </c>
      <c r="B660" t="s">
        <v>92</v>
      </c>
      <c r="C660" t="s">
        <v>362</v>
      </c>
      <c r="E660" t="s">
        <v>362</v>
      </c>
      <c r="L660" t="s">
        <v>93</v>
      </c>
      <c r="M660">
        <v>80</v>
      </c>
      <c r="N660" t="s">
        <v>20</v>
      </c>
      <c r="Q660">
        <v>177.45500000000001</v>
      </c>
      <c r="R660" t="s">
        <v>17</v>
      </c>
      <c r="T660">
        <v>10</v>
      </c>
      <c r="V660" t="s">
        <v>15</v>
      </c>
    </row>
    <row r="661" spans="1:22" x14ac:dyDescent="0.25">
      <c r="A661">
        <v>37</v>
      </c>
      <c r="B661" t="s">
        <v>92</v>
      </c>
      <c r="C661" t="s">
        <v>362</v>
      </c>
      <c r="E661" t="s">
        <v>362</v>
      </c>
      <c r="L661" t="s">
        <v>93</v>
      </c>
      <c r="M661">
        <v>90</v>
      </c>
      <c r="N661" t="s">
        <v>24</v>
      </c>
      <c r="Q661">
        <v>1</v>
      </c>
      <c r="R661" t="s">
        <v>11</v>
      </c>
      <c r="T661">
        <v>10</v>
      </c>
      <c r="V661" t="s">
        <v>15</v>
      </c>
    </row>
    <row r="662" spans="1:22" x14ac:dyDescent="0.25">
      <c r="A662">
        <v>37</v>
      </c>
      <c r="B662" t="s">
        <v>92</v>
      </c>
      <c r="C662" t="s">
        <v>362</v>
      </c>
      <c r="E662" t="s">
        <v>362</v>
      </c>
      <c r="L662" t="s">
        <v>93</v>
      </c>
      <c r="M662">
        <v>100</v>
      </c>
      <c r="N662" t="s">
        <v>141</v>
      </c>
      <c r="Q662">
        <v>0.11700000000000001</v>
      </c>
      <c r="R662" t="s">
        <v>14</v>
      </c>
      <c r="T662">
        <v>10</v>
      </c>
      <c r="V662" t="s">
        <v>15</v>
      </c>
    </row>
    <row r="663" spans="1:22" x14ac:dyDescent="0.25">
      <c r="A663">
        <v>37</v>
      </c>
      <c r="B663" t="s">
        <v>92</v>
      </c>
      <c r="C663" t="s">
        <v>362</v>
      </c>
      <c r="E663" t="s">
        <v>362</v>
      </c>
      <c r="L663" t="s">
        <v>93</v>
      </c>
      <c r="M663">
        <v>110</v>
      </c>
      <c r="N663" t="s">
        <v>140</v>
      </c>
      <c r="Q663">
        <v>4</v>
      </c>
      <c r="R663" t="s">
        <v>11</v>
      </c>
      <c r="T663">
        <v>10</v>
      </c>
      <c r="V663" t="s">
        <v>15</v>
      </c>
    </row>
    <row r="664" spans="1:22" x14ac:dyDescent="0.25">
      <c r="A664">
        <v>37</v>
      </c>
      <c r="B664" t="s">
        <v>92</v>
      </c>
      <c r="C664" t="s">
        <v>362</v>
      </c>
      <c r="E664" t="s">
        <v>362</v>
      </c>
      <c r="L664" t="s">
        <v>93</v>
      </c>
      <c r="M664">
        <v>120</v>
      </c>
      <c r="N664" t="s">
        <v>25</v>
      </c>
      <c r="Q664">
        <v>1</v>
      </c>
      <c r="R664" t="s">
        <v>11</v>
      </c>
      <c r="T664">
        <v>10</v>
      </c>
      <c r="V664" t="s">
        <v>15</v>
      </c>
    </row>
    <row r="665" spans="1:22" x14ac:dyDescent="0.25">
      <c r="A665">
        <v>37</v>
      </c>
      <c r="B665" t="s">
        <v>92</v>
      </c>
      <c r="C665" t="s">
        <v>362</v>
      </c>
      <c r="E665" t="s">
        <v>362</v>
      </c>
      <c r="L665" t="s">
        <v>93</v>
      </c>
      <c r="M665">
        <v>130</v>
      </c>
      <c r="N665" t="s">
        <v>26</v>
      </c>
      <c r="Q665">
        <v>1</v>
      </c>
      <c r="R665" t="s">
        <v>11</v>
      </c>
      <c r="T665">
        <v>10</v>
      </c>
      <c r="V665" t="s">
        <v>15</v>
      </c>
    </row>
    <row r="666" spans="1:22" x14ac:dyDescent="0.25">
      <c r="A666">
        <v>37</v>
      </c>
      <c r="B666" t="s">
        <v>92</v>
      </c>
      <c r="C666" t="s">
        <v>362</v>
      </c>
      <c r="E666" t="s">
        <v>362</v>
      </c>
      <c r="L666" t="s">
        <v>93</v>
      </c>
      <c r="M666">
        <v>140</v>
      </c>
      <c r="N666" t="s">
        <v>100</v>
      </c>
      <c r="Q666">
        <v>1.27</v>
      </c>
      <c r="R666" t="s">
        <v>14</v>
      </c>
      <c r="T666">
        <v>10</v>
      </c>
      <c r="V666" t="s">
        <v>15</v>
      </c>
    </row>
    <row r="667" spans="1:22" x14ac:dyDescent="0.25">
      <c r="A667">
        <v>37</v>
      </c>
      <c r="B667" t="s">
        <v>92</v>
      </c>
      <c r="C667" t="s">
        <v>362</v>
      </c>
      <c r="E667" t="s">
        <v>362</v>
      </c>
      <c r="L667" t="s">
        <v>93</v>
      </c>
      <c r="M667">
        <v>150</v>
      </c>
      <c r="N667" t="s">
        <v>365</v>
      </c>
      <c r="Q667">
        <v>1</v>
      </c>
      <c r="R667" t="s">
        <v>11</v>
      </c>
      <c r="T667">
        <v>10</v>
      </c>
      <c r="V667" t="s">
        <v>18</v>
      </c>
    </row>
    <row r="668" spans="1:22" x14ac:dyDescent="0.25">
      <c r="A668">
        <v>37</v>
      </c>
      <c r="B668" t="s">
        <v>92</v>
      </c>
      <c r="C668" t="s">
        <v>362</v>
      </c>
      <c r="E668" t="s">
        <v>362</v>
      </c>
      <c r="L668" t="s">
        <v>93</v>
      </c>
      <c r="M668">
        <v>160</v>
      </c>
      <c r="N668" t="s">
        <v>366</v>
      </c>
      <c r="Q668">
        <v>1</v>
      </c>
      <c r="R668" t="s">
        <v>11</v>
      </c>
      <c r="T668">
        <v>10</v>
      </c>
      <c r="V668" t="s">
        <v>18</v>
      </c>
    </row>
    <row r="669" spans="1:22" x14ac:dyDescent="0.25">
      <c r="A669">
        <v>37</v>
      </c>
      <c r="B669" t="s">
        <v>92</v>
      </c>
      <c r="C669" t="s">
        <v>362</v>
      </c>
      <c r="E669" t="s">
        <v>362</v>
      </c>
      <c r="L669" t="s">
        <v>93</v>
      </c>
      <c r="M669">
        <v>170</v>
      </c>
      <c r="N669" t="s">
        <v>142</v>
      </c>
      <c r="Q669">
        <v>7.2140000000000004</v>
      </c>
      <c r="R669" t="s">
        <v>11</v>
      </c>
      <c r="T669">
        <v>10</v>
      </c>
      <c r="V669" t="s">
        <v>15</v>
      </c>
    </row>
    <row r="670" spans="1:22" x14ac:dyDescent="0.25">
      <c r="A670">
        <v>37</v>
      </c>
      <c r="B670" t="s">
        <v>92</v>
      </c>
      <c r="C670" t="s">
        <v>362</v>
      </c>
      <c r="E670" t="s">
        <v>362</v>
      </c>
      <c r="L670" t="s">
        <v>93</v>
      </c>
      <c r="M670">
        <v>180</v>
      </c>
      <c r="N670" t="s">
        <v>367</v>
      </c>
      <c r="Q670">
        <v>1</v>
      </c>
      <c r="R670" t="s">
        <v>11</v>
      </c>
      <c r="T670">
        <v>10</v>
      </c>
      <c r="V670" t="s">
        <v>18</v>
      </c>
    </row>
    <row r="671" spans="1:22" x14ac:dyDescent="0.25">
      <c r="A671">
        <v>38</v>
      </c>
      <c r="B671" t="s">
        <v>92</v>
      </c>
      <c r="C671" t="s">
        <v>368</v>
      </c>
      <c r="E671" t="s">
        <v>368</v>
      </c>
      <c r="L671" t="s">
        <v>93</v>
      </c>
      <c r="M671">
        <v>10</v>
      </c>
      <c r="N671" t="s">
        <v>369</v>
      </c>
      <c r="Q671">
        <v>1</v>
      </c>
      <c r="R671" t="s">
        <v>11</v>
      </c>
      <c r="T671">
        <v>10</v>
      </c>
      <c r="V671" t="s">
        <v>18</v>
      </c>
    </row>
    <row r="672" spans="1:22" x14ac:dyDescent="0.25">
      <c r="A672">
        <v>38</v>
      </c>
      <c r="B672" t="s">
        <v>92</v>
      </c>
      <c r="C672" t="s">
        <v>368</v>
      </c>
      <c r="E672" t="s">
        <v>368</v>
      </c>
      <c r="L672" t="s">
        <v>93</v>
      </c>
      <c r="M672">
        <v>20</v>
      </c>
      <c r="N672" t="s">
        <v>132</v>
      </c>
      <c r="Q672">
        <v>4.4870000000000001</v>
      </c>
      <c r="R672" t="s">
        <v>14</v>
      </c>
      <c r="T672">
        <v>10</v>
      </c>
      <c r="V672" t="s">
        <v>15</v>
      </c>
    </row>
    <row r="673" spans="1:22" x14ac:dyDescent="0.25">
      <c r="A673">
        <v>38</v>
      </c>
      <c r="B673" t="s">
        <v>92</v>
      </c>
      <c r="C673" t="s">
        <v>368</v>
      </c>
      <c r="E673" t="s">
        <v>368</v>
      </c>
      <c r="L673" t="s">
        <v>93</v>
      </c>
      <c r="M673">
        <v>30</v>
      </c>
      <c r="N673" t="s">
        <v>102</v>
      </c>
      <c r="Q673">
        <v>1.177</v>
      </c>
      <c r="R673" t="s">
        <v>103</v>
      </c>
      <c r="T673">
        <v>10</v>
      </c>
      <c r="V673" t="s">
        <v>15</v>
      </c>
    </row>
    <row r="674" spans="1:22" x14ac:dyDescent="0.25">
      <c r="A674">
        <v>38</v>
      </c>
      <c r="B674" t="s">
        <v>92</v>
      </c>
      <c r="C674" t="s">
        <v>368</v>
      </c>
      <c r="E674" t="s">
        <v>368</v>
      </c>
      <c r="L674" t="s">
        <v>93</v>
      </c>
      <c r="M674">
        <v>40</v>
      </c>
      <c r="N674" t="s">
        <v>146</v>
      </c>
      <c r="Q674">
        <v>2.1589999999999998</v>
      </c>
      <c r="R674" t="s">
        <v>11</v>
      </c>
      <c r="T674">
        <v>10</v>
      </c>
      <c r="V674" t="s">
        <v>18</v>
      </c>
    </row>
    <row r="675" spans="1:22" x14ac:dyDescent="0.25">
      <c r="A675">
        <v>38</v>
      </c>
      <c r="B675" t="s">
        <v>92</v>
      </c>
      <c r="C675" t="s">
        <v>368</v>
      </c>
      <c r="E675" t="s">
        <v>368</v>
      </c>
      <c r="L675" t="s">
        <v>93</v>
      </c>
      <c r="M675">
        <v>50</v>
      </c>
      <c r="N675" t="s">
        <v>139</v>
      </c>
      <c r="Q675">
        <v>2.1589999999999998</v>
      </c>
      <c r="R675" t="s">
        <v>17</v>
      </c>
      <c r="T675">
        <v>10</v>
      </c>
      <c r="V675" t="s">
        <v>18</v>
      </c>
    </row>
    <row r="676" spans="1:22" x14ac:dyDescent="0.25">
      <c r="A676">
        <v>38</v>
      </c>
      <c r="B676" t="s">
        <v>92</v>
      </c>
      <c r="C676" t="s">
        <v>368</v>
      </c>
      <c r="E676" t="s">
        <v>368</v>
      </c>
      <c r="L676" t="s">
        <v>93</v>
      </c>
      <c r="M676">
        <v>60</v>
      </c>
      <c r="N676" t="s">
        <v>370</v>
      </c>
      <c r="Q676">
        <v>1</v>
      </c>
      <c r="R676" t="s">
        <v>11</v>
      </c>
      <c r="T676">
        <v>10</v>
      </c>
      <c r="V676" t="s">
        <v>18</v>
      </c>
    </row>
    <row r="677" spans="1:22" x14ac:dyDescent="0.25">
      <c r="A677">
        <v>38</v>
      </c>
      <c r="B677" t="s">
        <v>92</v>
      </c>
      <c r="C677" t="s">
        <v>368</v>
      </c>
      <c r="E677" t="s">
        <v>368</v>
      </c>
      <c r="L677" t="s">
        <v>93</v>
      </c>
      <c r="M677">
        <v>70</v>
      </c>
      <c r="N677" t="s">
        <v>148</v>
      </c>
      <c r="Q677">
        <v>22.097999999999999</v>
      </c>
      <c r="R677" t="s">
        <v>17</v>
      </c>
      <c r="T677">
        <v>10</v>
      </c>
      <c r="V677" t="s">
        <v>15</v>
      </c>
    </row>
    <row r="678" spans="1:22" x14ac:dyDescent="0.25">
      <c r="A678">
        <v>38</v>
      </c>
      <c r="B678" t="s">
        <v>92</v>
      </c>
      <c r="C678" t="s">
        <v>368</v>
      </c>
      <c r="E678" t="s">
        <v>368</v>
      </c>
      <c r="L678" t="s">
        <v>93</v>
      </c>
      <c r="M678">
        <v>80</v>
      </c>
      <c r="N678" t="s">
        <v>20</v>
      </c>
      <c r="Q678">
        <v>181.20400000000001</v>
      </c>
      <c r="R678" t="s">
        <v>17</v>
      </c>
      <c r="T678">
        <v>10</v>
      </c>
      <c r="V678" t="s">
        <v>15</v>
      </c>
    </row>
    <row r="679" spans="1:22" x14ac:dyDescent="0.25">
      <c r="A679">
        <v>38</v>
      </c>
      <c r="B679" t="s">
        <v>92</v>
      </c>
      <c r="C679" t="s">
        <v>368</v>
      </c>
      <c r="E679" t="s">
        <v>368</v>
      </c>
      <c r="L679" t="s">
        <v>93</v>
      </c>
      <c r="M679">
        <v>90</v>
      </c>
      <c r="N679" t="s">
        <v>24</v>
      </c>
      <c r="Q679">
        <v>1</v>
      </c>
      <c r="R679" t="s">
        <v>11</v>
      </c>
      <c r="T679">
        <v>10</v>
      </c>
      <c r="V679" t="s">
        <v>15</v>
      </c>
    </row>
    <row r="680" spans="1:22" x14ac:dyDescent="0.25">
      <c r="A680">
        <v>38</v>
      </c>
      <c r="B680" t="s">
        <v>92</v>
      </c>
      <c r="C680" t="s">
        <v>368</v>
      </c>
      <c r="E680" t="s">
        <v>368</v>
      </c>
      <c r="L680" t="s">
        <v>93</v>
      </c>
      <c r="M680">
        <v>100</v>
      </c>
      <c r="N680" t="s">
        <v>141</v>
      </c>
      <c r="Q680">
        <v>0.123</v>
      </c>
      <c r="R680" t="s">
        <v>14</v>
      </c>
      <c r="T680">
        <v>10</v>
      </c>
      <c r="V680" t="s">
        <v>15</v>
      </c>
    </row>
    <row r="681" spans="1:22" x14ac:dyDescent="0.25">
      <c r="A681">
        <v>38</v>
      </c>
      <c r="B681" t="s">
        <v>92</v>
      </c>
      <c r="C681" t="s">
        <v>368</v>
      </c>
      <c r="E681" t="s">
        <v>368</v>
      </c>
      <c r="L681" t="s">
        <v>93</v>
      </c>
      <c r="M681">
        <v>110</v>
      </c>
      <c r="N681" t="s">
        <v>140</v>
      </c>
      <c r="Q681">
        <v>4</v>
      </c>
      <c r="R681" t="s">
        <v>11</v>
      </c>
      <c r="T681">
        <v>10</v>
      </c>
      <c r="V681" t="s">
        <v>15</v>
      </c>
    </row>
    <row r="682" spans="1:22" x14ac:dyDescent="0.25">
      <c r="A682">
        <v>38</v>
      </c>
      <c r="B682" t="s">
        <v>92</v>
      </c>
      <c r="C682" t="s">
        <v>368</v>
      </c>
      <c r="E682" t="s">
        <v>368</v>
      </c>
      <c r="L682" t="s">
        <v>93</v>
      </c>
      <c r="M682">
        <v>120</v>
      </c>
      <c r="N682" t="s">
        <v>25</v>
      </c>
      <c r="Q682">
        <v>1</v>
      </c>
      <c r="R682" t="s">
        <v>11</v>
      </c>
      <c r="T682">
        <v>10</v>
      </c>
      <c r="V682" t="s">
        <v>15</v>
      </c>
    </row>
    <row r="683" spans="1:22" x14ac:dyDescent="0.25">
      <c r="A683">
        <v>38</v>
      </c>
      <c r="B683" t="s">
        <v>92</v>
      </c>
      <c r="C683" t="s">
        <v>368</v>
      </c>
      <c r="E683" t="s">
        <v>368</v>
      </c>
      <c r="L683" t="s">
        <v>93</v>
      </c>
      <c r="M683">
        <v>130</v>
      </c>
      <c r="N683" t="s">
        <v>26</v>
      </c>
      <c r="Q683">
        <v>1</v>
      </c>
      <c r="R683" t="s">
        <v>11</v>
      </c>
      <c r="T683">
        <v>10</v>
      </c>
      <c r="V683" t="s">
        <v>15</v>
      </c>
    </row>
    <row r="684" spans="1:22" x14ac:dyDescent="0.25">
      <c r="A684">
        <v>38</v>
      </c>
      <c r="B684" t="s">
        <v>92</v>
      </c>
      <c r="C684" t="s">
        <v>368</v>
      </c>
      <c r="E684" t="s">
        <v>368</v>
      </c>
      <c r="L684" t="s">
        <v>93</v>
      </c>
      <c r="M684">
        <v>140</v>
      </c>
      <c r="N684" t="s">
        <v>100</v>
      </c>
      <c r="Q684">
        <v>1.27</v>
      </c>
      <c r="R684" t="s">
        <v>14</v>
      </c>
      <c r="T684">
        <v>10</v>
      </c>
      <c r="V684" t="s">
        <v>15</v>
      </c>
    </row>
    <row r="685" spans="1:22" x14ac:dyDescent="0.25">
      <c r="A685">
        <v>38</v>
      </c>
      <c r="B685" t="s">
        <v>92</v>
      </c>
      <c r="C685" t="s">
        <v>368</v>
      </c>
      <c r="E685" t="s">
        <v>368</v>
      </c>
      <c r="L685" t="s">
        <v>93</v>
      </c>
      <c r="M685">
        <v>150</v>
      </c>
      <c r="N685" t="s">
        <v>371</v>
      </c>
      <c r="Q685">
        <v>1</v>
      </c>
      <c r="R685" t="s">
        <v>11</v>
      </c>
      <c r="T685">
        <v>10</v>
      </c>
      <c r="V685" t="s">
        <v>18</v>
      </c>
    </row>
    <row r="686" spans="1:22" x14ac:dyDescent="0.25">
      <c r="A686">
        <v>38</v>
      </c>
      <c r="B686" t="s">
        <v>92</v>
      </c>
      <c r="C686" t="s">
        <v>368</v>
      </c>
      <c r="E686" t="s">
        <v>368</v>
      </c>
      <c r="L686" t="s">
        <v>93</v>
      </c>
      <c r="M686">
        <v>160</v>
      </c>
      <c r="N686" t="s">
        <v>372</v>
      </c>
      <c r="Q686">
        <v>1</v>
      </c>
      <c r="R686" t="s">
        <v>11</v>
      </c>
      <c r="T686">
        <v>10</v>
      </c>
      <c r="V686" t="s">
        <v>18</v>
      </c>
    </row>
    <row r="687" spans="1:22" x14ac:dyDescent="0.25">
      <c r="A687">
        <v>38</v>
      </c>
      <c r="B687" t="s">
        <v>92</v>
      </c>
      <c r="C687" t="s">
        <v>368</v>
      </c>
      <c r="E687" t="s">
        <v>368</v>
      </c>
      <c r="L687" t="s">
        <v>93</v>
      </c>
      <c r="M687">
        <v>170</v>
      </c>
      <c r="N687" t="s">
        <v>142</v>
      </c>
      <c r="Q687">
        <v>7.3659999999999997</v>
      </c>
      <c r="R687" t="s">
        <v>11</v>
      </c>
      <c r="T687">
        <v>10</v>
      </c>
      <c r="V687" t="s">
        <v>15</v>
      </c>
    </row>
    <row r="688" spans="1:22" x14ac:dyDescent="0.25">
      <c r="A688">
        <v>38</v>
      </c>
      <c r="B688" t="s">
        <v>92</v>
      </c>
      <c r="C688" t="s">
        <v>368</v>
      </c>
      <c r="E688" t="s">
        <v>368</v>
      </c>
      <c r="L688" t="s">
        <v>93</v>
      </c>
      <c r="M688">
        <v>180</v>
      </c>
      <c r="N688" t="s">
        <v>373</v>
      </c>
      <c r="Q688">
        <v>1</v>
      </c>
      <c r="R688" t="s">
        <v>11</v>
      </c>
      <c r="T688">
        <v>10</v>
      </c>
      <c r="V688" t="s">
        <v>18</v>
      </c>
    </row>
    <row r="689" spans="1:22" x14ac:dyDescent="0.25">
      <c r="A689">
        <v>39</v>
      </c>
      <c r="B689" t="s">
        <v>92</v>
      </c>
      <c r="C689" t="s">
        <v>374</v>
      </c>
      <c r="E689" t="s">
        <v>374</v>
      </c>
      <c r="L689" t="s">
        <v>93</v>
      </c>
      <c r="M689">
        <v>10</v>
      </c>
      <c r="N689" t="s">
        <v>375</v>
      </c>
      <c r="Q689">
        <v>1</v>
      </c>
      <c r="R689" t="s">
        <v>11</v>
      </c>
      <c r="T689">
        <v>10</v>
      </c>
      <c r="V689" t="s">
        <v>18</v>
      </c>
    </row>
    <row r="690" spans="1:22" x14ac:dyDescent="0.25">
      <c r="A690">
        <v>39</v>
      </c>
      <c r="B690" t="s">
        <v>92</v>
      </c>
      <c r="C690" t="s">
        <v>374</v>
      </c>
      <c r="E690" t="s">
        <v>374</v>
      </c>
      <c r="L690" t="s">
        <v>93</v>
      </c>
      <c r="M690">
        <v>20</v>
      </c>
      <c r="N690" t="s">
        <v>132</v>
      </c>
      <c r="Q690">
        <v>4.9400000000000004</v>
      </c>
      <c r="R690" t="s">
        <v>14</v>
      </c>
      <c r="T690">
        <v>10</v>
      </c>
      <c r="V690" t="s">
        <v>15</v>
      </c>
    </row>
    <row r="691" spans="1:22" x14ac:dyDescent="0.25">
      <c r="A691">
        <v>39</v>
      </c>
      <c r="B691" t="s">
        <v>92</v>
      </c>
      <c r="C691" t="s">
        <v>374</v>
      </c>
      <c r="E691" t="s">
        <v>374</v>
      </c>
      <c r="L691" t="s">
        <v>93</v>
      </c>
      <c r="M691">
        <v>30</v>
      </c>
      <c r="N691" t="s">
        <v>102</v>
      </c>
      <c r="Q691">
        <v>1.3029999999999999</v>
      </c>
      <c r="R691" t="s">
        <v>103</v>
      </c>
      <c r="T691">
        <v>10</v>
      </c>
      <c r="V691" t="s">
        <v>15</v>
      </c>
    </row>
    <row r="692" spans="1:22" x14ac:dyDescent="0.25">
      <c r="A692">
        <v>39</v>
      </c>
      <c r="B692" t="s">
        <v>92</v>
      </c>
      <c r="C692" t="s">
        <v>374</v>
      </c>
      <c r="E692" t="s">
        <v>374</v>
      </c>
      <c r="L692" t="s">
        <v>93</v>
      </c>
      <c r="M692">
        <v>40</v>
      </c>
      <c r="N692" t="s">
        <v>146</v>
      </c>
      <c r="Q692">
        <v>2.1589999999999998</v>
      </c>
      <c r="R692" t="s">
        <v>11</v>
      </c>
      <c r="T692">
        <v>10</v>
      </c>
      <c r="V692" t="s">
        <v>18</v>
      </c>
    </row>
    <row r="693" spans="1:22" x14ac:dyDescent="0.25">
      <c r="A693">
        <v>39</v>
      </c>
      <c r="B693" t="s">
        <v>92</v>
      </c>
      <c r="C693" t="s">
        <v>374</v>
      </c>
      <c r="E693" t="s">
        <v>374</v>
      </c>
      <c r="L693" t="s">
        <v>93</v>
      </c>
      <c r="M693">
        <v>50</v>
      </c>
      <c r="N693" t="s">
        <v>139</v>
      </c>
      <c r="Q693">
        <v>2.1589999999999998</v>
      </c>
      <c r="R693" t="s">
        <v>17</v>
      </c>
      <c r="T693">
        <v>10</v>
      </c>
      <c r="V693" t="s">
        <v>18</v>
      </c>
    </row>
    <row r="694" spans="1:22" x14ac:dyDescent="0.25">
      <c r="A694">
        <v>39</v>
      </c>
      <c r="B694" t="s">
        <v>92</v>
      </c>
      <c r="C694" t="s">
        <v>374</v>
      </c>
      <c r="E694" t="s">
        <v>374</v>
      </c>
      <c r="L694" t="s">
        <v>93</v>
      </c>
      <c r="M694">
        <v>60</v>
      </c>
      <c r="N694" t="s">
        <v>376</v>
      </c>
      <c r="Q694">
        <v>1</v>
      </c>
      <c r="R694" t="s">
        <v>11</v>
      </c>
      <c r="T694">
        <v>10</v>
      </c>
      <c r="V694" t="s">
        <v>18</v>
      </c>
    </row>
    <row r="695" spans="1:22" x14ac:dyDescent="0.25">
      <c r="A695">
        <v>39</v>
      </c>
      <c r="B695" t="s">
        <v>92</v>
      </c>
      <c r="C695" t="s">
        <v>374</v>
      </c>
      <c r="E695" t="s">
        <v>374</v>
      </c>
      <c r="L695" t="s">
        <v>93</v>
      </c>
      <c r="M695">
        <v>70</v>
      </c>
      <c r="N695" t="s">
        <v>148</v>
      </c>
      <c r="Q695">
        <v>23.012</v>
      </c>
      <c r="R695" t="s">
        <v>17</v>
      </c>
      <c r="T695">
        <v>10</v>
      </c>
      <c r="V695" t="s">
        <v>15</v>
      </c>
    </row>
    <row r="696" spans="1:22" x14ac:dyDescent="0.25">
      <c r="A696">
        <v>39</v>
      </c>
      <c r="B696" t="s">
        <v>92</v>
      </c>
      <c r="C696" t="s">
        <v>374</v>
      </c>
      <c r="E696" t="s">
        <v>374</v>
      </c>
      <c r="L696" t="s">
        <v>93</v>
      </c>
      <c r="M696">
        <v>80</v>
      </c>
      <c r="N696" t="s">
        <v>20</v>
      </c>
      <c r="Q696">
        <v>188.702</v>
      </c>
      <c r="R696" t="s">
        <v>17</v>
      </c>
      <c r="T696">
        <v>10</v>
      </c>
      <c r="V696" t="s">
        <v>15</v>
      </c>
    </row>
    <row r="697" spans="1:22" x14ac:dyDescent="0.25">
      <c r="A697">
        <v>39</v>
      </c>
      <c r="B697" t="s">
        <v>92</v>
      </c>
      <c r="C697" t="s">
        <v>374</v>
      </c>
      <c r="E697" t="s">
        <v>374</v>
      </c>
      <c r="L697" t="s">
        <v>93</v>
      </c>
      <c r="M697">
        <v>90</v>
      </c>
      <c r="N697" t="s">
        <v>24</v>
      </c>
      <c r="Q697">
        <v>1</v>
      </c>
      <c r="R697" t="s">
        <v>11</v>
      </c>
      <c r="T697">
        <v>10</v>
      </c>
      <c r="V697" t="s">
        <v>15</v>
      </c>
    </row>
    <row r="698" spans="1:22" x14ac:dyDescent="0.25">
      <c r="A698">
        <v>39</v>
      </c>
      <c r="B698" t="s">
        <v>92</v>
      </c>
      <c r="C698" t="s">
        <v>374</v>
      </c>
      <c r="E698" t="s">
        <v>374</v>
      </c>
      <c r="L698" t="s">
        <v>93</v>
      </c>
      <c r="M698">
        <v>100</v>
      </c>
      <c r="N698" t="s">
        <v>141</v>
      </c>
      <c r="Q698">
        <v>0.13300000000000001</v>
      </c>
      <c r="R698" t="s">
        <v>14</v>
      </c>
      <c r="T698">
        <v>10</v>
      </c>
      <c r="V698" t="s">
        <v>15</v>
      </c>
    </row>
    <row r="699" spans="1:22" x14ac:dyDescent="0.25">
      <c r="A699">
        <v>39</v>
      </c>
      <c r="B699" t="s">
        <v>92</v>
      </c>
      <c r="C699" t="s">
        <v>374</v>
      </c>
      <c r="E699" t="s">
        <v>374</v>
      </c>
      <c r="L699" t="s">
        <v>93</v>
      </c>
      <c r="M699">
        <v>110</v>
      </c>
      <c r="N699" t="s">
        <v>140</v>
      </c>
      <c r="Q699">
        <v>4</v>
      </c>
      <c r="R699" t="s">
        <v>11</v>
      </c>
      <c r="T699">
        <v>10</v>
      </c>
      <c r="V699" t="s">
        <v>15</v>
      </c>
    </row>
    <row r="700" spans="1:22" x14ac:dyDescent="0.25">
      <c r="A700">
        <v>39</v>
      </c>
      <c r="B700" t="s">
        <v>92</v>
      </c>
      <c r="C700" t="s">
        <v>374</v>
      </c>
      <c r="E700" t="s">
        <v>374</v>
      </c>
      <c r="L700" t="s">
        <v>93</v>
      </c>
      <c r="M700">
        <v>120</v>
      </c>
      <c r="N700" t="s">
        <v>25</v>
      </c>
      <c r="Q700">
        <v>1</v>
      </c>
      <c r="R700" t="s">
        <v>11</v>
      </c>
      <c r="T700">
        <v>10</v>
      </c>
      <c r="V700" t="s">
        <v>15</v>
      </c>
    </row>
    <row r="701" spans="1:22" x14ac:dyDescent="0.25">
      <c r="A701">
        <v>39</v>
      </c>
      <c r="B701" t="s">
        <v>92</v>
      </c>
      <c r="C701" t="s">
        <v>374</v>
      </c>
      <c r="E701" t="s">
        <v>374</v>
      </c>
      <c r="L701" t="s">
        <v>93</v>
      </c>
      <c r="M701">
        <v>130</v>
      </c>
      <c r="N701" t="s">
        <v>26</v>
      </c>
      <c r="Q701">
        <v>1</v>
      </c>
      <c r="R701" t="s">
        <v>11</v>
      </c>
      <c r="T701">
        <v>10</v>
      </c>
      <c r="V701" t="s">
        <v>15</v>
      </c>
    </row>
    <row r="702" spans="1:22" x14ac:dyDescent="0.25">
      <c r="A702">
        <v>39</v>
      </c>
      <c r="B702" t="s">
        <v>92</v>
      </c>
      <c r="C702" t="s">
        <v>374</v>
      </c>
      <c r="E702" t="s">
        <v>374</v>
      </c>
      <c r="L702" t="s">
        <v>93</v>
      </c>
      <c r="M702">
        <v>140</v>
      </c>
      <c r="N702" t="s">
        <v>100</v>
      </c>
      <c r="Q702">
        <v>1.27</v>
      </c>
      <c r="R702" t="s">
        <v>14</v>
      </c>
      <c r="T702">
        <v>10</v>
      </c>
      <c r="V702" t="s">
        <v>15</v>
      </c>
    </row>
    <row r="703" spans="1:22" x14ac:dyDescent="0.25">
      <c r="A703">
        <v>39</v>
      </c>
      <c r="B703" t="s">
        <v>92</v>
      </c>
      <c r="C703" t="s">
        <v>374</v>
      </c>
      <c r="E703" t="s">
        <v>374</v>
      </c>
      <c r="L703" t="s">
        <v>93</v>
      </c>
      <c r="M703">
        <v>150</v>
      </c>
      <c r="N703" t="s">
        <v>377</v>
      </c>
      <c r="Q703">
        <v>1</v>
      </c>
      <c r="R703" t="s">
        <v>11</v>
      </c>
      <c r="T703">
        <v>10</v>
      </c>
      <c r="V703" t="s">
        <v>18</v>
      </c>
    </row>
    <row r="704" spans="1:22" x14ac:dyDescent="0.25">
      <c r="A704">
        <v>39</v>
      </c>
      <c r="B704" t="s">
        <v>92</v>
      </c>
      <c r="C704" t="s">
        <v>374</v>
      </c>
      <c r="E704" t="s">
        <v>374</v>
      </c>
      <c r="L704" t="s">
        <v>93</v>
      </c>
      <c r="M704">
        <v>160</v>
      </c>
      <c r="N704" t="s">
        <v>378</v>
      </c>
      <c r="Q704">
        <v>1</v>
      </c>
      <c r="R704" t="s">
        <v>11</v>
      </c>
      <c r="T704">
        <v>10</v>
      </c>
      <c r="V704" t="s">
        <v>18</v>
      </c>
    </row>
    <row r="705" spans="1:22" x14ac:dyDescent="0.25">
      <c r="A705">
        <v>39</v>
      </c>
      <c r="B705" t="s">
        <v>92</v>
      </c>
      <c r="C705" t="s">
        <v>374</v>
      </c>
      <c r="E705" t="s">
        <v>374</v>
      </c>
      <c r="L705" t="s">
        <v>93</v>
      </c>
      <c r="M705">
        <v>170</v>
      </c>
      <c r="N705" t="s">
        <v>142</v>
      </c>
      <c r="Q705">
        <v>7.6710000000000003</v>
      </c>
      <c r="R705" t="s">
        <v>11</v>
      </c>
      <c r="T705">
        <v>10</v>
      </c>
      <c r="V705" t="s">
        <v>15</v>
      </c>
    </row>
    <row r="706" spans="1:22" x14ac:dyDescent="0.25">
      <c r="A706">
        <v>39</v>
      </c>
      <c r="B706" t="s">
        <v>92</v>
      </c>
      <c r="C706" t="s">
        <v>374</v>
      </c>
      <c r="E706" t="s">
        <v>374</v>
      </c>
      <c r="L706" t="s">
        <v>93</v>
      </c>
      <c r="M706">
        <v>180</v>
      </c>
      <c r="N706" t="s">
        <v>379</v>
      </c>
      <c r="Q706">
        <v>1</v>
      </c>
      <c r="R706" t="s">
        <v>11</v>
      </c>
      <c r="T706">
        <v>10</v>
      </c>
      <c r="V706" t="s">
        <v>18</v>
      </c>
    </row>
    <row r="707" spans="1:22" x14ac:dyDescent="0.25">
      <c r="A707">
        <v>40</v>
      </c>
      <c r="B707" t="s">
        <v>92</v>
      </c>
      <c r="C707" t="s">
        <v>380</v>
      </c>
      <c r="E707" t="s">
        <v>380</v>
      </c>
      <c r="L707" t="s">
        <v>93</v>
      </c>
      <c r="M707">
        <v>10</v>
      </c>
      <c r="N707" t="s">
        <v>381</v>
      </c>
      <c r="Q707">
        <v>1</v>
      </c>
      <c r="R707" t="s">
        <v>11</v>
      </c>
      <c r="T707">
        <v>10</v>
      </c>
      <c r="V707" t="s">
        <v>18</v>
      </c>
    </row>
    <row r="708" spans="1:22" x14ac:dyDescent="0.25">
      <c r="A708">
        <v>40</v>
      </c>
      <c r="B708" t="s">
        <v>92</v>
      </c>
      <c r="C708" t="s">
        <v>380</v>
      </c>
      <c r="E708" t="s">
        <v>380</v>
      </c>
      <c r="L708" t="s">
        <v>93</v>
      </c>
      <c r="M708">
        <v>20</v>
      </c>
      <c r="N708" t="s">
        <v>132</v>
      </c>
      <c r="Q708">
        <v>5.3920000000000003</v>
      </c>
      <c r="R708" t="s">
        <v>14</v>
      </c>
      <c r="T708">
        <v>10</v>
      </c>
      <c r="V708" t="s">
        <v>15</v>
      </c>
    </row>
    <row r="709" spans="1:22" x14ac:dyDescent="0.25">
      <c r="A709">
        <v>40</v>
      </c>
      <c r="B709" t="s">
        <v>92</v>
      </c>
      <c r="C709" t="s">
        <v>380</v>
      </c>
      <c r="E709" t="s">
        <v>380</v>
      </c>
      <c r="L709" t="s">
        <v>93</v>
      </c>
      <c r="M709">
        <v>30</v>
      </c>
      <c r="N709" t="s">
        <v>102</v>
      </c>
      <c r="Q709">
        <v>1.429</v>
      </c>
      <c r="R709" t="s">
        <v>103</v>
      </c>
      <c r="T709">
        <v>10</v>
      </c>
      <c r="V709" t="s">
        <v>15</v>
      </c>
    </row>
    <row r="710" spans="1:22" x14ac:dyDescent="0.25">
      <c r="A710">
        <v>40</v>
      </c>
      <c r="B710" t="s">
        <v>92</v>
      </c>
      <c r="C710" t="s">
        <v>380</v>
      </c>
      <c r="E710" t="s">
        <v>380</v>
      </c>
      <c r="L710" t="s">
        <v>93</v>
      </c>
      <c r="M710">
        <v>40</v>
      </c>
      <c r="N710" t="s">
        <v>146</v>
      </c>
      <c r="Q710">
        <v>2.1589999999999998</v>
      </c>
      <c r="R710" t="s">
        <v>11</v>
      </c>
      <c r="T710">
        <v>10</v>
      </c>
      <c r="V710" t="s">
        <v>18</v>
      </c>
    </row>
    <row r="711" spans="1:22" x14ac:dyDescent="0.25">
      <c r="A711">
        <v>40</v>
      </c>
      <c r="B711" t="s">
        <v>92</v>
      </c>
      <c r="C711" t="s">
        <v>380</v>
      </c>
      <c r="E711" t="s">
        <v>380</v>
      </c>
      <c r="L711" t="s">
        <v>93</v>
      </c>
      <c r="M711">
        <v>50</v>
      </c>
      <c r="N711" t="s">
        <v>139</v>
      </c>
      <c r="Q711">
        <v>2.1589999999999998</v>
      </c>
      <c r="R711" t="s">
        <v>17</v>
      </c>
      <c r="T711">
        <v>10</v>
      </c>
      <c r="V711" t="s">
        <v>18</v>
      </c>
    </row>
    <row r="712" spans="1:22" x14ac:dyDescent="0.25">
      <c r="A712">
        <v>40</v>
      </c>
      <c r="B712" t="s">
        <v>92</v>
      </c>
      <c r="C712" t="s">
        <v>380</v>
      </c>
      <c r="E712" t="s">
        <v>380</v>
      </c>
      <c r="L712" t="s">
        <v>93</v>
      </c>
      <c r="M712">
        <v>60</v>
      </c>
      <c r="N712" t="s">
        <v>382</v>
      </c>
      <c r="Q712">
        <v>1</v>
      </c>
      <c r="R712" t="s">
        <v>11</v>
      </c>
      <c r="T712">
        <v>10</v>
      </c>
      <c r="V712" t="s">
        <v>18</v>
      </c>
    </row>
    <row r="713" spans="1:22" x14ac:dyDescent="0.25">
      <c r="A713">
        <v>40</v>
      </c>
      <c r="B713" t="s">
        <v>92</v>
      </c>
      <c r="C713" t="s">
        <v>380</v>
      </c>
      <c r="E713" t="s">
        <v>380</v>
      </c>
      <c r="L713" t="s">
        <v>93</v>
      </c>
      <c r="M713">
        <v>70</v>
      </c>
      <c r="N713" t="s">
        <v>148</v>
      </c>
      <c r="Q713">
        <v>23.927</v>
      </c>
      <c r="R713" t="s">
        <v>17</v>
      </c>
      <c r="T713">
        <v>10</v>
      </c>
      <c r="V713" t="s">
        <v>15</v>
      </c>
    </row>
    <row r="714" spans="1:22" x14ac:dyDescent="0.25">
      <c r="A714">
        <v>40</v>
      </c>
      <c r="B714" t="s">
        <v>92</v>
      </c>
      <c r="C714" t="s">
        <v>380</v>
      </c>
      <c r="E714" t="s">
        <v>380</v>
      </c>
      <c r="L714" t="s">
        <v>93</v>
      </c>
      <c r="M714">
        <v>80</v>
      </c>
      <c r="N714" t="s">
        <v>20</v>
      </c>
      <c r="Q714">
        <v>196.2</v>
      </c>
      <c r="R714" t="s">
        <v>17</v>
      </c>
      <c r="T714">
        <v>10</v>
      </c>
      <c r="V714" t="s">
        <v>15</v>
      </c>
    </row>
    <row r="715" spans="1:22" x14ac:dyDescent="0.25">
      <c r="A715">
        <v>40</v>
      </c>
      <c r="B715" t="s">
        <v>92</v>
      </c>
      <c r="C715" t="s">
        <v>380</v>
      </c>
      <c r="E715" t="s">
        <v>380</v>
      </c>
      <c r="L715" t="s">
        <v>93</v>
      </c>
      <c r="M715">
        <v>90</v>
      </c>
      <c r="N715" t="s">
        <v>24</v>
      </c>
      <c r="Q715">
        <v>1</v>
      </c>
      <c r="R715" t="s">
        <v>11</v>
      </c>
      <c r="T715">
        <v>10</v>
      </c>
      <c r="V715" t="s">
        <v>15</v>
      </c>
    </row>
    <row r="716" spans="1:22" x14ac:dyDescent="0.25">
      <c r="A716">
        <v>40</v>
      </c>
      <c r="B716" t="s">
        <v>92</v>
      </c>
      <c r="C716" t="s">
        <v>380</v>
      </c>
      <c r="E716" t="s">
        <v>380</v>
      </c>
      <c r="L716" t="s">
        <v>93</v>
      </c>
      <c r="M716">
        <v>100</v>
      </c>
      <c r="N716" t="s">
        <v>141</v>
      </c>
      <c r="Q716">
        <v>0.14299999999999999</v>
      </c>
      <c r="R716" t="s">
        <v>14</v>
      </c>
      <c r="T716">
        <v>10</v>
      </c>
      <c r="V716" t="s">
        <v>15</v>
      </c>
    </row>
    <row r="717" spans="1:22" x14ac:dyDescent="0.25">
      <c r="A717">
        <v>40</v>
      </c>
      <c r="B717" t="s">
        <v>92</v>
      </c>
      <c r="C717" t="s">
        <v>380</v>
      </c>
      <c r="E717" t="s">
        <v>380</v>
      </c>
      <c r="L717" t="s">
        <v>93</v>
      </c>
      <c r="M717">
        <v>110</v>
      </c>
      <c r="N717" t="s">
        <v>140</v>
      </c>
      <c r="Q717">
        <v>4</v>
      </c>
      <c r="R717" t="s">
        <v>11</v>
      </c>
      <c r="T717">
        <v>10</v>
      </c>
      <c r="V717" t="s">
        <v>15</v>
      </c>
    </row>
    <row r="718" spans="1:22" x14ac:dyDescent="0.25">
      <c r="A718">
        <v>40</v>
      </c>
      <c r="B718" t="s">
        <v>92</v>
      </c>
      <c r="C718" t="s">
        <v>380</v>
      </c>
      <c r="E718" t="s">
        <v>380</v>
      </c>
      <c r="L718" t="s">
        <v>93</v>
      </c>
      <c r="M718">
        <v>120</v>
      </c>
      <c r="N718" t="s">
        <v>25</v>
      </c>
      <c r="Q718">
        <v>1</v>
      </c>
      <c r="R718" t="s">
        <v>11</v>
      </c>
      <c r="T718">
        <v>10</v>
      </c>
      <c r="V718" t="s">
        <v>15</v>
      </c>
    </row>
    <row r="719" spans="1:22" x14ac:dyDescent="0.25">
      <c r="A719">
        <v>40</v>
      </c>
      <c r="B719" t="s">
        <v>92</v>
      </c>
      <c r="C719" t="s">
        <v>380</v>
      </c>
      <c r="E719" t="s">
        <v>380</v>
      </c>
      <c r="L719" t="s">
        <v>93</v>
      </c>
      <c r="M719">
        <v>130</v>
      </c>
      <c r="N719" t="s">
        <v>26</v>
      </c>
      <c r="Q719">
        <v>1</v>
      </c>
      <c r="R719" t="s">
        <v>11</v>
      </c>
      <c r="T719">
        <v>10</v>
      </c>
      <c r="V719" t="s">
        <v>15</v>
      </c>
    </row>
    <row r="720" spans="1:22" x14ac:dyDescent="0.25">
      <c r="A720">
        <v>40</v>
      </c>
      <c r="B720" t="s">
        <v>92</v>
      </c>
      <c r="C720" t="s">
        <v>380</v>
      </c>
      <c r="E720" t="s">
        <v>380</v>
      </c>
      <c r="L720" t="s">
        <v>93</v>
      </c>
      <c r="M720">
        <v>140</v>
      </c>
      <c r="N720" t="s">
        <v>100</v>
      </c>
      <c r="Q720">
        <v>1.27</v>
      </c>
      <c r="R720" t="s">
        <v>14</v>
      </c>
      <c r="T720">
        <v>10</v>
      </c>
      <c r="V720" t="s">
        <v>15</v>
      </c>
    </row>
    <row r="721" spans="1:22" x14ac:dyDescent="0.25">
      <c r="A721">
        <v>40</v>
      </c>
      <c r="B721" t="s">
        <v>92</v>
      </c>
      <c r="C721" t="s">
        <v>380</v>
      </c>
      <c r="E721" t="s">
        <v>380</v>
      </c>
      <c r="L721" t="s">
        <v>93</v>
      </c>
      <c r="M721">
        <v>150</v>
      </c>
      <c r="N721" t="s">
        <v>383</v>
      </c>
      <c r="Q721">
        <v>1</v>
      </c>
      <c r="R721" t="s">
        <v>11</v>
      </c>
      <c r="T721">
        <v>10</v>
      </c>
      <c r="V721" t="s">
        <v>18</v>
      </c>
    </row>
    <row r="722" spans="1:22" x14ac:dyDescent="0.25">
      <c r="A722">
        <v>40</v>
      </c>
      <c r="B722" t="s">
        <v>92</v>
      </c>
      <c r="C722" t="s">
        <v>380</v>
      </c>
      <c r="E722" t="s">
        <v>380</v>
      </c>
      <c r="L722" t="s">
        <v>93</v>
      </c>
      <c r="M722">
        <v>160</v>
      </c>
      <c r="N722" t="s">
        <v>384</v>
      </c>
      <c r="Q722">
        <v>1</v>
      </c>
      <c r="R722" t="s">
        <v>11</v>
      </c>
      <c r="T722">
        <v>10</v>
      </c>
      <c r="V722" t="s">
        <v>18</v>
      </c>
    </row>
    <row r="723" spans="1:22" x14ac:dyDescent="0.25">
      <c r="A723">
        <v>40</v>
      </c>
      <c r="B723" t="s">
        <v>92</v>
      </c>
      <c r="C723" t="s">
        <v>380</v>
      </c>
      <c r="E723" t="s">
        <v>380</v>
      </c>
      <c r="L723" t="s">
        <v>93</v>
      </c>
      <c r="M723">
        <v>170</v>
      </c>
      <c r="N723" t="s">
        <v>142</v>
      </c>
      <c r="Q723">
        <v>7.976</v>
      </c>
      <c r="R723" t="s">
        <v>11</v>
      </c>
      <c r="T723">
        <v>10</v>
      </c>
      <c r="V723" t="s">
        <v>15</v>
      </c>
    </row>
    <row r="724" spans="1:22" x14ac:dyDescent="0.25">
      <c r="A724">
        <v>40</v>
      </c>
      <c r="B724" t="s">
        <v>92</v>
      </c>
      <c r="C724" t="s">
        <v>380</v>
      </c>
      <c r="E724" t="s">
        <v>380</v>
      </c>
      <c r="L724" t="s">
        <v>93</v>
      </c>
      <c r="M724">
        <v>180</v>
      </c>
      <c r="N724" t="s">
        <v>385</v>
      </c>
      <c r="Q724">
        <v>1</v>
      </c>
      <c r="R724" t="s">
        <v>11</v>
      </c>
      <c r="T724">
        <v>10</v>
      </c>
      <c r="V724" t="s">
        <v>18</v>
      </c>
    </row>
    <row r="725" spans="1:22" x14ac:dyDescent="0.25">
      <c r="A725">
        <v>41</v>
      </c>
      <c r="B725" t="s">
        <v>92</v>
      </c>
      <c r="C725" t="s">
        <v>386</v>
      </c>
      <c r="E725" t="s">
        <v>386</v>
      </c>
      <c r="L725" t="s">
        <v>93</v>
      </c>
      <c r="M725">
        <v>10</v>
      </c>
      <c r="N725" t="s">
        <v>387</v>
      </c>
      <c r="Q725">
        <v>1</v>
      </c>
      <c r="R725" t="s">
        <v>11</v>
      </c>
      <c r="T725">
        <v>10</v>
      </c>
      <c r="V725" t="s">
        <v>18</v>
      </c>
    </row>
    <row r="726" spans="1:22" x14ac:dyDescent="0.25">
      <c r="A726">
        <v>41</v>
      </c>
      <c r="B726" t="s">
        <v>92</v>
      </c>
      <c r="C726" t="s">
        <v>386</v>
      </c>
      <c r="E726" t="s">
        <v>386</v>
      </c>
      <c r="L726" t="s">
        <v>93</v>
      </c>
      <c r="M726">
        <v>20</v>
      </c>
      <c r="N726" t="s">
        <v>133</v>
      </c>
      <c r="Q726">
        <v>1.905</v>
      </c>
      <c r="R726" t="s">
        <v>14</v>
      </c>
      <c r="T726">
        <v>10</v>
      </c>
      <c r="V726" t="s">
        <v>15</v>
      </c>
    </row>
    <row r="727" spans="1:22" x14ac:dyDescent="0.25">
      <c r="A727">
        <v>41</v>
      </c>
      <c r="B727" t="s">
        <v>92</v>
      </c>
      <c r="C727" t="s">
        <v>386</v>
      </c>
      <c r="E727" t="s">
        <v>386</v>
      </c>
      <c r="L727" t="s">
        <v>93</v>
      </c>
      <c r="M727">
        <v>30</v>
      </c>
      <c r="N727" t="s">
        <v>102</v>
      </c>
      <c r="Q727">
        <v>0.52100000000000002</v>
      </c>
      <c r="R727" t="s">
        <v>103</v>
      </c>
      <c r="T727">
        <v>10</v>
      </c>
      <c r="V727" t="s">
        <v>15</v>
      </c>
    </row>
    <row r="728" spans="1:22" x14ac:dyDescent="0.25">
      <c r="A728">
        <v>41</v>
      </c>
      <c r="B728" t="s">
        <v>92</v>
      </c>
      <c r="C728" t="s">
        <v>386</v>
      </c>
      <c r="E728" t="s">
        <v>386</v>
      </c>
      <c r="L728" t="s">
        <v>93</v>
      </c>
      <c r="M728">
        <v>40</v>
      </c>
      <c r="N728" t="s">
        <v>146</v>
      </c>
      <c r="Q728">
        <v>0.78700000000000003</v>
      </c>
      <c r="R728" t="s">
        <v>11</v>
      </c>
      <c r="T728">
        <v>10</v>
      </c>
      <c r="V728" t="s">
        <v>18</v>
      </c>
    </row>
    <row r="729" spans="1:22" x14ac:dyDescent="0.25">
      <c r="A729">
        <v>41</v>
      </c>
      <c r="B729" t="s">
        <v>92</v>
      </c>
      <c r="C729" t="s">
        <v>386</v>
      </c>
      <c r="E729" t="s">
        <v>386</v>
      </c>
      <c r="L729" t="s">
        <v>93</v>
      </c>
      <c r="M729">
        <v>50</v>
      </c>
      <c r="N729" t="s">
        <v>139</v>
      </c>
      <c r="Q729">
        <v>0.78700000000000003</v>
      </c>
      <c r="R729" t="s">
        <v>17</v>
      </c>
      <c r="T729">
        <v>10</v>
      </c>
      <c r="V729" t="s">
        <v>18</v>
      </c>
    </row>
    <row r="730" spans="1:22" x14ac:dyDescent="0.25">
      <c r="A730">
        <v>41</v>
      </c>
      <c r="B730" t="s">
        <v>92</v>
      </c>
      <c r="C730" t="s">
        <v>386</v>
      </c>
      <c r="E730" t="s">
        <v>386</v>
      </c>
      <c r="L730" t="s">
        <v>93</v>
      </c>
      <c r="M730">
        <v>60</v>
      </c>
      <c r="N730" t="s">
        <v>388</v>
      </c>
      <c r="Q730">
        <v>1</v>
      </c>
      <c r="R730" t="s">
        <v>11</v>
      </c>
      <c r="T730">
        <v>10</v>
      </c>
      <c r="V730" t="s">
        <v>18</v>
      </c>
    </row>
    <row r="731" spans="1:22" x14ac:dyDescent="0.25">
      <c r="A731">
        <v>41</v>
      </c>
      <c r="B731" t="s">
        <v>92</v>
      </c>
      <c r="C731" t="s">
        <v>386</v>
      </c>
      <c r="E731" t="s">
        <v>386</v>
      </c>
      <c r="L731" t="s">
        <v>93</v>
      </c>
      <c r="M731">
        <v>70</v>
      </c>
      <c r="N731" t="s">
        <v>148</v>
      </c>
      <c r="Q731">
        <v>16.154</v>
      </c>
      <c r="R731" t="s">
        <v>17</v>
      </c>
      <c r="T731">
        <v>10</v>
      </c>
      <c r="V731" t="s">
        <v>15</v>
      </c>
    </row>
    <row r="732" spans="1:22" x14ac:dyDescent="0.25">
      <c r="A732">
        <v>41</v>
      </c>
      <c r="B732" t="s">
        <v>92</v>
      </c>
      <c r="C732" t="s">
        <v>386</v>
      </c>
      <c r="E732" t="s">
        <v>386</v>
      </c>
      <c r="L732" t="s">
        <v>93</v>
      </c>
      <c r="M732">
        <v>80</v>
      </c>
      <c r="N732" t="s">
        <v>20</v>
      </c>
      <c r="Q732">
        <v>132.46600000000001</v>
      </c>
      <c r="R732" t="s">
        <v>17</v>
      </c>
      <c r="T732">
        <v>10</v>
      </c>
      <c r="V732" t="s">
        <v>15</v>
      </c>
    </row>
    <row r="733" spans="1:22" x14ac:dyDescent="0.25">
      <c r="A733">
        <v>41</v>
      </c>
      <c r="B733" t="s">
        <v>92</v>
      </c>
      <c r="C733" t="s">
        <v>386</v>
      </c>
      <c r="E733" t="s">
        <v>386</v>
      </c>
      <c r="L733" t="s">
        <v>93</v>
      </c>
      <c r="M733">
        <v>90</v>
      </c>
      <c r="N733" t="s">
        <v>24</v>
      </c>
      <c r="Q733">
        <v>1</v>
      </c>
      <c r="R733" t="s">
        <v>11</v>
      </c>
      <c r="T733">
        <v>10</v>
      </c>
      <c r="V733" t="s">
        <v>15</v>
      </c>
    </row>
    <row r="734" spans="1:22" x14ac:dyDescent="0.25">
      <c r="A734">
        <v>41</v>
      </c>
      <c r="B734" t="s">
        <v>92</v>
      </c>
      <c r="C734" t="s">
        <v>386</v>
      </c>
      <c r="E734" t="s">
        <v>386</v>
      </c>
      <c r="L734" t="s">
        <v>93</v>
      </c>
      <c r="M734">
        <v>100</v>
      </c>
      <c r="N734" t="s">
        <v>141</v>
      </c>
      <c r="Q734">
        <v>7.5999999999999998E-2</v>
      </c>
      <c r="R734" t="s">
        <v>14</v>
      </c>
      <c r="T734">
        <v>10</v>
      </c>
      <c r="V734" t="s">
        <v>15</v>
      </c>
    </row>
    <row r="735" spans="1:22" x14ac:dyDescent="0.25">
      <c r="A735">
        <v>41</v>
      </c>
      <c r="B735" t="s">
        <v>92</v>
      </c>
      <c r="C735" t="s">
        <v>386</v>
      </c>
      <c r="E735" t="s">
        <v>386</v>
      </c>
      <c r="L735" t="s">
        <v>93</v>
      </c>
      <c r="M735">
        <v>110</v>
      </c>
      <c r="N735" t="s">
        <v>140</v>
      </c>
      <c r="Q735">
        <v>4</v>
      </c>
      <c r="R735" t="s">
        <v>11</v>
      </c>
      <c r="T735">
        <v>10</v>
      </c>
      <c r="V735" t="s">
        <v>15</v>
      </c>
    </row>
    <row r="736" spans="1:22" x14ac:dyDescent="0.25">
      <c r="A736">
        <v>41</v>
      </c>
      <c r="B736" t="s">
        <v>92</v>
      </c>
      <c r="C736" t="s">
        <v>386</v>
      </c>
      <c r="E736" t="s">
        <v>386</v>
      </c>
      <c r="L736" t="s">
        <v>93</v>
      </c>
      <c r="M736">
        <v>120</v>
      </c>
      <c r="N736" t="s">
        <v>25</v>
      </c>
      <c r="Q736">
        <v>1</v>
      </c>
      <c r="R736" t="s">
        <v>11</v>
      </c>
      <c r="T736">
        <v>10</v>
      </c>
      <c r="V736" t="s">
        <v>15</v>
      </c>
    </row>
    <row r="737" spans="1:22" x14ac:dyDescent="0.25">
      <c r="A737">
        <v>41</v>
      </c>
      <c r="B737" t="s">
        <v>92</v>
      </c>
      <c r="C737" t="s">
        <v>386</v>
      </c>
      <c r="E737" t="s">
        <v>386</v>
      </c>
      <c r="L737" t="s">
        <v>93</v>
      </c>
      <c r="M737">
        <v>130</v>
      </c>
      <c r="N737" t="s">
        <v>26</v>
      </c>
      <c r="Q737">
        <v>1</v>
      </c>
      <c r="R737" t="s">
        <v>11</v>
      </c>
      <c r="T737">
        <v>10</v>
      </c>
      <c r="V737" t="s">
        <v>15</v>
      </c>
    </row>
    <row r="738" spans="1:22" x14ac:dyDescent="0.25">
      <c r="A738">
        <v>41</v>
      </c>
      <c r="B738" t="s">
        <v>92</v>
      </c>
      <c r="C738" t="s">
        <v>386</v>
      </c>
      <c r="E738" t="s">
        <v>386</v>
      </c>
      <c r="L738" t="s">
        <v>93</v>
      </c>
      <c r="M738">
        <v>140</v>
      </c>
      <c r="N738" t="s">
        <v>100</v>
      </c>
      <c r="Q738">
        <v>0.54</v>
      </c>
      <c r="R738" t="s">
        <v>14</v>
      </c>
      <c r="T738">
        <v>10</v>
      </c>
      <c r="V738" t="s">
        <v>15</v>
      </c>
    </row>
    <row r="739" spans="1:22" x14ac:dyDescent="0.25">
      <c r="A739">
        <v>41</v>
      </c>
      <c r="B739" t="s">
        <v>92</v>
      </c>
      <c r="C739" t="s">
        <v>386</v>
      </c>
      <c r="E739" t="s">
        <v>386</v>
      </c>
      <c r="L739" t="s">
        <v>93</v>
      </c>
      <c r="M739">
        <v>150</v>
      </c>
      <c r="N739" t="s">
        <v>389</v>
      </c>
      <c r="Q739">
        <v>1</v>
      </c>
      <c r="R739" t="s">
        <v>11</v>
      </c>
      <c r="T739">
        <v>10</v>
      </c>
      <c r="V739" t="s">
        <v>18</v>
      </c>
    </row>
    <row r="740" spans="1:22" x14ac:dyDescent="0.25">
      <c r="A740">
        <v>41</v>
      </c>
      <c r="B740" t="s">
        <v>92</v>
      </c>
      <c r="C740" t="s">
        <v>386</v>
      </c>
      <c r="E740" t="s">
        <v>386</v>
      </c>
      <c r="L740" t="s">
        <v>93</v>
      </c>
      <c r="M740">
        <v>160</v>
      </c>
      <c r="N740" t="s">
        <v>390</v>
      </c>
      <c r="Q740">
        <v>1</v>
      </c>
      <c r="R740" t="s">
        <v>11</v>
      </c>
      <c r="T740">
        <v>10</v>
      </c>
      <c r="V740" t="s">
        <v>18</v>
      </c>
    </row>
    <row r="741" spans="1:22" x14ac:dyDescent="0.25">
      <c r="A741">
        <v>41</v>
      </c>
      <c r="B741" t="s">
        <v>92</v>
      </c>
      <c r="C741" t="s">
        <v>386</v>
      </c>
      <c r="E741" t="s">
        <v>386</v>
      </c>
      <c r="L741" t="s">
        <v>93</v>
      </c>
      <c r="M741">
        <v>170</v>
      </c>
      <c r="N741" t="s">
        <v>142</v>
      </c>
      <c r="Q741">
        <v>5.3849999999999998</v>
      </c>
      <c r="R741" t="s">
        <v>11</v>
      </c>
      <c r="T741">
        <v>10</v>
      </c>
      <c r="V741" t="s">
        <v>15</v>
      </c>
    </row>
    <row r="742" spans="1:22" x14ac:dyDescent="0.25">
      <c r="A742">
        <v>41</v>
      </c>
      <c r="B742" t="s">
        <v>92</v>
      </c>
      <c r="C742" t="s">
        <v>386</v>
      </c>
      <c r="E742" t="s">
        <v>386</v>
      </c>
      <c r="L742" t="s">
        <v>93</v>
      </c>
      <c r="M742">
        <v>180</v>
      </c>
      <c r="N742" t="s">
        <v>391</v>
      </c>
      <c r="Q742">
        <v>1</v>
      </c>
      <c r="R742" t="s">
        <v>11</v>
      </c>
      <c r="T742">
        <v>10</v>
      </c>
      <c r="V742" t="s">
        <v>18</v>
      </c>
    </row>
    <row r="743" spans="1:22" x14ac:dyDescent="0.25">
      <c r="A743">
        <v>42</v>
      </c>
      <c r="B743" t="s">
        <v>92</v>
      </c>
      <c r="C743" t="s">
        <v>392</v>
      </c>
      <c r="E743" t="s">
        <v>392</v>
      </c>
      <c r="L743" t="s">
        <v>93</v>
      </c>
      <c r="M743">
        <v>10</v>
      </c>
      <c r="N743" t="s">
        <v>393</v>
      </c>
      <c r="Q743">
        <v>1</v>
      </c>
      <c r="R743" t="s">
        <v>11</v>
      </c>
      <c r="T743">
        <v>10</v>
      </c>
      <c r="V743" t="s">
        <v>18</v>
      </c>
    </row>
    <row r="744" spans="1:22" x14ac:dyDescent="0.25">
      <c r="A744">
        <v>42</v>
      </c>
      <c r="B744" t="s">
        <v>92</v>
      </c>
      <c r="C744" t="s">
        <v>392</v>
      </c>
      <c r="E744" t="s">
        <v>392</v>
      </c>
      <c r="L744" t="s">
        <v>93</v>
      </c>
      <c r="M744">
        <v>20</v>
      </c>
      <c r="N744" t="s">
        <v>114</v>
      </c>
      <c r="Q744">
        <v>2.2930000000000001</v>
      </c>
      <c r="R744" t="s">
        <v>14</v>
      </c>
      <c r="T744">
        <v>10</v>
      </c>
      <c r="V744" t="s">
        <v>15</v>
      </c>
    </row>
    <row r="745" spans="1:22" x14ac:dyDescent="0.25">
      <c r="A745">
        <v>42</v>
      </c>
      <c r="B745" t="s">
        <v>92</v>
      </c>
      <c r="C745" t="s">
        <v>392</v>
      </c>
      <c r="E745" t="s">
        <v>392</v>
      </c>
      <c r="L745" t="s">
        <v>93</v>
      </c>
      <c r="M745">
        <v>30</v>
      </c>
      <c r="N745" t="s">
        <v>102</v>
      </c>
      <c r="Q745">
        <v>0.629</v>
      </c>
      <c r="R745" t="s">
        <v>103</v>
      </c>
      <c r="T745">
        <v>10</v>
      </c>
      <c r="V745" t="s">
        <v>15</v>
      </c>
    </row>
    <row r="746" spans="1:22" x14ac:dyDescent="0.25">
      <c r="A746">
        <v>42</v>
      </c>
      <c r="B746" t="s">
        <v>92</v>
      </c>
      <c r="C746" t="s">
        <v>392</v>
      </c>
      <c r="E746" t="s">
        <v>392</v>
      </c>
      <c r="L746" t="s">
        <v>93</v>
      </c>
      <c r="M746">
        <v>40</v>
      </c>
      <c r="N746" t="s">
        <v>146</v>
      </c>
      <c r="Q746">
        <v>0.94</v>
      </c>
      <c r="R746" t="s">
        <v>11</v>
      </c>
      <c r="T746">
        <v>10</v>
      </c>
      <c r="V746" t="s">
        <v>18</v>
      </c>
    </row>
    <row r="747" spans="1:22" x14ac:dyDescent="0.25">
      <c r="A747">
        <v>42</v>
      </c>
      <c r="B747" t="s">
        <v>92</v>
      </c>
      <c r="C747" t="s">
        <v>392</v>
      </c>
      <c r="E747" t="s">
        <v>392</v>
      </c>
      <c r="L747" t="s">
        <v>93</v>
      </c>
      <c r="M747">
        <v>50</v>
      </c>
      <c r="N747" t="s">
        <v>139</v>
      </c>
      <c r="Q747">
        <v>0.94</v>
      </c>
      <c r="R747" t="s">
        <v>17</v>
      </c>
      <c r="T747">
        <v>10</v>
      </c>
      <c r="V747" t="s">
        <v>18</v>
      </c>
    </row>
    <row r="748" spans="1:22" x14ac:dyDescent="0.25">
      <c r="A748">
        <v>42</v>
      </c>
      <c r="B748" t="s">
        <v>92</v>
      </c>
      <c r="C748" t="s">
        <v>392</v>
      </c>
      <c r="E748" t="s">
        <v>392</v>
      </c>
      <c r="L748" t="s">
        <v>93</v>
      </c>
      <c r="M748">
        <v>60</v>
      </c>
      <c r="N748" t="s">
        <v>394</v>
      </c>
      <c r="Q748">
        <v>1</v>
      </c>
      <c r="R748" t="s">
        <v>11</v>
      </c>
      <c r="T748">
        <v>10</v>
      </c>
      <c r="V748" t="s">
        <v>18</v>
      </c>
    </row>
    <row r="749" spans="1:22" x14ac:dyDescent="0.25">
      <c r="A749">
        <v>42</v>
      </c>
      <c r="B749" t="s">
        <v>92</v>
      </c>
      <c r="C749" t="s">
        <v>392</v>
      </c>
      <c r="E749" t="s">
        <v>392</v>
      </c>
      <c r="L749" t="s">
        <v>93</v>
      </c>
      <c r="M749">
        <v>70</v>
      </c>
      <c r="N749" t="s">
        <v>148</v>
      </c>
      <c r="Q749">
        <v>17.068999999999999</v>
      </c>
      <c r="R749" t="s">
        <v>17</v>
      </c>
      <c r="T749">
        <v>10</v>
      </c>
      <c r="V749" t="s">
        <v>15</v>
      </c>
    </row>
    <row r="750" spans="1:22" x14ac:dyDescent="0.25">
      <c r="A750">
        <v>42</v>
      </c>
      <c r="B750" t="s">
        <v>92</v>
      </c>
      <c r="C750" t="s">
        <v>392</v>
      </c>
      <c r="E750" t="s">
        <v>392</v>
      </c>
      <c r="L750" t="s">
        <v>93</v>
      </c>
      <c r="M750">
        <v>80</v>
      </c>
      <c r="N750" t="s">
        <v>20</v>
      </c>
      <c r="Q750">
        <v>139.964</v>
      </c>
      <c r="R750" t="s">
        <v>17</v>
      </c>
      <c r="T750">
        <v>10</v>
      </c>
      <c r="V750" t="s">
        <v>15</v>
      </c>
    </row>
    <row r="751" spans="1:22" x14ac:dyDescent="0.25">
      <c r="A751">
        <v>42</v>
      </c>
      <c r="B751" t="s">
        <v>92</v>
      </c>
      <c r="C751" t="s">
        <v>392</v>
      </c>
      <c r="E751" t="s">
        <v>392</v>
      </c>
      <c r="L751" t="s">
        <v>93</v>
      </c>
      <c r="M751">
        <v>90</v>
      </c>
      <c r="N751" t="s">
        <v>24</v>
      </c>
      <c r="Q751">
        <v>1</v>
      </c>
      <c r="R751" t="s">
        <v>11</v>
      </c>
      <c r="T751">
        <v>10</v>
      </c>
      <c r="V751" t="s">
        <v>15</v>
      </c>
    </row>
    <row r="752" spans="1:22" x14ac:dyDescent="0.25">
      <c r="A752">
        <v>42</v>
      </c>
      <c r="B752" t="s">
        <v>92</v>
      </c>
      <c r="C752" t="s">
        <v>392</v>
      </c>
      <c r="E752" t="s">
        <v>392</v>
      </c>
      <c r="L752" t="s">
        <v>93</v>
      </c>
      <c r="M752">
        <v>100</v>
      </c>
      <c r="N752" t="s">
        <v>141</v>
      </c>
      <c r="Q752">
        <v>8.5999999999999993E-2</v>
      </c>
      <c r="R752" t="s">
        <v>14</v>
      </c>
      <c r="T752">
        <v>10</v>
      </c>
      <c r="V752" t="s">
        <v>15</v>
      </c>
    </row>
    <row r="753" spans="1:22" x14ac:dyDescent="0.25">
      <c r="A753">
        <v>42</v>
      </c>
      <c r="B753" t="s">
        <v>92</v>
      </c>
      <c r="C753" t="s">
        <v>392</v>
      </c>
      <c r="E753" t="s">
        <v>392</v>
      </c>
      <c r="L753" t="s">
        <v>93</v>
      </c>
      <c r="M753">
        <v>110</v>
      </c>
      <c r="N753" t="s">
        <v>140</v>
      </c>
      <c r="Q753">
        <v>4</v>
      </c>
      <c r="R753" t="s">
        <v>11</v>
      </c>
      <c r="T753">
        <v>10</v>
      </c>
      <c r="V753" t="s">
        <v>15</v>
      </c>
    </row>
    <row r="754" spans="1:22" x14ac:dyDescent="0.25">
      <c r="A754">
        <v>42</v>
      </c>
      <c r="B754" t="s">
        <v>92</v>
      </c>
      <c r="C754" t="s">
        <v>392</v>
      </c>
      <c r="E754" t="s">
        <v>392</v>
      </c>
      <c r="L754" t="s">
        <v>93</v>
      </c>
      <c r="M754">
        <v>120</v>
      </c>
      <c r="N754" t="s">
        <v>25</v>
      </c>
      <c r="Q754">
        <v>1</v>
      </c>
      <c r="R754" t="s">
        <v>11</v>
      </c>
      <c r="T754">
        <v>10</v>
      </c>
      <c r="V754" t="s">
        <v>15</v>
      </c>
    </row>
    <row r="755" spans="1:22" x14ac:dyDescent="0.25">
      <c r="A755">
        <v>42</v>
      </c>
      <c r="B755" t="s">
        <v>92</v>
      </c>
      <c r="C755" t="s">
        <v>392</v>
      </c>
      <c r="E755" t="s">
        <v>392</v>
      </c>
      <c r="L755" t="s">
        <v>93</v>
      </c>
      <c r="M755">
        <v>130</v>
      </c>
      <c r="N755" t="s">
        <v>26</v>
      </c>
      <c r="Q755">
        <v>1</v>
      </c>
      <c r="R755" t="s">
        <v>11</v>
      </c>
      <c r="T755">
        <v>10</v>
      </c>
      <c r="V755" t="s">
        <v>15</v>
      </c>
    </row>
    <row r="756" spans="1:22" x14ac:dyDescent="0.25">
      <c r="A756">
        <v>42</v>
      </c>
      <c r="B756" t="s">
        <v>92</v>
      </c>
      <c r="C756" t="s">
        <v>392</v>
      </c>
      <c r="E756" t="s">
        <v>392</v>
      </c>
      <c r="L756" t="s">
        <v>93</v>
      </c>
      <c r="M756">
        <v>140</v>
      </c>
      <c r="N756" t="s">
        <v>100</v>
      </c>
      <c r="Q756">
        <v>0.622</v>
      </c>
      <c r="R756" t="s">
        <v>14</v>
      </c>
      <c r="T756">
        <v>10</v>
      </c>
      <c r="V756" t="s">
        <v>15</v>
      </c>
    </row>
    <row r="757" spans="1:22" x14ac:dyDescent="0.25">
      <c r="A757">
        <v>42</v>
      </c>
      <c r="B757" t="s">
        <v>92</v>
      </c>
      <c r="C757" t="s">
        <v>392</v>
      </c>
      <c r="E757" t="s">
        <v>392</v>
      </c>
      <c r="L757" t="s">
        <v>93</v>
      </c>
      <c r="M757">
        <v>150</v>
      </c>
      <c r="N757" t="s">
        <v>395</v>
      </c>
      <c r="Q757">
        <v>1</v>
      </c>
      <c r="R757" t="s">
        <v>11</v>
      </c>
      <c r="T757">
        <v>10</v>
      </c>
      <c r="V757" t="s">
        <v>18</v>
      </c>
    </row>
    <row r="758" spans="1:22" x14ac:dyDescent="0.25">
      <c r="A758">
        <v>42</v>
      </c>
      <c r="B758" t="s">
        <v>92</v>
      </c>
      <c r="C758" t="s">
        <v>392</v>
      </c>
      <c r="E758" t="s">
        <v>392</v>
      </c>
      <c r="L758" t="s">
        <v>93</v>
      </c>
      <c r="M758">
        <v>160</v>
      </c>
      <c r="N758" t="s">
        <v>396</v>
      </c>
      <c r="Q758">
        <v>1</v>
      </c>
      <c r="R758" t="s">
        <v>11</v>
      </c>
      <c r="T758">
        <v>10</v>
      </c>
      <c r="V758" t="s">
        <v>18</v>
      </c>
    </row>
    <row r="759" spans="1:22" x14ac:dyDescent="0.25">
      <c r="A759">
        <v>42</v>
      </c>
      <c r="B759" t="s">
        <v>92</v>
      </c>
      <c r="C759" t="s">
        <v>392</v>
      </c>
      <c r="E759" t="s">
        <v>392</v>
      </c>
      <c r="L759" t="s">
        <v>93</v>
      </c>
      <c r="M759">
        <v>170</v>
      </c>
      <c r="N759" t="s">
        <v>142</v>
      </c>
      <c r="Q759">
        <v>5.69</v>
      </c>
      <c r="R759" t="s">
        <v>11</v>
      </c>
      <c r="T759">
        <v>10</v>
      </c>
      <c r="V759" t="s">
        <v>15</v>
      </c>
    </row>
    <row r="760" spans="1:22" x14ac:dyDescent="0.25">
      <c r="A760">
        <v>42</v>
      </c>
      <c r="B760" t="s">
        <v>92</v>
      </c>
      <c r="C760" t="s">
        <v>392</v>
      </c>
      <c r="E760" t="s">
        <v>392</v>
      </c>
      <c r="L760" t="s">
        <v>93</v>
      </c>
      <c r="M760">
        <v>180</v>
      </c>
      <c r="N760" t="s">
        <v>397</v>
      </c>
      <c r="Q760">
        <v>1</v>
      </c>
      <c r="R760" t="s">
        <v>11</v>
      </c>
      <c r="T760">
        <v>10</v>
      </c>
      <c r="V760" t="s">
        <v>18</v>
      </c>
    </row>
    <row r="761" spans="1:22" x14ac:dyDescent="0.25">
      <c r="A761">
        <v>43</v>
      </c>
      <c r="B761" t="s">
        <v>92</v>
      </c>
      <c r="C761" t="s">
        <v>398</v>
      </c>
      <c r="E761" t="s">
        <v>398</v>
      </c>
      <c r="L761" t="s">
        <v>93</v>
      </c>
      <c r="M761">
        <v>10</v>
      </c>
      <c r="N761" t="s">
        <v>399</v>
      </c>
      <c r="Q761">
        <v>1</v>
      </c>
      <c r="R761" t="s">
        <v>11</v>
      </c>
      <c r="T761">
        <v>10</v>
      </c>
      <c r="V761" t="s">
        <v>18</v>
      </c>
    </row>
    <row r="762" spans="1:22" x14ac:dyDescent="0.25">
      <c r="A762">
        <v>43</v>
      </c>
      <c r="B762" t="s">
        <v>92</v>
      </c>
      <c r="C762" t="s">
        <v>398</v>
      </c>
      <c r="E762" t="s">
        <v>398</v>
      </c>
      <c r="L762" t="s">
        <v>93</v>
      </c>
      <c r="M762">
        <v>20</v>
      </c>
      <c r="N762" t="s">
        <v>115</v>
      </c>
      <c r="Q762">
        <v>2.68</v>
      </c>
      <c r="R762" t="s">
        <v>14</v>
      </c>
      <c r="T762">
        <v>10</v>
      </c>
      <c r="V762" t="s">
        <v>15</v>
      </c>
    </row>
    <row r="763" spans="1:22" x14ac:dyDescent="0.25">
      <c r="A763">
        <v>43</v>
      </c>
      <c r="B763" t="s">
        <v>92</v>
      </c>
      <c r="C763" t="s">
        <v>398</v>
      </c>
      <c r="E763" t="s">
        <v>398</v>
      </c>
      <c r="L763" t="s">
        <v>93</v>
      </c>
      <c r="M763">
        <v>30</v>
      </c>
      <c r="N763" t="s">
        <v>102</v>
      </c>
      <c r="Q763">
        <v>0.73699999999999999</v>
      </c>
      <c r="R763" t="s">
        <v>103</v>
      </c>
      <c r="T763">
        <v>10</v>
      </c>
      <c r="V763" t="s">
        <v>15</v>
      </c>
    </row>
    <row r="764" spans="1:22" x14ac:dyDescent="0.25">
      <c r="A764">
        <v>43</v>
      </c>
      <c r="B764" t="s">
        <v>92</v>
      </c>
      <c r="C764" t="s">
        <v>398</v>
      </c>
      <c r="E764" t="s">
        <v>398</v>
      </c>
      <c r="L764" t="s">
        <v>93</v>
      </c>
      <c r="M764">
        <v>40</v>
      </c>
      <c r="N764" t="s">
        <v>146</v>
      </c>
      <c r="Q764">
        <v>1.0920000000000001</v>
      </c>
      <c r="R764" t="s">
        <v>11</v>
      </c>
      <c r="T764">
        <v>10</v>
      </c>
      <c r="V764" t="s">
        <v>18</v>
      </c>
    </row>
    <row r="765" spans="1:22" x14ac:dyDescent="0.25">
      <c r="A765">
        <v>43</v>
      </c>
      <c r="B765" t="s">
        <v>92</v>
      </c>
      <c r="C765" t="s">
        <v>398</v>
      </c>
      <c r="E765" t="s">
        <v>398</v>
      </c>
      <c r="L765" t="s">
        <v>93</v>
      </c>
      <c r="M765">
        <v>50</v>
      </c>
      <c r="N765" t="s">
        <v>139</v>
      </c>
      <c r="Q765">
        <v>1.0920000000000001</v>
      </c>
      <c r="R765" t="s">
        <v>17</v>
      </c>
      <c r="T765">
        <v>10</v>
      </c>
      <c r="V765" t="s">
        <v>18</v>
      </c>
    </row>
    <row r="766" spans="1:22" x14ac:dyDescent="0.25">
      <c r="A766">
        <v>43</v>
      </c>
      <c r="B766" t="s">
        <v>92</v>
      </c>
      <c r="C766" t="s">
        <v>398</v>
      </c>
      <c r="E766" t="s">
        <v>398</v>
      </c>
      <c r="L766" t="s">
        <v>93</v>
      </c>
      <c r="M766">
        <v>60</v>
      </c>
      <c r="N766" t="s">
        <v>400</v>
      </c>
      <c r="Q766">
        <v>1</v>
      </c>
      <c r="R766" t="s">
        <v>11</v>
      </c>
      <c r="T766">
        <v>10</v>
      </c>
      <c r="V766" t="s">
        <v>18</v>
      </c>
    </row>
    <row r="767" spans="1:22" x14ac:dyDescent="0.25">
      <c r="A767">
        <v>43</v>
      </c>
      <c r="B767" t="s">
        <v>92</v>
      </c>
      <c r="C767" t="s">
        <v>398</v>
      </c>
      <c r="E767" t="s">
        <v>398</v>
      </c>
      <c r="L767" t="s">
        <v>93</v>
      </c>
      <c r="M767">
        <v>70</v>
      </c>
      <c r="N767" t="s">
        <v>148</v>
      </c>
      <c r="Q767">
        <v>17.983000000000001</v>
      </c>
      <c r="R767" t="s">
        <v>17</v>
      </c>
      <c r="T767">
        <v>10</v>
      </c>
      <c r="V767" t="s">
        <v>15</v>
      </c>
    </row>
    <row r="768" spans="1:22" x14ac:dyDescent="0.25">
      <c r="A768">
        <v>43</v>
      </c>
      <c r="B768" t="s">
        <v>92</v>
      </c>
      <c r="C768" t="s">
        <v>398</v>
      </c>
      <c r="E768" t="s">
        <v>398</v>
      </c>
      <c r="L768" t="s">
        <v>93</v>
      </c>
      <c r="M768">
        <v>80</v>
      </c>
      <c r="N768" t="s">
        <v>20</v>
      </c>
      <c r="Q768">
        <v>147.46199999999999</v>
      </c>
      <c r="R768" t="s">
        <v>17</v>
      </c>
      <c r="T768">
        <v>10</v>
      </c>
      <c r="V768" t="s">
        <v>15</v>
      </c>
    </row>
    <row r="769" spans="1:22" x14ac:dyDescent="0.25">
      <c r="A769">
        <v>43</v>
      </c>
      <c r="B769" t="s">
        <v>92</v>
      </c>
      <c r="C769" t="s">
        <v>398</v>
      </c>
      <c r="E769" t="s">
        <v>398</v>
      </c>
      <c r="L769" t="s">
        <v>93</v>
      </c>
      <c r="M769">
        <v>90</v>
      </c>
      <c r="N769" t="s">
        <v>24</v>
      </c>
      <c r="Q769">
        <v>1</v>
      </c>
      <c r="R769" t="s">
        <v>11</v>
      </c>
      <c r="T769">
        <v>10</v>
      </c>
      <c r="V769" t="s">
        <v>15</v>
      </c>
    </row>
    <row r="770" spans="1:22" x14ac:dyDescent="0.25">
      <c r="A770">
        <v>43</v>
      </c>
      <c r="B770" t="s">
        <v>92</v>
      </c>
      <c r="C770" t="s">
        <v>398</v>
      </c>
      <c r="E770" t="s">
        <v>398</v>
      </c>
      <c r="L770" t="s">
        <v>93</v>
      </c>
      <c r="M770">
        <v>100</v>
      </c>
      <c r="N770" t="s">
        <v>141</v>
      </c>
      <c r="Q770">
        <v>9.7000000000000003E-2</v>
      </c>
      <c r="R770" t="s">
        <v>14</v>
      </c>
      <c r="T770">
        <v>10</v>
      </c>
      <c r="V770" t="s">
        <v>15</v>
      </c>
    </row>
    <row r="771" spans="1:22" x14ac:dyDescent="0.25">
      <c r="A771">
        <v>43</v>
      </c>
      <c r="B771" t="s">
        <v>92</v>
      </c>
      <c r="C771" t="s">
        <v>398</v>
      </c>
      <c r="E771" t="s">
        <v>398</v>
      </c>
      <c r="L771" t="s">
        <v>93</v>
      </c>
      <c r="M771">
        <v>110</v>
      </c>
      <c r="N771" t="s">
        <v>140</v>
      </c>
      <c r="Q771">
        <v>4</v>
      </c>
      <c r="R771" t="s">
        <v>11</v>
      </c>
      <c r="T771">
        <v>10</v>
      </c>
      <c r="V771" t="s">
        <v>15</v>
      </c>
    </row>
    <row r="772" spans="1:22" x14ac:dyDescent="0.25">
      <c r="A772">
        <v>43</v>
      </c>
      <c r="B772" t="s">
        <v>92</v>
      </c>
      <c r="C772" t="s">
        <v>398</v>
      </c>
      <c r="E772" t="s">
        <v>398</v>
      </c>
      <c r="L772" t="s">
        <v>93</v>
      </c>
      <c r="M772">
        <v>120</v>
      </c>
      <c r="N772" t="s">
        <v>25</v>
      </c>
      <c r="Q772">
        <v>1</v>
      </c>
      <c r="R772" t="s">
        <v>11</v>
      </c>
      <c r="T772">
        <v>10</v>
      </c>
      <c r="V772" t="s">
        <v>15</v>
      </c>
    </row>
    <row r="773" spans="1:22" x14ac:dyDescent="0.25">
      <c r="A773">
        <v>43</v>
      </c>
      <c r="B773" t="s">
        <v>92</v>
      </c>
      <c r="C773" t="s">
        <v>398</v>
      </c>
      <c r="E773" t="s">
        <v>398</v>
      </c>
      <c r="L773" t="s">
        <v>93</v>
      </c>
      <c r="M773">
        <v>130</v>
      </c>
      <c r="N773" t="s">
        <v>26</v>
      </c>
      <c r="Q773">
        <v>1</v>
      </c>
      <c r="R773" t="s">
        <v>11</v>
      </c>
      <c r="T773">
        <v>10</v>
      </c>
      <c r="V773" t="s">
        <v>15</v>
      </c>
    </row>
    <row r="774" spans="1:22" x14ac:dyDescent="0.25">
      <c r="A774">
        <v>43</v>
      </c>
      <c r="B774" t="s">
        <v>92</v>
      </c>
      <c r="C774" t="s">
        <v>398</v>
      </c>
      <c r="E774" t="s">
        <v>398</v>
      </c>
      <c r="L774" t="s">
        <v>93</v>
      </c>
      <c r="M774">
        <v>140</v>
      </c>
      <c r="N774" t="s">
        <v>100</v>
      </c>
      <c r="Q774">
        <v>0.70299999999999996</v>
      </c>
      <c r="R774" t="s">
        <v>14</v>
      </c>
      <c r="T774">
        <v>10</v>
      </c>
      <c r="V774" t="s">
        <v>15</v>
      </c>
    </row>
    <row r="775" spans="1:22" x14ac:dyDescent="0.25">
      <c r="A775">
        <v>43</v>
      </c>
      <c r="B775" t="s">
        <v>92</v>
      </c>
      <c r="C775" t="s">
        <v>398</v>
      </c>
      <c r="E775" t="s">
        <v>398</v>
      </c>
      <c r="L775" t="s">
        <v>93</v>
      </c>
      <c r="M775">
        <v>150</v>
      </c>
      <c r="N775" t="s">
        <v>401</v>
      </c>
      <c r="Q775">
        <v>1</v>
      </c>
      <c r="R775" t="s">
        <v>11</v>
      </c>
      <c r="T775">
        <v>10</v>
      </c>
      <c r="V775" t="s">
        <v>18</v>
      </c>
    </row>
    <row r="776" spans="1:22" x14ac:dyDescent="0.25">
      <c r="A776">
        <v>43</v>
      </c>
      <c r="B776" t="s">
        <v>92</v>
      </c>
      <c r="C776" t="s">
        <v>398</v>
      </c>
      <c r="E776" t="s">
        <v>398</v>
      </c>
      <c r="L776" t="s">
        <v>93</v>
      </c>
      <c r="M776">
        <v>160</v>
      </c>
      <c r="N776" t="s">
        <v>402</v>
      </c>
      <c r="Q776">
        <v>1</v>
      </c>
      <c r="R776" t="s">
        <v>11</v>
      </c>
      <c r="T776">
        <v>10</v>
      </c>
      <c r="V776" t="s">
        <v>18</v>
      </c>
    </row>
    <row r="777" spans="1:22" x14ac:dyDescent="0.25">
      <c r="A777">
        <v>43</v>
      </c>
      <c r="B777" t="s">
        <v>92</v>
      </c>
      <c r="C777" t="s">
        <v>398</v>
      </c>
      <c r="E777" t="s">
        <v>398</v>
      </c>
      <c r="L777" t="s">
        <v>93</v>
      </c>
      <c r="M777">
        <v>170</v>
      </c>
      <c r="N777" t="s">
        <v>142</v>
      </c>
      <c r="Q777">
        <v>5.9939999999999998</v>
      </c>
      <c r="R777" t="s">
        <v>11</v>
      </c>
      <c r="T777">
        <v>10</v>
      </c>
      <c r="V777" t="s">
        <v>15</v>
      </c>
    </row>
    <row r="778" spans="1:22" x14ac:dyDescent="0.25">
      <c r="A778">
        <v>43</v>
      </c>
      <c r="B778" t="s">
        <v>92</v>
      </c>
      <c r="C778" t="s">
        <v>398</v>
      </c>
      <c r="E778" t="s">
        <v>398</v>
      </c>
      <c r="L778" t="s">
        <v>93</v>
      </c>
      <c r="M778">
        <v>180</v>
      </c>
      <c r="N778" t="s">
        <v>403</v>
      </c>
      <c r="Q778">
        <v>1</v>
      </c>
      <c r="R778" t="s">
        <v>11</v>
      </c>
      <c r="T778">
        <v>10</v>
      </c>
      <c r="V778" t="s">
        <v>18</v>
      </c>
    </row>
    <row r="779" spans="1:22" x14ac:dyDescent="0.25">
      <c r="A779">
        <v>44</v>
      </c>
      <c r="B779" t="s">
        <v>92</v>
      </c>
      <c r="C779" t="s">
        <v>404</v>
      </c>
      <c r="E779" t="s">
        <v>404</v>
      </c>
      <c r="L779" t="s">
        <v>93</v>
      </c>
      <c r="M779">
        <v>10</v>
      </c>
      <c r="N779" t="s">
        <v>405</v>
      </c>
      <c r="Q779">
        <v>1</v>
      </c>
      <c r="R779" t="s">
        <v>11</v>
      </c>
      <c r="T779">
        <v>10</v>
      </c>
      <c r="V779" t="s">
        <v>18</v>
      </c>
    </row>
    <row r="780" spans="1:22" x14ac:dyDescent="0.25">
      <c r="A780">
        <v>44</v>
      </c>
      <c r="B780" t="s">
        <v>92</v>
      </c>
      <c r="C780" t="s">
        <v>404</v>
      </c>
      <c r="E780" t="s">
        <v>404</v>
      </c>
      <c r="L780" t="s">
        <v>93</v>
      </c>
      <c r="M780">
        <v>20</v>
      </c>
      <c r="N780" t="s">
        <v>116</v>
      </c>
      <c r="Q780">
        <v>3.0680000000000001</v>
      </c>
      <c r="R780" t="s">
        <v>14</v>
      </c>
      <c r="T780">
        <v>10</v>
      </c>
      <c r="V780" t="s">
        <v>15</v>
      </c>
    </row>
    <row r="781" spans="1:22" x14ac:dyDescent="0.25">
      <c r="A781">
        <v>44</v>
      </c>
      <c r="B781" t="s">
        <v>92</v>
      </c>
      <c r="C781" t="s">
        <v>404</v>
      </c>
      <c r="E781" t="s">
        <v>404</v>
      </c>
      <c r="L781" t="s">
        <v>93</v>
      </c>
      <c r="M781">
        <v>30</v>
      </c>
      <c r="N781" t="s">
        <v>102</v>
      </c>
      <c r="Q781">
        <v>0.84499999999999997</v>
      </c>
      <c r="R781" t="s">
        <v>103</v>
      </c>
      <c r="T781">
        <v>10</v>
      </c>
      <c r="V781" t="s">
        <v>15</v>
      </c>
    </row>
    <row r="782" spans="1:22" x14ac:dyDescent="0.25">
      <c r="A782">
        <v>44</v>
      </c>
      <c r="B782" t="s">
        <v>92</v>
      </c>
      <c r="C782" t="s">
        <v>404</v>
      </c>
      <c r="E782" t="s">
        <v>404</v>
      </c>
      <c r="L782" t="s">
        <v>93</v>
      </c>
      <c r="M782">
        <v>40</v>
      </c>
      <c r="N782" t="s">
        <v>146</v>
      </c>
      <c r="Q782">
        <v>1.2450000000000001</v>
      </c>
      <c r="R782" t="s">
        <v>11</v>
      </c>
      <c r="T782">
        <v>10</v>
      </c>
      <c r="V782" t="s">
        <v>18</v>
      </c>
    </row>
    <row r="783" spans="1:22" x14ac:dyDescent="0.25">
      <c r="A783">
        <v>44</v>
      </c>
      <c r="B783" t="s">
        <v>92</v>
      </c>
      <c r="C783" t="s">
        <v>404</v>
      </c>
      <c r="E783" t="s">
        <v>404</v>
      </c>
      <c r="L783" t="s">
        <v>93</v>
      </c>
      <c r="M783">
        <v>50</v>
      </c>
      <c r="N783" t="s">
        <v>139</v>
      </c>
      <c r="Q783">
        <v>1.2450000000000001</v>
      </c>
      <c r="R783" t="s">
        <v>17</v>
      </c>
      <c r="T783">
        <v>10</v>
      </c>
      <c r="V783" t="s">
        <v>18</v>
      </c>
    </row>
    <row r="784" spans="1:22" x14ac:dyDescent="0.25">
      <c r="A784">
        <v>44</v>
      </c>
      <c r="B784" t="s">
        <v>92</v>
      </c>
      <c r="C784" t="s">
        <v>404</v>
      </c>
      <c r="E784" t="s">
        <v>404</v>
      </c>
      <c r="L784" t="s">
        <v>93</v>
      </c>
      <c r="M784">
        <v>60</v>
      </c>
      <c r="N784" t="s">
        <v>406</v>
      </c>
      <c r="Q784">
        <v>1</v>
      </c>
      <c r="R784" t="s">
        <v>11</v>
      </c>
      <c r="T784">
        <v>10</v>
      </c>
      <c r="V784" t="s">
        <v>18</v>
      </c>
    </row>
    <row r="785" spans="1:22" x14ac:dyDescent="0.25">
      <c r="A785">
        <v>44</v>
      </c>
      <c r="B785" t="s">
        <v>92</v>
      </c>
      <c r="C785" t="s">
        <v>404</v>
      </c>
      <c r="E785" t="s">
        <v>404</v>
      </c>
      <c r="L785" t="s">
        <v>93</v>
      </c>
      <c r="M785">
        <v>70</v>
      </c>
      <c r="N785" t="s">
        <v>148</v>
      </c>
      <c r="Q785">
        <v>18.898</v>
      </c>
      <c r="R785" t="s">
        <v>17</v>
      </c>
      <c r="T785">
        <v>10</v>
      </c>
      <c r="V785" t="s">
        <v>15</v>
      </c>
    </row>
    <row r="786" spans="1:22" x14ac:dyDescent="0.25">
      <c r="A786">
        <v>44</v>
      </c>
      <c r="B786" t="s">
        <v>92</v>
      </c>
      <c r="C786" t="s">
        <v>404</v>
      </c>
      <c r="E786" t="s">
        <v>404</v>
      </c>
      <c r="L786" t="s">
        <v>93</v>
      </c>
      <c r="M786">
        <v>80</v>
      </c>
      <c r="N786" t="s">
        <v>20</v>
      </c>
      <c r="Q786">
        <v>154.96</v>
      </c>
      <c r="R786" t="s">
        <v>17</v>
      </c>
      <c r="T786">
        <v>10</v>
      </c>
      <c r="V786" t="s">
        <v>15</v>
      </c>
    </row>
    <row r="787" spans="1:22" x14ac:dyDescent="0.25">
      <c r="A787">
        <v>44</v>
      </c>
      <c r="B787" t="s">
        <v>92</v>
      </c>
      <c r="C787" t="s">
        <v>404</v>
      </c>
      <c r="E787" t="s">
        <v>404</v>
      </c>
      <c r="L787" t="s">
        <v>93</v>
      </c>
      <c r="M787">
        <v>90</v>
      </c>
      <c r="N787" t="s">
        <v>24</v>
      </c>
      <c r="Q787">
        <v>1</v>
      </c>
      <c r="R787" t="s">
        <v>11</v>
      </c>
      <c r="T787">
        <v>10</v>
      </c>
      <c r="V787" t="s">
        <v>15</v>
      </c>
    </row>
    <row r="788" spans="1:22" x14ac:dyDescent="0.25">
      <c r="A788">
        <v>44</v>
      </c>
      <c r="B788" t="s">
        <v>92</v>
      </c>
      <c r="C788" t="s">
        <v>404</v>
      </c>
      <c r="E788" t="s">
        <v>404</v>
      </c>
      <c r="L788" t="s">
        <v>93</v>
      </c>
      <c r="M788">
        <v>100</v>
      </c>
      <c r="N788" t="s">
        <v>141</v>
      </c>
      <c r="Q788">
        <v>0.107</v>
      </c>
      <c r="R788" t="s">
        <v>14</v>
      </c>
      <c r="T788">
        <v>10</v>
      </c>
      <c r="V788" t="s">
        <v>15</v>
      </c>
    </row>
    <row r="789" spans="1:22" x14ac:dyDescent="0.25">
      <c r="A789">
        <v>44</v>
      </c>
      <c r="B789" t="s">
        <v>92</v>
      </c>
      <c r="C789" t="s">
        <v>404</v>
      </c>
      <c r="E789" t="s">
        <v>404</v>
      </c>
      <c r="L789" t="s">
        <v>93</v>
      </c>
      <c r="M789">
        <v>110</v>
      </c>
      <c r="N789" t="s">
        <v>140</v>
      </c>
      <c r="Q789">
        <v>4</v>
      </c>
      <c r="R789" t="s">
        <v>11</v>
      </c>
      <c r="T789">
        <v>10</v>
      </c>
      <c r="V789" t="s">
        <v>15</v>
      </c>
    </row>
    <row r="790" spans="1:22" x14ac:dyDescent="0.25">
      <c r="A790">
        <v>44</v>
      </c>
      <c r="B790" t="s">
        <v>92</v>
      </c>
      <c r="C790" t="s">
        <v>404</v>
      </c>
      <c r="E790" t="s">
        <v>404</v>
      </c>
      <c r="L790" t="s">
        <v>93</v>
      </c>
      <c r="M790">
        <v>120</v>
      </c>
      <c r="N790" t="s">
        <v>25</v>
      </c>
      <c r="Q790">
        <v>1</v>
      </c>
      <c r="R790" t="s">
        <v>11</v>
      </c>
      <c r="T790">
        <v>10</v>
      </c>
      <c r="V790" t="s">
        <v>15</v>
      </c>
    </row>
    <row r="791" spans="1:22" x14ac:dyDescent="0.25">
      <c r="A791">
        <v>44</v>
      </c>
      <c r="B791" t="s">
        <v>92</v>
      </c>
      <c r="C791" t="s">
        <v>404</v>
      </c>
      <c r="E791" t="s">
        <v>404</v>
      </c>
      <c r="L791" t="s">
        <v>93</v>
      </c>
      <c r="M791">
        <v>130</v>
      </c>
      <c r="N791" t="s">
        <v>26</v>
      </c>
      <c r="Q791">
        <v>1</v>
      </c>
      <c r="R791" t="s">
        <v>11</v>
      </c>
      <c r="T791">
        <v>10</v>
      </c>
      <c r="V791" t="s">
        <v>15</v>
      </c>
    </row>
    <row r="792" spans="1:22" x14ac:dyDescent="0.25">
      <c r="A792">
        <v>44</v>
      </c>
      <c r="B792" t="s">
        <v>92</v>
      </c>
      <c r="C792" t="s">
        <v>404</v>
      </c>
      <c r="E792" t="s">
        <v>404</v>
      </c>
      <c r="L792" t="s">
        <v>93</v>
      </c>
      <c r="M792">
        <v>140</v>
      </c>
      <c r="N792" t="s">
        <v>100</v>
      </c>
      <c r="Q792">
        <v>0.78400000000000003</v>
      </c>
      <c r="R792" t="s">
        <v>14</v>
      </c>
      <c r="T792">
        <v>10</v>
      </c>
      <c r="V792" t="s">
        <v>15</v>
      </c>
    </row>
    <row r="793" spans="1:22" x14ac:dyDescent="0.25">
      <c r="A793">
        <v>44</v>
      </c>
      <c r="B793" t="s">
        <v>92</v>
      </c>
      <c r="C793" t="s">
        <v>404</v>
      </c>
      <c r="E793" t="s">
        <v>404</v>
      </c>
      <c r="L793" t="s">
        <v>93</v>
      </c>
      <c r="M793">
        <v>150</v>
      </c>
      <c r="N793" t="s">
        <v>407</v>
      </c>
      <c r="Q793">
        <v>1</v>
      </c>
      <c r="R793" t="s">
        <v>11</v>
      </c>
      <c r="T793">
        <v>10</v>
      </c>
      <c r="V793" t="s">
        <v>18</v>
      </c>
    </row>
    <row r="794" spans="1:22" x14ac:dyDescent="0.25">
      <c r="A794">
        <v>44</v>
      </c>
      <c r="B794" t="s">
        <v>92</v>
      </c>
      <c r="C794" t="s">
        <v>404</v>
      </c>
      <c r="E794" t="s">
        <v>404</v>
      </c>
      <c r="L794" t="s">
        <v>93</v>
      </c>
      <c r="M794">
        <v>160</v>
      </c>
      <c r="N794" t="s">
        <v>408</v>
      </c>
      <c r="Q794">
        <v>1</v>
      </c>
      <c r="R794" t="s">
        <v>11</v>
      </c>
      <c r="T794">
        <v>10</v>
      </c>
      <c r="V794" t="s">
        <v>18</v>
      </c>
    </row>
    <row r="795" spans="1:22" x14ac:dyDescent="0.25">
      <c r="A795">
        <v>44</v>
      </c>
      <c r="B795" t="s">
        <v>92</v>
      </c>
      <c r="C795" t="s">
        <v>404</v>
      </c>
      <c r="E795" t="s">
        <v>404</v>
      </c>
      <c r="L795" t="s">
        <v>93</v>
      </c>
      <c r="M795">
        <v>170</v>
      </c>
      <c r="N795" t="s">
        <v>142</v>
      </c>
      <c r="Q795">
        <v>6.2990000000000004</v>
      </c>
      <c r="R795" t="s">
        <v>11</v>
      </c>
      <c r="T795">
        <v>10</v>
      </c>
      <c r="V795" t="s">
        <v>15</v>
      </c>
    </row>
    <row r="796" spans="1:22" x14ac:dyDescent="0.25">
      <c r="A796">
        <v>44</v>
      </c>
      <c r="B796" t="s">
        <v>92</v>
      </c>
      <c r="C796" t="s">
        <v>404</v>
      </c>
      <c r="E796" t="s">
        <v>404</v>
      </c>
      <c r="L796" t="s">
        <v>93</v>
      </c>
      <c r="M796">
        <v>180</v>
      </c>
      <c r="N796" t="s">
        <v>409</v>
      </c>
      <c r="Q796">
        <v>1</v>
      </c>
      <c r="R796" t="s">
        <v>11</v>
      </c>
      <c r="T796">
        <v>10</v>
      </c>
      <c r="V796" t="s">
        <v>18</v>
      </c>
    </row>
    <row r="797" spans="1:22" x14ac:dyDescent="0.25">
      <c r="A797">
        <v>45</v>
      </c>
      <c r="B797" t="s">
        <v>92</v>
      </c>
      <c r="C797" t="s">
        <v>410</v>
      </c>
      <c r="E797" t="s">
        <v>410</v>
      </c>
      <c r="L797" t="s">
        <v>93</v>
      </c>
      <c r="M797">
        <v>10</v>
      </c>
      <c r="N797" t="s">
        <v>411</v>
      </c>
      <c r="Q797">
        <v>1</v>
      </c>
      <c r="R797" t="s">
        <v>11</v>
      </c>
      <c r="T797">
        <v>10</v>
      </c>
      <c r="V797" t="s">
        <v>18</v>
      </c>
    </row>
    <row r="798" spans="1:22" x14ac:dyDescent="0.25">
      <c r="A798">
        <v>45</v>
      </c>
      <c r="B798" t="s">
        <v>92</v>
      </c>
      <c r="C798" t="s">
        <v>410</v>
      </c>
      <c r="E798" t="s">
        <v>410</v>
      </c>
      <c r="L798" t="s">
        <v>93</v>
      </c>
      <c r="M798">
        <v>20</v>
      </c>
      <c r="N798" t="s">
        <v>117</v>
      </c>
      <c r="Q798">
        <v>3.843</v>
      </c>
      <c r="R798" t="s">
        <v>14</v>
      </c>
      <c r="T798">
        <v>10</v>
      </c>
      <c r="V798" t="s">
        <v>15</v>
      </c>
    </row>
    <row r="799" spans="1:22" x14ac:dyDescent="0.25">
      <c r="A799">
        <v>45</v>
      </c>
      <c r="B799" t="s">
        <v>92</v>
      </c>
      <c r="C799" t="s">
        <v>410</v>
      </c>
      <c r="E799" t="s">
        <v>410</v>
      </c>
      <c r="L799" t="s">
        <v>93</v>
      </c>
      <c r="M799">
        <v>30</v>
      </c>
      <c r="N799" t="s">
        <v>102</v>
      </c>
      <c r="Q799">
        <v>1.06</v>
      </c>
      <c r="R799" t="s">
        <v>103</v>
      </c>
      <c r="T799">
        <v>10</v>
      </c>
      <c r="V799" t="s">
        <v>15</v>
      </c>
    </row>
    <row r="800" spans="1:22" x14ac:dyDescent="0.25">
      <c r="A800">
        <v>45</v>
      </c>
      <c r="B800" t="s">
        <v>92</v>
      </c>
      <c r="C800" t="s">
        <v>410</v>
      </c>
      <c r="E800" t="s">
        <v>410</v>
      </c>
      <c r="L800" t="s">
        <v>93</v>
      </c>
      <c r="M800">
        <v>40</v>
      </c>
      <c r="N800" t="s">
        <v>146</v>
      </c>
      <c r="Q800">
        <v>1.5489999999999999</v>
      </c>
      <c r="R800" t="s">
        <v>11</v>
      </c>
      <c r="T800">
        <v>10</v>
      </c>
      <c r="V800" t="s">
        <v>18</v>
      </c>
    </row>
    <row r="801" spans="1:22" x14ac:dyDescent="0.25">
      <c r="A801">
        <v>45</v>
      </c>
      <c r="B801" t="s">
        <v>92</v>
      </c>
      <c r="C801" t="s">
        <v>410</v>
      </c>
      <c r="E801" t="s">
        <v>410</v>
      </c>
      <c r="L801" t="s">
        <v>93</v>
      </c>
      <c r="M801">
        <v>50</v>
      </c>
      <c r="N801" t="s">
        <v>139</v>
      </c>
      <c r="Q801">
        <v>1.5489999999999999</v>
      </c>
      <c r="R801" t="s">
        <v>17</v>
      </c>
      <c r="T801">
        <v>10</v>
      </c>
      <c r="V801" t="s">
        <v>18</v>
      </c>
    </row>
    <row r="802" spans="1:22" x14ac:dyDescent="0.25">
      <c r="A802">
        <v>45</v>
      </c>
      <c r="B802" t="s">
        <v>92</v>
      </c>
      <c r="C802" t="s">
        <v>410</v>
      </c>
      <c r="E802" t="s">
        <v>410</v>
      </c>
      <c r="L802" t="s">
        <v>93</v>
      </c>
      <c r="M802">
        <v>60</v>
      </c>
      <c r="N802" t="s">
        <v>412</v>
      </c>
      <c r="Q802">
        <v>1</v>
      </c>
      <c r="R802" t="s">
        <v>11</v>
      </c>
      <c r="T802">
        <v>10</v>
      </c>
      <c r="V802" t="s">
        <v>18</v>
      </c>
    </row>
    <row r="803" spans="1:22" x14ac:dyDescent="0.25">
      <c r="A803">
        <v>45</v>
      </c>
      <c r="B803" t="s">
        <v>92</v>
      </c>
      <c r="C803" t="s">
        <v>410</v>
      </c>
      <c r="E803" t="s">
        <v>410</v>
      </c>
      <c r="L803" t="s">
        <v>93</v>
      </c>
      <c r="M803">
        <v>70</v>
      </c>
      <c r="N803" t="s">
        <v>148</v>
      </c>
      <c r="Q803">
        <v>20.725999999999999</v>
      </c>
      <c r="R803" t="s">
        <v>17</v>
      </c>
      <c r="T803">
        <v>10</v>
      </c>
      <c r="V803" t="s">
        <v>15</v>
      </c>
    </row>
    <row r="804" spans="1:22" x14ac:dyDescent="0.25">
      <c r="A804">
        <v>45</v>
      </c>
      <c r="B804" t="s">
        <v>92</v>
      </c>
      <c r="C804" t="s">
        <v>410</v>
      </c>
      <c r="E804" t="s">
        <v>410</v>
      </c>
      <c r="L804" t="s">
        <v>93</v>
      </c>
      <c r="M804">
        <v>80</v>
      </c>
      <c r="N804" t="s">
        <v>20</v>
      </c>
      <c r="Q804">
        <v>169.95599999999999</v>
      </c>
      <c r="R804" t="s">
        <v>17</v>
      </c>
      <c r="T804">
        <v>10</v>
      </c>
      <c r="V804" t="s">
        <v>15</v>
      </c>
    </row>
    <row r="805" spans="1:22" x14ac:dyDescent="0.25">
      <c r="A805">
        <v>45</v>
      </c>
      <c r="B805" t="s">
        <v>92</v>
      </c>
      <c r="C805" t="s">
        <v>410</v>
      </c>
      <c r="E805" t="s">
        <v>410</v>
      </c>
      <c r="L805" t="s">
        <v>93</v>
      </c>
      <c r="M805">
        <v>90</v>
      </c>
      <c r="N805" t="s">
        <v>24</v>
      </c>
      <c r="Q805">
        <v>1</v>
      </c>
      <c r="R805" t="s">
        <v>11</v>
      </c>
      <c r="T805">
        <v>10</v>
      </c>
      <c r="V805" t="s">
        <v>15</v>
      </c>
    </row>
    <row r="806" spans="1:22" x14ac:dyDescent="0.25">
      <c r="A806">
        <v>45</v>
      </c>
      <c r="B806" t="s">
        <v>92</v>
      </c>
      <c r="C806" t="s">
        <v>410</v>
      </c>
      <c r="E806" t="s">
        <v>410</v>
      </c>
      <c r="L806" t="s">
        <v>93</v>
      </c>
      <c r="M806">
        <v>100</v>
      </c>
      <c r="N806" t="s">
        <v>141</v>
      </c>
      <c r="Q806">
        <v>0.128</v>
      </c>
      <c r="R806" t="s">
        <v>14</v>
      </c>
      <c r="T806">
        <v>10</v>
      </c>
      <c r="V806" t="s">
        <v>15</v>
      </c>
    </row>
    <row r="807" spans="1:22" x14ac:dyDescent="0.25">
      <c r="A807">
        <v>45</v>
      </c>
      <c r="B807" t="s">
        <v>92</v>
      </c>
      <c r="C807" t="s">
        <v>410</v>
      </c>
      <c r="E807" t="s">
        <v>410</v>
      </c>
      <c r="L807" t="s">
        <v>93</v>
      </c>
      <c r="M807">
        <v>110</v>
      </c>
      <c r="N807" t="s">
        <v>140</v>
      </c>
      <c r="Q807">
        <v>4</v>
      </c>
      <c r="R807" t="s">
        <v>11</v>
      </c>
      <c r="T807">
        <v>10</v>
      </c>
      <c r="V807" t="s">
        <v>15</v>
      </c>
    </row>
    <row r="808" spans="1:22" x14ac:dyDescent="0.25">
      <c r="A808">
        <v>45</v>
      </c>
      <c r="B808" t="s">
        <v>92</v>
      </c>
      <c r="C808" t="s">
        <v>410</v>
      </c>
      <c r="E808" t="s">
        <v>410</v>
      </c>
      <c r="L808" t="s">
        <v>93</v>
      </c>
      <c r="M808">
        <v>120</v>
      </c>
      <c r="N808" t="s">
        <v>25</v>
      </c>
      <c r="Q808">
        <v>1</v>
      </c>
      <c r="R808" t="s">
        <v>11</v>
      </c>
      <c r="T808">
        <v>10</v>
      </c>
      <c r="V808" t="s">
        <v>15</v>
      </c>
    </row>
    <row r="809" spans="1:22" x14ac:dyDescent="0.25">
      <c r="A809">
        <v>45</v>
      </c>
      <c r="B809" t="s">
        <v>92</v>
      </c>
      <c r="C809" t="s">
        <v>410</v>
      </c>
      <c r="E809" t="s">
        <v>410</v>
      </c>
      <c r="L809" t="s">
        <v>93</v>
      </c>
      <c r="M809">
        <v>130</v>
      </c>
      <c r="N809" t="s">
        <v>26</v>
      </c>
      <c r="Q809">
        <v>1</v>
      </c>
      <c r="R809" t="s">
        <v>11</v>
      </c>
      <c r="T809">
        <v>10</v>
      </c>
      <c r="V809" t="s">
        <v>15</v>
      </c>
    </row>
    <row r="810" spans="1:22" x14ac:dyDescent="0.25">
      <c r="A810">
        <v>45</v>
      </c>
      <c r="B810" t="s">
        <v>92</v>
      </c>
      <c r="C810" t="s">
        <v>410</v>
      </c>
      <c r="E810" t="s">
        <v>410</v>
      </c>
      <c r="L810" t="s">
        <v>93</v>
      </c>
      <c r="M810">
        <v>140</v>
      </c>
      <c r="N810" t="s">
        <v>100</v>
      </c>
      <c r="Q810">
        <v>0.94599999999999995</v>
      </c>
      <c r="R810" t="s">
        <v>14</v>
      </c>
      <c r="T810">
        <v>10</v>
      </c>
      <c r="V810" t="s">
        <v>15</v>
      </c>
    </row>
    <row r="811" spans="1:22" x14ac:dyDescent="0.25">
      <c r="A811">
        <v>45</v>
      </c>
      <c r="B811" t="s">
        <v>92</v>
      </c>
      <c r="C811" t="s">
        <v>410</v>
      </c>
      <c r="E811" t="s">
        <v>410</v>
      </c>
      <c r="L811" t="s">
        <v>93</v>
      </c>
      <c r="M811">
        <v>150</v>
      </c>
      <c r="N811" t="s">
        <v>413</v>
      </c>
      <c r="Q811">
        <v>1</v>
      </c>
      <c r="R811" t="s">
        <v>11</v>
      </c>
      <c r="T811">
        <v>10</v>
      </c>
      <c r="V811" t="s">
        <v>18</v>
      </c>
    </row>
    <row r="812" spans="1:22" x14ac:dyDescent="0.25">
      <c r="A812">
        <v>45</v>
      </c>
      <c r="B812" t="s">
        <v>92</v>
      </c>
      <c r="C812" t="s">
        <v>410</v>
      </c>
      <c r="E812" t="s">
        <v>410</v>
      </c>
      <c r="L812" t="s">
        <v>93</v>
      </c>
      <c r="M812">
        <v>160</v>
      </c>
      <c r="N812" t="s">
        <v>414</v>
      </c>
      <c r="Q812">
        <v>1</v>
      </c>
      <c r="R812" t="s">
        <v>11</v>
      </c>
      <c r="T812">
        <v>10</v>
      </c>
      <c r="V812" t="s">
        <v>18</v>
      </c>
    </row>
    <row r="813" spans="1:22" x14ac:dyDescent="0.25">
      <c r="A813">
        <v>45</v>
      </c>
      <c r="B813" t="s">
        <v>92</v>
      </c>
      <c r="C813" t="s">
        <v>410</v>
      </c>
      <c r="E813" t="s">
        <v>410</v>
      </c>
      <c r="L813" t="s">
        <v>93</v>
      </c>
      <c r="M813">
        <v>170</v>
      </c>
      <c r="N813" t="s">
        <v>142</v>
      </c>
      <c r="Q813">
        <v>6.9089999999999998</v>
      </c>
      <c r="R813" t="s">
        <v>11</v>
      </c>
      <c r="T813">
        <v>10</v>
      </c>
      <c r="V813" t="s">
        <v>15</v>
      </c>
    </row>
    <row r="814" spans="1:22" x14ac:dyDescent="0.25">
      <c r="A814">
        <v>45</v>
      </c>
      <c r="B814" t="s">
        <v>92</v>
      </c>
      <c r="C814" t="s">
        <v>410</v>
      </c>
      <c r="E814" t="s">
        <v>410</v>
      </c>
      <c r="L814" t="s">
        <v>93</v>
      </c>
      <c r="M814">
        <v>180</v>
      </c>
      <c r="N814" t="s">
        <v>415</v>
      </c>
      <c r="Q814">
        <v>1</v>
      </c>
      <c r="R814" t="s">
        <v>11</v>
      </c>
      <c r="T814">
        <v>10</v>
      </c>
      <c r="V814" t="s">
        <v>18</v>
      </c>
    </row>
    <row r="815" spans="1:22" x14ac:dyDescent="0.25">
      <c r="A815">
        <v>46</v>
      </c>
      <c r="B815" t="s">
        <v>92</v>
      </c>
      <c r="C815" t="s">
        <v>416</v>
      </c>
      <c r="E815" t="s">
        <v>416</v>
      </c>
      <c r="L815" t="s">
        <v>93</v>
      </c>
      <c r="M815">
        <v>10</v>
      </c>
      <c r="N815" t="s">
        <v>417</v>
      </c>
      <c r="Q815">
        <v>1</v>
      </c>
      <c r="R815" t="s">
        <v>11</v>
      </c>
      <c r="T815">
        <v>10</v>
      </c>
      <c r="V815" t="s">
        <v>18</v>
      </c>
    </row>
    <row r="816" spans="1:22" x14ac:dyDescent="0.25">
      <c r="A816">
        <v>46</v>
      </c>
      <c r="B816" t="s">
        <v>92</v>
      </c>
      <c r="C816" t="s">
        <v>416</v>
      </c>
      <c r="E816" t="s">
        <v>416</v>
      </c>
      <c r="L816" t="s">
        <v>93</v>
      </c>
      <c r="M816">
        <v>20</v>
      </c>
      <c r="N816" t="s">
        <v>118</v>
      </c>
      <c r="Q816">
        <v>4.2300000000000004</v>
      </c>
      <c r="R816" t="s">
        <v>14</v>
      </c>
      <c r="T816">
        <v>10</v>
      </c>
      <c r="V816" t="s">
        <v>15</v>
      </c>
    </row>
    <row r="817" spans="1:22" x14ac:dyDescent="0.25">
      <c r="A817">
        <v>46</v>
      </c>
      <c r="B817" t="s">
        <v>92</v>
      </c>
      <c r="C817" t="s">
        <v>416</v>
      </c>
      <c r="E817" t="s">
        <v>416</v>
      </c>
      <c r="L817" t="s">
        <v>93</v>
      </c>
      <c r="M817">
        <v>30</v>
      </c>
      <c r="N817" t="s">
        <v>102</v>
      </c>
      <c r="Q817">
        <v>1.1679999999999999</v>
      </c>
      <c r="R817" t="s">
        <v>103</v>
      </c>
      <c r="T817">
        <v>10</v>
      </c>
      <c r="V817" t="s">
        <v>15</v>
      </c>
    </row>
    <row r="818" spans="1:22" x14ac:dyDescent="0.25">
      <c r="A818">
        <v>46</v>
      </c>
      <c r="B818" t="s">
        <v>92</v>
      </c>
      <c r="C818" t="s">
        <v>416</v>
      </c>
      <c r="E818" t="s">
        <v>416</v>
      </c>
      <c r="L818" t="s">
        <v>93</v>
      </c>
      <c r="M818">
        <v>40</v>
      </c>
      <c r="N818" t="s">
        <v>146</v>
      </c>
      <c r="Q818">
        <v>1.702</v>
      </c>
      <c r="R818" t="s">
        <v>11</v>
      </c>
      <c r="T818">
        <v>10</v>
      </c>
      <c r="V818" t="s">
        <v>18</v>
      </c>
    </row>
    <row r="819" spans="1:22" x14ac:dyDescent="0.25">
      <c r="A819">
        <v>46</v>
      </c>
      <c r="B819" t="s">
        <v>92</v>
      </c>
      <c r="C819" t="s">
        <v>416</v>
      </c>
      <c r="E819" t="s">
        <v>416</v>
      </c>
      <c r="L819" t="s">
        <v>93</v>
      </c>
      <c r="M819">
        <v>50</v>
      </c>
      <c r="N819" t="s">
        <v>139</v>
      </c>
      <c r="Q819">
        <v>1.702</v>
      </c>
      <c r="R819" t="s">
        <v>17</v>
      </c>
      <c r="T819">
        <v>10</v>
      </c>
      <c r="V819" t="s">
        <v>18</v>
      </c>
    </row>
    <row r="820" spans="1:22" x14ac:dyDescent="0.25">
      <c r="A820">
        <v>46</v>
      </c>
      <c r="B820" t="s">
        <v>92</v>
      </c>
      <c r="C820" t="s">
        <v>416</v>
      </c>
      <c r="E820" t="s">
        <v>416</v>
      </c>
      <c r="L820" t="s">
        <v>93</v>
      </c>
      <c r="M820">
        <v>60</v>
      </c>
      <c r="N820" t="s">
        <v>418</v>
      </c>
      <c r="Q820">
        <v>1</v>
      </c>
      <c r="R820" t="s">
        <v>11</v>
      </c>
      <c r="T820">
        <v>10</v>
      </c>
      <c r="V820" t="s">
        <v>18</v>
      </c>
    </row>
    <row r="821" spans="1:22" x14ac:dyDescent="0.25">
      <c r="A821">
        <v>46</v>
      </c>
      <c r="B821" t="s">
        <v>92</v>
      </c>
      <c r="C821" t="s">
        <v>416</v>
      </c>
      <c r="E821" t="s">
        <v>416</v>
      </c>
      <c r="L821" t="s">
        <v>93</v>
      </c>
      <c r="M821">
        <v>70</v>
      </c>
      <c r="N821" t="s">
        <v>148</v>
      </c>
      <c r="Q821">
        <v>21.640999999999998</v>
      </c>
      <c r="R821" t="s">
        <v>17</v>
      </c>
      <c r="T821">
        <v>10</v>
      </c>
      <c r="V821" t="s">
        <v>15</v>
      </c>
    </row>
    <row r="822" spans="1:22" x14ac:dyDescent="0.25">
      <c r="A822">
        <v>46</v>
      </c>
      <c r="B822" t="s">
        <v>92</v>
      </c>
      <c r="C822" t="s">
        <v>416</v>
      </c>
      <c r="E822" t="s">
        <v>416</v>
      </c>
      <c r="L822" t="s">
        <v>93</v>
      </c>
      <c r="M822">
        <v>80</v>
      </c>
      <c r="N822" t="s">
        <v>20</v>
      </c>
      <c r="Q822">
        <v>177.45500000000001</v>
      </c>
      <c r="R822" t="s">
        <v>17</v>
      </c>
      <c r="T822">
        <v>10</v>
      </c>
      <c r="V822" t="s">
        <v>15</v>
      </c>
    </row>
    <row r="823" spans="1:22" x14ac:dyDescent="0.25">
      <c r="A823">
        <v>46</v>
      </c>
      <c r="B823" t="s">
        <v>92</v>
      </c>
      <c r="C823" t="s">
        <v>416</v>
      </c>
      <c r="E823" t="s">
        <v>416</v>
      </c>
      <c r="L823" t="s">
        <v>93</v>
      </c>
      <c r="M823">
        <v>90</v>
      </c>
      <c r="N823" t="s">
        <v>24</v>
      </c>
      <c r="Q823">
        <v>1</v>
      </c>
      <c r="R823" t="s">
        <v>11</v>
      </c>
      <c r="T823">
        <v>10</v>
      </c>
      <c r="V823" t="s">
        <v>15</v>
      </c>
    </row>
    <row r="824" spans="1:22" x14ac:dyDescent="0.25">
      <c r="A824">
        <v>46</v>
      </c>
      <c r="B824" t="s">
        <v>92</v>
      </c>
      <c r="C824" t="s">
        <v>416</v>
      </c>
      <c r="E824" t="s">
        <v>416</v>
      </c>
      <c r="L824" t="s">
        <v>93</v>
      </c>
      <c r="M824">
        <v>100</v>
      </c>
      <c r="N824" t="s">
        <v>141</v>
      </c>
      <c r="Q824">
        <v>0.13800000000000001</v>
      </c>
      <c r="R824" t="s">
        <v>14</v>
      </c>
      <c r="T824">
        <v>10</v>
      </c>
      <c r="V824" t="s">
        <v>15</v>
      </c>
    </row>
    <row r="825" spans="1:22" x14ac:dyDescent="0.25">
      <c r="A825">
        <v>46</v>
      </c>
      <c r="B825" t="s">
        <v>92</v>
      </c>
      <c r="C825" t="s">
        <v>416</v>
      </c>
      <c r="E825" t="s">
        <v>416</v>
      </c>
      <c r="L825" t="s">
        <v>93</v>
      </c>
      <c r="M825">
        <v>110</v>
      </c>
      <c r="N825" t="s">
        <v>140</v>
      </c>
      <c r="Q825">
        <v>4</v>
      </c>
      <c r="R825" t="s">
        <v>11</v>
      </c>
      <c r="T825">
        <v>10</v>
      </c>
      <c r="V825" t="s">
        <v>15</v>
      </c>
    </row>
    <row r="826" spans="1:22" x14ac:dyDescent="0.25">
      <c r="A826">
        <v>46</v>
      </c>
      <c r="B826" t="s">
        <v>92</v>
      </c>
      <c r="C826" t="s">
        <v>416</v>
      </c>
      <c r="E826" t="s">
        <v>416</v>
      </c>
      <c r="L826" t="s">
        <v>93</v>
      </c>
      <c r="M826">
        <v>120</v>
      </c>
      <c r="N826" t="s">
        <v>25</v>
      </c>
      <c r="Q826">
        <v>1</v>
      </c>
      <c r="R826" t="s">
        <v>11</v>
      </c>
      <c r="T826">
        <v>10</v>
      </c>
      <c r="V826" t="s">
        <v>15</v>
      </c>
    </row>
    <row r="827" spans="1:22" x14ac:dyDescent="0.25">
      <c r="A827">
        <v>46</v>
      </c>
      <c r="B827" t="s">
        <v>92</v>
      </c>
      <c r="C827" t="s">
        <v>416</v>
      </c>
      <c r="E827" t="s">
        <v>416</v>
      </c>
      <c r="L827" t="s">
        <v>93</v>
      </c>
      <c r="M827">
        <v>130</v>
      </c>
      <c r="N827" t="s">
        <v>26</v>
      </c>
      <c r="Q827">
        <v>1</v>
      </c>
      <c r="R827" t="s">
        <v>11</v>
      </c>
      <c r="T827">
        <v>10</v>
      </c>
      <c r="V827" t="s">
        <v>15</v>
      </c>
    </row>
    <row r="828" spans="1:22" x14ac:dyDescent="0.25">
      <c r="A828">
        <v>46</v>
      </c>
      <c r="B828" t="s">
        <v>92</v>
      </c>
      <c r="C828" t="s">
        <v>416</v>
      </c>
      <c r="E828" t="s">
        <v>416</v>
      </c>
      <c r="L828" t="s">
        <v>93</v>
      </c>
      <c r="M828">
        <v>140</v>
      </c>
      <c r="N828" t="s">
        <v>100</v>
      </c>
      <c r="Q828">
        <v>1.0269999999999999</v>
      </c>
      <c r="R828" t="s">
        <v>14</v>
      </c>
      <c r="T828">
        <v>10</v>
      </c>
      <c r="V828" t="s">
        <v>15</v>
      </c>
    </row>
    <row r="829" spans="1:22" x14ac:dyDescent="0.25">
      <c r="A829">
        <v>46</v>
      </c>
      <c r="B829" t="s">
        <v>92</v>
      </c>
      <c r="C829" t="s">
        <v>416</v>
      </c>
      <c r="E829" t="s">
        <v>416</v>
      </c>
      <c r="L829" t="s">
        <v>93</v>
      </c>
      <c r="M829">
        <v>150</v>
      </c>
      <c r="N829" t="s">
        <v>419</v>
      </c>
      <c r="Q829">
        <v>1</v>
      </c>
      <c r="R829" t="s">
        <v>11</v>
      </c>
      <c r="T829">
        <v>10</v>
      </c>
      <c r="V829" t="s">
        <v>18</v>
      </c>
    </row>
    <row r="830" spans="1:22" x14ac:dyDescent="0.25">
      <c r="A830">
        <v>46</v>
      </c>
      <c r="B830" t="s">
        <v>92</v>
      </c>
      <c r="C830" t="s">
        <v>416</v>
      </c>
      <c r="E830" t="s">
        <v>416</v>
      </c>
      <c r="L830" t="s">
        <v>93</v>
      </c>
      <c r="M830">
        <v>160</v>
      </c>
      <c r="N830" t="s">
        <v>420</v>
      </c>
      <c r="Q830">
        <v>1</v>
      </c>
      <c r="R830" t="s">
        <v>11</v>
      </c>
      <c r="T830">
        <v>10</v>
      </c>
      <c r="V830" t="s">
        <v>18</v>
      </c>
    </row>
    <row r="831" spans="1:22" x14ac:dyDescent="0.25">
      <c r="A831">
        <v>46</v>
      </c>
      <c r="B831" t="s">
        <v>92</v>
      </c>
      <c r="C831" t="s">
        <v>416</v>
      </c>
      <c r="E831" t="s">
        <v>416</v>
      </c>
      <c r="L831" t="s">
        <v>93</v>
      </c>
      <c r="M831">
        <v>170</v>
      </c>
      <c r="N831" t="s">
        <v>142</v>
      </c>
      <c r="Q831">
        <v>7.2140000000000004</v>
      </c>
      <c r="R831" t="s">
        <v>11</v>
      </c>
      <c r="T831">
        <v>10</v>
      </c>
      <c r="V831" t="s">
        <v>15</v>
      </c>
    </row>
    <row r="832" spans="1:22" x14ac:dyDescent="0.25">
      <c r="A832">
        <v>46</v>
      </c>
      <c r="B832" t="s">
        <v>92</v>
      </c>
      <c r="C832" t="s">
        <v>416</v>
      </c>
      <c r="E832" t="s">
        <v>416</v>
      </c>
      <c r="L832" t="s">
        <v>93</v>
      </c>
      <c r="M832">
        <v>180</v>
      </c>
      <c r="N832" t="s">
        <v>421</v>
      </c>
      <c r="Q832">
        <v>1</v>
      </c>
      <c r="R832" t="s">
        <v>11</v>
      </c>
      <c r="T832">
        <v>10</v>
      </c>
      <c r="V832" t="s">
        <v>18</v>
      </c>
    </row>
    <row r="833" spans="1:22" x14ac:dyDescent="0.25">
      <c r="A833">
        <v>47</v>
      </c>
      <c r="B833" t="s">
        <v>92</v>
      </c>
      <c r="C833" t="s">
        <v>422</v>
      </c>
      <c r="E833" t="s">
        <v>422</v>
      </c>
      <c r="L833" t="s">
        <v>93</v>
      </c>
      <c r="M833">
        <v>10</v>
      </c>
      <c r="N833" t="s">
        <v>423</v>
      </c>
      <c r="Q833">
        <v>1</v>
      </c>
      <c r="R833" t="s">
        <v>11</v>
      </c>
      <c r="T833">
        <v>10</v>
      </c>
      <c r="V833" t="s">
        <v>18</v>
      </c>
    </row>
    <row r="834" spans="1:22" x14ac:dyDescent="0.25">
      <c r="A834">
        <v>47</v>
      </c>
      <c r="B834" t="s">
        <v>92</v>
      </c>
      <c r="C834" t="s">
        <v>422</v>
      </c>
      <c r="E834" t="s">
        <v>422</v>
      </c>
      <c r="L834" t="s">
        <v>93</v>
      </c>
      <c r="M834">
        <v>20</v>
      </c>
      <c r="N834" t="s">
        <v>119</v>
      </c>
      <c r="Q834">
        <v>4.6180000000000003</v>
      </c>
      <c r="R834" t="s">
        <v>14</v>
      </c>
      <c r="T834">
        <v>10</v>
      </c>
      <c r="V834" t="s">
        <v>15</v>
      </c>
    </row>
    <row r="835" spans="1:22" x14ac:dyDescent="0.25">
      <c r="A835">
        <v>47</v>
      </c>
      <c r="B835" t="s">
        <v>92</v>
      </c>
      <c r="C835" t="s">
        <v>422</v>
      </c>
      <c r="E835" t="s">
        <v>422</v>
      </c>
      <c r="L835" t="s">
        <v>93</v>
      </c>
      <c r="M835">
        <v>30</v>
      </c>
      <c r="N835" t="s">
        <v>102</v>
      </c>
      <c r="Q835">
        <v>1.276</v>
      </c>
      <c r="R835" t="s">
        <v>103</v>
      </c>
      <c r="T835">
        <v>10</v>
      </c>
      <c r="V835" t="s">
        <v>15</v>
      </c>
    </row>
    <row r="836" spans="1:22" x14ac:dyDescent="0.25">
      <c r="A836">
        <v>47</v>
      </c>
      <c r="B836" t="s">
        <v>92</v>
      </c>
      <c r="C836" t="s">
        <v>422</v>
      </c>
      <c r="E836" t="s">
        <v>422</v>
      </c>
      <c r="L836" t="s">
        <v>93</v>
      </c>
      <c r="M836">
        <v>40</v>
      </c>
      <c r="N836" t="s">
        <v>146</v>
      </c>
      <c r="Q836">
        <v>1.8540000000000001</v>
      </c>
      <c r="R836" t="s">
        <v>11</v>
      </c>
      <c r="T836">
        <v>10</v>
      </c>
      <c r="V836" t="s">
        <v>18</v>
      </c>
    </row>
    <row r="837" spans="1:22" x14ac:dyDescent="0.25">
      <c r="A837">
        <v>47</v>
      </c>
      <c r="B837" t="s">
        <v>92</v>
      </c>
      <c r="C837" t="s">
        <v>422</v>
      </c>
      <c r="E837" t="s">
        <v>422</v>
      </c>
      <c r="L837" t="s">
        <v>93</v>
      </c>
      <c r="M837">
        <v>50</v>
      </c>
      <c r="N837" t="s">
        <v>139</v>
      </c>
      <c r="Q837">
        <v>1.8540000000000001</v>
      </c>
      <c r="R837" t="s">
        <v>17</v>
      </c>
      <c r="T837">
        <v>10</v>
      </c>
      <c r="V837" t="s">
        <v>18</v>
      </c>
    </row>
    <row r="838" spans="1:22" x14ac:dyDescent="0.25">
      <c r="A838">
        <v>47</v>
      </c>
      <c r="B838" t="s">
        <v>92</v>
      </c>
      <c r="C838" t="s">
        <v>422</v>
      </c>
      <c r="E838" t="s">
        <v>422</v>
      </c>
      <c r="L838" t="s">
        <v>93</v>
      </c>
      <c r="M838">
        <v>60</v>
      </c>
      <c r="N838" t="s">
        <v>424</v>
      </c>
      <c r="Q838">
        <v>1</v>
      </c>
      <c r="R838" t="s">
        <v>11</v>
      </c>
      <c r="T838">
        <v>10</v>
      </c>
      <c r="V838" t="s">
        <v>18</v>
      </c>
    </row>
    <row r="839" spans="1:22" x14ac:dyDescent="0.25">
      <c r="A839">
        <v>47</v>
      </c>
      <c r="B839" t="s">
        <v>92</v>
      </c>
      <c r="C839" t="s">
        <v>422</v>
      </c>
      <c r="E839" t="s">
        <v>422</v>
      </c>
      <c r="L839" t="s">
        <v>93</v>
      </c>
      <c r="M839">
        <v>70</v>
      </c>
      <c r="N839" t="s">
        <v>148</v>
      </c>
      <c r="Q839">
        <v>22.555</v>
      </c>
      <c r="R839" t="s">
        <v>17</v>
      </c>
      <c r="T839">
        <v>10</v>
      </c>
      <c r="V839" t="s">
        <v>15</v>
      </c>
    </row>
    <row r="840" spans="1:22" x14ac:dyDescent="0.25">
      <c r="A840">
        <v>47</v>
      </c>
      <c r="B840" t="s">
        <v>92</v>
      </c>
      <c r="C840" t="s">
        <v>422</v>
      </c>
      <c r="E840" t="s">
        <v>422</v>
      </c>
      <c r="L840" t="s">
        <v>93</v>
      </c>
      <c r="M840">
        <v>80</v>
      </c>
      <c r="N840" t="s">
        <v>20</v>
      </c>
      <c r="Q840">
        <v>184.953</v>
      </c>
      <c r="R840" t="s">
        <v>17</v>
      </c>
      <c r="T840">
        <v>10</v>
      </c>
      <c r="V840" t="s">
        <v>15</v>
      </c>
    </row>
    <row r="841" spans="1:22" x14ac:dyDescent="0.25">
      <c r="A841">
        <v>47</v>
      </c>
      <c r="B841" t="s">
        <v>92</v>
      </c>
      <c r="C841" t="s">
        <v>422</v>
      </c>
      <c r="E841" t="s">
        <v>422</v>
      </c>
      <c r="L841" t="s">
        <v>93</v>
      </c>
      <c r="M841">
        <v>90</v>
      </c>
      <c r="N841" t="s">
        <v>24</v>
      </c>
      <c r="Q841">
        <v>1</v>
      </c>
      <c r="R841" t="s">
        <v>11</v>
      </c>
      <c r="T841">
        <v>10</v>
      </c>
      <c r="V841" t="s">
        <v>15</v>
      </c>
    </row>
    <row r="842" spans="1:22" x14ac:dyDescent="0.25">
      <c r="A842">
        <v>47</v>
      </c>
      <c r="B842" t="s">
        <v>92</v>
      </c>
      <c r="C842" t="s">
        <v>422</v>
      </c>
      <c r="E842" t="s">
        <v>422</v>
      </c>
      <c r="L842" t="s">
        <v>93</v>
      </c>
      <c r="M842">
        <v>100</v>
      </c>
      <c r="N842" t="s">
        <v>141</v>
      </c>
      <c r="Q842">
        <v>0.14899999999999999</v>
      </c>
      <c r="R842" t="s">
        <v>14</v>
      </c>
      <c r="T842">
        <v>10</v>
      </c>
      <c r="V842" t="s">
        <v>15</v>
      </c>
    </row>
    <row r="843" spans="1:22" x14ac:dyDescent="0.25">
      <c r="A843">
        <v>47</v>
      </c>
      <c r="B843" t="s">
        <v>92</v>
      </c>
      <c r="C843" t="s">
        <v>422</v>
      </c>
      <c r="E843" t="s">
        <v>422</v>
      </c>
      <c r="L843" t="s">
        <v>93</v>
      </c>
      <c r="M843">
        <v>110</v>
      </c>
      <c r="N843" t="s">
        <v>140</v>
      </c>
      <c r="Q843">
        <v>4</v>
      </c>
      <c r="R843" t="s">
        <v>11</v>
      </c>
      <c r="T843">
        <v>10</v>
      </c>
      <c r="V843" t="s">
        <v>15</v>
      </c>
    </row>
    <row r="844" spans="1:22" x14ac:dyDescent="0.25">
      <c r="A844">
        <v>47</v>
      </c>
      <c r="B844" t="s">
        <v>92</v>
      </c>
      <c r="C844" t="s">
        <v>422</v>
      </c>
      <c r="E844" t="s">
        <v>422</v>
      </c>
      <c r="L844" t="s">
        <v>93</v>
      </c>
      <c r="M844">
        <v>120</v>
      </c>
      <c r="N844" t="s">
        <v>25</v>
      </c>
      <c r="Q844">
        <v>1</v>
      </c>
      <c r="R844" t="s">
        <v>11</v>
      </c>
      <c r="T844">
        <v>10</v>
      </c>
      <c r="V844" t="s">
        <v>15</v>
      </c>
    </row>
    <row r="845" spans="1:22" x14ac:dyDescent="0.25">
      <c r="A845">
        <v>47</v>
      </c>
      <c r="B845" t="s">
        <v>92</v>
      </c>
      <c r="C845" t="s">
        <v>422</v>
      </c>
      <c r="E845" t="s">
        <v>422</v>
      </c>
      <c r="L845" t="s">
        <v>93</v>
      </c>
      <c r="M845">
        <v>130</v>
      </c>
      <c r="N845" t="s">
        <v>26</v>
      </c>
      <c r="Q845">
        <v>1</v>
      </c>
      <c r="R845" t="s">
        <v>11</v>
      </c>
      <c r="T845">
        <v>10</v>
      </c>
      <c r="V845" t="s">
        <v>15</v>
      </c>
    </row>
    <row r="846" spans="1:22" x14ac:dyDescent="0.25">
      <c r="A846">
        <v>47</v>
      </c>
      <c r="B846" t="s">
        <v>92</v>
      </c>
      <c r="C846" t="s">
        <v>422</v>
      </c>
      <c r="E846" t="s">
        <v>422</v>
      </c>
      <c r="L846" t="s">
        <v>93</v>
      </c>
      <c r="M846">
        <v>140</v>
      </c>
      <c r="N846" t="s">
        <v>100</v>
      </c>
      <c r="Q846">
        <v>1.1080000000000001</v>
      </c>
      <c r="R846" t="s">
        <v>14</v>
      </c>
      <c r="T846">
        <v>10</v>
      </c>
      <c r="V846" t="s">
        <v>15</v>
      </c>
    </row>
    <row r="847" spans="1:22" x14ac:dyDescent="0.25">
      <c r="A847">
        <v>47</v>
      </c>
      <c r="B847" t="s">
        <v>92</v>
      </c>
      <c r="C847" t="s">
        <v>422</v>
      </c>
      <c r="E847" t="s">
        <v>422</v>
      </c>
      <c r="L847" t="s">
        <v>93</v>
      </c>
      <c r="M847">
        <v>150</v>
      </c>
      <c r="N847" t="s">
        <v>425</v>
      </c>
      <c r="Q847">
        <v>1</v>
      </c>
      <c r="R847" t="s">
        <v>11</v>
      </c>
      <c r="T847">
        <v>10</v>
      </c>
      <c r="V847" t="s">
        <v>18</v>
      </c>
    </row>
    <row r="848" spans="1:22" x14ac:dyDescent="0.25">
      <c r="A848">
        <v>47</v>
      </c>
      <c r="B848" t="s">
        <v>92</v>
      </c>
      <c r="C848" t="s">
        <v>422</v>
      </c>
      <c r="E848" t="s">
        <v>422</v>
      </c>
      <c r="L848" t="s">
        <v>93</v>
      </c>
      <c r="M848">
        <v>160</v>
      </c>
      <c r="N848" t="s">
        <v>426</v>
      </c>
      <c r="Q848">
        <v>1</v>
      </c>
      <c r="R848" t="s">
        <v>11</v>
      </c>
      <c r="T848">
        <v>10</v>
      </c>
      <c r="V848" t="s">
        <v>18</v>
      </c>
    </row>
    <row r="849" spans="1:22" x14ac:dyDescent="0.25">
      <c r="A849">
        <v>47</v>
      </c>
      <c r="B849" t="s">
        <v>92</v>
      </c>
      <c r="C849" t="s">
        <v>422</v>
      </c>
      <c r="E849" t="s">
        <v>422</v>
      </c>
      <c r="L849" t="s">
        <v>93</v>
      </c>
      <c r="M849">
        <v>170</v>
      </c>
      <c r="N849" t="s">
        <v>142</v>
      </c>
      <c r="Q849">
        <v>7.5179999999999998</v>
      </c>
      <c r="R849" t="s">
        <v>11</v>
      </c>
      <c r="T849">
        <v>10</v>
      </c>
      <c r="V849" t="s">
        <v>15</v>
      </c>
    </row>
    <row r="850" spans="1:22" x14ac:dyDescent="0.25">
      <c r="A850">
        <v>47</v>
      </c>
      <c r="B850" t="s">
        <v>92</v>
      </c>
      <c r="C850" t="s">
        <v>422</v>
      </c>
      <c r="E850" t="s">
        <v>422</v>
      </c>
      <c r="L850" t="s">
        <v>93</v>
      </c>
      <c r="M850">
        <v>180</v>
      </c>
      <c r="N850" t="s">
        <v>427</v>
      </c>
      <c r="Q850">
        <v>1</v>
      </c>
      <c r="R850" t="s">
        <v>11</v>
      </c>
      <c r="T850">
        <v>10</v>
      </c>
      <c r="V850" t="s">
        <v>18</v>
      </c>
    </row>
    <row r="851" spans="1:22" x14ac:dyDescent="0.25">
      <c r="A851">
        <v>48</v>
      </c>
      <c r="B851" t="s">
        <v>92</v>
      </c>
      <c r="C851" t="s">
        <v>428</v>
      </c>
      <c r="E851" t="s">
        <v>428</v>
      </c>
      <c r="L851" t="s">
        <v>93</v>
      </c>
      <c r="M851">
        <v>10</v>
      </c>
      <c r="N851" t="s">
        <v>429</v>
      </c>
      <c r="Q851">
        <v>1</v>
      </c>
      <c r="R851" t="s">
        <v>11</v>
      </c>
      <c r="T851">
        <v>10</v>
      </c>
      <c r="V851" t="s">
        <v>18</v>
      </c>
    </row>
    <row r="852" spans="1:22" x14ac:dyDescent="0.25">
      <c r="A852">
        <v>48</v>
      </c>
      <c r="B852" t="s">
        <v>92</v>
      </c>
      <c r="C852" t="s">
        <v>428</v>
      </c>
      <c r="E852" t="s">
        <v>428</v>
      </c>
      <c r="L852" t="s">
        <v>93</v>
      </c>
      <c r="M852">
        <v>20</v>
      </c>
      <c r="N852" t="s">
        <v>134</v>
      </c>
      <c r="Q852">
        <v>1.9850000000000001</v>
      </c>
      <c r="R852" t="s">
        <v>14</v>
      </c>
      <c r="T852">
        <v>10</v>
      </c>
      <c r="V852" t="s">
        <v>15</v>
      </c>
    </row>
    <row r="853" spans="1:22" x14ac:dyDescent="0.25">
      <c r="A853">
        <v>48</v>
      </c>
      <c r="B853" t="s">
        <v>92</v>
      </c>
      <c r="C853" t="s">
        <v>428</v>
      </c>
      <c r="E853" t="s">
        <v>428</v>
      </c>
      <c r="L853" t="s">
        <v>93</v>
      </c>
      <c r="M853">
        <v>30</v>
      </c>
      <c r="N853" t="s">
        <v>102</v>
      </c>
      <c r="Q853">
        <v>0.54300000000000004</v>
      </c>
      <c r="R853" t="s">
        <v>103</v>
      </c>
      <c r="T853">
        <v>10</v>
      </c>
      <c r="V853" t="s">
        <v>15</v>
      </c>
    </row>
    <row r="854" spans="1:22" x14ac:dyDescent="0.25">
      <c r="A854">
        <v>48</v>
      </c>
      <c r="B854" t="s">
        <v>92</v>
      </c>
      <c r="C854" t="s">
        <v>428</v>
      </c>
      <c r="E854" t="s">
        <v>428</v>
      </c>
      <c r="L854" t="s">
        <v>93</v>
      </c>
      <c r="M854">
        <v>40</v>
      </c>
      <c r="N854" t="s">
        <v>146</v>
      </c>
      <c r="Q854">
        <v>0.78700000000000003</v>
      </c>
      <c r="R854" t="s">
        <v>11</v>
      </c>
      <c r="T854">
        <v>10</v>
      </c>
      <c r="V854" t="s">
        <v>18</v>
      </c>
    </row>
    <row r="855" spans="1:22" x14ac:dyDescent="0.25">
      <c r="A855">
        <v>48</v>
      </c>
      <c r="B855" t="s">
        <v>92</v>
      </c>
      <c r="C855" t="s">
        <v>428</v>
      </c>
      <c r="E855" t="s">
        <v>428</v>
      </c>
      <c r="L855" t="s">
        <v>93</v>
      </c>
      <c r="M855">
        <v>50</v>
      </c>
      <c r="N855" t="s">
        <v>139</v>
      </c>
      <c r="Q855">
        <v>0.78700000000000003</v>
      </c>
      <c r="R855" t="s">
        <v>17</v>
      </c>
      <c r="T855">
        <v>10</v>
      </c>
      <c r="V855" t="s">
        <v>18</v>
      </c>
    </row>
    <row r="856" spans="1:22" x14ac:dyDescent="0.25">
      <c r="A856">
        <v>48</v>
      </c>
      <c r="B856" t="s">
        <v>92</v>
      </c>
      <c r="C856" t="s">
        <v>428</v>
      </c>
      <c r="E856" t="s">
        <v>428</v>
      </c>
      <c r="L856" t="s">
        <v>93</v>
      </c>
      <c r="M856">
        <v>60</v>
      </c>
      <c r="N856" t="s">
        <v>430</v>
      </c>
      <c r="Q856">
        <v>1</v>
      </c>
      <c r="R856" t="s">
        <v>11</v>
      </c>
      <c r="T856">
        <v>10</v>
      </c>
      <c r="V856" t="s">
        <v>18</v>
      </c>
    </row>
    <row r="857" spans="1:22" x14ac:dyDescent="0.25">
      <c r="A857">
        <v>48</v>
      </c>
      <c r="B857" t="s">
        <v>92</v>
      </c>
      <c r="C857" t="s">
        <v>428</v>
      </c>
      <c r="E857" t="s">
        <v>428</v>
      </c>
      <c r="L857" t="s">
        <v>93</v>
      </c>
      <c r="M857">
        <v>70</v>
      </c>
      <c r="N857" t="s">
        <v>148</v>
      </c>
      <c r="Q857">
        <v>16.611999999999998</v>
      </c>
      <c r="R857" t="s">
        <v>17</v>
      </c>
      <c r="T857">
        <v>10</v>
      </c>
      <c r="V857" t="s">
        <v>15</v>
      </c>
    </row>
    <row r="858" spans="1:22" x14ac:dyDescent="0.25">
      <c r="A858">
        <v>48</v>
      </c>
      <c r="B858" t="s">
        <v>92</v>
      </c>
      <c r="C858" t="s">
        <v>428</v>
      </c>
      <c r="E858" t="s">
        <v>428</v>
      </c>
      <c r="L858" t="s">
        <v>93</v>
      </c>
      <c r="M858">
        <v>80</v>
      </c>
      <c r="N858" t="s">
        <v>20</v>
      </c>
      <c r="Q858">
        <v>136.215</v>
      </c>
      <c r="R858" t="s">
        <v>17</v>
      </c>
      <c r="T858">
        <v>10</v>
      </c>
      <c r="V858" t="s">
        <v>15</v>
      </c>
    </row>
    <row r="859" spans="1:22" x14ac:dyDescent="0.25">
      <c r="A859">
        <v>48</v>
      </c>
      <c r="B859" t="s">
        <v>92</v>
      </c>
      <c r="C859" t="s">
        <v>428</v>
      </c>
      <c r="E859" t="s">
        <v>428</v>
      </c>
      <c r="L859" t="s">
        <v>93</v>
      </c>
      <c r="M859">
        <v>90</v>
      </c>
      <c r="N859" t="s">
        <v>24</v>
      </c>
      <c r="Q859">
        <v>1</v>
      </c>
      <c r="R859" t="s">
        <v>11</v>
      </c>
      <c r="T859">
        <v>10</v>
      </c>
      <c r="V859" t="s">
        <v>15</v>
      </c>
    </row>
    <row r="860" spans="1:22" x14ac:dyDescent="0.25">
      <c r="A860">
        <v>48</v>
      </c>
      <c r="B860" t="s">
        <v>92</v>
      </c>
      <c r="C860" t="s">
        <v>428</v>
      </c>
      <c r="E860" t="s">
        <v>428</v>
      </c>
      <c r="L860" t="s">
        <v>93</v>
      </c>
      <c r="M860">
        <v>100</v>
      </c>
      <c r="N860" t="s">
        <v>141</v>
      </c>
      <c r="Q860">
        <v>7.5999999999999998E-2</v>
      </c>
      <c r="R860" t="s">
        <v>14</v>
      </c>
      <c r="T860">
        <v>10</v>
      </c>
      <c r="V860" t="s">
        <v>15</v>
      </c>
    </row>
    <row r="861" spans="1:22" x14ac:dyDescent="0.25">
      <c r="A861">
        <v>48</v>
      </c>
      <c r="B861" t="s">
        <v>92</v>
      </c>
      <c r="C861" t="s">
        <v>428</v>
      </c>
      <c r="E861" t="s">
        <v>428</v>
      </c>
      <c r="L861" t="s">
        <v>93</v>
      </c>
      <c r="M861">
        <v>110</v>
      </c>
      <c r="N861" t="s">
        <v>140</v>
      </c>
      <c r="Q861">
        <v>4</v>
      </c>
      <c r="R861" t="s">
        <v>11</v>
      </c>
      <c r="T861">
        <v>10</v>
      </c>
      <c r="V861" t="s">
        <v>15</v>
      </c>
    </row>
    <row r="862" spans="1:22" x14ac:dyDescent="0.25">
      <c r="A862">
        <v>48</v>
      </c>
      <c r="B862" t="s">
        <v>92</v>
      </c>
      <c r="C862" t="s">
        <v>428</v>
      </c>
      <c r="E862" t="s">
        <v>428</v>
      </c>
      <c r="L862" t="s">
        <v>93</v>
      </c>
      <c r="M862">
        <v>120</v>
      </c>
      <c r="N862" t="s">
        <v>25</v>
      </c>
      <c r="Q862">
        <v>1</v>
      </c>
      <c r="R862" t="s">
        <v>11</v>
      </c>
      <c r="T862">
        <v>10</v>
      </c>
      <c r="V862" t="s">
        <v>15</v>
      </c>
    </row>
    <row r="863" spans="1:22" x14ac:dyDescent="0.25">
      <c r="A863">
        <v>48</v>
      </c>
      <c r="B863" t="s">
        <v>92</v>
      </c>
      <c r="C863" t="s">
        <v>428</v>
      </c>
      <c r="E863" t="s">
        <v>428</v>
      </c>
      <c r="L863" t="s">
        <v>93</v>
      </c>
      <c r="M863">
        <v>130</v>
      </c>
      <c r="N863" t="s">
        <v>26</v>
      </c>
      <c r="Q863">
        <v>1</v>
      </c>
      <c r="R863" t="s">
        <v>11</v>
      </c>
      <c r="T863">
        <v>10</v>
      </c>
      <c r="V863" t="s">
        <v>15</v>
      </c>
    </row>
    <row r="864" spans="1:22" x14ac:dyDescent="0.25">
      <c r="A864">
        <v>48</v>
      </c>
      <c r="B864" t="s">
        <v>92</v>
      </c>
      <c r="C864" t="s">
        <v>428</v>
      </c>
      <c r="E864" t="s">
        <v>428</v>
      </c>
      <c r="L864" t="s">
        <v>93</v>
      </c>
      <c r="M864">
        <v>140</v>
      </c>
      <c r="N864" t="s">
        <v>100</v>
      </c>
      <c r="Q864">
        <v>0.54</v>
      </c>
      <c r="R864" t="s">
        <v>14</v>
      </c>
      <c r="T864">
        <v>10</v>
      </c>
      <c r="V864" t="s">
        <v>15</v>
      </c>
    </row>
    <row r="865" spans="1:22" x14ac:dyDescent="0.25">
      <c r="A865">
        <v>48</v>
      </c>
      <c r="B865" t="s">
        <v>92</v>
      </c>
      <c r="C865" t="s">
        <v>428</v>
      </c>
      <c r="E865" t="s">
        <v>428</v>
      </c>
      <c r="L865" t="s">
        <v>93</v>
      </c>
      <c r="M865">
        <v>150</v>
      </c>
      <c r="N865" t="s">
        <v>431</v>
      </c>
      <c r="Q865">
        <v>1</v>
      </c>
      <c r="R865" t="s">
        <v>11</v>
      </c>
      <c r="T865">
        <v>10</v>
      </c>
      <c r="V865" t="s">
        <v>18</v>
      </c>
    </row>
    <row r="866" spans="1:22" x14ac:dyDescent="0.25">
      <c r="A866">
        <v>48</v>
      </c>
      <c r="B866" t="s">
        <v>92</v>
      </c>
      <c r="C866" t="s">
        <v>428</v>
      </c>
      <c r="E866" t="s">
        <v>428</v>
      </c>
      <c r="L866" t="s">
        <v>93</v>
      </c>
      <c r="M866">
        <v>160</v>
      </c>
      <c r="N866" t="s">
        <v>432</v>
      </c>
      <c r="Q866">
        <v>1</v>
      </c>
      <c r="R866" t="s">
        <v>11</v>
      </c>
      <c r="T866">
        <v>10</v>
      </c>
      <c r="V866" t="s">
        <v>18</v>
      </c>
    </row>
    <row r="867" spans="1:22" x14ac:dyDescent="0.25">
      <c r="A867">
        <v>48</v>
      </c>
      <c r="B867" t="s">
        <v>92</v>
      </c>
      <c r="C867" t="s">
        <v>428</v>
      </c>
      <c r="E867" t="s">
        <v>428</v>
      </c>
      <c r="L867" t="s">
        <v>93</v>
      </c>
      <c r="M867">
        <v>170</v>
      </c>
      <c r="N867" t="s">
        <v>142</v>
      </c>
      <c r="Q867">
        <v>5.5369999999999999</v>
      </c>
      <c r="R867" t="s">
        <v>11</v>
      </c>
      <c r="T867">
        <v>10</v>
      </c>
      <c r="V867" t="s">
        <v>15</v>
      </c>
    </row>
    <row r="868" spans="1:22" x14ac:dyDescent="0.25">
      <c r="A868">
        <v>48</v>
      </c>
      <c r="B868" t="s">
        <v>92</v>
      </c>
      <c r="C868" t="s">
        <v>428</v>
      </c>
      <c r="E868" t="s">
        <v>428</v>
      </c>
      <c r="L868" t="s">
        <v>93</v>
      </c>
      <c r="M868">
        <v>180</v>
      </c>
      <c r="N868" t="s">
        <v>433</v>
      </c>
      <c r="Q868">
        <v>1</v>
      </c>
      <c r="R868" t="s">
        <v>11</v>
      </c>
      <c r="T868">
        <v>10</v>
      </c>
      <c r="V868" t="s">
        <v>18</v>
      </c>
    </row>
    <row r="869" spans="1:22" x14ac:dyDescent="0.25">
      <c r="A869">
        <v>49</v>
      </c>
      <c r="B869" t="s">
        <v>92</v>
      </c>
      <c r="C869" t="s">
        <v>434</v>
      </c>
      <c r="E869" t="s">
        <v>434</v>
      </c>
      <c r="L869" t="s">
        <v>93</v>
      </c>
      <c r="M869">
        <v>10</v>
      </c>
      <c r="N869" t="s">
        <v>435</v>
      </c>
      <c r="Q869">
        <v>1</v>
      </c>
      <c r="R869" t="s">
        <v>11</v>
      </c>
      <c r="T869">
        <v>10</v>
      </c>
      <c r="V869" t="s">
        <v>18</v>
      </c>
    </row>
    <row r="870" spans="1:22" x14ac:dyDescent="0.25">
      <c r="A870">
        <v>49</v>
      </c>
      <c r="B870" t="s">
        <v>92</v>
      </c>
      <c r="C870" t="s">
        <v>434</v>
      </c>
      <c r="E870" t="s">
        <v>434</v>
      </c>
      <c r="L870" t="s">
        <v>93</v>
      </c>
      <c r="M870">
        <v>20</v>
      </c>
      <c r="N870" t="s">
        <v>120</v>
      </c>
      <c r="Q870">
        <v>2.3889999999999998</v>
      </c>
      <c r="R870" t="s">
        <v>14</v>
      </c>
      <c r="T870">
        <v>10</v>
      </c>
      <c r="V870" t="s">
        <v>15</v>
      </c>
    </row>
    <row r="871" spans="1:22" x14ac:dyDescent="0.25">
      <c r="A871">
        <v>49</v>
      </c>
      <c r="B871" t="s">
        <v>92</v>
      </c>
      <c r="C871" t="s">
        <v>434</v>
      </c>
      <c r="E871" t="s">
        <v>434</v>
      </c>
      <c r="L871" t="s">
        <v>93</v>
      </c>
      <c r="M871">
        <v>30</v>
      </c>
      <c r="N871" t="s">
        <v>102</v>
      </c>
      <c r="Q871">
        <v>0.65600000000000003</v>
      </c>
      <c r="R871" t="s">
        <v>103</v>
      </c>
      <c r="T871">
        <v>10</v>
      </c>
      <c r="V871" t="s">
        <v>15</v>
      </c>
    </row>
    <row r="872" spans="1:22" x14ac:dyDescent="0.25">
      <c r="A872">
        <v>49</v>
      </c>
      <c r="B872" t="s">
        <v>92</v>
      </c>
      <c r="C872" t="s">
        <v>434</v>
      </c>
      <c r="E872" t="s">
        <v>434</v>
      </c>
      <c r="L872" t="s">
        <v>93</v>
      </c>
      <c r="M872">
        <v>40</v>
      </c>
      <c r="N872" t="s">
        <v>146</v>
      </c>
      <c r="Q872">
        <v>0.94</v>
      </c>
      <c r="R872" t="s">
        <v>11</v>
      </c>
      <c r="T872">
        <v>10</v>
      </c>
      <c r="V872" t="s">
        <v>18</v>
      </c>
    </row>
    <row r="873" spans="1:22" x14ac:dyDescent="0.25">
      <c r="A873">
        <v>49</v>
      </c>
      <c r="B873" t="s">
        <v>92</v>
      </c>
      <c r="C873" t="s">
        <v>434</v>
      </c>
      <c r="E873" t="s">
        <v>434</v>
      </c>
      <c r="L873" t="s">
        <v>93</v>
      </c>
      <c r="M873">
        <v>50</v>
      </c>
      <c r="N873" t="s">
        <v>139</v>
      </c>
      <c r="Q873">
        <v>0.94</v>
      </c>
      <c r="R873" t="s">
        <v>17</v>
      </c>
      <c r="T873">
        <v>10</v>
      </c>
      <c r="V873" t="s">
        <v>18</v>
      </c>
    </row>
    <row r="874" spans="1:22" x14ac:dyDescent="0.25">
      <c r="A874">
        <v>49</v>
      </c>
      <c r="B874" t="s">
        <v>92</v>
      </c>
      <c r="C874" t="s">
        <v>434</v>
      </c>
      <c r="E874" t="s">
        <v>434</v>
      </c>
      <c r="L874" t="s">
        <v>93</v>
      </c>
      <c r="M874">
        <v>60</v>
      </c>
      <c r="N874" t="s">
        <v>436</v>
      </c>
      <c r="Q874">
        <v>1</v>
      </c>
      <c r="R874" t="s">
        <v>11</v>
      </c>
      <c r="T874">
        <v>10</v>
      </c>
      <c r="V874" t="s">
        <v>18</v>
      </c>
    </row>
    <row r="875" spans="1:22" x14ac:dyDescent="0.25">
      <c r="A875">
        <v>49</v>
      </c>
      <c r="B875" t="s">
        <v>92</v>
      </c>
      <c r="C875" t="s">
        <v>434</v>
      </c>
      <c r="E875" t="s">
        <v>434</v>
      </c>
      <c r="L875" t="s">
        <v>93</v>
      </c>
      <c r="M875">
        <v>70</v>
      </c>
      <c r="N875" t="s">
        <v>148</v>
      </c>
      <c r="Q875">
        <v>17.526</v>
      </c>
      <c r="R875" t="s">
        <v>17</v>
      </c>
      <c r="T875">
        <v>10</v>
      </c>
      <c r="V875" t="s">
        <v>15</v>
      </c>
    </row>
    <row r="876" spans="1:22" x14ac:dyDescent="0.25">
      <c r="A876">
        <v>49</v>
      </c>
      <c r="B876" t="s">
        <v>92</v>
      </c>
      <c r="C876" t="s">
        <v>434</v>
      </c>
      <c r="E876" t="s">
        <v>434</v>
      </c>
      <c r="L876" t="s">
        <v>93</v>
      </c>
      <c r="M876">
        <v>80</v>
      </c>
      <c r="N876" t="s">
        <v>20</v>
      </c>
      <c r="Q876">
        <v>143.71299999999999</v>
      </c>
      <c r="R876" t="s">
        <v>17</v>
      </c>
      <c r="T876">
        <v>10</v>
      </c>
      <c r="V876" t="s">
        <v>15</v>
      </c>
    </row>
    <row r="877" spans="1:22" x14ac:dyDescent="0.25">
      <c r="A877">
        <v>49</v>
      </c>
      <c r="B877" t="s">
        <v>92</v>
      </c>
      <c r="C877" t="s">
        <v>434</v>
      </c>
      <c r="E877" t="s">
        <v>434</v>
      </c>
      <c r="L877" t="s">
        <v>93</v>
      </c>
      <c r="M877">
        <v>90</v>
      </c>
      <c r="N877" t="s">
        <v>24</v>
      </c>
      <c r="Q877">
        <v>1</v>
      </c>
      <c r="R877" t="s">
        <v>11</v>
      </c>
      <c r="T877">
        <v>10</v>
      </c>
      <c r="V877" t="s">
        <v>15</v>
      </c>
    </row>
    <row r="878" spans="1:22" x14ac:dyDescent="0.25">
      <c r="A878">
        <v>49</v>
      </c>
      <c r="B878" t="s">
        <v>92</v>
      </c>
      <c r="C878" t="s">
        <v>434</v>
      </c>
      <c r="E878" t="s">
        <v>434</v>
      </c>
      <c r="L878" t="s">
        <v>93</v>
      </c>
      <c r="M878">
        <v>100</v>
      </c>
      <c r="N878" t="s">
        <v>141</v>
      </c>
      <c r="Q878">
        <v>8.5999999999999993E-2</v>
      </c>
      <c r="R878" t="s">
        <v>14</v>
      </c>
      <c r="T878">
        <v>10</v>
      </c>
      <c r="V878" t="s">
        <v>15</v>
      </c>
    </row>
    <row r="879" spans="1:22" x14ac:dyDescent="0.25">
      <c r="A879">
        <v>49</v>
      </c>
      <c r="B879" t="s">
        <v>92</v>
      </c>
      <c r="C879" t="s">
        <v>434</v>
      </c>
      <c r="E879" t="s">
        <v>434</v>
      </c>
      <c r="L879" t="s">
        <v>93</v>
      </c>
      <c r="M879">
        <v>110</v>
      </c>
      <c r="N879" t="s">
        <v>140</v>
      </c>
      <c r="Q879">
        <v>4</v>
      </c>
      <c r="R879" t="s">
        <v>11</v>
      </c>
      <c r="T879">
        <v>10</v>
      </c>
      <c r="V879" t="s">
        <v>15</v>
      </c>
    </row>
    <row r="880" spans="1:22" x14ac:dyDescent="0.25">
      <c r="A880">
        <v>49</v>
      </c>
      <c r="B880" t="s">
        <v>92</v>
      </c>
      <c r="C880" t="s">
        <v>434</v>
      </c>
      <c r="E880" t="s">
        <v>434</v>
      </c>
      <c r="L880" t="s">
        <v>93</v>
      </c>
      <c r="M880">
        <v>120</v>
      </c>
      <c r="N880" t="s">
        <v>25</v>
      </c>
      <c r="Q880">
        <v>1</v>
      </c>
      <c r="R880" t="s">
        <v>11</v>
      </c>
      <c r="T880">
        <v>10</v>
      </c>
      <c r="V880" t="s">
        <v>15</v>
      </c>
    </row>
    <row r="881" spans="1:22" x14ac:dyDescent="0.25">
      <c r="A881">
        <v>49</v>
      </c>
      <c r="B881" t="s">
        <v>92</v>
      </c>
      <c r="C881" t="s">
        <v>434</v>
      </c>
      <c r="E881" t="s">
        <v>434</v>
      </c>
      <c r="L881" t="s">
        <v>93</v>
      </c>
      <c r="M881">
        <v>130</v>
      </c>
      <c r="N881" t="s">
        <v>26</v>
      </c>
      <c r="Q881">
        <v>1</v>
      </c>
      <c r="R881" t="s">
        <v>11</v>
      </c>
      <c r="T881">
        <v>10</v>
      </c>
      <c r="V881" t="s">
        <v>15</v>
      </c>
    </row>
    <row r="882" spans="1:22" x14ac:dyDescent="0.25">
      <c r="A882">
        <v>49</v>
      </c>
      <c r="B882" t="s">
        <v>92</v>
      </c>
      <c r="C882" t="s">
        <v>434</v>
      </c>
      <c r="E882" t="s">
        <v>434</v>
      </c>
      <c r="L882" t="s">
        <v>93</v>
      </c>
      <c r="M882">
        <v>140</v>
      </c>
      <c r="N882" t="s">
        <v>100</v>
      </c>
      <c r="Q882">
        <v>0.622</v>
      </c>
      <c r="R882" t="s">
        <v>14</v>
      </c>
      <c r="T882">
        <v>10</v>
      </c>
      <c r="V882" t="s">
        <v>15</v>
      </c>
    </row>
    <row r="883" spans="1:22" x14ac:dyDescent="0.25">
      <c r="A883">
        <v>49</v>
      </c>
      <c r="B883" t="s">
        <v>92</v>
      </c>
      <c r="C883" t="s">
        <v>434</v>
      </c>
      <c r="E883" t="s">
        <v>434</v>
      </c>
      <c r="L883" t="s">
        <v>93</v>
      </c>
      <c r="M883">
        <v>150</v>
      </c>
      <c r="N883" t="s">
        <v>437</v>
      </c>
      <c r="Q883">
        <v>1</v>
      </c>
      <c r="R883" t="s">
        <v>11</v>
      </c>
      <c r="T883">
        <v>10</v>
      </c>
      <c r="V883" t="s">
        <v>18</v>
      </c>
    </row>
    <row r="884" spans="1:22" x14ac:dyDescent="0.25">
      <c r="A884">
        <v>49</v>
      </c>
      <c r="B884" t="s">
        <v>92</v>
      </c>
      <c r="C884" t="s">
        <v>434</v>
      </c>
      <c r="E884" t="s">
        <v>434</v>
      </c>
      <c r="L884" t="s">
        <v>93</v>
      </c>
      <c r="M884">
        <v>160</v>
      </c>
      <c r="N884" t="s">
        <v>438</v>
      </c>
      <c r="Q884">
        <v>1</v>
      </c>
      <c r="R884" t="s">
        <v>11</v>
      </c>
      <c r="T884">
        <v>10</v>
      </c>
      <c r="V884" t="s">
        <v>18</v>
      </c>
    </row>
    <row r="885" spans="1:22" x14ac:dyDescent="0.25">
      <c r="A885">
        <v>49</v>
      </c>
      <c r="B885" t="s">
        <v>92</v>
      </c>
      <c r="C885" t="s">
        <v>434</v>
      </c>
      <c r="E885" t="s">
        <v>434</v>
      </c>
      <c r="L885" t="s">
        <v>93</v>
      </c>
      <c r="M885">
        <v>170</v>
      </c>
      <c r="N885" t="s">
        <v>142</v>
      </c>
      <c r="Q885">
        <v>5.8419999999999996</v>
      </c>
      <c r="R885" t="s">
        <v>11</v>
      </c>
      <c r="T885">
        <v>10</v>
      </c>
      <c r="V885" t="s">
        <v>15</v>
      </c>
    </row>
    <row r="886" spans="1:22" x14ac:dyDescent="0.25">
      <c r="A886">
        <v>49</v>
      </c>
      <c r="B886" t="s">
        <v>92</v>
      </c>
      <c r="C886" t="s">
        <v>434</v>
      </c>
      <c r="E886" t="s">
        <v>434</v>
      </c>
      <c r="L886" t="s">
        <v>93</v>
      </c>
      <c r="M886">
        <v>180</v>
      </c>
      <c r="N886" t="s">
        <v>439</v>
      </c>
      <c r="Q886">
        <v>1</v>
      </c>
      <c r="R886" t="s">
        <v>11</v>
      </c>
      <c r="T886">
        <v>10</v>
      </c>
      <c r="V886" t="s">
        <v>18</v>
      </c>
    </row>
    <row r="887" spans="1:22" x14ac:dyDescent="0.25">
      <c r="A887">
        <v>50</v>
      </c>
      <c r="B887" t="s">
        <v>92</v>
      </c>
      <c r="C887" t="s">
        <v>440</v>
      </c>
      <c r="E887" t="s">
        <v>440</v>
      </c>
      <c r="L887" t="s">
        <v>93</v>
      </c>
      <c r="M887">
        <v>10</v>
      </c>
      <c r="N887" t="s">
        <v>441</v>
      </c>
      <c r="Q887">
        <v>1</v>
      </c>
      <c r="R887" t="s">
        <v>11</v>
      </c>
      <c r="T887">
        <v>10</v>
      </c>
      <c r="V887" t="s">
        <v>18</v>
      </c>
    </row>
    <row r="888" spans="1:22" x14ac:dyDescent="0.25">
      <c r="A888">
        <v>50</v>
      </c>
      <c r="B888" t="s">
        <v>92</v>
      </c>
      <c r="C888" t="s">
        <v>440</v>
      </c>
      <c r="E888" t="s">
        <v>440</v>
      </c>
      <c r="L888" t="s">
        <v>93</v>
      </c>
      <c r="M888">
        <v>20</v>
      </c>
      <c r="N888" t="s">
        <v>121</v>
      </c>
      <c r="Q888">
        <v>2.7930000000000001</v>
      </c>
      <c r="R888" t="s">
        <v>14</v>
      </c>
      <c r="T888">
        <v>10</v>
      </c>
      <c r="V888" t="s">
        <v>15</v>
      </c>
    </row>
    <row r="889" spans="1:22" x14ac:dyDescent="0.25">
      <c r="A889">
        <v>50</v>
      </c>
      <c r="B889" t="s">
        <v>92</v>
      </c>
      <c r="C889" t="s">
        <v>440</v>
      </c>
      <c r="E889" t="s">
        <v>440</v>
      </c>
      <c r="L889" t="s">
        <v>93</v>
      </c>
      <c r="M889">
        <v>30</v>
      </c>
      <c r="N889" t="s">
        <v>102</v>
      </c>
      <c r="Q889">
        <v>0.76800000000000002</v>
      </c>
      <c r="R889" t="s">
        <v>103</v>
      </c>
      <c r="T889">
        <v>10</v>
      </c>
      <c r="V889" t="s">
        <v>15</v>
      </c>
    </row>
    <row r="890" spans="1:22" x14ac:dyDescent="0.25">
      <c r="A890">
        <v>50</v>
      </c>
      <c r="B890" t="s">
        <v>92</v>
      </c>
      <c r="C890" t="s">
        <v>440</v>
      </c>
      <c r="E890" t="s">
        <v>440</v>
      </c>
      <c r="L890" t="s">
        <v>93</v>
      </c>
      <c r="M890">
        <v>40</v>
      </c>
      <c r="N890" t="s">
        <v>146</v>
      </c>
      <c r="Q890">
        <v>1.0920000000000001</v>
      </c>
      <c r="R890" t="s">
        <v>11</v>
      </c>
      <c r="T890">
        <v>10</v>
      </c>
      <c r="V890" t="s">
        <v>18</v>
      </c>
    </row>
    <row r="891" spans="1:22" x14ac:dyDescent="0.25">
      <c r="A891">
        <v>50</v>
      </c>
      <c r="B891" t="s">
        <v>92</v>
      </c>
      <c r="C891" t="s">
        <v>440</v>
      </c>
      <c r="E891" t="s">
        <v>440</v>
      </c>
      <c r="L891" t="s">
        <v>93</v>
      </c>
      <c r="M891">
        <v>50</v>
      </c>
      <c r="N891" t="s">
        <v>139</v>
      </c>
      <c r="Q891">
        <v>1.0920000000000001</v>
      </c>
      <c r="R891" t="s">
        <v>17</v>
      </c>
      <c r="T891">
        <v>10</v>
      </c>
      <c r="V891" t="s">
        <v>18</v>
      </c>
    </row>
    <row r="892" spans="1:22" x14ac:dyDescent="0.25">
      <c r="A892">
        <v>50</v>
      </c>
      <c r="B892" t="s">
        <v>92</v>
      </c>
      <c r="C892" t="s">
        <v>440</v>
      </c>
      <c r="E892" t="s">
        <v>440</v>
      </c>
      <c r="L892" t="s">
        <v>93</v>
      </c>
      <c r="M892">
        <v>60</v>
      </c>
      <c r="N892" t="s">
        <v>442</v>
      </c>
      <c r="Q892">
        <v>1</v>
      </c>
      <c r="R892" t="s">
        <v>11</v>
      </c>
      <c r="T892">
        <v>10</v>
      </c>
      <c r="V892" t="s">
        <v>18</v>
      </c>
    </row>
    <row r="893" spans="1:22" x14ac:dyDescent="0.25">
      <c r="A893">
        <v>50</v>
      </c>
      <c r="B893" t="s">
        <v>92</v>
      </c>
      <c r="C893" t="s">
        <v>440</v>
      </c>
      <c r="E893" t="s">
        <v>440</v>
      </c>
      <c r="L893" t="s">
        <v>93</v>
      </c>
      <c r="M893">
        <v>70</v>
      </c>
      <c r="N893" t="s">
        <v>148</v>
      </c>
      <c r="Q893">
        <v>18.440000000000001</v>
      </c>
      <c r="R893" t="s">
        <v>17</v>
      </c>
      <c r="T893">
        <v>10</v>
      </c>
      <c r="V893" t="s">
        <v>15</v>
      </c>
    </row>
    <row r="894" spans="1:22" x14ac:dyDescent="0.25">
      <c r="A894">
        <v>50</v>
      </c>
      <c r="B894" t="s">
        <v>92</v>
      </c>
      <c r="C894" t="s">
        <v>440</v>
      </c>
      <c r="E894" t="s">
        <v>440</v>
      </c>
      <c r="L894" t="s">
        <v>93</v>
      </c>
      <c r="M894">
        <v>80</v>
      </c>
      <c r="N894" t="s">
        <v>20</v>
      </c>
      <c r="Q894">
        <v>151.21100000000001</v>
      </c>
      <c r="R894" t="s">
        <v>17</v>
      </c>
      <c r="T894">
        <v>10</v>
      </c>
      <c r="V894" t="s">
        <v>15</v>
      </c>
    </row>
    <row r="895" spans="1:22" x14ac:dyDescent="0.25">
      <c r="A895">
        <v>50</v>
      </c>
      <c r="B895" t="s">
        <v>92</v>
      </c>
      <c r="C895" t="s">
        <v>440</v>
      </c>
      <c r="E895" t="s">
        <v>440</v>
      </c>
      <c r="L895" t="s">
        <v>93</v>
      </c>
      <c r="M895">
        <v>90</v>
      </c>
      <c r="N895" t="s">
        <v>24</v>
      </c>
      <c r="Q895">
        <v>1</v>
      </c>
      <c r="R895" t="s">
        <v>11</v>
      </c>
      <c r="T895">
        <v>10</v>
      </c>
      <c r="V895" t="s">
        <v>15</v>
      </c>
    </row>
    <row r="896" spans="1:22" x14ac:dyDescent="0.25">
      <c r="A896">
        <v>50</v>
      </c>
      <c r="B896" t="s">
        <v>92</v>
      </c>
      <c r="C896" t="s">
        <v>440</v>
      </c>
      <c r="E896" t="s">
        <v>440</v>
      </c>
      <c r="L896" t="s">
        <v>93</v>
      </c>
      <c r="M896">
        <v>100</v>
      </c>
      <c r="N896" t="s">
        <v>141</v>
      </c>
      <c r="Q896">
        <v>9.7000000000000003E-2</v>
      </c>
      <c r="R896" t="s">
        <v>14</v>
      </c>
      <c r="T896">
        <v>10</v>
      </c>
      <c r="V896" t="s">
        <v>15</v>
      </c>
    </row>
    <row r="897" spans="1:22" x14ac:dyDescent="0.25">
      <c r="A897">
        <v>50</v>
      </c>
      <c r="B897" t="s">
        <v>92</v>
      </c>
      <c r="C897" t="s">
        <v>440</v>
      </c>
      <c r="E897" t="s">
        <v>440</v>
      </c>
      <c r="L897" t="s">
        <v>93</v>
      </c>
      <c r="M897">
        <v>110</v>
      </c>
      <c r="N897" t="s">
        <v>140</v>
      </c>
      <c r="Q897">
        <v>4</v>
      </c>
      <c r="R897" t="s">
        <v>11</v>
      </c>
      <c r="T897">
        <v>10</v>
      </c>
      <c r="V897" t="s">
        <v>15</v>
      </c>
    </row>
    <row r="898" spans="1:22" x14ac:dyDescent="0.25">
      <c r="A898">
        <v>50</v>
      </c>
      <c r="B898" t="s">
        <v>92</v>
      </c>
      <c r="C898" t="s">
        <v>440</v>
      </c>
      <c r="E898" t="s">
        <v>440</v>
      </c>
      <c r="L898" t="s">
        <v>93</v>
      </c>
      <c r="M898">
        <v>120</v>
      </c>
      <c r="N898" t="s">
        <v>25</v>
      </c>
      <c r="Q898">
        <v>1</v>
      </c>
      <c r="R898" t="s">
        <v>11</v>
      </c>
      <c r="T898">
        <v>10</v>
      </c>
      <c r="V898" t="s">
        <v>15</v>
      </c>
    </row>
    <row r="899" spans="1:22" x14ac:dyDescent="0.25">
      <c r="A899">
        <v>50</v>
      </c>
      <c r="B899" t="s">
        <v>92</v>
      </c>
      <c r="C899" t="s">
        <v>440</v>
      </c>
      <c r="E899" t="s">
        <v>440</v>
      </c>
      <c r="L899" t="s">
        <v>93</v>
      </c>
      <c r="M899">
        <v>130</v>
      </c>
      <c r="N899" t="s">
        <v>26</v>
      </c>
      <c r="Q899">
        <v>1</v>
      </c>
      <c r="R899" t="s">
        <v>11</v>
      </c>
      <c r="T899">
        <v>10</v>
      </c>
      <c r="V899" t="s">
        <v>15</v>
      </c>
    </row>
    <row r="900" spans="1:22" x14ac:dyDescent="0.25">
      <c r="A900">
        <v>50</v>
      </c>
      <c r="B900" t="s">
        <v>92</v>
      </c>
      <c r="C900" t="s">
        <v>440</v>
      </c>
      <c r="E900" t="s">
        <v>440</v>
      </c>
      <c r="L900" t="s">
        <v>93</v>
      </c>
      <c r="M900">
        <v>140</v>
      </c>
      <c r="N900" t="s">
        <v>100</v>
      </c>
      <c r="Q900">
        <v>0.70299999999999996</v>
      </c>
      <c r="R900" t="s">
        <v>14</v>
      </c>
      <c r="T900">
        <v>10</v>
      </c>
      <c r="V900" t="s">
        <v>15</v>
      </c>
    </row>
    <row r="901" spans="1:22" x14ac:dyDescent="0.25">
      <c r="A901">
        <v>50</v>
      </c>
      <c r="B901" t="s">
        <v>92</v>
      </c>
      <c r="C901" t="s">
        <v>440</v>
      </c>
      <c r="E901" t="s">
        <v>440</v>
      </c>
      <c r="L901" t="s">
        <v>93</v>
      </c>
      <c r="M901">
        <v>150</v>
      </c>
      <c r="N901" t="s">
        <v>443</v>
      </c>
      <c r="Q901">
        <v>1</v>
      </c>
      <c r="R901" t="s">
        <v>11</v>
      </c>
      <c r="T901">
        <v>10</v>
      </c>
      <c r="V901" t="s">
        <v>18</v>
      </c>
    </row>
    <row r="902" spans="1:22" x14ac:dyDescent="0.25">
      <c r="A902">
        <v>50</v>
      </c>
      <c r="B902" t="s">
        <v>92</v>
      </c>
      <c r="C902" t="s">
        <v>440</v>
      </c>
      <c r="E902" t="s">
        <v>440</v>
      </c>
      <c r="L902" t="s">
        <v>93</v>
      </c>
      <c r="M902">
        <v>160</v>
      </c>
      <c r="N902" t="s">
        <v>444</v>
      </c>
      <c r="Q902">
        <v>1</v>
      </c>
      <c r="R902" t="s">
        <v>11</v>
      </c>
      <c r="T902">
        <v>10</v>
      </c>
      <c r="V902" t="s">
        <v>18</v>
      </c>
    </row>
    <row r="903" spans="1:22" x14ac:dyDescent="0.25">
      <c r="A903">
        <v>50</v>
      </c>
      <c r="B903" t="s">
        <v>92</v>
      </c>
      <c r="C903" t="s">
        <v>440</v>
      </c>
      <c r="E903" t="s">
        <v>440</v>
      </c>
      <c r="L903" t="s">
        <v>93</v>
      </c>
      <c r="M903">
        <v>170</v>
      </c>
      <c r="N903" t="s">
        <v>142</v>
      </c>
      <c r="Q903">
        <v>6.1470000000000002</v>
      </c>
      <c r="R903" t="s">
        <v>11</v>
      </c>
      <c r="T903">
        <v>10</v>
      </c>
      <c r="V903" t="s">
        <v>15</v>
      </c>
    </row>
    <row r="904" spans="1:22" x14ac:dyDescent="0.25">
      <c r="A904">
        <v>50</v>
      </c>
      <c r="B904" t="s">
        <v>92</v>
      </c>
      <c r="C904" t="s">
        <v>440</v>
      </c>
      <c r="E904" t="s">
        <v>440</v>
      </c>
      <c r="L904" t="s">
        <v>93</v>
      </c>
      <c r="M904">
        <v>180</v>
      </c>
      <c r="N904" t="s">
        <v>445</v>
      </c>
      <c r="Q904">
        <v>1</v>
      </c>
      <c r="R904" t="s">
        <v>11</v>
      </c>
      <c r="T904">
        <v>10</v>
      </c>
      <c r="V904" t="s">
        <v>18</v>
      </c>
    </row>
    <row r="905" spans="1:22" x14ac:dyDescent="0.25">
      <c r="A905">
        <v>51</v>
      </c>
      <c r="B905" t="s">
        <v>92</v>
      </c>
      <c r="C905" t="s">
        <v>446</v>
      </c>
      <c r="E905" t="s">
        <v>446</v>
      </c>
      <c r="L905" t="s">
        <v>93</v>
      </c>
      <c r="M905">
        <v>10</v>
      </c>
      <c r="N905" t="s">
        <v>447</v>
      </c>
      <c r="Q905">
        <v>1</v>
      </c>
      <c r="R905" t="s">
        <v>11</v>
      </c>
      <c r="T905">
        <v>10</v>
      </c>
      <c r="V905" t="s">
        <v>18</v>
      </c>
    </row>
    <row r="906" spans="1:22" x14ac:dyDescent="0.25">
      <c r="A906">
        <v>51</v>
      </c>
      <c r="B906" t="s">
        <v>92</v>
      </c>
      <c r="C906" t="s">
        <v>446</v>
      </c>
      <c r="E906" t="s">
        <v>446</v>
      </c>
      <c r="L906" t="s">
        <v>93</v>
      </c>
      <c r="M906">
        <v>20</v>
      </c>
      <c r="N906" t="s">
        <v>122</v>
      </c>
      <c r="Q906">
        <v>3.1960000000000002</v>
      </c>
      <c r="R906" t="s">
        <v>14</v>
      </c>
      <c r="T906">
        <v>10</v>
      </c>
      <c r="V906" t="s">
        <v>15</v>
      </c>
    </row>
    <row r="907" spans="1:22" x14ac:dyDescent="0.25">
      <c r="A907">
        <v>51</v>
      </c>
      <c r="B907" t="s">
        <v>92</v>
      </c>
      <c r="C907" t="s">
        <v>446</v>
      </c>
      <c r="E907" t="s">
        <v>446</v>
      </c>
      <c r="L907" t="s">
        <v>93</v>
      </c>
      <c r="M907">
        <v>30</v>
      </c>
      <c r="N907" t="s">
        <v>102</v>
      </c>
      <c r="Q907">
        <v>0.88</v>
      </c>
      <c r="R907" t="s">
        <v>103</v>
      </c>
      <c r="T907">
        <v>10</v>
      </c>
      <c r="V907" t="s">
        <v>15</v>
      </c>
    </row>
    <row r="908" spans="1:22" x14ac:dyDescent="0.25">
      <c r="A908">
        <v>51</v>
      </c>
      <c r="B908" t="s">
        <v>92</v>
      </c>
      <c r="C908" t="s">
        <v>446</v>
      </c>
      <c r="E908" t="s">
        <v>446</v>
      </c>
      <c r="L908" t="s">
        <v>93</v>
      </c>
      <c r="M908">
        <v>40</v>
      </c>
      <c r="N908" t="s">
        <v>146</v>
      </c>
      <c r="Q908">
        <v>1.2450000000000001</v>
      </c>
      <c r="R908" t="s">
        <v>11</v>
      </c>
      <c r="T908">
        <v>10</v>
      </c>
      <c r="V908" t="s">
        <v>18</v>
      </c>
    </row>
    <row r="909" spans="1:22" x14ac:dyDescent="0.25">
      <c r="A909">
        <v>51</v>
      </c>
      <c r="B909" t="s">
        <v>92</v>
      </c>
      <c r="C909" t="s">
        <v>446</v>
      </c>
      <c r="E909" t="s">
        <v>446</v>
      </c>
      <c r="L909" t="s">
        <v>93</v>
      </c>
      <c r="M909">
        <v>50</v>
      </c>
      <c r="N909" t="s">
        <v>139</v>
      </c>
      <c r="Q909">
        <v>1.2450000000000001</v>
      </c>
      <c r="R909" t="s">
        <v>17</v>
      </c>
      <c r="T909">
        <v>10</v>
      </c>
      <c r="V909" t="s">
        <v>18</v>
      </c>
    </row>
    <row r="910" spans="1:22" x14ac:dyDescent="0.25">
      <c r="A910">
        <v>51</v>
      </c>
      <c r="B910" t="s">
        <v>92</v>
      </c>
      <c r="C910" t="s">
        <v>446</v>
      </c>
      <c r="E910" t="s">
        <v>446</v>
      </c>
      <c r="L910" t="s">
        <v>93</v>
      </c>
      <c r="M910">
        <v>60</v>
      </c>
      <c r="N910" t="s">
        <v>448</v>
      </c>
      <c r="Q910">
        <v>1</v>
      </c>
      <c r="R910" t="s">
        <v>11</v>
      </c>
      <c r="T910">
        <v>10</v>
      </c>
      <c r="V910" t="s">
        <v>18</v>
      </c>
    </row>
    <row r="911" spans="1:22" x14ac:dyDescent="0.25">
      <c r="A911">
        <v>51</v>
      </c>
      <c r="B911" t="s">
        <v>92</v>
      </c>
      <c r="C911" t="s">
        <v>446</v>
      </c>
      <c r="E911" t="s">
        <v>446</v>
      </c>
      <c r="L911" t="s">
        <v>93</v>
      </c>
      <c r="M911">
        <v>70</v>
      </c>
      <c r="N911" t="s">
        <v>148</v>
      </c>
      <c r="Q911">
        <v>19.355</v>
      </c>
      <c r="R911" t="s">
        <v>17</v>
      </c>
      <c r="T911">
        <v>10</v>
      </c>
      <c r="V911" t="s">
        <v>15</v>
      </c>
    </row>
    <row r="912" spans="1:22" x14ac:dyDescent="0.25">
      <c r="A912">
        <v>51</v>
      </c>
      <c r="B912" t="s">
        <v>92</v>
      </c>
      <c r="C912" t="s">
        <v>446</v>
      </c>
      <c r="E912" t="s">
        <v>446</v>
      </c>
      <c r="L912" t="s">
        <v>93</v>
      </c>
      <c r="M912">
        <v>80</v>
      </c>
      <c r="N912" t="s">
        <v>20</v>
      </c>
      <c r="Q912">
        <v>158.709</v>
      </c>
      <c r="R912" t="s">
        <v>17</v>
      </c>
      <c r="T912">
        <v>10</v>
      </c>
      <c r="V912" t="s">
        <v>15</v>
      </c>
    </row>
    <row r="913" spans="1:22" x14ac:dyDescent="0.25">
      <c r="A913">
        <v>51</v>
      </c>
      <c r="B913" t="s">
        <v>92</v>
      </c>
      <c r="C913" t="s">
        <v>446</v>
      </c>
      <c r="E913" t="s">
        <v>446</v>
      </c>
      <c r="L913" t="s">
        <v>93</v>
      </c>
      <c r="M913">
        <v>90</v>
      </c>
      <c r="N913" t="s">
        <v>24</v>
      </c>
      <c r="Q913">
        <v>1</v>
      </c>
      <c r="R913" t="s">
        <v>11</v>
      </c>
      <c r="T913">
        <v>10</v>
      </c>
      <c r="V913" t="s">
        <v>15</v>
      </c>
    </row>
    <row r="914" spans="1:22" x14ac:dyDescent="0.25">
      <c r="A914">
        <v>51</v>
      </c>
      <c r="B914" t="s">
        <v>92</v>
      </c>
      <c r="C914" t="s">
        <v>446</v>
      </c>
      <c r="E914" t="s">
        <v>446</v>
      </c>
      <c r="L914" t="s">
        <v>93</v>
      </c>
      <c r="M914">
        <v>100</v>
      </c>
      <c r="N914" t="s">
        <v>141</v>
      </c>
      <c r="Q914">
        <v>0.107</v>
      </c>
      <c r="R914" t="s">
        <v>14</v>
      </c>
      <c r="T914">
        <v>10</v>
      </c>
      <c r="V914" t="s">
        <v>15</v>
      </c>
    </row>
    <row r="915" spans="1:22" x14ac:dyDescent="0.25">
      <c r="A915">
        <v>51</v>
      </c>
      <c r="B915" t="s">
        <v>92</v>
      </c>
      <c r="C915" t="s">
        <v>446</v>
      </c>
      <c r="E915" t="s">
        <v>446</v>
      </c>
      <c r="L915" t="s">
        <v>93</v>
      </c>
      <c r="M915">
        <v>110</v>
      </c>
      <c r="N915" t="s">
        <v>140</v>
      </c>
      <c r="Q915">
        <v>4</v>
      </c>
      <c r="R915" t="s">
        <v>11</v>
      </c>
      <c r="T915">
        <v>10</v>
      </c>
      <c r="V915" t="s">
        <v>15</v>
      </c>
    </row>
    <row r="916" spans="1:22" x14ac:dyDescent="0.25">
      <c r="A916">
        <v>51</v>
      </c>
      <c r="B916" t="s">
        <v>92</v>
      </c>
      <c r="C916" t="s">
        <v>446</v>
      </c>
      <c r="E916" t="s">
        <v>446</v>
      </c>
      <c r="L916" t="s">
        <v>93</v>
      </c>
      <c r="M916">
        <v>120</v>
      </c>
      <c r="N916" t="s">
        <v>25</v>
      </c>
      <c r="Q916">
        <v>1</v>
      </c>
      <c r="R916" t="s">
        <v>11</v>
      </c>
      <c r="T916">
        <v>10</v>
      </c>
      <c r="V916" t="s">
        <v>15</v>
      </c>
    </row>
    <row r="917" spans="1:22" x14ac:dyDescent="0.25">
      <c r="A917">
        <v>51</v>
      </c>
      <c r="B917" t="s">
        <v>92</v>
      </c>
      <c r="C917" t="s">
        <v>446</v>
      </c>
      <c r="E917" t="s">
        <v>446</v>
      </c>
      <c r="L917" t="s">
        <v>93</v>
      </c>
      <c r="M917">
        <v>130</v>
      </c>
      <c r="N917" t="s">
        <v>26</v>
      </c>
      <c r="Q917">
        <v>1</v>
      </c>
      <c r="R917" t="s">
        <v>11</v>
      </c>
      <c r="T917">
        <v>10</v>
      </c>
      <c r="V917" t="s">
        <v>15</v>
      </c>
    </row>
    <row r="918" spans="1:22" x14ac:dyDescent="0.25">
      <c r="A918">
        <v>51</v>
      </c>
      <c r="B918" t="s">
        <v>92</v>
      </c>
      <c r="C918" t="s">
        <v>446</v>
      </c>
      <c r="E918" t="s">
        <v>446</v>
      </c>
      <c r="L918" t="s">
        <v>93</v>
      </c>
      <c r="M918">
        <v>140</v>
      </c>
      <c r="N918" t="s">
        <v>100</v>
      </c>
      <c r="Q918">
        <v>0.78400000000000003</v>
      </c>
      <c r="R918" t="s">
        <v>14</v>
      </c>
      <c r="T918">
        <v>10</v>
      </c>
      <c r="V918" t="s">
        <v>15</v>
      </c>
    </row>
    <row r="919" spans="1:22" x14ac:dyDescent="0.25">
      <c r="A919">
        <v>51</v>
      </c>
      <c r="B919" t="s">
        <v>92</v>
      </c>
      <c r="C919" t="s">
        <v>446</v>
      </c>
      <c r="E919" t="s">
        <v>446</v>
      </c>
      <c r="L919" t="s">
        <v>93</v>
      </c>
      <c r="M919">
        <v>150</v>
      </c>
      <c r="N919" t="s">
        <v>449</v>
      </c>
      <c r="Q919">
        <v>1</v>
      </c>
      <c r="R919" t="s">
        <v>11</v>
      </c>
      <c r="T919">
        <v>10</v>
      </c>
      <c r="V919" t="s">
        <v>18</v>
      </c>
    </row>
    <row r="920" spans="1:22" x14ac:dyDescent="0.25">
      <c r="A920">
        <v>51</v>
      </c>
      <c r="B920" t="s">
        <v>92</v>
      </c>
      <c r="C920" t="s">
        <v>446</v>
      </c>
      <c r="E920" t="s">
        <v>446</v>
      </c>
      <c r="L920" t="s">
        <v>93</v>
      </c>
      <c r="M920">
        <v>160</v>
      </c>
      <c r="N920" t="s">
        <v>450</v>
      </c>
      <c r="Q920">
        <v>1</v>
      </c>
      <c r="R920" t="s">
        <v>11</v>
      </c>
      <c r="T920">
        <v>10</v>
      </c>
      <c r="V920" t="s">
        <v>18</v>
      </c>
    </row>
    <row r="921" spans="1:22" x14ac:dyDescent="0.25">
      <c r="A921">
        <v>51</v>
      </c>
      <c r="B921" t="s">
        <v>92</v>
      </c>
      <c r="C921" t="s">
        <v>446</v>
      </c>
      <c r="E921" t="s">
        <v>446</v>
      </c>
      <c r="L921" t="s">
        <v>93</v>
      </c>
      <c r="M921">
        <v>170</v>
      </c>
      <c r="N921" t="s">
        <v>142</v>
      </c>
      <c r="Q921">
        <v>6.452</v>
      </c>
      <c r="R921" t="s">
        <v>11</v>
      </c>
      <c r="T921">
        <v>10</v>
      </c>
      <c r="V921" t="s">
        <v>15</v>
      </c>
    </row>
    <row r="922" spans="1:22" x14ac:dyDescent="0.25">
      <c r="A922">
        <v>51</v>
      </c>
      <c r="B922" t="s">
        <v>92</v>
      </c>
      <c r="C922" t="s">
        <v>446</v>
      </c>
      <c r="E922" t="s">
        <v>446</v>
      </c>
      <c r="L922" t="s">
        <v>93</v>
      </c>
      <c r="M922">
        <v>180</v>
      </c>
      <c r="N922" t="s">
        <v>451</v>
      </c>
      <c r="Q922">
        <v>1</v>
      </c>
      <c r="R922" t="s">
        <v>11</v>
      </c>
      <c r="T922">
        <v>10</v>
      </c>
      <c r="V922" t="s">
        <v>18</v>
      </c>
    </row>
    <row r="923" spans="1:22" x14ac:dyDescent="0.25">
      <c r="A923">
        <v>52</v>
      </c>
      <c r="B923" t="s">
        <v>92</v>
      </c>
      <c r="C923" t="s">
        <v>452</v>
      </c>
      <c r="E923" t="s">
        <v>452</v>
      </c>
      <c r="L923" t="s">
        <v>93</v>
      </c>
      <c r="M923">
        <v>10</v>
      </c>
      <c r="N923" t="s">
        <v>453</v>
      </c>
      <c r="Q923">
        <v>1</v>
      </c>
      <c r="R923" t="s">
        <v>11</v>
      </c>
      <c r="T923">
        <v>10</v>
      </c>
      <c r="V923" t="s">
        <v>18</v>
      </c>
    </row>
    <row r="924" spans="1:22" x14ac:dyDescent="0.25">
      <c r="A924">
        <v>52</v>
      </c>
      <c r="B924" t="s">
        <v>92</v>
      </c>
      <c r="C924" t="s">
        <v>452</v>
      </c>
      <c r="E924" t="s">
        <v>452</v>
      </c>
      <c r="L924" t="s">
        <v>93</v>
      </c>
      <c r="M924">
        <v>20</v>
      </c>
      <c r="N924" t="s">
        <v>123</v>
      </c>
      <c r="Q924">
        <v>4.0039999999999996</v>
      </c>
      <c r="R924" t="s">
        <v>14</v>
      </c>
      <c r="T924">
        <v>10</v>
      </c>
      <c r="V924" t="s">
        <v>15</v>
      </c>
    </row>
    <row r="925" spans="1:22" x14ac:dyDescent="0.25">
      <c r="A925">
        <v>52</v>
      </c>
      <c r="B925" t="s">
        <v>92</v>
      </c>
      <c r="C925" t="s">
        <v>452</v>
      </c>
      <c r="E925" t="s">
        <v>452</v>
      </c>
      <c r="L925" t="s">
        <v>93</v>
      </c>
      <c r="M925">
        <v>30</v>
      </c>
      <c r="N925" t="s">
        <v>102</v>
      </c>
      <c r="Q925">
        <v>1.105</v>
      </c>
      <c r="R925" t="s">
        <v>103</v>
      </c>
      <c r="T925">
        <v>10</v>
      </c>
      <c r="V925" t="s">
        <v>15</v>
      </c>
    </row>
    <row r="926" spans="1:22" x14ac:dyDescent="0.25">
      <c r="A926">
        <v>52</v>
      </c>
      <c r="B926" t="s">
        <v>92</v>
      </c>
      <c r="C926" t="s">
        <v>452</v>
      </c>
      <c r="E926" t="s">
        <v>452</v>
      </c>
      <c r="L926" t="s">
        <v>93</v>
      </c>
      <c r="M926">
        <v>40</v>
      </c>
      <c r="N926" t="s">
        <v>146</v>
      </c>
      <c r="Q926">
        <v>1.5489999999999999</v>
      </c>
      <c r="R926" t="s">
        <v>11</v>
      </c>
      <c r="T926">
        <v>10</v>
      </c>
      <c r="V926" t="s">
        <v>18</v>
      </c>
    </row>
    <row r="927" spans="1:22" x14ac:dyDescent="0.25">
      <c r="A927">
        <v>52</v>
      </c>
      <c r="B927" t="s">
        <v>92</v>
      </c>
      <c r="C927" t="s">
        <v>452</v>
      </c>
      <c r="E927" t="s">
        <v>452</v>
      </c>
      <c r="L927" t="s">
        <v>93</v>
      </c>
      <c r="M927">
        <v>50</v>
      </c>
      <c r="N927" t="s">
        <v>139</v>
      </c>
      <c r="Q927">
        <v>1.5489999999999999</v>
      </c>
      <c r="R927" t="s">
        <v>17</v>
      </c>
      <c r="T927">
        <v>10</v>
      </c>
      <c r="V927" t="s">
        <v>18</v>
      </c>
    </row>
    <row r="928" spans="1:22" x14ac:dyDescent="0.25">
      <c r="A928">
        <v>52</v>
      </c>
      <c r="B928" t="s">
        <v>92</v>
      </c>
      <c r="C928" t="s">
        <v>452</v>
      </c>
      <c r="E928" t="s">
        <v>452</v>
      </c>
      <c r="L928" t="s">
        <v>93</v>
      </c>
      <c r="M928">
        <v>60</v>
      </c>
      <c r="N928" t="s">
        <v>454</v>
      </c>
      <c r="Q928">
        <v>1</v>
      </c>
      <c r="R928" t="s">
        <v>11</v>
      </c>
      <c r="T928">
        <v>10</v>
      </c>
      <c r="V928" t="s">
        <v>18</v>
      </c>
    </row>
    <row r="929" spans="1:22" x14ac:dyDescent="0.25">
      <c r="A929">
        <v>52</v>
      </c>
      <c r="B929" t="s">
        <v>92</v>
      </c>
      <c r="C929" t="s">
        <v>452</v>
      </c>
      <c r="E929" t="s">
        <v>452</v>
      </c>
      <c r="L929" t="s">
        <v>93</v>
      </c>
      <c r="M929">
        <v>70</v>
      </c>
      <c r="N929" t="s">
        <v>148</v>
      </c>
      <c r="Q929">
        <v>21.184000000000001</v>
      </c>
      <c r="R929" t="s">
        <v>17</v>
      </c>
      <c r="T929">
        <v>10</v>
      </c>
      <c r="V929" t="s">
        <v>15</v>
      </c>
    </row>
    <row r="930" spans="1:22" x14ac:dyDescent="0.25">
      <c r="A930">
        <v>52</v>
      </c>
      <c r="B930" t="s">
        <v>92</v>
      </c>
      <c r="C930" t="s">
        <v>452</v>
      </c>
      <c r="E930" t="s">
        <v>452</v>
      </c>
      <c r="L930" t="s">
        <v>93</v>
      </c>
      <c r="M930">
        <v>80</v>
      </c>
      <c r="N930" t="s">
        <v>20</v>
      </c>
      <c r="Q930">
        <v>173.70599999999999</v>
      </c>
      <c r="R930" t="s">
        <v>17</v>
      </c>
      <c r="T930">
        <v>10</v>
      </c>
      <c r="V930" t="s">
        <v>15</v>
      </c>
    </row>
    <row r="931" spans="1:22" x14ac:dyDescent="0.25">
      <c r="A931">
        <v>52</v>
      </c>
      <c r="B931" t="s">
        <v>92</v>
      </c>
      <c r="C931" t="s">
        <v>452</v>
      </c>
      <c r="E931" t="s">
        <v>452</v>
      </c>
      <c r="L931" t="s">
        <v>93</v>
      </c>
      <c r="M931">
        <v>90</v>
      </c>
      <c r="N931" t="s">
        <v>24</v>
      </c>
      <c r="Q931">
        <v>1</v>
      </c>
      <c r="R931" t="s">
        <v>11</v>
      </c>
      <c r="T931">
        <v>10</v>
      </c>
      <c r="V931" t="s">
        <v>15</v>
      </c>
    </row>
    <row r="932" spans="1:22" x14ac:dyDescent="0.25">
      <c r="A932">
        <v>52</v>
      </c>
      <c r="B932" t="s">
        <v>92</v>
      </c>
      <c r="C932" t="s">
        <v>452</v>
      </c>
      <c r="E932" t="s">
        <v>452</v>
      </c>
      <c r="L932" t="s">
        <v>93</v>
      </c>
      <c r="M932">
        <v>100</v>
      </c>
      <c r="N932" t="s">
        <v>141</v>
      </c>
      <c r="Q932">
        <v>0.128</v>
      </c>
      <c r="R932" t="s">
        <v>14</v>
      </c>
      <c r="T932">
        <v>10</v>
      </c>
      <c r="V932" t="s">
        <v>15</v>
      </c>
    </row>
    <row r="933" spans="1:22" x14ac:dyDescent="0.25">
      <c r="A933">
        <v>52</v>
      </c>
      <c r="B933" t="s">
        <v>92</v>
      </c>
      <c r="C933" t="s">
        <v>452</v>
      </c>
      <c r="E933" t="s">
        <v>452</v>
      </c>
      <c r="L933" t="s">
        <v>93</v>
      </c>
      <c r="M933">
        <v>110</v>
      </c>
      <c r="N933" t="s">
        <v>140</v>
      </c>
      <c r="Q933">
        <v>4</v>
      </c>
      <c r="R933" t="s">
        <v>11</v>
      </c>
      <c r="T933">
        <v>10</v>
      </c>
      <c r="V933" t="s">
        <v>15</v>
      </c>
    </row>
    <row r="934" spans="1:22" x14ac:dyDescent="0.25">
      <c r="A934">
        <v>52</v>
      </c>
      <c r="B934" t="s">
        <v>92</v>
      </c>
      <c r="C934" t="s">
        <v>452</v>
      </c>
      <c r="E934" t="s">
        <v>452</v>
      </c>
      <c r="L934" t="s">
        <v>93</v>
      </c>
      <c r="M934">
        <v>120</v>
      </c>
      <c r="N934" t="s">
        <v>25</v>
      </c>
      <c r="Q934">
        <v>1</v>
      </c>
      <c r="R934" t="s">
        <v>11</v>
      </c>
      <c r="T934">
        <v>10</v>
      </c>
      <c r="V934" t="s">
        <v>15</v>
      </c>
    </row>
    <row r="935" spans="1:22" x14ac:dyDescent="0.25">
      <c r="A935">
        <v>52</v>
      </c>
      <c r="B935" t="s">
        <v>92</v>
      </c>
      <c r="C935" t="s">
        <v>452</v>
      </c>
      <c r="E935" t="s">
        <v>452</v>
      </c>
      <c r="L935" t="s">
        <v>93</v>
      </c>
      <c r="M935">
        <v>130</v>
      </c>
      <c r="N935" t="s">
        <v>26</v>
      </c>
      <c r="Q935">
        <v>1</v>
      </c>
      <c r="R935" t="s">
        <v>11</v>
      </c>
      <c r="T935">
        <v>10</v>
      </c>
      <c r="V935" t="s">
        <v>15</v>
      </c>
    </row>
    <row r="936" spans="1:22" x14ac:dyDescent="0.25">
      <c r="A936">
        <v>52</v>
      </c>
      <c r="B936" t="s">
        <v>92</v>
      </c>
      <c r="C936" t="s">
        <v>452</v>
      </c>
      <c r="E936" t="s">
        <v>452</v>
      </c>
      <c r="L936" t="s">
        <v>93</v>
      </c>
      <c r="M936">
        <v>140</v>
      </c>
      <c r="N936" t="s">
        <v>100</v>
      </c>
      <c r="Q936">
        <v>0.94599999999999995</v>
      </c>
      <c r="R936" t="s">
        <v>14</v>
      </c>
      <c r="T936">
        <v>10</v>
      </c>
      <c r="V936" t="s">
        <v>15</v>
      </c>
    </row>
    <row r="937" spans="1:22" x14ac:dyDescent="0.25">
      <c r="A937">
        <v>52</v>
      </c>
      <c r="B937" t="s">
        <v>92</v>
      </c>
      <c r="C937" t="s">
        <v>452</v>
      </c>
      <c r="E937" t="s">
        <v>452</v>
      </c>
      <c r="L937" t="s">
        <v>93</v>
      </c>
      <c r="M937">
        <v>150</v>
      </c>
      <c r="N937" t="s">
        <v>455</v>
      </c>
      <c r="Q937">
        <v>1</v>
      </c>
      <c r="R937" t="s">
        <v>11</v>
      </c>
      <c r="T937">
        <v>10</v>
      </c>
      <c r="V937" t="s">
        <v>18</v>
      </c>
    </row>
    <row r="938" spans="1:22" x14ac:dyDescent="0.25">
      <c r="A938">
        <v>52</v>
      </c>
      <c r="B938" t="s">
        <v>92</v>
      </c>
      <c r="C938" t="s">
        <v>452</v>
      </c>
      <c r="E938" t="s">
        <v>452</v>
      </c>
      <c r="L938" t="s">
        <v>93</v>
      </c>
      <c r="M938">
        <v>160</v>
      </c>
      <c r="N938" t="s">
        <v>456</v>
      </c>
      <c r="Q938">
        <v>1</v>
      </c>
      <c r="R938" t="s">
        <v>11</v>
      </c>
      <c r="T938">
        <v>10</v>
      </c>
      <c r="V938" t="s">
        <v>18</v>
      </c>
    </row>
    <row r="939" spans="1:22" x14ac:dyDescent="0.25">
      <c r="A939">
        <v>52</v>
      </c>
      <c r="B939" t="s">
        <v>92</v>
      </c>
      <c r="C939" t="s">
        <v>452</v>
      </c>
      <c r="E939" t="s">
        <v>452</v>
      </c>
      <c r="L939" t="s">
        <v>93</v>
      </c>
      <c r="M939">
        <v>170</v>
      </c>
      <c r="N939" t="s">
        <v>142</v>
      </c>
      <c r="Q939">
        <v>7.0609999999999999</v>
      </c>
      <c r="R939" t="s">
        <v>11</v>
      </c>
      <c r="T939">
        <v>10</v>
      </c>
      <c r="V939" t="s">
        <v>15</v>
      </c>
    </row>
    <row r="940" spans="1:22" x14ac:dyDescent="0.25">
      <c r="A940">
        <v>52</v>
      </c>
      <c r="B940" t="s">
        <v>92</v>
      </c>
      <c r="C940" t="s">
        <v>452</v>
      </c>
      <c r="E940" t="s">
        <v>452</v>
      </c>
      <c r="L940" t="s">
        <v>93</v>
      </c>
      <c r="M940">
        <v>180</v>
      </c>
      <c r="N940" t="s">
        <v>457</v>
      </c>
      <c r="Q940">
        <v>1</v>
      </c>
      <c r="R940" t="s">
        <v>11</v>
      </c>
      <c r="T940">
        <v>10</v>
      </c>
      <c r="V940" t="s">
        <v>18</v>
      </c>
    </row>
    <row r="941" spans="1:22" x14ac:dyDescent="0.25">
      <c r="A941">
        <v>53</v>
      </c>
      <c r="B941" t="s">
        <v>92</v>
      </c>
      <c r="C941" t="s">
        <v>458</v>
      </c>
      <c r="E941" t="s">
        <v>458</v>
      </c>
      <c r="L941" t="s">
        <v>93</v>
      </c>
      <c r="M941">
        <v>10</v>
      </c>
      <c r="N941" t="s">
        <v>459</v>
      </c>
      <c r="Q941">
        <v>1</v>
      </c>
      <c r="R941" t="s">
        <v>11</v>
      </c>
      <c r="T941">
        <v>10</v>
      </c>
      <c r="V941" t="s">
        <v>18</v>
      </c>
    </row>
    <row r="942" spans="1:22" x14ac:dyDescent="0.25">
      <c r="A942">
        <v>53</v>
      </c>
      <c r="B942" t="s">
        <v>92</v>
      </c>
      <c r="C942" t="s">
        <v>458</v>
      </c>
      <c r="E942" t="s">
        <v>458</v>
      </c>
      <c r="L942" t="s">
        <v>93</v>
      </c>
      <c r="M942">
        <v>20</v>
      </c>
      <c r="N942" t="s">
        <v>124</v>
      </c>
      <c r="Q942">
        <v>4.4080000000000004</v>
      </c>
      <c r="R942" t="s">
        <v>14</v>
      </c>
      <c r="T942">
        <v>10</v>
      </c>
      <c r="V942" t="s">
        <v>15</v>
      </c>
    </row>
    <row r="943" spans="1:22" x14ac:dyDescent="0.25">
      <c r="A943">
        <v>53</v>
      </c>
      <c r="B943" t="s">
        <v>92</v>
      </c>
      <c r="C943" t="s">
        <v>458</v>
      </c>
      <c r="E943" t="s">
        <v>458</v>
      </c>
      <c r="L943" t="s">
        <v>93</v>
      </c>
      <c r="M943">
        <v>30</v>
      </c>
      <c r="N943" t="s">
        <v>102</v>
      </c>
      <c r="Q943">
        <v>1.218</v>
      </c>
      <c r="R943" t="s">
        <v>103</v>
      </c>
      <c r="T943">
        <v>10</v>
      </c>
      <c r="V943" t="s">
        <v>15</v>
      </c>
    </row>
    <row r="944" spans="1:22" x14ac:dyDescent="0.25">
      <c r="A944">
        <v>53</v>
      </c>
      <c r="B944" t="s">
        <v>92</v>
      </c>
      <c r="C944" t="s">
        <v>458</v>
      </c>
      <c r="E944" t="s">
        <v>458</v>
      </c>
      <c r="L944" t="s">
        <v>93</v>
      </c>
      <c r="M944">
        <v>40</v>
      </c>
      <c r="N944" t="s">
        <v>146</v>
      </c>
      <c r="Q944">
        <v>1.702</v>
      </c>
      <c r="R944" t="s">
        <v>11</v>
      </c>
      <c r="T944">
        <v>10</v>
      </c>
      <c r="V944" t="s">
        <v>18</v>
      </c>
    </row>
    <row r="945" spans="1:22" x14ac:dyDescent="0.25">
      <c r="A945">
        <v>53</v>
      </c>
      <c r="B945" t="s">
        <v>92</v>
      </c>
      <c r="C945" t="s">
        <v>458</v>
      </c>
      <c r="E945" t="s">
        <v>458</v>
      </c>
      <c r="L945" t="s">
        <v>93</v>
      </c>
      <c r="M945">
        <v>50</v>
      </c>
      <c r="N945" t="s">
        <v>139</v>
      </c>
      <c r="Q945">
        <v>1.702</v>
      </c>
      <c r="R945" t="s">
        <v>17</v>
      </c>
      <c r="T945">
        <v>10</v>
      </c>
      <c r="V945" t="s">
        <v>18</v>
      </c>
    </row>
    <row r="946" spans="1:22" x14ac:dyDescent="0.25">
      <c r="A946">
        <v>53</v>
      </c>
      <c r="B946" t="s">
        <v>92</v>
      </c>
      <c r="C946" t="s">
        <v>458</v>
      </c>
      <c r="E946" t="s">
        <v>458</v>
      </c>
      <c r="L946" t="s">
        <v>93</v>
      </c>
      <c r="M946">
        <v>60</v>
      </c>
      <c r="N946" t="s">
        <v>460</v>
      </c>
      <c r="Q946">
        <v>1</v>
      </c>
      <c r="R946" t="s">
        <v>11</v>
      </c>
      <c r="T946">
        <v>10</v>
      </c>
      <c r="V946" t="s">
        <v>18</v>
      </c>
    </row>
    <row r="947" spans="1:22" x14ac:dyDescent="0.25">
      <c r="A947">
        <v>53</v>
      </c>
      <c r="B947" t="s">
        <v>92</v>
      </c>
      <c r="C947" t="s">
        <v>458</v>
      </c>
      <c r="E947" t="s">
        <v>458</v>
      </c>
      <c r="L947" t="s">
        <v>93</v>
      </c>
      <c r="M947">
        <v>70</v>
      </c>
      <c r="N947" t="s">
        <v>148</v>
      </c>
      <c r="Q947">
        <v>22.097999999999999</v>
      </c>
      <c r="R947" t="s">
        <v>17</v>
      </c>
      <c r="T947">
        <v>10</v>
      </c>
      <c r="V947" t="s">
        <v>15</v>
      </c>
    </row>
    <row r="948" spans="1:22" x14ac:dyDescent="0.25">
      <c r="A948">
        <v>53</v>
      </c>
      <c r="B948" t="s">
        <v>92</v>
      </c>
      <c r="C948" t="s">
        <v>458</v>
      </c>
      <c r="E948" t="s">
        <v>458</v>
      </c>
      <c r="L948" t="s">
        <v>93</v>
      </c>
      <c r="M948">
        <v>80</v>
      </c>
      <c r="N948" t="s">
        <v>20</v>
      </c>
      <c r="Q948">
        <v>181.20400000000001</v>
      </c>
      <c r="R948" t="s">
        <v>17</v>
      </c>
      <c r="T948">
        <v>10</v>
      </c>
      <c r="V948" t="s">
        <v>15</v>
      </c>
    </row>
    <row r="949" spans="1:22" x14ac:dyDescent="0.25">
      <c r="A949">
        <v>53</v>
      </c>
      <c r="B949" t="s">
        <v>92</v>
      </c>
      <c r="C949" t="s">
        <v>458</v>
      </c>
      <c r="E949" t="s">
        <v>458</v>
      </c>
      <c r="L949" t="s">
        <v>93</v>
      </c>
      <c r="M949">
        <v>90</v>
      </c>
      <c r="N949" t="s">
        <v>24</v>
      </c>
      <c r="Q949">
        <v>1</v>
      </c>
      <c r="R949" t="s">
        <v>11</v>
      </c>
      <c r="T949">
        <v>10</v>
      </c>
      <c r="V949" t="s">
        <v>15</v>
      </c>
    </row>
    <row r="950" spans="1:22" x14ac:dyDescent="0.25">
      <c r="A950">
        <v>53</v>
      </c>
      <c r="B950" t="s">
        <v>92</v>
      </c>
      <c r="C950" t="s">
        <v>458</v>
      </c>
      <c r="E950" t="s">
        <v>458</v>
      </c>
      <c r="L950" t="s">
        <v>93</v>
      </c>
      <c r="M950">
        <v>100</v>
      </c>
      <c r="N950" t="s">
        <v>141</v>
      </c>
      <c r="Q950">
        <v>0.13800000000000001</v>
      </c>
      <c r="R950" t="s">
        <v>14</v>
      </c>
      <c r="T950">
        <v>10</v>
      </c>
      <c r="V950" t="s">
        <v>15</v>
      </c>
    </row>
    <row r="951" spans="1:22" x14ac:dyDescent="0.25">
      <c r="A951">
        <v>53</v>
      </c>
      <c r="B951" t="s">
        <v>92</v>
      </c>
      <c r="C951" t="s">
        <v>458</v>
      </c>
      <c r="E951" t="s">
        <v>458</v>
      </c>
      <c r="L951" t="s">
        <v>93</v>
      </c>
      <c r="M951">
        <v>110</v>
      </c>
      <c r="N951" t="s">
        <v>140</v>
      </c>
      <c r="Q951">
        <v>4</v>
      </c>
      <c r="R951" t="s">
        <v>11</v>
      </c>
      <c r="T951">
        <v>10</v>
      </c>
      <c r="V951" t="s">
        <v>15</v>
      </c>
    </row>
    <row r="952" spans="1:22" x14ac:dyDescent="0.25">
      <c r="A952">
        <v>53</v>
      </c>
      <c r="B952" t="s">
        <v>92</v>
      </c>
      <c r="C952" t="s">
        <v>458</v>
      </c>
      <c r="E952" t="s">
        <v>458</v>
      </c>
      <c r="L952" t="s">
        <v>93</v>
      </c>
      <c r="M952">
        <v>120</v>
      </c>
      <c r="N952" t="s">
        <v>25</v>
      </c>
      <c r="Q952">
        <v>1</v>
      </c>
      <c r="R952" t="s">
        <v>11</v>
      </c>
      <c r="T952">
        <v>10</v>
      </c>
      <c r="V952" t="s">
        <v>15</v>
      </c>
    </row>
    <row r="953" spans="1:22" x14ac:dyDescent="0.25">
      <c r="A953">
        <v>53</v>
      </c>
      <c r="B953" t="s">
        <v>92</v>
      </c>
      <c r="C953" t="s">
        <v>458</v>
      </c>
      <c r="E953" t="s">
        <v>458</v>
      </c>
      <c r="L953" t="s">
        <v>93</v>
      </c>
      <c r="M953">
        <v>130</v>
      </c>
      <c r="N953" t="s">
        <v>26</v>
      </c>
      <c r="Q953">
        <v>1</v>
      </c>
      <c r="R953" t="s">
        <v>11</v>
      </c>
      <c r="T953">
        <v>10</v>
      </c>
      <c r="V953" t="s">
        <v>15</v>
      </c>
    </row>
    <row r="954" spans="1:22" x14ac:dyDescent="0.25">
      <c r="A954">
        <v>53</v>
      </c>
      <c r="B954" t="s">
        <v>92</v>
      </c>
      <c r="C954" t="s">
        <v>458</v>
      </c>
      <c r="E954" t="s">
        <v>458</v>
      </c>
      <c r="L954" t="s">
        <v>93</v>
      </c>
      <c r="M954">
        <v>140</v>
      </c>
      <c r="N954" t="s">
        <v>100</v>
      </c>
      <c r="Q954">
        <v>1.0269999999999999</v>
      </c>
      <c r="R954" t="s">
        <v>14</v>
      </c>
      <c r="T954">
        <v>10</v>
      </c>
      <c r="V954" t="s">
        <v>15</v>
      </c>
    </row>
    <row r="955" spans="1:22" x14ac:dyDescent="0.25">
      <c r="A955">
        <v>53</v>
      </c>
      <c r="B955" t="s">
        <v>92</v>
      </c>
      <c r="C955" t="s">
        <v>458</v>
      </c>
      <c r="E955" t="s">
        <v>458</v>
      </c>
      <c r="L955" t="s">
        <v>93</v>
      </c>
      <c r="M955">
        <v>150</v>
      </c>
      <c r="N955" t="s">
        <v>461</v>
      </c>
      <c r="Q955">
        <v>1</v>
      </c>
      <c r="R955" t="s">
        <v>11</v>
      </c>
      <c r="T955">
        <v>10</v>
      </c>
      <c r="V955" t="s">
        <v>18</v>
      </c>
    </row>
    <row r="956" spans="1:22" x14ac:dyDescent="0.25">
      <c r="A956">
        <v>53</v>
      </c>
      <c r="B956" t="s">
        <v>92</v>
      </c>
      <c r="C956" t="s">
        <v>458</v>
      </c>
      <c r="E956" t="s">
        <v>458</v>
      </c>
      <c r="L956" t="s">
        <v>93</v>
      </c>
      <c r="M956">
        <v>160</v>
      </c>
      <c r="N956" t="s">
        <v>462</v>
      </c>
      <c r="Q956">
        <v>1</v>
      </c>
      <c r="R956" t="s">
        <v>11</v>
      </c>
      <c r="T956">
        <v>10</v>
      </c>
      <c r="V956" t="s">
        <v>18</v>
      </c>
    </row>
    <row r="957" spans="1:22" x14ac:dyDescent="0.25">
      <c r="A957">
        <v>53</v>
      </c>
      <c r="B957" t="s">
        <v>92</v>
      </c>
      <c r="C957" t="s">
        <v>458</v>
      </c>
      <c r="E957" t="s">
        <v>458</v>
      </c>
      <c r="L957" t="s">
        <v>93</v>
      </c>
      <c r="M957">
        <v>170</v>
      </c>
      <c r="N957" t="s">
        <v>142</v>
      </c>
      <c r="Q957">
        <v>7.3659999999999997</v>
      </c>
      <c r="R957" t="s">
        <v>11</v>
      </c>
      <c r="T957">
        <v>10</v>
      </c>
      <c r="V957" t="s">
        <v>15</v>
      </c>
    </row>
    <row r="958" spans="1:22" x14ac:dyDescent="0.25">
      <c r="A958">
        <v>53</v>
      </c>
      <c r="B958" t="s">
        <v>92</v>
      </c>
      <c r="C958" t="s">
        <v>458</v>
      </c>
      <c r="E958" t="s">
        <v>458</v>
      </c>
      <c r="L958" t="s">
        <v>93</v>
      </c>
      <c r="M958">
        <v>180</v>
      </c>
      <c r="N958" t="s">
        <v>463</v>
      </c>
      <c r="Q958">
        <v>1</v>
      </c>
      <c r="R958" t="s">
        <v>11</v>
      </c>
      <c r="T958">
        <v>10</v>
      </c>
      <c r="V958" t="s">
        <v>18</v>
      </c>
    </row>
    <row r="959" spans="1:22" x14ac:dyDescent="0.25">
      <c r="A959">
        <v>54</v>
      </c>
      <c r="B959" t="s">
        <v>92</v>
      </c>
      <c r="C959" t="s">
        <v>464</v>
      </c>
      <c r="E959" t="s">
        <v>464</v>
      </c>
      <c r="L959" t="s">
        <v>93</v>
      </c>
      <c r="M959">
        <v>10</v>
      </c>
      <c r="N959" t="s">
        <v>465</v>
      </c>
      <c r="Q959">
        <v>1</v>
      </c>
      <c r="R959" t="s">
        <v>11</v>
      </c>
      <c r="T959">
        <v>10</v>
      </c>
      <c r="V959" t="s">
        <v>18</v>
      </c>
    </row>
    <row r="960" spans="1:22" x14ac:dyDescent="0.25">
      <c r="A960">
        <v>54</v>
      </c>
      <c r="B960" t="s">
        <v>92</v>
      </c>
      <c r="C960" t="s">
        <v>464</v>
      </c>
      <c r="E960" t="s">
        <v>464</v>
      </c>
      <c r="L960" t="s">
        <v>93</v>
      </c>
      <c r="M960">
        <v>20</v>
      </c>
      <c r="N960" t="s">
        <v>125</v>
      </c>
      <c r="Q960">
        <v>4.8109999999999999</v>
      </c>
      <c r="R960" t="s">
        <v>14</v>
      </c>
      <c r="T960">
        <v>10</v>
      </c>
      <c r="V960" t="s">
        <v>15</v>
      </c>
    </row>
    <row r="961" spans="1:22" x14ac:dyDescent="0.25">
      <c r="A961">
        <v>54</v>
      </c>
      <c r="B961" t="s">
        <v>92</v>
      </c>
      <c r="C961" t="s">
        <v>464</v>
      </c>
      <c r="E961" t="s">
        <v>464</v>
      </c>
      <c r="L961" t="s">
        <v>93</v>
      </c>
      <c r="M961">
        <v>30</v>
      </c>
      <c r="N961" t="s">
        <v>102</v>
      </c>
      <c r="Q961">
        <v>1.33</v>
      </c>
      <c r="R961" t="s">
        <v>103</v>
      </c>
      <c r="T961">
        <v>10</v>
      </c>
      <c r="V961" t="s">
        <v>15</v>
      </c>
    </row>
    <row r="962" spans="1:22" x14ac:dyDescent="0.25">
      <c r="A962">
        <v>54</v>
      </c>
      <c r="B962" t="s">
        <v>92</v>
      </c>
      <c r="C962" t="s">
        <v>464</v>
      </c>
      <c r="E962" t="s">
        <v>464</v>
      </c>
      <c r="L962" t="s">
        <v>93</v>
      </c>
      <c r="M962">
        <v>40</v>
      </c>
      <c r="N962" t="s">
        <v>146</v>
      </c>
      <c r="Q962">
        <v>1.8540000000000001</v>
      </c>
      <c r="R962" t="s">
        <v>11</v>
      </c>
      <c r="T962">
        <v>10</v>
      </c>
      <c r="V962" t="s">
        <v>18</v>
      </c>
    </row>
    <row r="963" spans="1:22" x14ac:dyDescent="0.25">
      <c r="A963">
        <v>54</v>
      </c>
      <c r="B963" t="s">
        <v>92</v>
      </c>
      <c r="C963" t="s">
        <v>464</v>
      </c>
      <c r="E963" t="s">
        <v>464</v>
      </c>
      <c r="L963" t="s">
        <v>93</v>
      </c>
      <c r="M963">
        <v>50</v>
      </c>
      <c r="N963" t="s">
        <v>139</v>
      </c>
      <c r="Q963">
        <v>1.8540000000000001</v>
      </c>
      <c r="R963" t="s">
        <v>17</v>
      </c>
      <c r="T963">
        <v>10</v>
      </c>
      <c r="V963" t="s">
        <v>18</v>
      </c>
    </row>
    <row r="964" spans="1:22" x14ac:dyDescent="0.25">
      <c r="A964">
        <v>54</v>
      </c>
      <c r="B964" t="s">
        <v>92</v>
      </c>
      <c r="C964" t="s">
        <v>464</v>
      </c>
      <c r="E964" t="s">
        <v>464</v>
      </c>
      <c r="L964" t="s">
        <v>93</v>
      </c>
      <c r="M964">
        <v>60</v>
      </c>
      <c r="N964" t="s">
        <v>466</v>
      </c>
      <c r="Q964">
        <v>1</v>
      </c>
      <c r="R964" t="s">
        <v>11</v>
      </c>
      <c r="T964">
        <v>10</v>
      </c>
      <c r="V964" t="s">
        <v>18</v>
      </c>
    </row>
    <row r="965" spans="1:22" x14ac:dyDescent="0.25">
      <c r="A965">
        <v>54</v>
      </c>
      <c r="B965" t="s">
        <v>92</v>
      </c>
      <c r="C965" t="s">
        <v>464</v>
      </c>
      <c r="E965" t="s">
        <v>464</v>
      </c>
      <c r="L965" t="s">
        <v>93</v>
      </c>
      <c r="M965">
        <v>70</v>
      </c>
      <c r="N965" t="s">
        <v>148</v>
      </c>
      <c r="Q965">
        <v>23.012</v>
      </c>
      <c r="R965" t="s">
        <v>17</v>
      </c>
      <c r="T965">
        <v>10</v>
      </c>
      <c r="V965" t="s">
        <v>15</v>
      </c>
    </row>
    <row r="966" spans="1:22" x14ac:dyDescent="0.25">
      <c r="A966">
        <v>54</v>
      </c>
      <c r="B966" t="s">
        <v>92</v>
      </c>
      <c r="C966" t="s">
        <v>464</v>
      </c>
      <c r="E966" t="s">
        <v>464</v>
      </c>
      <c r="L966" t="s">
        <v>93</v>
      </c>
      <c r="M966">
        <v>80</v>
      </c>
      <c r="N966" t="s">
        <v>20</v>
      </c>
      <c r="Q966">
        <v>188.702</v>
      </c>
      <c r="R966" t="s">
        <v>17</v>
      </c>
      <c r="T966">
        <v>10</v>
      </c>
      <c r="V966" t="s">
        <v>15</v>
      </c>
    </row>
    <row r="967" spans="1:22" x14ac:dyDescent="0.25">
      <c r="A967">
        <v>54</v>
      </c>
      <c r="B967" t="s">
        <v>92</v>
      </c>
      <c r="C967" t="s">
        <v>464</v>
      </c>
      <c r="E967" t="s">
        <v>464</v>
      </c>
      <c r="L967" t="s">
        <v>93</v>
      </c>
      <c r="M967">
        <v>90</v>
      </c>
      <c r="N967" t="s">
        <v>24</v>
      </c>
      <c r="Q967">
        <v>1</v>
      </c>
      <c r="R967" t="s">
        <v>11</v>
      </c>
      <c r="T967">
        <v>10</v>
      </c>
      <c r="V967" t="s">
        <v>15</v>
      </c>
    </row>
    <row r="968" spans="1:22" x14ac:dyDescent="0.25">
      <c r="A968">
        <v>54</v>
      </c>
      <c r="B968" t="s">
        <v>92</v>
      </c>
      <c r="C968" t="s">
        <v>464</v>
      </c>
      <c r="E968" t="s">
        <v>464</v>
      </c>
      <c r="L968" t="s">
        <v>93</v>
      </c>
      <c r="M968">
        <v>100</v>
      </c>
      <c r="N968" t="s">
        <v>141</v>
      </c>
      <c r="Q968">
        <v>0.14899999999999999</v>
      </c>
      <c r="R968" t="s">
        <v>14</v>
      </c>
      <c r="T968">
        <v>10</v>
      </c>
      <c r="V968" t="s">
        <v>15</v>
      </c>
    </row>
    <row r="969" spans="1:22" x14ac:dyDescent="0.25">
      <c r="A969">
        <v>54</v>
      </c>
      <c r="B969" t="s">
        <v>92</v>
      </c>
      <c r="C969" t="s">
        <v>464</v>
      </c>
      <c r="E969" t="s">
        <v>464</v>
      </c>
      <c r="L969" t="s">
        <v>93</v>
      </c>
      <c r="M969">
        <v>110</v>
      </c>
      <c r="N969" t="s">
        <v>140</v>
      </c>
      <c r="Q969">
        <v>4</v>
      </c>
      <c r="R969" t="s">
        <v>11</v>
      </c>
      <c r="T969">
        <v>10</v>
      </c>
      <c r="V969" t="s">
        <v>15</v>
      </c>
    </row>
    <row r="970" spans="1:22" x14ac:dyDescent="0.25">
      <c r="A970">
        <v>54</v>
      </c>
      <c r="B970" t="s">
        <v>92</v>
      </c>
      <c r="C970" t="s">
        <v>464</v>
      </c>
      <c r="E970" t="s">
        <v>464</v>
      </c>
      <c r="L970" t="s">
        <v>93</v>
      </c>
      <c r="M970">
        <v>120</v>
      </c>
      <c r="N970" t="s">
        <v>25</v>
      </c>
      <c r="Q970">
        <v>1</v>
      </c>
      <c r="R970" t="s">
        <v>11</v>
      </c>
      <c r="T970">
        <v>10</v>
      </c>
      <c r="V970" t="s">
        <v>15</v>
      </c>
    </row>
    <row r="971" spans="1:22" x14ac:dyDescent="0.25">
      <c r="A971">
        <v>54</v>
      </c>
      <c r="B971" t="s">
        <v>92</v>
      </c>
      <c r="C971" t="s">
        <v>464</v>
      </c>
      <c r="E971" t="s">
        <v>464</v>
      </c>
      <c r="L971" t="s">
        <v>93</v>
      </c>
      <c r="M971">
        <v>130</v>
      </c>
      <c r="N971" t="s">
        <v>26</v>
      </c>
      <c r="Q971">
        <v>1</v>
      </c>
      <c r="R971" t="s">
        <v>11</v>
      </c>
      <c r="T971">
        <v>10</v>
      </c>
      <c r="V971" t="s">
        <v>15</v>
      </c>
    </row>
    <row r="972" spans="1:22" x14ac:dyDescent="0.25">
      <c r="A972">
        <v>54</v>
      </c>
      <c r="B972" t="s">
        <v>92</v>
      </c>
      <c r="C972" t="s">
        <v>464</v>
      </c>
      <c r="E972" t="s">
        <v>464</v>
      </c>
      <c r="L972" t="s">
        <v>93</v>
      </c>
      <c r="M972">
        <v>140</v>
      </c>
      <c r="N972" t="s">
        <v>100</v>
      </c>
      <c r="Q972">
        <v>1.1080000000000001</v>
      </c>
      <c r="R972" t="s">
        <v>14</v>
      </c>
      <c r="T972">
        <v>10</v>
      </c>
      <c r="V972" t="s">
        <v>15</v>
      </c>
    </row>
    <row r="973" spans="1:22" x14ac:dyDescent="0.25">
      <c r="A973">
        <v>54</v>
      </c>
      <c r="B973" t="s">
        <v>92</v>
      </c>
      <c r="C973" t="s">
        <v>464</v>
      </c>
      <c r="E973" t="s">
        <v>464</v>
      </c>
      <c r="L973" t="s">
        <v>93</v>
      </c>
      <c r="M973">
        <v>150</v>
      </c>
      <c r="N973" t="s">
        <v>467</v>
      </c>
      <c r="Q973">
        <v>1</v>
      </c>
      <c r="R973" t="s">
        <v>11</v>
      </c>
      <c r="T973">
        <v>10</v>
      </c>
      <c r="V973" t="s">
        <v>18</v>
      </c>
    </row>
    <row r="974" spans="1:22" x14ac:dyDescent="0.25">
      <c r="A974">
        <v>54</v>
      </c>
      <c r="B974" t="s">
        <v>92</v>
      </c>
      <c r="C974" t="s">
        <v>464</v>
      </c>
      <c r="E974" t="s">
        <v>464</v>
      </c>
      <c r="L974" t="s">
        <v>93</v>
      </c>
      <c r="M974">
        <v>160</v>
      </c>
      <c r="N974" t="s">
        <v>468</v>
      </c>
      <c r="Q974">
        <v>1</v>
      </c>
      <c r="R974" t="s">
        <v>11</v>
      </c>
      <c r="T974">
        <v>10</v>
      </c>
      <c r="V974" t="s">
        <v>18</v>
      </c>
    </row>
    <row r="975" spans="1:22" x14ac:dyDescent="0.25">
      <c r="A975">
        <v>54</v>
      </c>
      <c r="B975" t="s">
        <v>92</v>
      </c>
      <c r="C975" t="s">
        <v>464</v>
      </c>
      <c r="E975" t="s">
        <v>464</v>
      </c>
      <c r="L975" t="s">
        <v>93</v>
      </c>
      <c r="M975">
        <v>170</v>
      </c>
      <c r="N975" t="s">
        <v>142</v>
      </c>
      <c r="Q975">
        <v>7.6710000000000003</v>
      </c>
      <c r="R975" t="s">
        <v>11</v>
      </c>
      <c r="T975">
        <v>10</v>
      </c>
      <c r="V975" t="s">
        <v>15</v>
      </c>
    </row>
    <row r="976" spans="1:22" x14ac:dyDescent="0.25">
      <c r="A976">
        <v>54</v>
      </c>
      <c r="B976" t="s">
        <v>92</v>
      </c>
      <c r="C976" t="s">
        <v>464</v>
      </c>
      <c r="E976" t="s">
        <v>464</v>
      </c>
      <c r="L976" t="s">
        <v>93</v>
      </c>
      <c r="M976">
        <v>180</v>
      </c>
      <c r="N976" t="s">
        <v>469</v>
      </c>
      <c r="Q976">
        <v>1</v>
      </c>
      <c r="R976" t="s">
        <v>11</v>
      </c>
      <c r="T976">
        <v>10</v>
      </c>
      <c r="V976" t="s">
        <v>18</v>
      </c>
    </row>
    <row r="977" spans="1:22" x14ac:dyDescent="0.25">
      <c r="A977">
        <v>55</v>
      </c>
      <c r="B977" t="s">
        <v>92</v>
      </c>
      <c r="C977" t="s">
        <v>470</v>
      </c>
      <c r="E977" t="s">
        <v>470</v>
      </c>
      <c r="L977" t="s">
        <v>93</v>
      </c>
      <c r="M977">
        <v>10</v>
      </c>
      <c r="N977" t="s">
        <v>471</v>
      </c>
      <c r="Q977">
        <v>1</v>
      </c>
      <c r="R977" t="s">
        <v>11</v>
      </c>
      <c r="T977">
        <v>10</v>
      </c>
      <c r="V977" t="s">
        <v>18</v>
      </c>
    </row>
    <row r="978" spans="1:22" x14ac:dyDescent="0.25">
      <c r="A978">
        <v>55</v>
      </c>
      <c r="B978" t="s">
        <v>92</v>
      </c>
      <c r="C978" t="s">
        <v>470</v>
      </c>
      <c r="E978" t="s">
        <v>470</v>
      </c>
      <c r="L978" t="s">
        <v>93</v>
      </c>
      <c r="M978">
        <v>20</v>
      </c>
      <c r="N978" t="s">
        <v>135</v>
      </c>
      <c r="Q978">
        <v>2.0649999999999999</v>
      </c>
      <c r="R978" t="s">
        <v>14</v>
      </c>
      <c r="T978">
        <v>10</v>
      </c>
      <c r="V978" t="s">
        <v>15</v>
      </c>
    </row>
    <row r="979" spans="1:22" x14ac:dyDescent="0.25">
      <c r="A979">
        <v>55</v>
      </c>
      <c r="B979" t="s">
        <v>92</v>
      </c>
      <c r="C979" t="s">
        <v>470</v>
      </c>
      <c r="E979" t="s">
        <v>470</v>
      </c>
      <c r="L979" t="s">
        <v>93</v>
      </c>
      <c r="M979">
        <v>30</v>
      </c>
      <c r="N979" t="s">
        <v>102</v>
      </c>
      <c r="Q979">
        <v>0.56499999999999995</v>
      </c>
      <c r="R979" t="s">
        <v>103</v>
      </c>
      <c r="T979">
        <v>10</v>
      </c>
      <c r="V979" t="s">
        <v>15</v>
      </c>
    </row>
    <row r="980" spans="1:22" x14ac:dyDescent="0.25">
      <c r="A980">
        <v>55</v>
      </c>
      <c r="B980" t="s">
        <v>92</v>
      </c>
      <c r="C980" t="s">
        <v>470</v>
      </c>
      <c r="E980" t="s">
        <v>470</v>
      </c>
      <c r="L980" t="s">
        <v>93</v>
      </c>
      <c r="M980">
        <v>40</v>
      </c>
      <c r="N980" t="s">
        <v>146</v>
      </c>
      <c r="Q980">
        <v>0.78700000000000003</v>
      </c>
      <c r="R980" t="s">
        <v>11</v>
      </c>
      <c r="T980">
        <v>10</v>
      </c>
      <c r="V980" t="s">
        <v>18</v>
      </c>
    </row>
    <row r="981" spans="1:22" x14ac:dyDescent="0.25">
      <c r="A981">
        <v>55</v>
      </c>
      <c r="B981" t="s">
        <v>92</v>
      </c>
      <c r="C981" t="s">
        <v>470</v>
      </c>
      <c r="E981" t="s">
        <v>470</v>
      </c>
      <c r="L981" t="s">
        <v>93</v>
      </c>
      <c r="M981">
        <v>50</v>
      </c>
      <c r="N981" t="s">
        <v>139</v>
      </c>
      <c r="Q981">
        <v>0.78700000000000003</v>
      </c>
      <c r="R981" t="s">
        <v>17</v>
      </c>
      <c r="T981">
        <v>10</v>
      </c>
      <c r="V981" t="s">
        <v>18</v>
      </c>
    </row>
    <row r="982" spans="1:22" x14ac:dyDescent="0.25">
      <c r="A982">
        <v>55</v>
      </c>
      <c r="B982" t="s">
        <v>92</v>
      </c>
      <c r="C982" t="s">
        <v>470</v>
      </c>
      <c r="E982" t="s">
        <v>470</v>
      </c>
      <c r="L982" t="s">
        <v>93</v>
      </c>
      <c r="M982">
        <v>60</v>
      </c>
      <c r="N982" t="s">
        <v>472</v>
      </c>
      <c r="Q982">
        <v>1</v>
      </c>
      <c r="R982" t="s">
        <v>11</v>
      </c>
      <c r="T982">
        <v>10</v>
      </c>
      <c r="V982" t="s">
        <v>18</v>
      </c>
    </row>
    <row r="983" spans="1:22" x14ac:dyDescent="0.25">
      <c r="A983">
        <v>55</v>
      </c>
      <c r="B983" t="s">
        <v>92</v>
      </c>
      <c r="C983" t="s">
        <v>470</v>
      </c>
      <c r="E983" t="s">
        <v>470</v>
      </c>
      <c r="L983" t="s">
        <v>93</v>
      </c>
      <c r="M983">
        <v>70</v>
      </c>
      <c r="N983" t="s">
        <v>148</v>
      </c>
      <c r="Q983">
        <v>17.068999999999999</v>
      </c>
      <c r="R983" t="s">
        <v>17</v>
      </c>
      <c r="T983">
        <v>10</v>
      </c>
      <c r="V983" t="s">
        <v>15</v>
      </c>
    </row>
    <row r="984" spans="1:22" x14ac:dyDescent="0.25">
      <c r="A984">
        <v>55</v>
      </c>
      <c r="B984" t="s">
        <v>92</v>
      </c>
      <c r="C984" t="s">
        <v>470</v>
      </c>
      <c r="E984" t="s">
        <v>470</v>
      </c>
      <c r="L984" t="s">
        <v>93</v>
      </c>
      <c r="M984">
        <v>80</v>
      </c>
      <c r="N984" t="s">
        <v>20</v>
      </c>
      <c r="Q984">
        <v>139.964</v>
      </c>
      <c r="R984" t="s">
        <v>17</v>
      </c>
      <c r="T984">
        <v>10</v>
      </c>
      <c r="V984" t="s">
        <v>15</v>
      </c>
    </row>
    <row r="985" spans="1:22" x14ac:dyDescent="0.25">
      <c r="A985">
        <v>55</v>
      </c>
      <c r="B985" t="s">
        <v>92</v>
      </c>
      <c r="C985" t="s">
        <v>470</v>
      </c>
      <c r="E985" t="s">
        <v>470</v>
      </c>
      <c r="L985" t="s">
        <v>93</v>
      </c>
      <c r="M985">
        <v>90</v>
      </c>
      <c r="N985" t="s">
        <v>24</v>
      </c>
      <c r="Q985">
        <v>1</v>
      </c>
      <c r="R985" t="s">
        <v>11</v>
      </c>
      <c r="T985">
        <v>10</v>
      </c>
      <c r="V985" t="s">
        <v>15</v>
      </c>
    </row>
    <row r="986" spans="1:22" x14ac:dyDescent="0.25">
      <c r="A986">
        <v>55</v>
      </c>
      <c r="B986" t="s">
        <v>92</v>
      </c>
      <c r="C986" t="s">
        <v>470</v>
      </c>
      <c r="E986" t="s">
        <v>470</v>
      </c>
      <c r="L986" t="s">
        <v>93</v>
      </c>
      <c r="M986">
        <v>100</v>
      </c>
      <c r="N986" t="s">
        <v>141</v>
      </c>
      <c r="Q986">
        <v>7.5999999999999998E-2</v>
      </c>
      <c r="R986" t="s">
        <v>14</v>
      </c>
      <c r="T986">
        <v>10</v>
      </c>
      <c r="V986" t="s">
        <v>15</v>
      </c>
    </row>
    <row r="987" spans="1:22" x14ac:dyDescent="0.25">
      <c r="A987">
        <v>55</v>
      </c>
      <c r="B987" t="s">
        <v>92</v>
      </c>
      <c r="C987" t="s">
        <v>470</v>
      </c>
      <c r="E987" t="s">
        <v>470</v>
      </c>
      <c r="L987" t="s">
        <v>93</v>
      </c>
      <c r="M987">
        <v>110</v>
      </c>
      <c r="N987" t="s">
        <v>140</v>
      </c>
      <c r="Q987">
        <v>4</v>
      </c>
      <c r="R987" t="s">
        <v>11</v>
      </c>
      <c r="T987">
        <v>10</v>
      </c>
      <c r="V987" t="s">
        <v>15</v>
      </c>
    </row>
    <row r="988" spans="1:22" x14ac:dyDescent="0.25">
      <c r="A988">
        <v>55</v>
      </c>
      <c r="B988" t="s">
        <v>92</v>
      </c>
      <c r="C988" t="s">
        <v>470</v>
      </c>
      <c r="E988" t="s">
        <v>470</v>
      </c>
      <c r="L988" t="s">
        <v>93</v>
      </c>
      <c r="M988">
        <v>120</v>
      </c>
      <c r="N988" t="s">
        <v>25</v>
      </c>
      <c r="Q988">
        <v>1</v>
      </c>
      <c r="R988" t="s">
        <v>11</v>
      </c>
      <c r="T988">
        <v>10</v>
      </c>
      <c r="V988" t="s">
        <v>15</v>
      </c>
    </row>
    <row r="989" spans="1:22" x14ac:dyDescent="0.25">
      <c r="A989">
        <v>55</v>
      </c>
      <c r="B989" t="s">
        <v>92</v>
      </c>
      <c r="C989" t="s">
        <v>470</v>
      </c>
      <c r="E989" t="s">
        <v>470</v>
      </c>
      <c r="L989" t="s">
        <v>93</v>
      </c>
      <c r="M989">
        <v>130</v>
      </c>
      <c r="N989" t="s">
        <v>26</v>
      </c>
      <c r="Q989">
        <v>1</v>
      </c>
      <c r="R989" t="s">
        <v>11</v>
      </c>
      <c r="T989">
        <v>10</v>
      </c>
      <c r="V989" t="s">
        <v>15</v>
      </c>
    </row>
    <row r="990" spans="1:22" x14ac:dyDescent="0.25">
      <c r="A990">
        <v>55</v>
      </c>
      <c r="B990" t="s">
        <v>92</v>
      </c>
      <c r="C990" t="s">
        <v>470</v>
      </c>
      <c r="E990" t="s">
        <v>470</v>
      </c>
      <c r="L990" t="s">
        <v>93</v>
      </c>
      <c r="M990">
        <v>140</v>
      </c>
      <c r="N990" t="s">
        <v>100</v>
      </c>
      <c r="Q990">
        <v>1.1890000000000001</v>
      </c>
      <c r="R990" t="s">
        <v>14</v>
      </c>
      <c r="T990">
        <v>10</v>
      </c>
      <c r="V990" t="s">
        <v>15</v>
      </c>
    </row>
    <row r="991" spans="1:22" x14ac:dyDescent="0.25">
      <c r="A991">
        <v>55</v>
      </c>
      <c r="B991" t="s">
        <v>92</v>
      </c>
      <c r="C991" t="s">
        <v>470</v>
      </c>
      <c r="E991" t="s">
        <v>470</v>
      </c>
      <c r="L991" t="s">
        <v>93</v>
      </c>
      <c r="M991">
        <v>150</v>
      </c>
      <c r="N991" t="s">
        <v>473</v>
      </c>
      <c r="Q991">
        <v>1</v>
      </c>
      <c r="R991" t="s">
        <v>11</v>
      </c>
      <c r="T991">
        <v>10</v>
      </c>
      <c r="V991" t="s">
        <v>18</v>
      </c>
    </row>
    <row r="992" spans="1:22" x14ac:dyDescent="0.25">
      <c r="A992">
        <v>55</v>
      </c>
      <c r="B992" t="s">
        <v>92</v>
      </c>
      <c r="C992" t="s">
        <v>470</v>
      </c>
      <c r="E992" t="s">
        <v>470</v>
      </c>
      <c r="L992" t="s">
        <v>93</v>
      </c>
      <c r="M992">
        <v>160</v>
      </c>
      <c r="N992" t="s">
        <v>474</v>
      </c>
      <c r="Q992">
        <v>1</v>
      </c>
      <c r="R992" t="s">
        <v>11</v>
      </c>
      <c r="T992">
        <v>10</v>
      </c>
      <c r="V992" t="s">
        <v>18</v>
      </c>
    </row>
    <row r="993" spans="1:22" x14ac:dyDescent="0.25">
      <c r="A993">
        <v>55</v>
      </c>
      <c r="B993" t="s">
        <v>92</v>
      </c>
      <c r="C993" t="s">
        <v>470</v>
      </c>
      <c r="E993" t="s">
        <v>470</v>
      </c>
      <c r="L993" t="s">
        <v>93</v>
      </c>
      <c r="M993">
        <v>170</v>
      </c>
      <c r="N993" t="s">
        <v>142</v>
      </c>
      <c r="Q993">
        <v>5.69</v>
      </c>
      <c r="R993" t="s">
        <v>11</v>
      </c>
      <c r="T993">
        <v>10</v>
      </c>
      <c r="V993" t="s">
        <v>15</v>
      </c>
    </row>
    <row r="994" spans="1:22" x14ac:dyDescent="0.25">
      <c r="A994">
        <v>55</v>
      </c>
      <c r="B994" t="s">
        <v>92</v>
      </c>
      <c r="C994" t="s">
        <v>470</v>
      </c>
      <c r="E994" t="s">
        <v>470</v>
      </c>
      <c r="L994" t="s">
        <v>93</v>
      </c>
      <c r="M994">
        <v>180</v>
      </c>
      <c r="N994" t="s">
        <v>475</v>
      </c>
      <c r="Q994">
        <v>1</v>
      </c>
      <c r="R994" t="s">
        <v>11</v>
      </c>
      <c r="T994">
        <v>10</v>
      </c>
      <c r="V994" t="s">
        <v>18</v>
      </c>
    </row>
    <row r="995" spans="1:22" x14ac:dyDescent="0.25">
      <c r="A995">
        <v>56</v>
      </c>
      <c r="B995" t="s">
        <v>92</v>
      </c>
      <c r="C995" t="s">
        <v>476</v>
      </c>
      <c r="E995" t="s">
        <v>476</v>
      </c>
      <c r="L995" t="s">
        <v>93</v>
      </c>
      <c r="M995">
        <v>10</v>
      </c>
      <c r="N995" t="s">
        <v>477</v>
      </c>
      <c r="Q995">
        <v>1</v>
      </c>
      <c r="R995" t="s">
        <v>11</v>
      </c>
      <c r="T995">
        <v>10</v>
      </c>
      <c r="V995" t="s">
        <v>18</v>
      </c>
    </row>
    <row r="996" spans="1:22" x14ac:dyDescent="0.25">
      <c r="A996">
        <v>56</v>
      </c>
      <c r="B996" t="s">
        <v>92</v>
      </c>
      <c r="C996" t="s">
        <v>476</v>
      </c>
      <c r="E996" t="s">
        <v>476</v>
      </c>
      <c r="L996" t="s">
        <v>93</v>
      </c>
      <c r="M996">
        <v>20</v>
      </c>
      <c r="N996" t="s">
        <v>126</v>
      </c>
      <c r="Q996">
        <v>2.4849999999999999</v>
      </c>
      <c r="R996" t="s">
        <v>14</v>
      </c>
      <c r="T996">
        <v>10</v>
      </c>
      <c r="V996" t="s">
        <v>15</v>
      </c>
    </row>
    <row r="997" spans="1:22" x14ac:dyDescent="0.25">
      <c r="A997">
        <v>56</v>
      </c>
      <c r="B997" t="s">
        <v>92</v>
      </c>
      <c r="C997" t="s">
        <v>476</v>
      </c>
      <c r="E997" t="s">
        <v>476</v>
      </c>
      <c r="L997" t="s">
        <v>93</v>
      </c>
      <c r="M997">
        <v>30</v>
      </c>
      <c r="N997" t="s">
        <v>102</v>
      </c>
      <c r="Q997">
        <v>0.68200000000000005</v>
      </c>
      <c r="R997" t="s">
        <v>103</v>
      </c>
      <c r="T997">
        <v>10</v>
      </c>
      <c r="V997" t="s">
        <v>15</v>
      </c>
    </row>
    <row r="998" spans="1:22" x14ac:dyDescent="0.25">
      <c r="A998">
        <v>56</v>
      </c>
      <c r="B998" t="s">
        <v>92</v>
      </c>
      <c r="C998" t="s">
        <v>476</v>
      </c>
      <c r="E998" t="s">
        <v>476</v>
      </c>
      <c r="L998" t="s">
        <v>93</v>
      </c>
      <c r="M998">
        <v>40</v>
      </c>
      <c r="N998" t="s">
        <v>146</v>
      </c>
      <c r="Q998">
        <v>0.94</v>
      </c>
      <c r="R998" t="s">
        <v>11</v>
      </c>
      <c r="T998">
        <v>10</v>
      </c>
      <c r="V998" t="s">
        <v>18</v>
      </c>
    </row>
    <row r="999" spans="1:22" x14ac:dyDescent="0.25">
      <c r="A999">
        <v>56</v>
      </c>
      <c r="B999" t="s">
        <v>92</v>
      </c>
      <c r="C999" t="s">
        <v>476</v>
      </c>
      <c r="E999" t="s">
        <v>476</v>
      </c>
      <c r="L999" t="s">
        <v>93</v>
      </c>
      <c r="M999">
        <v>50</v>
      </c>
      <c r="N999" t="s">
        <v>139</v>
      </c>
      <c r="Q999">
        <v>0.94</v>
      </c>
      <c r="R999" t="s">
        <v>17</v>
      </c>
      <c r="T999">
        <v>10</v>
      </c>
      <c r="V999" t="s">
        <v>18</v>
      </c>
    </row>
    <row r="1000" spans="1:22" x14ac:dyDescent="0.25">
      <c r="A1000">
        <v>56</v>
      </c>
      <c r="B1000" t="s">
        <v>92</v>
      </c>
      <c r="C1000" t="s">
        <v>476</v>
      </c>
      <c r="E1000" t="s">
        <v>476</v>
      </c>
      <c r="L1000" t="s">
        <v>93</v>
      </c>
      <c r="M1000">
        <v>60</v>
      </c>
      <c r="N1000" t="s">
        <v>478</v>
      </c>
      <c r="Q1000">
        <v>1</v>
      </c>
      <c r="R1000" t="s">
        <v>11</v>
      </c>
      <c r="T1000">
        <v>10</v>
      </c>
      <c r="V1000" t="s">
        <v>18</v>
      </c>
    </row>
    <row r="1001" spans="1:22" x14ac:dyDescent="0.25">
      <c r="A1001">
        <v>56</v>
      </c>
      <c r="B1001" t="s">
        <v>92</v>
      </c>
      <c r="C1001" t="s">
        <v>476</v>
      </c>
      <c r="E1001" t="s">
        <v>476</v>
      </c>
      <c r="L1001" t="s">
        <v>93</v>
      </c>
      <c r="M1001">
        <v>70</v>
      </c>
      <c r="N1001" t="s">
        <v>148</v>
      </c>
      <c r="Q1001">
        <v>17.983000000000001</v>
      </c>
      <c r="R1001" t="s">
        <v>17</v>
      </c>
      <c r="T1001">
        <v>10</v>
      </c>
      <c r="V1001" t="s">
        <v>15</v>
      </c>
    </row>
    <row r="1002" spans="1:22" x14ac:dyDescent="0.25">
      <c r="A1002">
        <v>56</v>
      </c>
      <c r="B1002" t="s">
        <v>92</v>
      </c>
      <c r="C1002" t="s">
        <v>476</v>
      </c>
      <c r="E1002" t="s">
        <v>476</v>
      </c>
      <c r="L1002" t="s">
        <v>93</v>
      </c>
      <c r="M1002">
        <v>80</v>
      </c>
      <c r="N1002" t="s">
        <v>20</v>
      </c>
      <c r="Q1002">
        <v>147.46199999999999</v>
      </c>
      <c r="R1002" t="s">
        <v>17</v>
      </c>
      <c r="T1002">
        <v>10</v>
      </c>
      <c r="V1002" t="s">
        <v>15</v>
      </c>
    </row>
    <row r="1003" spans="1:22" x14ac:dyDescent="0.25">
      <c r="A1003">
        <v>56</v>
      </c>
      <c r="B1003" t="s">
        <v>92</v>
      </c>
      <c r="C1003" t="s">
        <v>476</v>
      </c>
      <c r="E1003" t="s">
        <v>476</v>
      </c>
      <c r="L1003" t="s">
        <v>93</v>
      </c>
      <c r="M1003">
        <v>90</v>
      </c>
      <c r="N1003" t="s">
        <v>24</v>
      </c>
      <c r="Q1003">
        <v>1</v>
      </c>
      <c r="R1003" t="s">
        <v>11</v>
      </c>
      <c r="T1003">
        <v>10</v>
      </c>
      <c r="V1003" t="s">
        <v>15</v>
      </c>
    </row>
    <row r="1004" spans="1:22" x14ac:dyDescent="0.25">
      <c r="A1004">
        <v>56</v>
      </c>
      <c r="B1004" t="s">
        <v>92</v>
      </c>
      <c r="C1004" t="s">
        <v>476</v>
      </c>
      <c r="E1004" t="s">
        <v>476</v>
      </c>
      <c r="L1004" t="s">
        <v>93</v>
      </c>
      <c r="M1004">
        <v>100</v>
      </c>
      <c r="N1004" t="s">
        <v>141</v>
      </c>
      <c r="Q1004">
        <v>8.5999999999999993E-2</v>
      </c>
      <c r="R1004" t="s">
        <v>14</v>
      </c>
      <c r="T1004">
        <v>10</v>
      </c>
      <c r="V1004" t="s">
        <v>15</v>
      </c>
    </row>
    <row r="1005" spans="1:22" x14ac:dyDescent="0.25">
      <c r="A1005">
        <v>56</v>
      </c>
      <c r="B1005" t="s">
        <v>92</v>
      </c>
      <c r="C1005" t="s">
        <v>476</v>
      </c>
      <c r="E1005" t="s">
        <v>476</v>
      </c>
      <c r="L1005" t="s">
        <v>93</v>
      </c>
      <c r="M1005">
        <v>110</v>
      </c>
      <c r="N1005" t="s">
        <v>140</v>
      </c>
      <c r="Q1005">
        <v>4</v>
      </c>
      <c r="R1005" t="s">
        <v>11</v>
      </c>
      <c r="T1005">
        <v>10</v>
      </c>
      <c r="V1005" t="s">
        <v>15</v>
      </c>
    </row>
    <row r="1006" spans="1:22" x14ac:dyDescent="0.25">
      <c r="A1006">
        <v>56</v>
      </c>
      <c r="B1006" t="s">
        <v>92</v>
      </c>
      <c r="C1006" t="s">
        <v>476</v>
      </c>
      <c r="E1006" t="s">
        <v>476</v>
      </c>
      <c r="L1006" t="s">
        <v>93</v>
      </c>
      <c r="M1006">
        <v>120</v>
      </c>
      <c r="N1006" t="s">
        <v>25</v>
      </c>
      <c r="Q1006">
        <v>1</v>
      </c>
      <c r="R1006" t="s">
        <v>11</v>
      </c>
      <c r="T1006">
        <v>10</v>
      </c>
      <c r="V1006" t="s">
        <v>15</v>
      </c>
    </row>
    <row r="1007" spans="1:22" x14ac:dyDescent="0.25">
      <c r="A1007">
        <v>56</v>
      </c>
      <c r="B1007" t="s">
        <v>92</v>
      </c>
      <c r="C1007" t="s">
        <v>476</v>
      </c>
      <c r="E1007" t="s">
        <v>476</v>
      </c>
      <c r="L1007" t="s">
        <v>93</v>
      </c>
      <c r="M1007">
        <v>130</v>
      </c>
      <c r="N1007" t="s">
        <v>26</v>
      </c>
      <c r="Q1007">
        <v>1</v>
      </c>
      <c r="R1007" t="s">
        <v>11</v>
      </c>
      <c r="T1007">
        <v>10</v>
      </c>
      <c r="V1007" t="s">
        <v>15</v>
      </c>
    </row>
    <row r="1008" spans="1:22" x14ac:dyDescent="0.25">
      <c r="A1008">
        <v>56</v>
      </c>
      <c r="B1008" t="s">
        <v>92</v>
      </c>
      <c r="C1008" t="s">
        <v>476</v>
      </c>
      <c r="E1008" t="s">
        <v>476</v>
      </c>
      <c r="L1008" t="s">
        <v>93</v>
      </c>
      <c r="M1008">
        <v>140</v>
      </c>
      <c r="N1008" t="s">
        <v>100</v>
      </c>
      <c r="Q1008">
        <v>1.1890000000000001</v>
      </c>
      <c r="R1008" t="s">
        <v>14</v>
      </c>
      <c r="T1008">
        <v>10</v>
      </c>
      <c r="V1008" t="s">
        <v>15</v>
      </c>
    </row>
    <row r="1009" spans="1:22" x14ac:dyDescent="0.25">
      <c r="A1009">
        <v>56</v>
      </c>
      <c r="B1009" t="s">
        <v>92</v>
      </c>
      <c r="C1009" t="s">
        <v>476</v>
      </c>
      <c r="E1009" t="s">
        <v>476</v>
      </c>
      <c r="L1009" t="s">
        <v>93</v>
      </c>
      <c r="M1009">
        <v>150</v>
      </c>
      <c r="N1009" t="s">
        <v>479</v>
      </c>
      <c r="Q1009">
        <v>1</v>
      </c>
      <c r="R1009" t="s">
        <v>11</v>
      </c>
      <c r="T1009">
        <v>10</v>
      </c>
      <c r="V1009" t="s">
        <v>18</v>
      </c>
    </row>
    <row r="1010" spans="1:22" x14ac:dyDescent="0.25">
      <c r="A1010">
        <v>56</v>
      </c>
      <c r="B1010" t="s">
        <v>92</v>
      </c>
      <c r="C1010" t="s">
        <v>476</v>
      </c>
      <c r="E1010" t="s">
        <v>476</v>
      </c>
      <c r="L1010" t="s">
        <v>93</v>
      </c>
      <c r="M1010">
        <v>160</v>
      </c>
      <c r="N1010" t="s">
        <v>480</v>
      </c>
      <c r="Q1010">
        <v>1</v>
      </c>
      <c r="R1010" t="s">
        <v>11</v>
      </c>
      <c r="T1010">
        <v>10</v>
      </c>
      <c r="V1010" t="s">
        <v>18</v>
      </c>
    </row>
    <row r="1011" spans="1:22" x14ac:dyDescent="0.25">
      <c r="A1011">
        <v>56</v>
      </c>
      <c r="B1011" t="s">
        <v>92</v>
      </c>
      <c r="C1011" t="s">
        <v>476</v>
      </c>
      <c r="E1011" t="s">
        <v>476</v>
      </c>
      <c r="L1011" t="s">
        <v>93</v>
      </c>
      <c r="M1011">
        <v>170</v>
      </c>
      <c r="N1011" t="s">
        <v>142</v>
      </c>
      <c r="Q1011">
        <v>5.9939999999999998</v>
      </c>
      <c r="R1011" t="s">
        <v>11</v>
      </c>
      <c r="T1011">
        <v>10</v>
      </c>
      <c r="V1011" t="s">
        <v>15</v>
      </c>
    </row>
    <row r="1012" spans="1:22" x14ac:dyDescent="0.25">
      <c r="A1012">
        <v>56</v>
      </c>
      <c r="B1012" t="s">
        <v>92</v>
      </c>
      <c r="C1012" t="s">
        <v>476</v>
      </c>
      <c r="E1012" t="s">
        <v>476</v>
      </c>
      <c r="L1012" t="s">
        <v>93</v>
      </c>
      <c r="M1012">
        <v>180</v>
      </c>
      <c r="N1012" t="s">
        <v>481</v>
      </c>
      <c r="Q1012">
        <v>1</v>
      </c>
      <c r="R1012" t="s">
        <v>11</v>
      </c>
      <c r="T1012">
        <v>10</v>
      </c>
      <c r="V1012" t="s">
        <v>18</v>
      </c>
    </row>
    <row r="1013" spans="1:22" x14ac:dyDescent="0.25">
      <c r="A1013">
        <v>57</v>
      </c>
      <c r="B1013" t="s">
        <v>92</v>
      </c>
      <c r="C1013" t="s">
        <v>482</v>
      </c>
      <c r="E1013" t="s">
        <v>482</v>
      </c>
      <c r="L1013" t="s">
        <v>93</v>
      </c>
      <c r="M1013">
        <v>10</v>
      </c>
      <c r="N1013" t="s">
        <v>483</v>
      </c>
      <c r="Q1013">
        <v>1</v>
      </c>
      <c r="R1013" t="s">
        <v>11</v>
      </c>
      <c r="T1013">
        <v>10</v>
      </c>
      <c r="V1013" t="s">
        <v>18</v>
      </c>
    </row>
    <row r="1014" spans="1:22" x14ac:dyDescent="0.25">
      <c r="A1014">
        <v>57</v>
      </c>
      <c r="B1014" t="s">
        <v>92</v>
      </c>
      <c r="C1014" t="s">
        <v>482</v>
      </c>
      <c r="E1014" t="s">
        <v>482</v>
      </c>
      <c r="L1014" t="s">
        <v>93</v>
      </c>
      <c r="M1014">
        <v>20</v>
      </c>
      <c r="N1014" t="s">
        <v>127</v>
      </c>
      <c r="Q1014">
        <v>2.9049999999999998</v>
      </c>
      <c r="R1014" t="s">
        <v>14</v>
      </c>
      <c r="T1014">
        <v>10</v>
      </c>
      <c r="V1014" t="s">
        <v>15</v>
      </c>
    </row>
    <row r="1015" spans="1:22" x14ac:dyDescent="0.25">
      <c r="A1015">
        <v>57</v>
      </c>
      <c r="B1015" t="s">
        <v>92</v>
      </c>
      <c r="C1015" t="s">
        <v>482</v>
      </c>
      <c r="E1015" t="s">
        <v>482</v>
      </c>
      <c r="L1015" t="s">
        <v>93</v>
      </c>
      <c r="M1015">
        <v>30</v>
      </c>
      <c r="N1015" t="s">
        <v>102</v>
      </c>
      <c r="Q1015">
        <v>0.79900000000000004</v>
      </c>
      <c r="R1015" t="s">
        <v>103</v>
      </c>
      <c r="T1015">
        <v>10</v>
      </c>
      <c r="V1015" t="s">
        <v>15</v>
      </c>
    </row>
    <row r="1016" spans="1:22" x14ac:dyDescent="0.25">
      <c r="A1016">
        <v>57</v>
      </c>
      <c r="B1016" t="s">
        <v>92</v>
      </c>
      <c r="C1016" t="s">
        <v>482</v>
      </c>
      <c r="E1016" t="s">
        <v>482</v>
      </c>
      <c r="L1016" t="s">
        <v>93</v>
      </c>
      <c r="M1016">
        <v>40</v>
      </c>
      <c r="N1016" t="s">
        <v>146</v>
      </c>
      <c r="Q1016">
        <v>1.0920000000000001</v>
      </c>
      <c r="R1016" t="s">
        <v>11</v>
      </c>
      <c r="T1016">
        <v>10</v>
      </c>
      <c r="V1016" t="s">
        <v>18</v>
      </c>
    </row>
    <row r="1017" spans="1:22" x14ac:dyDescent="0.25">
      <c r="A1017">
        <v>57</v>
      </c>
      <c r="B1017" t="s">
        <v>92</v>
      </c>
      <c r="C1017" t="s">
        <v>482</v>
      </c>
      <c r="E1017" t="s">
        <v>482</v>
      </c>
      <c r="L1017" t="s">
        <v>93</v>
      </c>
      <c r="M1017">
        <v>50</v>
      </c>
      <c r="N1017" t="s">
        <v>139</v>
      </c>
      <c r="Q1017">
        <v>1.0920000000000001</v>
      </c>
      <c r="R1017" t="s">
        <v>17</v>
      </c>
      <c r="T1017">
        <v>10</v>
      </c>
      <c r="V1017" t="s">
        <v>18</v>
      </c>
    </row>
    <row r="1018" spans="1:22" x14ac:dyDescent="0.25">
      <c r="A1018">
        <v>57</v>
      </c>
      <c r="B1018" t="s">
        <v>92</v>
      </c>
      <c r="C1018" t="s">
        <v>482</v>
      </c>
      <c r="E1018" t="s">
        <v>482</v>
      </c>
      <c r="L1018" t="s">
        <v>93</v>
      </c>
      <c r="M1018">
        <v>60</v>
      </c>
      <c r="N1018" t="s">
        <v>484</v>
      </c>
      <c r="Q1018">
        <v>1</v>
      </c>
      <c r="R1018" t="s">
        <v>11</v>
      </c>
      <c r="T1018">
        <v>10</v>
      </c>
      <c r="V1018" t="s">
        <v>18</v>
      </c>
    </row>
    <row r="1019" spans="1:22" x14ac:dyDescent="0.25">
      <c r="A1019">
        <v>57</v>
      </c>
      <c r="B1019" t="s">
        <v>92</v>
      </c>
      <c r="C1019" t="s">
        <v>482</v>
      </c>
      <c r="E1019" t="s">
        <v>482</v>
      </c>
      <c r="L1019" t="s">
        <v>93</v>
      </c>
      <c r="M1019">
        <v>70</v>
      </c>
      <c r="N1019" t="s">
        <v>148</v>
      </c>
      <c r="Q1019">
        <v>18.898</v>
      </c>
      <c r="R1019" t="s">
        <v>17</v>
      </c>
      <c r="T1019">
        <v>10</v>
      </c>
      <c r="V1019" t="s">
        <v>15</v>
      </c>
    </row>
    <row r="1020" spans="1:22" x14ac:dyDescent="0.25">
      <c r="A1020">
        <v>57</v>
      </c>
      <c r="B1020" t="s">
        <v>92</v>
      </c>
      <c r="C1020" t="s">
        <v>482</v>
      </c>
      <c r="E1020" t="s">
        <v>482</v>
      </c>
      <c r="L1020" t="s">
        <v>93</v>
      </c>
      <c r="M1020">
        <v>80</v>
      </c>
      <c r="N1020" t="s">
        <v>20</v>
      </c>
      <c r="Q1020">
        <v>154.96</v>
      </c>
      <c r="R1020" t="s">
        <v>17</v>
      </c>
      <c r="T1020">
        <v>10</v>
      </c>
      <c r="V1020" t="s">
        <v>15</v>
      </c>
    </row>
    <row r="1021" spans="1:22" x14ac:dyDescent="0.25">
      <c r="A1021">
        <v>57</v>
      </c>
      <c r="B1021" t="s">
        <v>92</v>
      </c>
      <c r="C1021" t="s">
        <v>482</v>
      </c>
      <c r="E1021" t="s">
        <v>482</v>
      </c>
      <c r="L1021" t="s">
        <v>93</v>
      </c>
      <c r="M1021">
        <v>90</v>
      </c>
      <c r="N1021" t="s">
        <v>24</v>
      </c>
      <c r="Q1021">
        <v>1</v>
      </c>
      <c r="R1021" t="s">
        <v>11</v>
      </c>
      <c r="T1021">
        <v>10</v>
      </c>
      <c r="V1021" t="s">
        <v>15</v>
      </c>
    </row>
    <row r="1022" spans="1:22" x14ac:dyDescent="0.25">
      <c r="A1022">
        <v>57</v>
      </c>
      <c r="B1022" t="s">
        <v>92</v>
      </c>
      <c r="C1022" t="s">
        <v>482</v>
      </c>
      <c r="E1022" t="s">
        <v>482</v>
      </c>
      <c r="L1022" t="s">
        <v>93</v>
      </c>
      <c r="M1022">
        <v>100</v>
      </c>
      <c r="N1022" t="s">
        <v>141</v>
      </c>
      <c r="Q1022">
        <v>9.7000000000000003E-2</v>
      </c>
      <c r="R1022" t="s">
        <v>14</v>
      </c>
      <c r="T1022">
        <v>10</v>
      </c>
      <c r="V1022" t="s">
        <v>15</v>
      </c>
    </row>
    <row r="1023" spans="1:22" x14ac:dyDescent="0.25">
      <c r="A1023">
        <v>57</v>
      </c>
      <c r="B1023" t="s">
        <v>92</v>
      </c>
      <c r="C1023" t="s">
        <v>482</v>
      </c>
      <c r="E1023" t="s">
        <v>482</v>
      </c>
      <c r="L1023" t="s">
        <v>93</v>
      </c>
      <c r="M1023">
        <v>110</v>
      </c>
      <c r="N1023" t="s">
        <v>140</v>
      </c>
      <c r="Q1023">
        <v>4</v>
      </c>
      <c r="R1023" t="s">
        <v>11</v>
      </c>
      <c r="T1023">
        <v>10</v>
      </c>
      <c r="V1023" t="s">
        <v>15</v>
      </c>
    </row>
    <row r="1024" spans="1:22" x14ac:dyDescent="0.25">
      <c r="A1024">
        <v>57</v>
      </c>
      <c r="B1024" t="s">
        <v>92</v>
      </c>
      <c r="C1024" t="s">
        <v>482</v>
      </c>
      <c r="E1024" t="s">
        <v>482</v>
      </c>
      <c r="L1024" t="s">
        <v>93</v>
      </c>
      <c r="M1024">
        <v>120</v>
      </c>
      <c r="N1024" t="s">
        <v>25</v>
      </c>
      <c r="Q1024">
        <v>1</v>
      </c>
      <c r="R1024" t="s">
        <v>11</v>
      </c>
      <c r="T1024">
        <v>10</v>
      </c>
      <c r="V1024" t="s">
        <v>15</v>
      </c>
    </row>
    <row r="1025" spans="1:22" x14ac:dyDescent="0.25">
      <c r="A1025">
        <v>57</v>
      </c>
      <c r="B1025" t="s">
        <v>92</v>
      </c>
      <c r="C1025" t="s">
        <v>482</v>
      </c>
      <c r="E1025" t="s">
        <v>482</v>
      </c>
      <c r="L1025" t="s">
        <v>93</v>
      </c>
      <c r="M1025">
        <v>130</v>
      </c>
      <c r="N1025" t="s">
        <v>26</v>
      </c>
      <c r="Q1025">
        <v>1</v>
      </c>
      <c r="R1025" t="s">
        <v>11</v>
      </c>
      <c r="T1025">
        <v>10</v>
      </c>
      <c r="V1025" t="s">
        <v>15</v>
      </c>
    </row>
    <row r="1026" spans="1:22" x14ac:dyDescent="0.25">
      <c r="A1026">
        <v>57</v>
      </c>
      <c r="B1026" t="s">
        <v>92</v>
      </c>
      <c r="C1026" t="s">
        <v>482</v>
      </c>
      <c r="E1026" t="s">
        <v>482</v>
      </c>
      <c r="L1026" t="s">
        <v>93</v>
      </c>
      <c r="M1026">
        <v>140</v>
      </c>
      <c r="N1026" t="s">
        <v>100</v>
      </c>
      <c r="Q1026">
        <v>1.1890000000000001</v>
      </c>
      <c r="R1026" t="s">
        <v>14</v>
      </c>
      <c r="T1026">
        <v>10</v>
      </c>
      <c r="V1026" t="s">
        <v>15</v>
      </c>
    </row>
    <row r="1027" spans="1:22" x14ac:dyDescent="0.25">
      <c r="A1027">
        <v>57</v>
      </c>
      <c r="B1027" t="s">
        <v>92</v>
      </c>
      <c r="C1027" t="s">
        <v>482</v>
      </c>
      <c r="E1027" t="s">
        <v>482</v>
      </c>
      <c r="L1027" t="s">
        <v>93</v>
      </c>
      <c r="M1027">
        <v>150</v>
      </c>
      <c r="N1027" t="s">
        <v>485</v>
      </c>
      <c r="Q1027">
        <v>1</v>
      </c>
      <c r="R1027" t="s">
        <v>11</v>
      </c>
      <c r="T1027">
        <v>10</v>
      </c>
      <c r="V1027" t="s">
        <v>18</v>
      </c>
    </row>
    <row r="1028" spans="1:22" x14ac:dyDescent="0.25">
      <c r="A1028">
        <v>57</v>
      </c>
      <c r="B1028" t="s">
        <v>92</v>
      </c>
      <c r="C1028" t="s">
        <v>482</v>
      </c>
      <c r="E1028" t="s">
        <v>482</v>
      </c>
      <c r="L1028" t="s">
        <v>93</v>
      </c>
      <c r="M1028">
        <v>160</v>
      </c>
      <c r="N1028" t="s">
        <v>486</v>
      </c>
      <c r="Q1028">
        <v>1</v>
      </c>
      <c r="R1028" t="s">
        <v>11</v>
      </c>
      <c r="T1028">
        <v>10</v>
      </c>
      <c r="V1028" t="s">
        <v>18</v>
      </c>
    </row>
    <row r="1029" spans="1:22" x14ac:dyDescent="0.25">
      <c r="A1029">
        <v>57</v>
      </c>
      <c r="B1029" t="s">
        <v>92</v>
      </c>
      <c r="C1029" t="s">
        <v>482</v>
      </c>
      <c r="E1029" t="s">
        <v>482</v>
      </c>
      <c r="L1029" t="s">
        <v>93</v>
      </c>
      <c r="M1029">
        <v>170</v>
      </c>
      <c r="N1029" t="s">
        <v>142</v>
      </c>
      <c r="Q1029">
        <v>6.2990000000000004</v>
      </c>
      <c r="R1029" t="s">
        <v>11</v>
      </c>
      <c r="T1029">
        <v>10</v>
      </c>
      <c r="V1029" t="s">
        <v>15</v>
      </c>
    </row>
    <row r="1030" spans="1:22" x14ac:dyDescent="0.25">
      <c r="A1030">
        <v>57</v>
      </c>
      <c r="B1030" t="s">
        <v>92</v>
      </c>
      <c r="C1030" t="s">
        <v>482</v>
      </c>
      <c r="E1030" t="s">
        <v>482</v>
      </c>
      <c r="L1030" t="s">
        <v>93</v>
      </c>
      <c r="M1030">
        <v>180</v>
      </c>
      <c r="N1030" t="s">
        <v>487</v>
      </c>
      <c r="Q1030">
        <v>1</v>
      </c>
      <c r="R1030" t="s">
        <v>11</v>
      </c>
      <c r="T1030">
        <v>10</v>
      </c>
      <c r="V1030" t="s">
        <v>18</v>
      </c>
    </row>
    <row r="1031" spans="1:22" x14ac:dyDescent="0.25">
      <c r="A1031">
        <v>58</v>
      </c>
      <c r="B1031" t="s">
        <v>92</v>
      </c>
      <c r="C1031" t="s">
        <v>488</v>
      </c>
      <c r="E1031" t="s">
        <v>488</v>
      </c>
      <c r="L1031" t="s">
        <v>93</v>
      </c>
      <c r="M1031">
        <v>10</v>
      </c>
      <c r="N1031" t="s">
        <v>489</v>
      </c>
      <c r="Q1031">
        <v>1</v>
      </c>
      <c r="R1031" t="s">
        <v>11</v>
      </c>
      <c r="T1031">
        <v>10</v>
      </c>
      <c r="V1031" t="s">
        <v>18</v>
      </c>
    </row>
    <row r="1032" spans="1:22" x14ac:dyDescent="0.25">
      <c r="A1032">
        <v>58</v>
      </c>
      <c r="B1032" t="s">
        <v>92</v>
      </c>
      <c r="C1032" t="s">
        <v>488</v>
      </c>
      <c r="E1032" t="s">
        <v>488</v>
      </c>
      <c r="L1032" t="s">
        <v>93</v>
      </c>
      <c r="M1032">
        <v>20</v>
      </c>
      <c r="N1032" t="s">
        <v>128</v>
      </c>
      <c r="Q1032">
        <v>3.3250000000000002</v>
      </c>
      <c r="R1032" t="s">
        <v>14</v>
      </c>
      <c r="T1032">
        <v>10</v>
      </c>
      <c r="V1032" t="s">
        <v>15</v>
      </c>
    </row>
    <row r="1033" spans="1:22" x14ac:dyDescent="0.25">
      <c r="A1033">
        <v>58</v>
      </c>
      <c r="B1033" t="s">
        <v>92</v>
      </c>
      <c r="C1033" t="s">
        <v>488</v>
      </c>
      <c r="E1033" t="s">
        <v>488</v>
      </c>
      <c r="L1033" t="s">
        <v>93</v>
      </c>
      <c r="M1033">
        <v>30</v>
      </c>
      <c r="N1033" t="s">
        <v>102</v>
      </c>
      <c r="Q1033">
        <v>0.91600000000000004</v>
      </c>
      <c r="R1033" t="s">
        <v>103</v>
      </c>
      <c r="T1033">
        <v>10</v>
      </c>
      <c r="V1033" t="s">
        <v>15</v>
      </c>
    </row>
    <row r="1034" spans="1:22" x14ac:dyDescent="0.25">
      <c r="A1034">
        <v>58</v>
      </c>
      <c r="B1034" t="s">
        <v>92</v>
      </c>
      <c r="C1034" t="s">
        <v>488</v>
      </c>
      <c r="E1034" t="s">
        <v>488</v>
      </c>
      <c r="L1034" t="s">
        <v>93</v>
      </c>
      <c r="M1034">
        <v>40</v>
      </c>
      <c r="N1034" t="s">
        <v>146</v>
      </c>
      <c r="Q1034">
        <v>1.2450000000000001</v>
      </c>
      <c r="R1034" t="s">
        <v>11</v>
      </c>
      <c r="T1034">
        <v>10</v>
      </c>
      <c r="V1034" t="s">
        <v>18</v>
      </c>
    </row>
    <row r="1035" spans="1:22" x14ac:dyDescent="0.25">
      <c r="A1035">
        <v>58</v>
      </c>
      <c r="B1035" t="s">
        <v>92</v>
      </c>
      <c r="C1035" t="s">
        <v>488</v>
      </c>
      <c r="E1035" t="s">
        <v>488</v>
      </c>
      <c r="L1035" t="s">
        <v>93</v>
      </c>
      <c r="M1035">
        <v>50</v>
      </c>
      <c r="N1035" t="s">
        <v>139</v>
      </c>
      <c r="Q1035">
        <v>1.2450000000000001</v>
      </c>
      <c r="R1035" t="s">
        <v>17</v>
      </c>
      <c r="T1035">
        <v>10</v>
      </c>
      <c r="V1035" t="s">
        <v>18</v>
      </c>
    </row>
    <row r="1036" spans="1:22" x14ac:dyDescent="0.25">
      <c r="A1036">
        <v>58</v>
      </c>
      <c r="B1036" t="s">
        <v>92</v>
      </c>
      <c r="C1036" t="s">
        <v>488</v>
      </c>
      <c r="E1036" t="s">
        <v>488</v>
      </c>
      <c r="L1036" t="s">
        <v>93</v>
      </c>
      <c r="M1036">
        <v>60</v>
      </c>
      <c r="N1036" t="s">
        <v>490</v>
      </c>
      <c r="Q1036">
        <v>1</v>
      </c>
      <c r="R1036" t="s">
        <v>11</v>
      </c>
      <c r="T1036">
        <v>10</v>
      </c>
      <c r="V1036" t="s">
        <v>18</v>
      </c>
    </row>
    <row r="1037" spans="1:22" x14ac:dyDescent="0.25">
      <c r="A1037">
        <v>58</v>
      </c>
      <c r="B1037" t="s">
        <v>92</v>
      </c>
      <c r="C1037" t="s">
        <v>488</v>
      </c>
      <c r="E1037" t="s">
        <v>488</v>
      </c>
      <c r="L1037" t="s">
        <v>93</v>
      </c>
      <c r="M1037">
        <v>70</v>
      </c>
      <c r="N1037" t="s">
        <v>148</v>
      </c>
      <c r="Q1037">
        <v>19.812000000000001</v>
      </c>
      <c r="R1037" t="s">
        <v>17</v>
      </c>
      <c r="T1037">
        <v>10</v>
      </c>
      <c r="V1037" t="s">
        <v>15</v>
      </c>
    </row>
    <row r="1038" spans="1:22" x14ac:dyDescent="0.25">
      <c r="A1038">
        <v>58</v>
      </c>
      <c r="B1038" t="s">
        <v>92</v>
      </c>
      <c r="C1038" t="s">
        <v>488</v>
      </c>
      <c r="E1038" t="s">
        <v>488</v>
      </c>
      <c r="L1038" t="s">
        <v>93</v>
      </c>
      <c r="M1038">
        <v>80</v>
      </c>
      <c r="N1038" t="s">
        <v>20</v>
      </c>
      <c r="Q1038">
        <v>162.458</v>
      </c>
      <c r="R1038" t="s">
        <v>17</v>
      </c>
      <c r="T1038">
        <v>10</v>
      </c>
      <c r="V1038" t="s">
        <v>15</v>
      </c>
    </row>
    <row r="1039" spans="1:22" x14ac:dyDescent="0.25">
      <c r="A1039">
        <v>58</v>
      </c>
      <c r="B1039" t="s">
        <v>92</v>
      </c>
      <c r="C1039" t="s">
        <v>488</v>
      </c>
      <c r="E1039" t="s">
        <v>488</v>
      </c>
      <c r="L1039" t="s">
        <v>93</v>
      </c>
      <c r="M1039">
        <v>90</v>
      </c>
      <c r="N1039" t="s">
        <v>24</v>
      </c>
      <c r="Q1039">
        <v>1</v>
      </c>
      <c r="R1039" t="s">
        <v>11</v>
      </c>
      <c r="T1039">
        <v>10</v>
      </c>
      <c r="V1039" t="s">
        <v>15</v>
      </c>
    </row>
    <row r="1040" spans="1:22" x14ac:dyDescent="0.25">
      <c r="A1040">
        <v>58</v>
      </c>
      <c r="B1040" t="s">
        <v>92</v>
      </c>
      <c r="C1040" t="s">
        <v>488</v>
      </c>
      <c r="E1040" t="s">
        <v>488</v>
      </c>
      <c r="L1040" t="s">
        <v>93</v>
      </c>
      <c r="M1040">
        <v>100</v>
      </c>
      <c r="N1040" t="s">
        <v>141</v>
      </c>
      <c r="Q1040">
        <v>0.107</v>
      </c>
      <c r="R1040" t="s">
        <v>14</v>
      </c>
      <c r="T1040">
        <v>10</v>
      </c>
      <c r="V1040" t="s">
        <v>15</v>
      </c>
    </row>
    <row r="1041" spans="1:22" x14ac:dyDescent="0.25">
      <c r="A1041">
        <v>58</v>
      </c>
      <c r="B1041" t="s">
        <v>92</v>
      </c>
      <c r="C1041" t="s">
        <v>488</v>
      </c>
      <c r="E1041" t="s">
        <v>488</v>
      </c>
      <c r="L1041" t="s">
        <v>93</v>
      </c>
      <c r="M1041">
        <v>110</v>
      </c>
      <c r="N1041" t="s">
        <v>140</v>
      </c>
      <c r="Q1041">
        <v>4</v>
      </c>
      <c r="R1041" t="s">
        <v>11</v>
      </c>
      <c r="T1041">
        <v>10</v>
      </c>
      <c r="V1041" t="s">
        <v>15</v>
      </c>
    </row>
    <row r="1042" spans="1:22" x14ac:dyDescent="0.25">
      <c r="A1042">
        <v>58</v>
      </c>
      <c r="B1042" t="s">
        <v>92</v>
      </c>
      <c r="C1042" t="s">
        <v>488</v>
      </c>
      <c r="E1042" t="s">
        <v>488</v>
      </c>
      <c r="L1042" t="s">
        <v>93</v>
      </c>
      <c r="M1042">
        <v>120</v>
      </c>
      <c r="N1042" t="s">
        <v>25</v>
      </c>
      <c r="Q1042">
        <v>1</v>
      </c>
      <c r="R1042" t="s">
        <v>11</v>
      </c>
      <c r="T1042">
        <v>10</v>
      </c>
      <c r="V1042" t="s">
        <v>15</v>
      </c>
    </row>
    <row r="1043" spans="1:22" x14ac:dyDescent="0.25">
      <c r="A1043">
        <v>58</v>
      </c>
      <c r="B1043" t="s">
        <v>92</v>
      </c>
      <c r="C1043" t="s">
        <v>488</v>
      </c>
      <c r="E1043" t="s">
        <v>488</v>
      </c>
      <c r="L1043" t="s">
        <v>93</v>
      </c>
      <c r="M1043">
        <v>130</v>
      </c>
      <c r="N1043" t="s">
        <v>26</v>
      </c>
      <c r="Q1043">
        <v>1</v>
      </c>
      <c r="R1043" t="s">
        <v>11</v>
      </c>
      <c r="T1043">
        <v>10</v>
      </c>
      <c r="V1043" t="s">
        <v>15</v>
      </c>
    </row>
    <row r="1044" spans="1:22" x14ac:dyDescent="0.25">
      <c r="A1044">
        <v>58</v>
      </c>
      <c r="B1044" t="s">
        <v>92</v>
      </c>
      <c r="C1044" t="s">
        <v>488</v>
      </c>
      <c r="E1044" t="s">
        <v>488</v>
      </c>
      <c r="L1044" t="s">
        <v>93</v>
      </c>
      <c r="M1044">
        <v>140</v>
      </c>
      <c r="N1044" t="s">
        <v>100</v>
      </c>
      <c r="Q1044">
        <v>1.1890000000000001</v>
      </c>
      <c r="R1044" t="s">
        <v>14</v>
      </c>
      <c r="T1044">
        <v>10</v>
      </c>
      <c r="V1044" t="s">
        <v>15</v>
      </c>
    </row>
    <row r="1045" spans="1:22" x14ac:dyDescent="0.25">
      <c r="A1045">
        <v>58</v>
      </c>
      <c r="B1045" t="s">
        <v>92</v>
      </c>
      <c r="C1045" t="s">
        <v>488</v>
      </c>
      <c r="E1045" t="s">
        <v>488</v>
      </c>
      <c r="L1045" t="s">
        <v>93</v>
      </c>
      <c r="M1045">
        <v>150</v>
      </c>
      <c r="N1045" t="s">
        <v>491</v>
      </c>
      <c r="Q1045">
        <v>1</v>
      </c>
      <c r="R1045" t="s">
        <v>11</v>
      </c>
      <c r="T1045">
        <v>10</v>
      </c>
      <c r="V1045" t="s">
        <v>18</v>
      </c>
    </row>
    <row r="1046" spans="1:22" x14ac:dyDescent="0.25">
      <c r="A1046">
        <v>58</v>
      </c>
      <c r="B1046" t="s">
        <v>92</v>
      </c>
      <c r="C1046" t="s">
        <v>488</v>
      </c>
      <c r="E1046" t="s">
        <v>488</v>
      </c>
      <c r="L1046" t="s">
        <v>93</v>
      </c>
      <c r="M1046">
        <v>160</v>
      </c>
      <c r="N1046" t="s">
        <v>492</v>
      </c>
      <c r="Q1046">
        <v>1</v>
      </c>
      <c r="R1046" t="s">
        <v>11</v>
      </c>
      <c r="T1046">
        <v>10</v>
      </c>
      <c r="V1046" t="s">
        <v>18</v>
      </c>
    </row>
    <row r="1047" spans="1:22" x14ac:dyDescent="0.25">
      <c r="A1047">
        <v>58</v>
      </c>
      <c r="B1047" t="s">
        <v>92</v>
      </c>
      <c r="C1047" t="s">
        <v>488</v>
      </c>
      <c r="E1047" t="s">
        <v>488</v>
      </c>
      <c r="L1047" t="s">
        <v>93</v>
      </c>
      <c r="M1047">
        <v>170</v>
      </c>
      <c r="N1047" t="s">
        <v>142</v>
      </c>
      <c r="Q1047">
        <v>6.6040000000000001</v>
      </c>
      <c r="R1047" t="s">
        <v>11</v>
      </c>
      <c r="T1047">
        <v>10</v>
      </c>
      <c r="V1047" t="s">
        <v>15</v>
      </c>
    </row>
    <row r="1048" spans="1:22" x14ac:dyDescent="0.25">
      <c r="A1048">
        <v>58</v>
      </c>
      <c r="B1048" t="s">
        <v>92</v>
      </c>
      <c r="C1048" t="s">
        <v>488</v>
      </c>
      <c r="E1048" t="s">
        <v>488</v>
      </c>
      <c r="L1048" t="s">
        <v>93</v>
      </c>
      <c r="M1048">
        <v>180</v>
      </c>
      <c r="N1048" t="s">
        <v>493</v>
      </c>
      <c r="Q1048">
        <v>1</v>
      </c>
      <c r="R1048" t="s">
        <v>11</v>
      </c>
      <c r="T1048">
        <v>10</v>
      </c>
      <c r="V1048" t="s">
        <v>18</v>
      </c>
    </row>
    <row r="1049" spans="1:22" x14ac:dyDescent="0.25">
      <c r="A1049">
        <v>59</v>
      </c>
      <c r="B1049" t="s">
        <v>92</v>
      </c>
      <c r="C1049" t="s">
        <v>494</v>
      </c>
      <c r="E1049" t="s">
        <v>494</v>
      </c>
      <c r="L1049" t="s">
        <v>93</v>
      </c>
      <c r="M1049">
        <v>10</v>
      </c>
      <c r="N1049" t="s">
        <v>495</v>
      </c>
      <c r="Q1049">
        <v>1</v>
      </c>
      <c r="R1049" t="s">
        <v>11</v>
      </c>
      <c r="T1049">
        <v>10</v>
      </c>
      <c r="V1049" t="s">
        <v>18</v>
      </c>
    </row>
    <row r="1050" spans="1:22" x14ac:dyDescent="0.25">
      <c r="A1050">
        <v>59</v>
      </c>
      <c r="B1050" t="s">
        <v>92</v>
      </c>
      <c r="C1050" t="s">
        <v>494</v>
      </c>
      <c r="E1050" t="s">
        <v>494</v>
      </c>
      <c r="L1050" t="s">
        <v>93</v>
      </c>
      <c r="M1050">
        <v>20</v>
      </c>
      <c r="N1050" t="s">
        <v>129</v>
      </c>
      <c r="Q1050">
        <v>4.165</v>
      </c>
      <c r="R1050" t="s">
        <v>14</v>
      </c>
      <c r="T1050">
        <v>10</v>
      </c>
      <c r="V1050" t="s">
        <v>15</v>
      </c>
    </row>
    <row r="1051" spans="1:22" x14ac:dyDescent="0.25">
      <c r="A1051">
        <v>59</v>
      </c>
      <c r="B1051" t="s">
        <v>92</v>
      </c>
      <c r="C1051" t="s">
        <v>494</v>
      </c>
      <c r="E1051" t="s">
        <v>494</v>
      </c>
      <c r="L1051" t="s">
        <v>93</v>
      </c>
      <c r="M1051">
        <v>30</v>
      </c>
      <c r="N1051" t="s">
        <v>102</v>
      </c>
      <c r="Q1051">
        <v>1.1499999999999999</v>
      </c>
      <c r="R1051" t="s">
        <v>103</v>
      </c>
      <c r="T1051">
        <v>10</v>
      </c>
      <c r="V1051" t="s">
        <v>15</v>
      </c>
    </row>
    <row r="1052" spans="1:22" x14ac:dyDescent="0.25">
      <c r="A1052">
        <v>59</v>
      </c>
      <c r="B1052" t="s">
        <v>92</v>
      </c>
      <c r="C1052" t="s">
        <v>494</v>
      </c>
      <c r="E1052" t="s">
        <v>494</v>
      </c>
      <c r="L1052" t="s">
        <v>93</v>
      </c>
      <c r="M1052">
        <v>40</v>
      </c>
      <c r="N1052" t="s">
        <v>146</v>
      </c>
      <c r="Q1052">
        <v>1.5489999999999999</v>
      </c>
      <c r="R1052" t="s">
        <v>11</v>
      </c>
      <c r="T1052">
        <v>10</v>
      </c>
      <c r="V1052" t="s">
        <v>18</v>
      </c>
    </row>
    <row r="1053" spans="1:22" x14ac:dyDescent="0.25">
      <c r="A1053">
        <v>59</v>
      </c>
      <c r="B1053" t="s">
        <v>92</v>
      </c>
      <c r="C1053" t="s">
        <v>494</v>
      </c>
      <c r="E1053" t="s">
        <v>494</v>
      </c>
      <c r="L1053" t="s">
        <v>93</v>
      </c>
      <c r="M1053">
        <v>50</v>
      </c>
      <c r="N1053" t="s">
        <v>139</v>
      </c>
      <c r="Q1053">
        <v>1.5489999999999999</v>
      </c>
      <c r="R1053" t="s">
        <v>17</v>
      </c>
      <c r="T1053">
        <v>10</v>
      </c>
      <c r="V1053" t="s">
        <v>18</v>
      </c>
    </row>
    <row r="1054" spans="1:22" x14ac:dyDescent="0.25">
      <c r="A1054">
        <v>59</v>
      </c>
      <c r="B1054" t="s">
        <v>92</v>
      </c>
      <c r="C1054" t="s">
        <v>494</v>
      </c>
      <c r="E1054" t="s">
        <v>494</v>
      </c>
      <c r="L1054" t="s">
        <v>93</v>
      </c>
      <c r="M1054">
        <v>60</v>
      </c>
      <c r="N1054" t="s">
        <v>496</v>
      </c>
      <c r="Q1054">
        <v>1</v>
      </c>
      <c r="R1054" t="s">
        <v>11</v>
      </c>
      <c r="T1054">
        <v>10</v>
      </c>
      <c r="V1054" t="s">
        <v>18</v>
      </c>
    </row>
    <row r="1055" spans="1:22" x14ac:dyDescent="0.25">
      <c r="A1055">
        <v>59</v>
      </c>
      <c r="B1055" t="s">
        <v>92</v>
      </c>
      <c r="C1055" t="s">
        <v>494</v>
      </c>
      <c r="E1055" t="s">
        <v>494</v>
      </c>
      <c r="L1055" t="s">
        <v>93</v>
      </c>
      <c r="M1055">
        <v>70</v>
      </c>
      <c r="N1055" t="s">
        <v>148</v>
      </c>
      <c r="Q1055">
        <v>21.640999999999998</v>
      </c>
      <c r="R1055" t="s">
        <v>17</v>
      </c>
      <c r="T1055">
        <v>10</v>
      </c>
      <c r="V1055" t="s">
        <v>15</v>
      </c>
    </row>
    <row r="1056" spans="1:22" x14ac:dyDescent="0.25">
      <c r="A1056">
        <v>59</v>
      </c>
      <c r="B1056" t="s">
        <v>92</v>
      </c>
      <c r="C1056" t="s">
        <v>494</v>
      </c>
      <c r="E1056" t="s">
        <v>494</v>
      </c>
      <c r="L1056" t="s">
        <v>93</v>
      </c>
      <c r="M1056">
        <v>80</v>
      </c>
      <c r="N1056" t="s">
        <v>20</v>
      </c>
      <c r="Q1056">
        <v>177.45500000000001</v>
      </c>
      <c r="R1056" t="s">
        <v>17</v>
      </c>
      <c r="T1056">
        <v>10</v>
      </c>
      <c r="V1056" t="s">
        <v>15</v>
      </c>
    </row>
    <row r="1057" spans="1:22" x14ac:dyDescent="0.25">
      <c r="A1057">
        <v>59</v>
      </c>
      <c r="B1057" t="s">
        <v>92</v>
      </c>
      <c r="C1057" t="s">
        <v>494</v>
      </c>
      <c r="E1057" t="s">
        <v>494</v>
      </c>
      <c r="L1057" t="s">
        <v>93</v>
      </c>
      <c r="M1057">
        <v>90</v>
      </c>
      <c r="N1057" t="s">
        <v>24</v>
      </c>
      <c r="Q1057">
        <v>1</v>
      </c>
      <c r="R1057" t="s">
        <v>11</v>
      </c>
      <c r="T1057">
        <v>10</v>
      </c>
      <c r="V1057" t="s">
        <v>15</v>
      </c>
    </row>
    <row r="1058" spans="1:22" x14ac:dyDescent="0.25">
      <c r="A1058">
        <v>59</v>
      </c>
      <c r="B1058" t="s">
        <v>92</v>
      </c>
      <c r="C1058" t="s">
        <v>494</v>
      </c>
      <c r="E1058" t="s">
        <v>494</v>
      </c>
      <c r="L1058" t="s">
        <v>93</v>
      </c>
      <c r="M1058">
        <v>100</v>
      </c>
      <c r="N1058" t="s">
        <v>141</v>
      </c>
      <c r="Q1058">
        <v>0.128</v>
      </c>
      <c r="R1058" t="s">
        <v>14</v>
      </c>
      <c r="T1058">
        <v>10</v>
      </c>
      <c r="V1058" t="s">
        <v>15</v>
      </c>
    </row>
    <row r="1059" spans="1:22" x14ac:dyDescent="0.25">
      <c r="A1059">
        <v>59</v>
      </c>
      <c r="B1059" t="s">
        <v>92</v>
      </c>
      <c r="C1059" t="s">
        <v>494</v>
      </c>
      <c r="E1059" t="s">
        <v>494</v>
      </c>
      <c r="L1059" t="s">
        <v>93</v>
      </c>
      <c r="M1059">
        <v>110</v>
      </c>
      <c r="N1059" t="s">
        <v>140</v>
      </c>
      <c r="Q1059">
        <v>4</v>
      </c>
      <c r="R1059" t="s">
        <v>11</v>
      </c>
      <c r="T1059">
        <v>10</v>
      </c>
      <c r="V1059" t="s">
        <v>15</v>
      </c>
    </row>
    <row r="1060" spans="1:22" x14ac:dyDescent="0.25">
      <c r="A1060">
        <v>59</v>
      </c>
      <c r="B1060" t="s">
        <v>92</v>
      </c>
      <c r="C1060" t="s">
        <v>494</v>
      </c>
      <c r="E1060" t="s">
        <v>494</v>
      </c>
      <c r="L1060" t="s">
        <v>93</v>
      </c>
      <c r="M1060">
        <v>120</v>
      </c>
      <c r="N1060" t="s">
        <v>25</v>
      </c>
      <c r="Q1060">
        <v>1</v>
      </c>
      <c r="R1060" t="s">
        <v>11</v>
      </c>
      <c r="T1060">
        <v>10</v>
      </c>
      <c r="V1060" t="s">
        <v>15</v>
      </c>
    </row>
    <row r="1061" spans="1:22" x14ac:dyDescent="0.25">
      <c r="A1061">
        <v>59</v>
      </c>
      <c r="B1061" t="s">
        <v>92</v>
      </c>
      <c r="C1061" t="s">
        <v>494</v>
      </c>
      <c r="E1061" t="s">
        <v>494</v>
      </c>
      <c r="L1061" t="s">
        <v>93</v>
      </c>
      <c r="M1061">
        <v>130</v>
      </c>
      <c r="N1061" t="s">
        <v>26</v>
      </c>
      <c r="Q1061">
        <v>1</v>
      </c>
      <c r="R1061" t="s">
        <v>11</v>
      </c>
      <c r="T1061">
        <v>10</v>
      </c>
      <c r="V1061" t="s">
        <v>15</v>
      </c>
    </row>
    <row r="1062" spans="1:22" x14ac:dyDescent="0.25">
      <c r="A1062">
        <v>59</v>
      </c>
      <c r="B1062" t="s">
        <v>92</v>
      </c>
      <c r="C1062" t="s">
        <v>494</v>
      </c>
      <c r="E1062" t="s">
        <v>494</v>
      </c>
      <c r="L1062" t="s">
        <v>93</v>
      </c>
      <c r="M1062">
        <v>140</v>
      </c>
      <c r="N1062" t="s">
        <v>100</v>
      </c>
      <c r="Q1062">
        <v>1.1890000000000001</v>
      </c>
      <c r="R1062" t="s">
        <v>14</v>
      </c>
      <c r="T1062">
        <v>10</v>
      </c>
      <c r="V1062" t="s">
        <v>15</v>
      </c>
    </row>
    <row r="1063" spans="1:22" x14ac:dyDescent="0.25">
      <c r="A1063">
        <v>59</v>
      </c>
      <c r="B1063" t="s">
        <v>92</v>
      </c>
      <c r="C1063" t="s">
        <v>494</v>
      </c>
      <c r="E1063" t="s">
        <v>494</v>
      </c>
      <c r="L1063" t="s">
        <v>93</v>
      </c>
      <c r="M1063">
        <v>150</v>
      </c>
      <c r="N1063" t="s">
        <v>497</v>
      </c>
      <c r="Q1063">
        <v>1</v>
      </c>
      <c r="R1063" t="s">
        <v>11</v>
      </c>
      <c r="T1063">
        <v>10</v>
      </c>
      <c r="V1063" t="s">
        <v>18</v>
      </c>
    </row>
    <row r="1064" spans="1:22" x14ac:dyDescent="0.25">
      <c r="A1064">
        <v>59</v>
      </c>
      <c r="B1064" t="s">
        <v>92</v>
      </c>
      <c r="C1064" t="s">
        <v>494</v>
      </c>
      <c r="E1064" t="s">
        <v>494</v>
      </c>
      <c r="L1064" t="s">
        <v>93</v>
      </c>
      <c r="M1064">
        <v>160</v>
      </c>
      <c r="N1064" t="s">
        <v>498</v>
      </c>
      <c r="Q1064">
        <v>1</v>
      </c>
      <c r="R1064" t="s">
        <v>11</v>
      </c>
      <c r="T1064">
        <v>10</v>
      </c>
      <c r="V1064" t="s">
        <v>18</v>
      </c>
    </row>
    <row r="1065" spans="1:22" x14ac:dyDescent="0.25">
      <c r="A1065">
        <v>59</v>
      </c>
      <c r="B1065" t="s">
        <v>92</v>
      </c>
      <c r="C1065" t="s">
        <v>494</v>
      </c>
      <c r="E1065" t="s">
        <v>494</v>
      </c>
      <c r="L1065" t="s">
        <v>93</v>
      </c>
      <c r="M1065">
        <v>170</v>
      </c>
      <c r="N1065" t="s">
        <v>142</v>
      </c>
      <c r="Q1065">
        <v>7.2140000000000004</v>
      </c>
      <c r="R1065" t="s">
        <v>11</v>
      </c>
      <c r="T1065">
        <v>10</v>
      </c>
      <c r="V1065" t="s">
        <v>15</v>
      </c>
    </row>
    <row r="1066" spans="1:22" x14ac:dyDescent="0.25">
      <c r="A1066">
        <v>59</v>
      </c>
      <c r="B1066" t="s">
        <v>92</v>
      </c>
      <c r="C1066" t="s">
        <v>494</v>
      </c>
      <c r="E1066" t="s">
        <v>494</v>
      </c>
      <c r="L1066" t="s">
        <v>93</v>
      </c>
      <c r="M1066">
        <v>180</v>
      </c>
      <c r="N1066" t="s">
        <v>499</v>
      </c>
      <c r="Q1066">
        <v>1</v>
      </c>
      <c r="R1066" t="s">
        <v>11</v>
      </c>
      <c r="T1066">
        <v>10</v>
      </c>
      <c r="V1066" t="s">
        <v>18</v>
      </c>
    </row>
    <row r="1067" spans="1:22" x14ac:dyDescent="0.25">
      <c r="A1067">
        <v>60</v>
      </c>
      <c r="B1067" t="s">
        <v>92</v>
      </c>
      <c r="C1067" t="s">
        <v>500</v>
      </c>
      <c r="E1067" t="s">
        <v>500</v>
      </c>
      <c r="L1067" t="s">
        <v>93</v>
      </c>
      <c r="M1067">
        <v>10</v>
      </c>
      <c r="N1067" t="s">
        <v>501</v>
      </c>
      <c r="Q1067">
        <v>1</v>
      </c>
      <c r="R1067" t="s">
        <v>11</v>
      </c>
      <c r="T1067">
        <v>10</v>
      </c>
      <c r="V1067" t="s">
        <v>18</v>
      </c>
    </row>
    <row r="1068" spans="1:22" x14ac:dyDescent="0.25">
      <c r="A1068">
        <v>60</v>
      </c>
      <c r="B1068" t="s">
        <v>92</v>
      </c>
      <c r="C1068" t="s">
        <v>500</v>
      </c>
      <c r="E1068" t="s">
        <v>500</v>
      </c>
      <c r="L1068" t="s">
        <v>93</v>
      </c>
      <c r="M1068">
        <v>20</v>
      </c>
      <c r="N1068" t="s">
        <v>130</v>
      </c>
      <c r="Q1068">
        <v>4.585</v>
      </c>
      <c r="R1068" t="s">
        <v>14</v>
      </c>
      <c r="T1068">
        <v>10</v>
      </c>
      <c r="V1068" t="s">
        <v>15</v>
      </c>
    </row>
    <row r="1069" spans="1:22" x14ac:dyDescent="0.25">
      <c r="A1069">
        <v>60</v>
      </c>
      <c r="B1069" t="s">
        <v>92</v>
      </c>
      <c r="C1069" t="s">
        <v>500</v>
      </c>
      <c r="E1069" t="s">
        <v>500</v>
      </c>
      <c r="L1069" t="s">
        <v>93</v>
      </c>
      <c r="M1069">
        <v>30</v>
      </c>
      <c r="N1069" t="s">
        <v>102</v>
      </c>
      <c r="Q1069">
        <v>1.2669999999999999</v>
      </c>
      <c r="R1069" t="s">
        <v>103</v>
      </c>
      <c r="T1069">
        <v>10</v>
      </c>
      <c r="V1069" t="s">
        <v>15</v>
      </c>
    </row>
    <row r="1070" spans="1:22" x14ac:dyDescent="0.25">
      <c r="A1070">
        <v>60</v>
      </c>
      <c r="B1070" t="s">
        <v>92</v>
      </c>
      <c r="C1070" t="s">
        <v>500</v>
      </c>
      <c r="E1070" t="s">
        <v>500</v>
      </c>
      <c r="L1070" t="s">
        <v>93</v>
      </c>
      <c r="M1070">
        <v>40</v>
      </c>
      <c r="N1070" t="s">
        <v>146</v>
      </c>
      <c r="Q1070">
        <v>1.702</v>
      </c>
      <c r="R1070" t="s">
        <v>11</v>
      </c>
      <c r="T1070">
        <v>10</v>
      </c>
      <c r="V1070" t="s">
        <v>18</v>
      </c>
    </row>
    <row r="1071" spans="1:22" x14ac:dyDescent="0.25">
      <c r="A1071">
        <v>60</v>
      </c>
      <c r="B1071" t="s">
        <v>92</v>
      </c>
      <c r="C1071" t="s">
        <v>500</v>
      </c>
      <c r="E1071" t="s">
        <v>500</v>
      </c>
      <c r="L1071" t="s">
        <v>93</v>
      </c>
      <c r="M1071">
        <v>50</v>
      </c>
      <c r="N1071" t="s">
        <v>139</v>
      </c>
      <c r="Q1071">
        <v>1.702</v>
      </c>
      <c r="R1071" t="s">
        <v>17</v>
      </c>
      <c r="T1071">
        <v>10</v>
      </c>
      <c r="V1071" t="s">
        <v>18</v>
      </c>
    </row>
    <row r="1072" spans="1:22" x14ac:dyDescent="0.25">
      <c r="A1072">
        <v>60</v>
      </c>
      <c r="B1072" t="s">
        <v>92</v>
      </c>
      <c r="C1072" t="s">
        <v>500</v>
      </c>
      <c r="E1072" t="s">
        <v>500</v>
      </c>
      <c r="L1072" t="s">
        <v>93</v>
      </c>
      <c r="M1072">
        <v>60</v>
      </c>
      <c r="N1072" t="s">
        <v>502</v>
      </c>
      <c r="Q1072">
        <v>1</v>
      </c>
      <c r="R1072" t="s">
        <v>11</v>
      </c>
      <c r="T1072">
        <v>10</v>
      </c>
      <c r="V1072" t="s">
        <v>18</v>
      </c>
    </row>
    <row r="1073" spans="1:22" x14ac:dyDescent="0.25">
      <c r="A1073">
        <v>60</v>
      </c>
      <c r="B1073" t="s">
        <v>92</v>
      </c>
      <c r="C1073" t="s">
        <v>500</v>
      </c>
      <c r="E1073" t="s">
        <v>500</v>
      </c>
      <c r="L1073" t="s">
        <v>93</v>
      </c>
      <c r="M1073">
        <v>70</v>
      </c>
      <c r="N1073" t="s">
        <v>148</v>
      </c>
      <c r="Q1073">
        <v>22.555</v>
      </c>
      <c r="R1073" t="s">
        <v>17</v>
      </c>
      <c r="T1073">
        <v>10</v>
      </c>
      <c r="V1073" t="s">
        <v>15</v>
      </c>
    </row>
    <row r="1074" spans="1:22" x14ac:dyDescent="0.25">
      <c r="A1074">
        <v>60</v>
      </c>
      <c r="B1074" t="s">
        <v>92</v>
      </c>
      <c r="C1074" t="s">
        <v>500</v>
      </c>
      <c r="E1074" t="s">
        <v>500</v>
      </c>
      <c r="L1074" t="s">
        <v>93</v>
      </c>
      <c r="M1074">
        <v>80</v>
      </c>
      <c r="N1074" t="s">
        <v>20</v>
      </c>
      <c r="Q1074">
        <v>184.953</v>
      </c>
      <c r="R1074" t="s">
        <v>17</v>
      </c>
      <c r="T1074">
        <v>10</v>
      </c>
      <c r="V1074" t="s">
        <v>15</v>
      </c>
    </row>
    <row r="1075" spans="1:22" x14ac:dyDescent="0.25">
      <c r="A1075">
        <v>60</v>
      </c>
      <c r="B1075" t="s">
        <v>92</v>
      </c>
      <c r="C1075" t="s">
        <v>500</v>
      </c>
      <c r="E1075" t="s">
        <v>500</v>
      </c>
      <c r="L1075" t="s">
        <v>93</v>
      </c>
      <c r="M1075">
        <v>90</v>
      </c>
      <c r="N1075" t="s">
        <v>24</v>
      </c>
      <c r="Q1075">
        <v>1</v>
      </c>
      <c r="R1075" t="s">
        <v>11</v>
      </c>
      <c r="T1075">
        <v>10</v>
      </c>
      <c r="V1075" t="s">
        <v>15</v>
      </c>
    </row>
    <row r="1076" spans="1:22" x14ac:dyDescent="0.25">
      <c r="A1076">
        <v>60</v>
      </c>
      <c r="B1076" t="s">
        <v>92</v>
      </c>
      <c r="C1076" t="s">
        <v>500</v>
      </c>
      <c r="E1076" t="s">
        <v>500</v>
      </c>
      <c r="L1076" t="s">
        <v>93</v>
      </c>
      <c r="M1076">
        <v>100</v>
      </c>
      <c r="N1076" t="s">
        <v>141</v>
      </c>
      <c r="Q1076">
        <v>0.13800000000000001</v>
      </c>
      <c r="R1076" t="s">
        <v>14</v>
      </c>
      <c r="T1076">
        <v>10</v>
      </c>
      <c r="V1076" t="s">
        <v>15</v>
      </c>
    </row>
    <row r="1077" spans="1:22" x14ac:dyDescent="0.25">
      <c r="A1077">
        <v>60</v>
      </c>
      <c r="B1077" t="s">
        <v>92</v>
      </c>
      <c r="C1077" t="s">
        <v>500</v>
      </c>
      <c r="E1077" t="s">
        <v>500</v>
      </c>
      <c r="L1077" t="s">
        <v>93</v>
      </c>
      <c r="M1077">
        <v>110</v>
      </c>
      <c r="N1077" t="s">
        <v>140</v>
      </c>
      <c r="Q1077">
        <v>4</v>
      </c>
      <c r="R1077" t="s">
        <v>11</v>
      </c>
      <c r="T1077">
        <v>10</v>
      </c>
      <c r="V1077" t="s">
        <v>15</v>
      </c>
    </row>
    <row r="1078" spans="1:22" x14ac:dyDescent="0.25">
      <c r="A1078">
        <v>60</v>
      </c>
      <c r="B1078" t="s">
        <v>92</v>
      </c>
      <c r="C1078" t="s">
        <v>500</v>
      </c>
      <c r="E1078" t="s">
        <v>500</v>
      </c>
      <c r="L1078" t="s">
        <v>93</v>
      </c>
      <c r="M1078">
        <v>120</v>
      </c>
      <c r="N1078" t="s">
        <v>25</v>
      </c>
      <c r="Q1078">
        <v>1</v>
      </c>
      <c r="R1078" t="s">
        <v>11</v>
      </c>
      <c r="T1078">
        <v>10</v>
      </c>
      <c r="V1078" t="s">
        <v>15</v>
      </c>
    </row>
    <row r="1079" spans="1:22" x14ac:dyDescent="0.25">
      <c r="A1079">
        <v>60</v>
      </c>
      <c r="B1079" t="s">
        <v>92</v>
      </c>
      <c r="C1079" t="s">
        <v>500</v>
      </c>
      <c r="E1079" t="s">
        <v>500</v>
      </c>
      <c r="L1079" t="s">
        <v>93</v>
      </c>
      <c r="M1079">
        <v>130</v>
      </c>
      <c r="N1079" t="s">
        <v>26</v>
      </c>
      <c r="Q1079">
        <v>1</v>
      </c>
      <c r="R1079" t="s">
        <v>11</v>
      </c>
      <c r="T1079">
        <v>10</v>
      </c>
      <c r="V1079" t="s">
        <v>15</v>
      </c>
    </row>
    <row r="1080" spans="1:22" x14ac:dyDescent="0.25">
      <c r="A1080">
        <v>60</v>
      </c>
      <c r="B1080" t="s">
        <v>92</v>
      </c>
      <c r="C1080" t="s">
        <v>500</v>
      </c>
      <c r="E1080" t="s">
        <v>500</v>
      </c>
      <c r="L1080" t="s">
        <v>93</v>
      </c>
      <c r="M1080">
        <v>140</v>
      </c>
      <c r="N1080" t="s">
        <v>100</v>
      </c>
      <c r="Q1080">
        <v>1.1890000000000001</v>
      </c>
      <c r="R1080" t="s">
        <v>14</v>
      </c>
      <c r="T1080">
        <v>10</v>
      </c>
      <c r="V1080" t="s">
        <v>15</v>
      </c>
    </row>
    <row r="1081" spans="1:22" x14ac:dyDescent="0.25">
      <c r="A1081">
        <v>60</v>
      </c>
      <c r="B1081" t="s">
        <v>92</v>
      </c>
      <c r="C1081" t="s">
        <v>500</v>
      </c>
      <c r="E1081" t="s">
        <v>500</v>
      </c>
      <c r="L1081" t="s">
        <v>93</v>
      </c>
      <c r="M1081">
        <v>150</v>
      </c>
      <c r="N1081" t="s">
        <v>503</v>
      </c>
      <c r="Q1081">
        <v>1</v>
      </c>
      <c r="R1081" t="s">
        <v>11</v>
      </c>
      <c r="T1081">
        <v>10</v>
      </c>
      <c r="V1081" t="s">
        <v>18</v>
      </c>
    </row>
    <row r="1082" spans="1:22" x14ac:dyDescent="0.25">
      <c r="A1082">
        <v>60</v>
      </c>
      <c r="B1082" t="s">
        <v>92</v>
      </c>
      <c r="C1082" t="s">
        <v>500</v>
      </c>
      <c r="E1082" t="s">
        <v>500</v>
      </c>
      <c r="L1082" t="s">
        <v>93</v>
      </c>
      <c r="M1082">
        <v>160</v>
      </c>
      <c r="N1082" t="s">
        <v>504</v>
      </c>
      <c r="Q1082">
        <v>1</v>
      </c>
      <c r="R1082" t="s">
        <v>11</v>
      </c>
      <c r="T1082">
        <v>10</v>
      </c>
      <c r="V1082" t="s">
        <v>18</v>
      </c>
    </row>
    <row r="1083" spans="1:22" x14ac:dyDescent="0.25">
      <c r="A1083">
        <v>60</v>
      </c>
      <c r="B1083" t="s">
        <v>92</v>
      </c>
      <c r="C1083" t="s">
        <v>500</v>
      </c>
      <c r="E1083" t="s">
        <v>500</v>
      </c>
      <c r="L1083" t="s">
        <v>93</v>
      </c>
      <c r="M1083">
        <v>170</v>
      </c>
      <c r="N1083" t="s">
        <v>142</v>
      </c>
      <c r="Q1083">
        <v>7.5179999999999998</v>
      </c>
      <c r="R1083" t="s">
        <v>11</v>
      </c>
      <c r="T1083">
        <v>10</v>
      </c>
      <c r="V1083" t="s">
        <v>15</v>
      </c>
    </row>
    <row r="1084" spans="1:22" x14ac:dyDescent="0.25">
      <c r="A1084">
        <v>60</v>
      </c>
      <c r="B1084" t="s">
        <v>92</v>
      </c>
      <c r="C1084" t="s">
        <v>500</v>
      </c>
      <c r="E1084" t="s">
        <v>500</v>
      </c>
      <c r="L1084" t="s">
        <v>93</v>
      </c>
      <c r="M1084">
        <v>180</v>
      </c>
      <c r="N1084" t="s">
        <v>505</v>
      </c>
      <c r="Q1084">
        <v>1</v>
      </c>
      <c r="R1084" t="s">
        <v>11</v>
      </c>
      <c r="T1084">
        <v>10</v>
      </c>
      <c r="V1084" t="s">
        <v>18</v>
      </c>
    </row>
    <row r="1085" spans="1:22" x14ac:dyDescent="0.25">
      <c r="A1085">
        <v>61</v>
      </c>
      <c r="B1085" t="s">
        <v>92</v>
      </c>
      <c r="C1085" t="s">
        <v>506</v>
      </c>
      <c r="E1085" t="s">
        <v>506</v>
      </c>
      <c r="L1085" t="s">
        <v>93</v>
      </c>
      <c r="M1085">
        <v>10</v>
      </c>
      <c r="N1085" t="s">
        <v>507</v>
      </c>
      <c r="Q1085">
        <v>1</v>
      </c>
      <c r="R1085" t="s">
        <v>11</v>
      </c>
      <c r="T1085">
        <v>10</v>
      </c>
      <c r="V1085" t="s">
        <v>18</v>
      </c>
    </row>
    <row r="1086" spans="1:22" x14ac:dyDescent="0.25">
      <c r="A1086">
        <v>61</v>
      </c>
      <c r="B1086" t="s">
        <v>92</v>
      </c>
      <c r="C1086" t="s">
        <v>506</v>
      </c>
      <c r="E1086" t="s">
        <v>506</v>
      </c>
      <c r="L1086" t="s">
        <v>93</v>
      </c>
      <c r="M1086">
        <v>20</v>
      </c>
      <c r="N1086" t="s">
        <v>131</v>
      </c>
      <c r="Q1086">
        <v>5.0049999999999999</v>
      </c>
      <c r="R1086" t="s">
        <v>14</v>
      </c>
      <c r="T1086">
        <v>10</v>
      </c>
      <c r="V1086" t="s">
        <v>15</v>
      </c>
    </row>
    <row r="1087" spans="1:22" x14ac:dyDescent="0.25">
      <c r="A1087">
        <v>61</v>
      </c>
      <c r="B1087" t="s">
        <v>92</v>
      </c>
      <c r="C1087" t="s">
        <v>506</v>
      </c>
      <c r="E1087" t="s">
        <v>506</v>
      </c>
      <c r="L1087" t="s">
        <v>93</v>
      </c>
      <c r="M1087">
        <v>30</v>
      </c>
      <c r="N1087" t="s">
        <v>102</v>
      </c>
      <c r="Q1087">
        <v>1.3839999999999999</v>
      </c>
      <c r="R1087" t="s">
        <v>103</v>
      </c>
      <c r="T1087">
        <v>10</v>
      </c>
      <c r="V1087" t="s">
        <v>15</v>
      </c>
    </row>
    <row r="1088" spans="1:22" x14ac:dyDescent="0.25">
      <c r="A1088">
        <v>61</v>
      </c>
      <c r="B1088" t="s">
        <v>92</v>
      </c>
      <c r="C1088" t="s">
        <v>506</v>
      </c>
      <c r="E1088" t="s">
        <v>506</v>
      </c>
      <c r="L1088" t="s">
        <v>93</v>
      </c>
      <c r="M1088">
        <v>40</v>
      </c>
      <c r="N1088" t="s">
        <v>146</v>
      </c>
      <c r="Q1088">
        <v>1.8540000000000001</v>
      </c>
      <c r="R1088" t="s">
        <v>11</v>
      </c>
      <c r="T1088">
        <v>10</v>
      </c>
      <c r="V1088" t="s">
        <v>18</v>
      </c>
    </row>
    <row r="1089" spans="1:22" x14ac:dyDescent="0.25">
      <c r="A1089">
        <v>61</v>
      </c>
      <c r="B1089" t="s">
        <v>92</v>
      </c>
      <c r="C1089" t="s">
        <v>506</v>
      </c>
      <c r="E1089" t="s">
        <v>506</v>
      </c>
      <c r="L1089" t="s">
        <v>93</v>
      </c>
      <c r="M1089">
        <v>50</v>
      </c>
      <c r="N1089" t="s">
        <v>139</v>
      </c>
      <c r="Q1089">
        <v>1.8540000000000001</v>
      </c>
      <c r="R1089" t="s">
        <v>17</v>
      </c>
      <c r="T1089">
        <v>10</v>
      </c>
      <c r="V1089" t="s">
        <v>18</v>
      </c>
    </row>
    <row r="1090" spans="1:22" x14ac:dyDescent="0.25">
      <c r="A1090">
        <v>61</v>
      </c>
      <c r="B1090" t="s">
        <v>92</v>
      </c>
      <c r="C1090" t="s">
        <v>506</v>
      </c>
      <c r="E1090" t="s">
        <v>506</v>
      </c>
      <c r="L1090" t="s">
        <v>93</v>
      </c>
      <c r="M1090">
        <v>60</v>
      </c>
      <c r="N1090" t="s">
        <v>508</v>
      </c>
      <c r="Q1090">
        <v>1</v>
      </c>
      <c r="R1090" t="s">
        <v>11</v>
      </c>
      <c r="T1090">
        <v>10</v>
      </c>
      <c r="V1090" t="s">
        <v>18</v>
      </c>
    </row>
    <row r="1091" spans="1:22" x14ac:dyDescent="0.25">
      <c r="A1091">
        <v>61</v>
      </c>
      <c r="B1091" t="s">
        <v>92</v>
      </c>
      <c r="C1091" t="s">
        <v>506</v>
      </c>
      <c r="E1091" t="s">
        <v>506</v>
      </c>
      <c r="L1091" t="s">
        <v>93</v>
      </c>
      <c r="M1091">
        <v>70</v>
      </c>
      <c r="N1091" t="s">
        <v>148</v>
      </c>
      <c r="Q1091">
        <v>23.47</v>
      </c>
      <c r="R1091" t="s">
        <v>17</v>
      </c>
      <c r="T1091">
        <v>10</v>
      </c>
      <c r="V1091" t="s">
        <v>15</v>
      </c>
    </row>
    <row r="1092" spans="1:22" x14ac:dyDescent="0.25">
      <c r="A1092">
        <v>61</v>
      </c>
      <c r="B1092" t="s">
        <v>92</v>
      </c>
      <c r="C1092" t="s">
        <v>506</v>
      </c>
      <c r="E1092" t="s">
        <v>506</v>
      </c>
      <c r="L1092" t="s">
        <v>93</v>
      </c>
      <c r="M1092">
        <v>80</v>
      </c>
      <c r="N1092" t="s">
        <v>20</v>
      </c>
      <c r="Q1092">
        <v>192.45099999999999</v>
      </c>
      <c r="R1092" t="s">
        <v>17</v>
      </c>
      <c r="T1092">
        <v>10</v>
      </c>
      <c r="V1092" t="s">
        <v>15</v>
      </c>
    </row>
    <row r="1093" spans="1:22" x14ac:dyDescent="0.25">
      <c r="A1093">
        <v>61</v>
      </c>
      <c r="B1093" t="s">
        <v>92</v>
      </c>
      <c r="C1093" t="s">
        <v>506</v>
      </c>
      <c r="E1093" t="s">
        <v>506</v>
      </c>
      <c r="L1093" t="s">
        <v>93</v>
      </c>
      <c r="M1093">
        <v>90</v>
      </c>
      <c r="N1093" t="s">
        <v>24</v>
      </c>
      <c r="Q1093">
        <v>1</v>
      </c>
      <c r="R1093" t="s">
        <v>11</v>
      </c>
      <c r="T1093">
        <v>10</v>
      </c>
      <c r="V1093" t="s">
        <v>15</v>
      </c>
    </row>
    <row r="1094" spans="1:22" x14ac:dyDescent="0.25">
      <c r="A1094">
        <v>61</v>
      </c>
      <c r="B1094" t="s">
        <v>92</v>
      </c>
      <c r="C1094" t="s">
        <v>506</v>
      </c>
      <c r="E1094" t="s">
        <v>506</v>
      </c>
      <c r="L1094" t="s">
        <v>93</v>
      </c>
      <c r="M1094">
        <v>100</v>
      </c>
      <c r="N1094" t="s">
        <v>141</v>
      </c>
      <c r="Q1094">
        <v>0.14899999999999999</v>
      </c>
      <c r="R1094" t="s">
        <v>14</v>
      </c>
      <c r="T1094">
        <v>10</v>
      </c>
      <c r="V1094" t="s">
        <v>15</v>
      </c>
    </row>
    <row r="1095" spans="1:22" x14ac:dyDescent="0.25">
      <c r="A1095">
        <v>61</v>
      </c>
      <c r="B1095" t="s">
        <v>92</v>
      </c>
      <c r="C1095" t="s">
        <v>506</v>
      </c>
      <c r="E1095" t="s">
        <v>506</v>
      </c>
      <c r="L1095" t="s">
        <v>93</v>
      </c>
      <c r="M1095">
        <v>110</v>
      </c>
      <c r="N1095" t="s">
        <v>140</v>
      </c>
      <c r="Q1095">
        <v>4</v>
      </c>
      <c r="R1095" t="s">
        <v>11</v>
      </c>
      <c r="T1095">
        <v>10</v>
      </c>
      <c r="V1095" t="s">
        <v>15</v>
      </c>
    </row>
    <row r="1096" spans="1:22" x14ac:dyDescent="0.25">
      <c r="A1096">
        <v>61</v>
      </c>
      <c r="B1096" t="s">
        <v>92</v>
      </c>
      <c r="C1096" t="s">
        <v>506</v>
      </c>
      <c r="E1096" t="s">
        <v>506</v>
      </c>
      <c r="L1096" t="s">
        <v>93</v>
      </c>
      <c r="M1096">
        <v>120</v>
      </c>
      <c r="N1096" t="s">
        <v>25</v>
      </c>
      <c r="Q1096">
        <v>1</v>
      </c>
      <c r="R1096" t="s">
        <v>11</v>
      </c>
      <c r="T1096">
        <v>10</v>
      </c>
      <c r="V1096" t="s">
        <v>15</v>
      </c>
    </row>
    <row r="1097" spans="1:22" x14ac:dyDescent="0.25">
      <c r="A1097">
        <v>61</v>
      </c>
      <c r="B1097" t="s">
        <v>92</v>
      </c>
      <c r="C1097" t="s">
        <v>506</v>
      </c>
      <c r="E1097" t="s">
        <v>506</v>
      </c>
      <c r="L1097" t="s">
        <v>93</v>
      </c>
      <c r="M1097">
        <v>130</v>
      </c>
      <c r="N1097" t="s">
        <v>26</v>
      </c>
      <c r="Q1097">
        <v>1</v>
      </c>
      <c r="R1097" t="s">
        <v>11</v>
      </c>
      <c r="T1097">
        <v>10</v>
      </c>
      <c r="V1097" t="s">
        <v>15</v>
      </c>
    </row>
    <row r="1098" spans="1:22" x14ac:dyDescent="0.25">
      <c r="A1098">
        <v>61</v>
      </c>
      <c r="B1098" t="s">
        <v>92</v>
      </c>
      <c r="C1098" t="s">
        <v>506</v>
      </c>
      <c r="E1098" t="s">
        <v>506</v>
      </c>
      <c r="L1098" t="s">
        <v>93</v>
      </c>
      <c r="M1098">
        <v>140</v>
      </c>
      <c r="N1098" t="s">
        <v>100</v>
      </c>
      <c r="Q1098">
        <v>1.1890000000000001</v>
      </c>
      <c r="R1098" t="s">
        <v>14</v>
      </c>
      <c r="T1098">
        <v>10</v>
      </c>
      <c r="V1098" t="s">
        <v>15</v>
      </c>
    </row>
    <row r="1099" spans="1:22" x14ac:dyDescent="0.25">
      <c r="A1099">
        <v>61</v>
      </c>
      <c r="B1099" t="s">
        <v>92</v>
      </c>
      <c r="C1099" t="s">
        <v>506</v>
      </c>
      <c r="E1099" t="s">
        <v>506</v>
      </c>
      <c r="L1099" t="s">
        <v>93</v>
      </c>
      <c r="M1099">
        <v>150</v>
      </c>
      <c r="N1099" t="s">
        <v>509</v>
      </c>
      <c r="Q1099">
        <v>1</v>
      </c>
      <c r="R1099" t="s">
        <v>11</v>
      </c>
      <c r="T1099">
        <v>10</v>
      </c>
      <c r="V1099" t="s">
        <v>18</v>
      </c>
    </row>
    <row r="1100" spans="1:22" x14ac:dyDescent="0.25">
      <c r="A1100">
        <v>61</v>
      </c>
      <c r="B1100" t="s">
        <v>92</v>
      </c>
      <c r="C1100" t="s">
        <v>506</v>
      </c>
      <c r="E1100" t="s">
        <v>506</v>
      </c>
      <c r="L1100" t="s">
        <v>93</v>
      </c>
      <c r="M1100">
        <v>160</v>
      </c>
      <c r="N1100" t="s">
        <v>510</v>
      </c>
      <c r="Q1100">
        <v>1</v>
      </c>
      <c r="R1100" t="s">
        <v>11</v>
      </c>
      <c r="T1100">
        <v>10</v>
      </c>
      <c r="V1100" t="s">
        <v>18</v>
      </c>
    </row>
    <row r="1101" spans="1:22" x14ac:dyDescent="0.25">
      <c r="A1101">
        <v>61</v>
      </c>
      <c r="B1101" t="s">
        <v>92</v>
      </c>
      <c r="C1101" t="s">
        <v>506</v>
      </c>
      <c r="E1101" t="s">
        <v>506</v>
      </c>
      <c r="L1101" t="s">
        <v>93</v>
      </c>
      <c r="M1101">
        <v>170</v>
      </c>
      <c r="N1101" t="s">
        <v>142</v>
      </c>
      <c r="Q1101">
        <v>7.8230000000000004</v>
      </c>
      <c r="R1101" t="s">
        <v>11</v>
      </c>
      <c r="T1101">
        <v>10</v>
      </c>
      <c r="V1101" t="s">
        <v>15</v>
      </c>
    </row>
    <row r="1102" spans="1:22" x14ac:dyDescent="0.25">
      <c r="A1102">
        <v>61</v>
      </c>
      <c r="B1102" t="s">
        <v>92</v>
      </c>
      <c r="C1102" t="s">
        <v>506</v>
      </c>
      <c r="E1102" t="s">
        <v>506</v>
      </c>
      <c r="L1102" t="s">
        <v>93</v>
      </c>
      <c r="M1102">
        <v>180</v>
      </c>
      <c r="N1102" t="s">
        <v>511</v>
      </c>
      <c r="Q1102">
        <v>1</v>
      </c>
      <c r="R1102" t="s">
        <v>11</v>
      </c>
      <c r="T1102">
        <v>10</v>
      </c>
      <c r="V1102" t="s">
        <v>18</v>
      </c>
    </row>
    <row r="1103" spans="1:22" x14ac:dyDescent="0.25">
      <c r="A1103">
        <v>62</v>
      </c>
      <c r="B1103" t="s">
        <v>92</v>
      </c>
      <c r="C1103" t="s">
        <v>512</v>
      </c>
      <c r="E1103" t="s">
        <v>512</v>
      </c>
      <c r="L1103" t="s">
        <v>93</v>
      </c>
      <c r="M1103">
        <v>10</v>
      </c>
      <c r="N1103" t="s">
        <v>513</v>
      </c>
      <c r="Q1103">
        <v>1</v>
      </c>
      <c r="R1103" t="s">
        <v>11</v>
      </c>
      <c r="T1103">
        <v>10</v>
      </c>
      <c r="V1103" t="s">
        <v>18</v>
      </c>
    </row>
    <row r="1104" spans="1:22" x14ac:dyDescent="0.25">
      <c r="A1104">
        <v>62</v>
      </c>
      <c r="B1104" t="s">
        <v>92</v>
      </c>
      <c r="C1104" t="s">
        <v>512</v>
      </c>
      <c r="E1104" t="s">
        <v>512</v>
      </c>
      <c r="L1104" t="s">
        <v>93</v>
      </c>
      <c r="M1104">
        <v>20</v>
      </c>
      <c r="N1104" t="s">
        <v>132</v>
      </c>
      <c r="Q1104">
        <v>2.1179999999999999</v>
      </c>
      <c r="R1104" t="s">
        <v>14</v>
      </c>
      <c r="T1104">
        <v>10</v>
      </c>
      <c r="V1104" t="s">
        <v>15</v>
      </c>
    </row>
    <row r="1105" spans="1:22" x14ac:dyDescent="0.25">
      <c r="A1105">
        <v>62</v>
      </c>
      <c r="B1105" t="s">
        <v>92</v>
      </c>
      <c r="C1105" t="s">
        <v>512</v>
      </c>
      <c r="E1105" t="s">
        <v>512</v>
      </c>
      <c r="L1105" t="s">
        <v>93</v>
      </c>
      <c r="M1105">
        <v>30</v>
      </c>
      <c r="N1105" t="s">
        <v>102</v>
      </c>
      <c r="Q1105">
        <v>0.57999999999999996</v>
      </c>
      <c r="R1105" t="s">
        <v>103</v>
      </c>
      <c r="T1105">
        <v>10</v>
      </c>
      <c r="V1105" t="s">
        <v>15</v>
      </c>
    </row>
    <row r="1106" spans="1:22" x14ac:dyDescent="0.25">
      <c r="A1106">
        <v>62</v>
      </c>
      <c r="B1106" t="s">
        <v>92</v>
      </c>
      <c r="C1106" t="s">
        <v>512</v>
      </c>
      <c r="E1106" t="s">
        <v>512</v>
      </c>
      <c r="L1106" t="s">
        <v>93</v>
      </c>
      <c r="M1106">
        <v>40</v>
      </c>
      <c r="N1106" t="s">
        <v>146</v>
      </c>
      <c r="Q1106">
        <v>2.0569999999999999</v>
      </c>
      <c r="R1106" t="s">
        <v>11</v>
      </c>
      <c r="T1106">
        <v>10</v>
      </c>
      <c r="V1106" t="s">
        <v>18</v>
      </c>
    </row>
    <row r="1107" spans="1:22" x14ac:dyDescent="0.25">
      <c r="A1107">
        <v>62</v>
      </c>
      <c r="B1107" t="s">
        <v>92</v>
      </c>
      <c r="C1107" t="s">
        <v>512</v>
      </c>
      <c r="E1107" t="s">
        <v>512</v>
      </c>
      <c r="L1107" t="s">
        <v>93</v>
      </c>
      <c r="M1107">
        <v>50</v>
      </c>
      <c r="N1107" t="s">
        <v>139</v>
      </c>
      <c r="Q1107">
        <v>2.0569999999999999</v>
      </c>
      <c r="R1107" t="s">
        <v>17</v>
      </c>
      <c r="T1107">
        <v>10</v>
      </c>
      <c r="V1107" t="s">
        <v>18</v>
      </c>
    </row>
    <row r="1108" spans="1:22" x14ac:dyDescent="0.25">
      <c r="A1108">
        <v>62</v>
      </c>
      <c r="B1108" t="s">
        <v>92</v>
      </c>
      <c r="C1108" t="s">
        <v>512</v>
      </c>
      <c r="E1108" t="s">
        <v>512</v>
      </c>
      <c r="L1108" t="s">
        <v>93</v>
      </c>
      <c r="M1108">
        <v>60</v>
      </c>
      <c r="N1108" t="s">
        <v>514</v>
      </c>
      <c r="Q1108">
        <v>1</v>
      </c>
      <c r="R1108" t="s">
        <v>11</v>
      </c>
      <c r="T1108">
        <v>10</v>
      </c>
      <c r="V1108" t="s">
        <v>18</v>
      </c>
    </row>
    <row r="1109" spans="1:22" x14ac:dyDescent="0.25">
      <c r="A1109">
        <v>62</v>
      </c>
      <c r="B1109" t="s">
        <v>92</v>
      </c>
      <c r="C1109" t="s">
        <v>512</v>
      </c>
      <c r="E1109" t="s">
        <v>512</v>
      </c>
      <c r="L1109" t="s">
        <v>93</v>
      </c>
      <c r="M1109">
        <v>70</v>
      </c>
      <c r="N1109" t="s">
        <v>148</v>
      </c>
      <c r="Q1109">
        <v>17.373999999999999</v>
      </c>
      <c r="R1109" t="s">
        <v>17</v>
      </c>
      <c r="T1109">
        <v>10</v>
      </c>
      <c r="V1109" t="s">
        <v>15</v>
      </c>
    </row>
    <row r="1110" spans="1:22" x14ac:dyDescent="0.25">
      <c r="A1110">
        <v>62</v>
      </c>
      <c r="B1110" t="s">
        <v>92</v>
      </c>
      <c r="C1110" t="s">
        <v>512</v>
      </c>
      <c r="E1110" t="s">
        <v>512</v>
      </c>
      <c r="L1110" t="s">
        <v>93</v>
      </c>
      <c r="M1110">
        <v>80</v>
      </c>
      <c r="N1110" t="s">
        <v>20</v>
      </c>
      <c r="Q1110">
        <v>142.464</v>
      </c>
      <c r="R1110" t="s">
        <v>17</v>
      </c>
      <c r="T1110">
        <v>10</v>
      </c>
      <c r="V1110" t="s">
        <v>15</v>
      </c>
    </row>
    <row r="1111" spans="1:22" x14ac:dyDescent="0.25">
      <c r="A1111">
        <v>62</v>
      </c>
      <c r="B1111" t="s">
        <v>92</v>
      </c>
      <c r="C1111" t="s">
        <v>512</v>
      </c>
      <c r="E1111" t="s">
        <v>512</v>
      </c>
      <c r="L1111" t="s">
        <v>93</v>
      </c>
      <c r="M1111">
        <v>90</v>
      </c>
      <c r="N1111" t="s">
        <v>24</v>
      </c>
      <c r="Q1111">
        <v>1</v>
      </c>
      <c r="R1111" t="s">
        <v>11</v>
      </c>
      <c r="T1111">
        <v>10</v>
      </c>
      <c r="V1111" t="s">
        <v>15</v>
      </c>
    </row>
    <row r="1112" spans="1:22" x14ac:dyDescent="0.25">
      <c r="A1112">
        <v>62</v>
      </c>
      <c r="B1112" t="s">
        <v>92</v>
      </c>
      <c r="C1112" t="s">
        <v>512</v>
      </c>
      <c r="E1112" t="s">
        <v>512</v>
      </c>
      <c r="L1112" t="s">
        <v>93</v>
      </c>
      <c r="M1112">
        <v>100</v>
      </c>
      <c r="N1112" t="s">
        <v>141</v>
      </c>
      <c r="Q1112">
        <v>7.5999999999999998E-2</v>
      </c>
      <c r="R1112" t="s">
        <v>14</v>
      </c>
      <c r="T1112">
        <v>10</v>
      </c>
      <c r="V1112" t="s">
        <v>15</v>
      </c>
    </row>
    <row r="1113" spans="1:22" x14ac:dyDescent="0.25">
      <c r="A1113">
        <v>62</v>
      </c>
      <c r="B1113" t="s">
        <v>92</v>
      </c>
      <c r="C1113" t="s">
        <v>512</v>
      </c>
      <c r="E1113" t="s">
        <v>512</v>
      </c>
      <c r="L1113" t="s">
        <v>93</v>
      </c>
      <c r="M1113">
        <v>110</v>
      </c>
      <c r="N1113" t="s">
        <v>140</v>
      </c>
      <c r="Q1113">
        <v>4</v>
      </c>
      <c r="R1113" t="s">
        <v>11</v>
      </c>
      <c r="T1113">
        <v>10</v>
      </c>
      <c r="V1113" t="s">
        <v>15</v>
      </c>
    </row>
    <row r="1114" spans="1:22" x14ac:dyDescent="0.25">
      <c r="A1114">
        <v>62</v>
      </c>
      <c r="B1114" t="s">
        <v>92</v>
      </c>
      <c r="C1114" t="s">
        <v>512</v>
      </c>
      <c r="E1114" t="s">
        <v>512</v>
      </c>
      <c r="L1114" t="s">
        <v>93</v>
      </c>
      <c r="M1114">
        <v>120</v>
      </c>
      <c r="N1114" t="s">
        <v>25</v>
      </c>
      <c r="Q1114">
        <v>1</v>
      </c>
      <c r="R1114" t="s">
        <v>11</v>
      </c>
      <c r="T1114">
        <v>10</v>
      </c>
      <c r="V1114" t="s">
        <v>15</v>
      </c>
    </row>
    <row r="1115" spans="1:22" x14ac:dyDescent="0.25">
      <c r="A1115">
        <v>62</v>
      </c>
      <c r="B1115" t="s">
        <v>92</v>
      </c>
      <c r="C1115" t="s">
        <v>512</v>
      </c>
      <c r="E1115" t="s">
        <v>512</v>
      </c>
      <c r="L1115" t="s">
        <v>93</v>
      </c>
      <c r="M1115">
        <v>130</v>
      </c>
      <c r="N1115" t="s">
        <v>26</v>
      </c>
      <c r="Q1115">
        <v>1</v>
      </c>
      <c r="R1115" t="s">
        <v>11</v>
      </c>
      <c r="T1115">
        <v>10</v>
      </c>
      <c r="V1115" t="s">
        <v>15</v>
      </c>
    </row>
    <row r="1116" spans="1:22" x14ac:dyDescent="0.25">
      <c r="A1116">
        <v>62</v>
      </c>
      <c r="B1116" t="s">
        <v>92</v>
      </c>
      <c r="C1116" t="s">
        <v>512</v>
      </c>
      <c r="E1116" t="s">
        <v>512</v>
      </c>
      <c r="L1116" t="s">
        <v>93</v>
      </c>
      <c r="M1116">
        <v>140</v>
      </c>
      <c r="N1116" t="s">
        <v>100</v>
      </c>
      <c r="Q1116">
        <v>1.216</v>
      </c>
      <c r="R1116" t="s">
        <v>14</v>
      </c>
      <c r="T1116">
        <v>10</v>
      </c>
      <c r="V1116" t="s">
        <v>15</v>
      </c>
    </row>
    <row r="1117" spans="1:22" x14ac:dyDescent="0.25">
      <c r="A1117">
        <v>62</v>
      </c>
      <c r="B1117" t="s">
        <v>92</v>
      </c>
      <c r="C1117" t="s">
        <v>512</v>
      </c>
      <c r="E1117" t="s">
        <v>512</v>
      </c>
      <c r="L1117" t="s">
        <v>93</v>
      </c>
      <c r="M1117">
        <v>150</v>
      </c>
      <c r="N1117" t="s">
        <v>515</v>
      </c>
      <c r="Q1117">
        <v>1</v>
      </c>
      <c r="R1117" t="s">
        <v>11</v>
      </c>
      <c r="T1117">
        <v>10</v>
      </c>
      <c r="V1117" t="s">
        <v>18</v>
      </c>
    </row>
    <row r="1118" spans="1:22" x14ac:dyDescent="0.25">
      <c r="A1118">
        <v>62</v>
      </c>
      <c r="B1118" t="s">
        <v>92</v>
      </c>
      <c r="C1118" t="s">
        <v>512</v>
      </c>
      <c r="E1118" t="s">
        <v>512</v>
      </c>
      <c r="L1118" t="s">
        <v>93</v>
      </c>
      <c r="M1118">
        <v>160</v>
      </c>
      <c r="N1118" t="s">
        <v>516</v>
      </c>
      <c r="Q1118">
        <v>1</v>
      </c>
      <c r="R1118" t="s">
        <v>11</v>
      </c>
      <c r="T1118">
        <v>10</v>
      </c>
      <c r="V1118" t="s">
        <v>18</v>
      </c>
    </row>
    <row r="1119" spans="1:22" x14ac:dyDescent="0.25">
      <c r="A1119">
        <v>62</v>
      </c>
      <c r="B1119" t="s">
        <v>92</v>
      </c>
      <c r="C1119" t="s">
        <v>512</v>
      </c>
      <c r="E1119" t="s">
        <v>512</v>
      </c>
      <c r="L1119" t="s">
        <v>93</v>
      </c>
      <c r="M1119">
        <v>170</v>
      </c>
      <c r="N1119" t="s">
        <v>142</v>
      </c>
      <c r="Q1119">
        <v>5.7910000000000004</v>
      </c>
      <c r="R1119" t="s">
        <v>11</v>
      </c>
      <c r="T1119">
        <v>10</v>
      </c>
      <c r="V1119" t="s">
        <v>15</v>
      </c>
    </row>
    <row r="1120" spans="1:22" x14ac:dyDescent="0.25">
      <c r="A1120">
        <v>62</v>
      </c>
      <c r="B1120" t="s">
        <v>92</v>
      </c>
      <c r="C1120" t="s">
        <v>512</v>
      </c>
      <c r="E1120" t="s">
        <v>512</v>
      </c>
      <c r="L1120" t="s">
        <v>93</v>
      </c>
      <c r="M1120">
        <v>180</v>
      </c>
      <c r="N1120" t="s">
        <v>517</v>
      </c>
      <c r="Q1120">
        <v>1</v>
      </c>
      <c r="R1120" t="s">
        <v>11</v>
      </c>
      <c r="T1120">
        <v>10</v>
      </c>
      <c r="V1120" t="s">
        <v>18</v>
      </c>
    </row>
    <row r="1121" spans="1:22" x14ac:dyDescent="0.25">
      <c r="A1121">
        <v>63</v>
      </c>
      <c r="B1121" t="s">
        <v>92</v>
      </c>
      <c r="C1121" t="s">
        <v>518</v>
      </c>
      <c r="E1121" t="s">
        <v>518</v>
      </c>
      <c r="L1121" t="s">
        <v>93</v>
      </c>
      <c r="M1121">
        <v>10</v>
      </c>
      <c r="N1121" t="s">
        <v>519</v>
      </c>
      <c r="Q1121">
        <v>1</v>
      </c>
      <c r="R1121" t="s">
        <v>11</v>
      </c>
      <c r="T1121">
        <v>10</v>
      </c>
      <c r="V1121" t="s">
        <v>18</v>
      </c>
    </row>
    <row r="1122" spans="1:22" x14ac:dyDescent="0.25">
      <c r="A1122">
        <v>63</v>
      </c>
      <c r="B1122" t="s">
        <v>92</v>
      </c>
      <c r="C1122" t="s">
        <v>518</v>
      </c>
      <c r="E1122" t="s">
        <v>518</v>
      </c>
      <c r="L1122" t="s">
        <v>93</v>
      </c>
      <c r="M1122">
        <v>20</v>
      </c>
      <c r="N1122" t="s">
        <v>132</v>
      </c>
      <c r="Q1122">
        <v>2.5489999999999999</v>
      </c>
      <c r="R1122" t="s">
        <v>14</v>
      </c>
      <c r="T1122">
        <v>10</v>
      </c>
      <c r="V1122" t="s">
        <v>15</v>
      </c>
    </row>
    <row r="1123" spans="1:22" x14ac:dyDescent="0.25">
      <c r="A1123">
        <v>63</v>
      </c>
      <c r="B1123" t="s">
        <v>92</v>
      </c>
      <c r="C1123" t="s">
        <v>518</v>
      </c>
      <c r="E1123" t="s">
        <v>518</v>
      </c>
      <c r="L1123" t="s">
        <v>93</v>
      </c>
      <c r="M1123">
        <v>30</v>
      </c>
      <c r="N1123" t="s">
        <v>102</v>
      </c>
      <c r="Q1123">
        <v>0.7</v>
      </c>
      <c r="R1123" t="s">
        <v>103</v>
      </c>
      <c r="T1123">
        <v>10</v>
      </c>
      <c r="V1123" t="s">
        <v>15</v>
      </c>
    </row>
    <row r="1124" spans="1:22" x14ac:dyDescent="0.25">
      <c r="A1124">
        <v>63</v>
      </c>
      <c r="B1124" t="s">
        <v>92</v>
      </c>
      <c r="C1124" t="s">
        <v>518</v>
      </c>
      <c r="E1124" t="s">
        <v>518</v>
      </c>
      <c r="L1124" t="s">
        <v>93</v>
      </c>
      <c r="M1124">
        <v>40</v>
      </c>
      <c r="N1124" t="s">
        <v>146</v>
      </c>
      <c r="Q1124">
        <v>2.0569999999999999</v>
      </c>
      <c r="R1124" t="s">
        <v>11</v>
      </c>
      <c r="T1124">
        <v>10</v>
      </c>
      <c r="V1124" t="s">
        <v>18</v>
      </c>
    </row>
    <row r="1125" spans="1:22" x14ac:dyDescent="0.25">
      <c r="A1125">
        <v>63</v>
      </c>
      <c r="B1125" t="s">
        <v>92</v>
      </c>
      <c r="C1125" t="s">
        <v>518</v>
      </c>
      <c r="E1125" t="s">
        <v>518</v>
      </c>
      <c r="L1125" t="s">
        <v>93</v>
      </c>
      <c r="M1125">
        <v>50</v>
      </c>
      <c r="N1125" t="s">
        <v>139</v>
      </c>
      <c r="Q1125">
        <v>2.0569999999999999</v>
      </c>
      <c r="R1125" t="s">
        <v>17</v>
      </c>
      <c r="T1125">
        <v>10</v>
      </c>
      <c r="V1125" t="s">
        <v>18</v>
      </c>
    </row>
    <row r="1126" spans="1:22" x14ac:dyDescent="0.25">
      <c r="A1126">
        <v>63</v>
      </c>
      <c r="B1126" t="s">
        <v>92</v>
      </c>
      <c r="C1126" t="s">
        <v>518</v>
      </c>
      <c r="E1126" t="s">
        <v>518</v>
      </c>
      <c r="L1126" t="s">
        <v>93</v>
      </c>
      <c r="M1126">
        <v>60</v>
      </c>
      <c r="N1126" t="s">
        <v>520</v>
      </c>
      <c r="Q1126">
        <v>1</v>
      </c>
      <c r="R1126" t="s">
        <v>11</v>
      </c>
      <c r="T1126">
        <v>10</v>
      </c>
      <c r="V1126" t="s">
        <v>18</v>
      </c>
    </row>
    <row r="1127" spans="1:22" x14ac:dyDescent="0.25">
      <c r="A1127">
        <v>63</v>
      </c>
      <c r="B1127" t="s">
        <v>92</v>
      </c>
      <c r="C1127" t="s">
        <v>518</v>
      </c>
      <c r="E1127" t="s">
        <v>518</v>
      </c>
      <c r="L1127" t="s">
        <v>93</v>
      </c>
      <c r="M1127">
        <v>70</v>
      </c>
      <c r="N1127" t="s">
        <v>148</v>
      </c>
      <c r="Q1127">
        <v>18.288</v>
      </c>
      <c r="R1127" t="s">
        <v>17</v>
      </c>
      <c r="T1127">
        <v>10</v>
      </c>
      <c r="V1127" t="s">
        <v>15</v>
      </c>
    </row>
    <row r="1128" spans="1:22" x14ac:dyDescent="0.25">
      <c r="A1128">
        <v>63</v>
      </c>
      <c r="B1128" t="s">
        <v>92</v>
      </c>
      <c r="C1128" t="s">
        <v>518</v>
      </c>
      <c r="E1128" t="s">
        <v>518</v>
      </c>
      <c r="L1128" t="s">
        <v>93</v>
      </c>
      <c r="M1128">
        <v>80</v>
      </c>
      <c r="N1128" t="s">
        <v>20</v>
      </c>
      <c r="Q1128">
        <v>149.96199999999999</v>
      </c>
      <c r="R1128" t="s">
        <v>17</v>
      </c>
      <c r="T1128">
        <v>10</v>
      </c>
      <c r="V1128" t="s">
        <v>15</v>
      </c>
    </row>
    <row r="1129" spans="1:22" x14ac:dyDescent="0.25">
      <c r="A1129">
        <v>63</v>
      </c>
      <c r="B1129" t="s">
        <v>92</v>
      </c>
      <c r="C1129" t="s">
        <v>518</v>
      </c>
      <c r="E1129" t="s">
        <v>518</v>
      </c>
      <c r="L1129" t="s">
        <v>93</v>
      </c>
      <c r="M1129">
        <v>90</v>
      </c>
      <c r="N1129" t="s">
        <v>24</v>
      </c>
      <c r="Q1129">
        <v>1</v>
      </c>
      <c r="R1129" t="s">
        <v>11</v>
      </c>
      <c r="T1129">
        <v>10</v>
      </c>
      <c r="V1129" t="s">
        <v>15</v>
      </c>
    </row>
    <row r="1130" spans="1:22" x14ac:dyDescent="0.25">
      <c r="A1130">
        <v>63</v>
      </c>
      <c r="B1130" t="s">
        <v>92</v>
      </c>
      <c r="C1130" t="s">
        <v>518</v>
      </c>
      <c r="E1130" t="s">
        <v>518</v>
      </c>
      <c r="L1130" t="s">
        <v>93</v>
      </c>
      <c r="M1130">
        <v>100</v>
      </c>
      <c r="N1130" t="s">
        <v>141</v>
      </c>
      <c r="Q1130">
        <v>8.5999999999999993E-2</v>
      </c>
      <c r="R1130" t="s">
        <v>14</v>
      </c>
      <c r="T1130">
        <v>10</v>
      </c>
      <c r="V1130" t="s">
        <v>15</v>
      </c>
    </row>
    <row r="1131" spans="1:22" x14ac:dyDescent="0.25">
      <c r="A1131">
        <v>63</v>
      </c>
      <c r="B1131" t="s">
        <v>92</v>
      </c>
      <c r="C1131" t="s">
        <v>518</v>
      </c>
      <c r="E1131" t="s">
        <v>518</v>
      </c>
      <c r="L1131" t="s">
        <v>93</v>
      </c>
      <c r="M1131">
        <v>110</v>
      </c>
      <c r="N1131" t="s">
        <v>140</v>
      </c>
      <c r="Q1131">
        <v>4</v>
      </c>
      <c r="R1131" t="s">
        <v>11</v>
      </c>
      <c r="T1131">
        <v>10</v>
      </c>
      <c r="V1131" t="s">
        <v>15</v>
      </c>
    </row>
    <row r="1132" spans="1:22" x14ac:dyDescent="0.25">
      <c r="A1132">
        <v>63</v>
      </c>
      <c r="B1132" t="s">
        <v>92</v>
      </c>
      <c r="C1132" t="s">
        <v>518</v>
      </c>
      <c r="E1132" t="s">
        <v>518</v>
      </c>
      <c r="L1132" t="s">
        <v>93</v>
      </c>
      <c r="M1132">
        <v>120</v>
      </c>
      <c r="N1132" t="s">
        <v>25</v>
      </c>
      <c r="Q1132">
        <v>1</v>
      </c>
      <c r="R1132" t="s">
        <v>11</v>
      </c>
      <c r="T1132">
        <v>10</v>
      </c>
      <c r="V1132" t="s">
        <v>15</v>
      </c>
    </row>
    <row r="1133" spans="1:22" x14ac:dyDescent="0.25">
      <c r="A1133">
        <v>63</v>
      </c>
      <c r="B1133" t="s">
        <v>92</v>
      </c>
      <c r="C1133" t="s">
        <v>518</v>
      </c>
      <c r="E1133" t="s">
        <v>518</v>
      </c>
      <c r="L1133" t="s">
        <v>93</v>
      </c>
      <c r="M1133">
        <v>130</v>
      </c>
      <c r="N1133" t="s">
        <v>26</v>
      </c>
      <c r="Q1133">
        <v>1</v>
      </c>
      <c r="R1133" t="s">
        <v>11</v>
      </c>
      <c r="T1133">
        <v>10</v>
      </c>
      <c r="V1133" t="s">
        <v>15</v>
      </c>
    </row>
    <row r="1134" spans="1:22" x14ac:dyDescent="0.25">
      <c r="A1134">
        <v>63</v>
      </c>
      <c r="B1134" t="s">
        <v>92</v>
      </c>
      <c r="C1134" t="s">
        <v>518</v>
      </c>
      <c r="E1134" t="s">
        <v>518</v>
      </c>
      <c r="L1134" t="s">
        <v>93</v>
      </c>
      <c r="M1134">
        <v>140</v>
      </c>
      <c r="N1134" t="s">
        <v>100</v>
      </c>
      <c r="Q1134">
        <v>1.216</v>
      </c>
      <c r="R1134" t="s">
        <v>14</v>
      </c>
      <c r="T1134">
        <v>10</v>
      </c>
      <c r="V1134" t="s">
        <v>15</v>
      </c>
    </row>
    <row r="1135" spans="1:22" x14ac:dyDescent="0.25">
      <c r="A1135">
        <v>63</v>
      </c>
      <c r="B1135" t="s">
        <v>92</v>
      </c>
      <c r="C1135" t="s">
        <v>518</v>
      </c>
      <c r="E1135" t="s">
        <v>518</v>
      </c>
      <c r="L1135" t="s">
        <v>93</v>
      </c>
      <c r="M1135">
        <v>150</v>
      </c>
      <c r="N1135" t="s">
        <v>521</v>
      </c>
      <c r="Q1135">
        <v>1</v>
      </c>
      <c r="R1135" t="s">
        <v>11</v>
      </c>
      <c r="T1135">
        <v>10</v>
      </c>
      <c r="V1135" t="s">
        <v>18</v>
      </c>
    </row>
    <row r="1136" spans="1:22" x14ac:dyDescent="0.25">
      <c r="A1136">
        <v>63</v>
      </c>
      <c r="B1136" t="s">
        <v>92</v>
      </c>
      <c r="C1136" t="s">
        <v>518</v>
      </c>
      <c r="E1136" t="s">
        <v>518</v>
      </c>
      <c r="L1136" t="s">
        <v>93</v>
      </c>
      <c r="M1136">
        <v>160</v>
      </c>
      <c r="N1136" t="s">
        <v>522</v>
      </c>
      <c r="Q1136">
        <v>1</v>
      </c>
      <c r="R1136" t="s">
        <v>11</v>
      </c>
      <c r="T1136">
        <v>10</v>
      </c>
      <c r="V1136" t="s">
        <v>18</v>
      </c>
    </row>
    <row r="1137" spans="1:22" x14ac:dyDescent="0.25">
      <c r="A1137">
        <v>63</v>
      </c>
      <c r="B1137" t="s">
        <v>92</v>
      </c>
      <c r="C1137" t="s">
        <v>518</v>
      </c>
      <c r="E1137" t="s">
        <v>518</v>
      </c>
      <c r="L1137" t="s">
        <v>93</v>
      </c>
      <c r="M1137">
        <v>170</v>
      </c>
      <c r="N1137" t="s">
        <v>142</v>
      </c>
      <c r="Q1137">
        <v>6.0960000000000001</v>
      </c>
      <c r="R1137" t="s">
        <v>11</v>
      </c>
      <c r="T1137">
        <v>10</v>
      </c>
      <c r="V1137" t="s">
        <v>15</v>
      </c>
    </row>
    <row r="1138" spans="1:22" x14ac:dyDescent="0.25">
      <c r="A1138">
        <v>63</v>
      </c>
      <c r="B1138" t="s">
        <v>92</v>
      </c>
      <c r="C1138" t="s">
        <v>518</v>
      </c>
      <c r="E1138" t="s">
        <v>518</v>
      </c>
      <c r="L1138" t="s">
        <v>93</v>
      </c>
      <c r="M1138">
        <v>180</v>
      </c>
      <c r="N1138" t="s">
        <v>523</v>
      </c>
      <c r="Q1138">
        <v>1</v>
      </c>
      <c r="R1138" t="s">
        <v>11</v>
      </c>
      <c r="T1138">
        <v>10</v>
      </c>
      <c r="V1138" t="s">
        <v>18</v>
      </c>
    </row>
    <row r="1139" spans="1:22" x14ac:dyDescent="0.25">
      <c r="A1139">
        <v>64</v>
      </c>
      <c r="B1139" t="s">
        <v>92</v>
      </c>
      <c r="C1139" t="s">
        <v>524</v>
      </c>
      <c r="E1139" t="s">
        <v>524</v>
      </c>
      <c r="L1139" t="s">
        <v>93</v>
      </c>
      <c r="M1139">
        <v>10</v>
      </c>
      <c r="N1139" t="s">
        <v>525</v>
      </c>
      <c r="Q1139">
        <v>1</v>
      </c>
      <c r="R1139" t="s">
        <v>11</v>
      </c>
      <c r="T1139">
        <v>10</v>
      </c>
      <c r="V1139" t="s">
        <v>18</v>
      </c>
    </row>
    <row r="1140" spans="1:22" x14ac:dyDescent="0.25">
      <c r="A1140">
        <v>64</v>
      </c>
      <c r="B1140" t="s">
        <v>92</v>
      </c>
      <c r="C1140" t="s">
        <v>524</v>
      </c>
      <c r="E1140" t="s">
        <v>524</v>
      </c>
      <c r="L1140" t="s">
        <v>93</v>
      </c>
      <c r="M1140">
        <v>20</v>
      </c>
      <c r="N1140" t="s">
        <v>132</v>
      </c>
      <c r="Q1140">
        <v>2.98</v>
      </c>
      <c r="R1140" t="s">
        <v>14</v>
      </c>
      <c r="T1140">
        <v>10</v>
      </c>
      <c r="V1140" t="s">
        <v>15</v>
      </c>
    </row>
    <row r="1141" spans="1:22" x14ac:dyDescent="0.25">
      <c r="A1141">
        <v>64</v>
      </c>
      <c r="B1141" t="s">
        <v>92</v>
      </c>
      <c r="C1141" t="s">
        <v>524</v>
      </c>
      <c r="E1141" t="s">
        <v>524</v>
      </c>
      <c r="L1141" t="s">
        <v>93</v>
      </c>
      <c r="M1141">
        <v>30</v>
      </c>
      <c r="N1141" t="s">
        <v>102</v>
      </c>
      <c r="Q1141">
        <v>0.82</v>
      </c>
      <c r="R1141" t="s">
        <v>103</v>
      </c>
      <c r="T1141">
        <v>10</v>
      </c>
      <c r="V1141" t="s">
        <v>15</v>
      </c>
    </row>
    <row r="1142" spans="1:22" x14ac:dyDescent="0.25">
      <c r="A1142">
        <v>64</v>
      </c>
      <c r="B1142" t="s">
        <v>92</v>
      </c>
      <c r="C1142" t="s">
        <v>524</v>
      </c>
      <c r="E1142" t="s">
        <v>524</v>
      </c>
      <c r="L1142" t="s">
        <v>93</v>
      </c>
      <c r="M1142">
        <v>40</v>
      </c>
      <c r="N1142" t="s">
        <v>146</v>
      </c>
      <c r="Q1142">
        <v>2.0569999999999999</v>
      </c>
      <c r="R1142" t="s">
        <v>11</v>
      </c>
      <c r="T1142">
        <v>10</v>
      </c>
      <c r="V1142" t="s">
        <v>18</v>
      </c>
    </row>
    <row r="1143" spans="1:22" x14ac:dyDescent="0.25">
      <c r="A1143">
        <v>64</v>
      </c>
      <c r="B1143" t="s">
        <v>92</v>
      </c>
      <c r="C1143" t="s">
        <v>524</v>
      </c>
      <c r="E1143" t="s">
        <v>524</v>
      </c>
      <c r="L1143" t="s">
        <v>93</v>
      </c>
      <c r="M1143">
        <v>50</v>
      </c>
      <c r="N1143" t="s">
        <v>139</v>
      </c>
      <c r="Q1143">
        <v>2.0569999999999999</v>
      </c>
      <c r="R1143" t="s">
        <v>17</v>
      </c>
      <c r="T1143">
        <v>10</v>
      </c>
      <c r="V1143" t="s">
        <v>18</v>
      </c>
    </row>
    <row r="1144" spans="1:22" x14ac:dyDescent="0.25">
      <c r="A1144">
        <v>64</v>
      </c>
      <c r="B1144" t="s">
        <v>92</v>
      </c>
      <c r="C1144" t="s">
        <v>524</v>
      </c>
      <c r="E1144" t="s">
        <v>524</v>
      </c>
      <c r="L1144" t="s">
        <v>93</v>
      </c>
      <c r="M1144">
        <v>60</v>
      </c>
      <c r="N1144" t="s">
        <v>526</v>
      </c>
      <c r="Q1144">
        <v>1</v>
      </c>
      <c r="R1144" t="s">
        <v>11</v>
      </c>
      <c r="T1144">
        <v>10</v>
      </c>
      <c r="V1144" t="s">
        <v>18</v>
      </c>
    </row>
    <row r="1145" spans="1:22" x14ac:dyDescent="0.25">
      <c r="A1145">
        <v>64</v>
      </c>
      <c r="B1145" t="s">
        <v>92</v>
      </c>
      <c r="C1145" t="s">
        <v>524</v>
      </c>
      <c r="E1145" t="s">
        <v>524</v>
      </c>
      <c r="L1145" t="s">
        <v>93</v>
      </c>
      <c r="M1145">
        <v>70</v>
      </c>
      <c r="N1145" t="s">
        <v>148</v>
      </c>
      <c r="Q1145">
        <v>19.202000000000002</v>
      </c>
      <c r="R1145" t="s">
        <v>17</v>
      </c>
      <c r="T1145">
        <v>10</v>
      </c>
      <c r="V1145" t="s">
        <v>15</v>
      </c>
    </row>
    <row r="1146" spans="1:22" x14ac:dyDescent="0.25">
      <c r="A1146">
        <v>64</v>
      </c>
      <c r="B1146" t="s">
        <v>92</v>
      </c>
      <c r="C1146" t="s">
        <v>524</v>
      </c>
      <c r="E1146" t="s">
        <v>524</v>
      </c>
      <c r="L1146" t="s">
        <v>93</v>
      </c>
      <c r="M1146">
        <v>80</v>
      </c>
      <c r="N1146" t="s">
        <v>20</v>
      </c>
      <c r="Q1146">
        <v>157.46</v>
      </c>
      <c r="R1146" t="s">
        <v>17</v>
      </c>
      <c r="T1146">
        <v>10</v>
      </c>
      <c r="V1146" t="s">
        <v>15</v>
      </c>
    </row>
    <row r="1147" spans="1:22" x14ac:dyDescent="0.25">
      <c r="A1147">
        <v>64</v>
      </c>
      <c r="B1147" t="s">
        <v>92</v>
      </c>
      <c r="C1147" t="s">
        <v>524</v>
      </c>
      <c r="E1147" t="s">
        <v>524</v>
      </c>
      <c r="L1147" t="s">
        <v>93</v>
      </c>
      <c r="M1147">
        <v>90</v>
      </c>
      <c r="N1147" t="s">
        <v>24</v>
      </c>
      <c r="Q1147">
        <v>1</v>
      </c>
      <c r="R1147" t="s">
        <v>11</v>
      </c>
      <c r="T1147">
        <v>10</v>
      </c>
      <c r="V1147" t="s">
        <v>15</v>
      </c>
    </row>
    <row r="1148" spans="1:22" x14ac:dyDescent="0.25">
      <c r="A1148">
        <v>64</v>
      </c>
      <c r="B1148" t="s">
        <v>92</v>
      </c>
      <c r="C1148" t="s">
        <v>524</v>
      </c>
      <c r="E1148" t="s">
        <v>524</v>
      </c>
      <c r="L1148" t="s">
        <v>93</v>
      </c>
      <c r="M1148">
        <v>100</v>
      </c>
      <c r="N1148" t="s">
        <v>141</v>
      </c>
      <c r="Q1148">
        <v>9.7000000000000003E-2</v>
      </c>
      <c r="R1148" t="s">
        <v>14</v>
      </c>
      <c r="T1148">
        <v>10</v>
      </c>
      <c r="V1148" t="s">
        <v>15</v>
      </c>
    </row>
    <row r="1149" spans="1:22" x14ac:dyDescent="0.25">
      <c r="A1149">
        <v>64</v>
      </c>
      <c r="B1149" t="s">
        <v>92</v>
      </c>
      <c r="C1149" t="s">
        <v>524</v>
      </c>
      <c r="E1149" t="s">
        <v>524</v>
      </c>
      <c r="L1149" t="s">
        <v>93</v>
      </c>
      <c r="M1149">
        <v>110</v>
      </c>
      <c r="N1149" t="s">
        <v>140</v>
      </c>
      <c r="Q1149">
        <v>4</v>
      </c>
      <c r="R1149" t="s">
        <v>11</v>
      </c>
      <c r="T1149">
        <v>10</v>
      </c>
      <c r="V1149" t="s">
        <v>15</v>
      </c>
    </row>
    <row r="1150" spans="1:22" x14ac:dyDescent="0.25">
      <c r="A1150">
        <v>64</v>
      </c>
      <c r="B1150" t="s">
        <v>92</v>
      </c>
      <c r="C1150" t="s">
        <v>524</v>
      </c>
      <c r="E1150" t="s">
        <v>524</v>
      </c>
      <c r="L1150" t="s">
        <v>93</v>
      </c>
      <c r="M1150">
        <v>120</v>
      </c>
      <c r="N1150" t="s">
        <v>25</v>
      </c>
      <c r="Q1150">
        <v>1</v>
      </c>
      <c r="R1150" t="s">
        <v>11</v>
      </c>
      <c r="T1150">
        <v>10</v>
      </c>
      <c r="V1150" t="s">
        <v>15</v>
      </c>
    </row>
    <row r="1151" spans="1:22" x14ac:dyDescent="0.25">
      <c r="A1151">
        <v>64</v>
      </c>
      <c r="B1151" t="s">
        <v>92</v>
      </c>
      <c r="C1151" t="s">
        <v>524</v>
      </c>
      <c r="E1151" t="s">
        <v>524</v>
      </c>
      <c r="L1151" t="s">
        <v>93</v>
      </c>
      <c r="M1151">
        <v>130</v>
      </c>
      <c r="N1151" t="s">
        <v>26</v>
      </c>
      <c r="Q1151">
        <v>1</v>
      </c>
      <c r="R1151" t="s">
        <v>11</v>
      </c>
      <c r="T1151">
        <v>10</v>
      </c>
      <c r="V1151" t="s">
        <v>15</v>
      </c>
    </row>
    <row r="1152" spans="1:22" x14ac:dyDescent="0.25">
      <c r="A1152">
        <v>64</v>
      </c>
      <c r="B1152" t="s">
        <v>92</v>
      </c>
      <c r="C1152" t="s">
        <v>524</v>
      </c>
      <c r="E1152" t="s">
        <v>524</v>
      </c>
      <c r="L1152" t="s">
        <v>93</v>
      </c>
      <c r="M1152">
        <v>140</v>
      </c>
      <c r="N1152" t="s">
        <v>100</v>
      </c>
      <c r="Q1152">
        <v>1.216</v>
      </c>
      <c r="R1152" t="s">
        <v>14</v>
      </c>
      <c r="T1152">
        <v>10</v>
      </c>
      <c r="V1152" t="s">
        <v>15</v>
      </c>
    </row>
    <row r="1153" spans="1:22" x14ac:dyDescent="0.25">
      <c r="A1153">
        <v>64</v>
      </c>
      <c r="B1153" t="s">
        <v>92</v>
      </c>
      <c r="C1153" t="s">
        <v>524</v>
      </c>
      <c r="E1153" t="s">
        <v>524</v>
      </c>
      <c r="L1153" t="s">
        <v>93</v>
      </c>
      <c r="M1153">
        <v>150</v>
      </c>
      <c r="N1153" t="s">
        <v>527</v>
      </c>
      <c r="Q1153">
        <v>1</v>
      </c>
      <c r="R1153" t="s">
        <v>11</v>
      </c>
      <c r="T1153">
        <v>10</v>
      </c>
      <c r="V1153" t="s">
        <v>18</v>
      </c>
    </row>
    <row r="1154" spans="1:22" x14ac:dyDescent="0.25">
      <c r="A1154">
        <v>64</v>
      </c>
      <c r="B1154" t="s">
        <v>92</v>
      </c>
      <c r="C1154" t="s">
        <v>524</v>
      </c>
      <c r="E1154" t="s">
        <v>524</v>
      </c>
      <c r="L1154" t="s">
        <v>93</v>
      </c>
      <c r="M1154">
        <v>160</v>
      </c>
      <c r="N1154" t="s">
        <v>528</v>
      </c>
      <c r="Q1154">
        <v>1</v>
      </c>
      <c r="R1154" t="s">
        <v>11</v>
      </c>
      <c r="T1154">
        <v>10</v>
      </c>
      <c r="V1154" t="s">
        <v>18</v>
      </c>
    </row>
    <row r="1155" spans="1:22" x14ac:dyDescent="0.25">
      <c r="A1155">
        <v>64</v>
      </c>
      <c r="B1155" t="s">
        <v>92</v>
      </c>
      <c r="C1155" t="s">
        <v>524</v>
      </c>
      <c r="E1155" t="s">
        <v>524</v>
      </c>
      <c r="L1155" t="s">
        <v>93</v>
      </c>
      <c r="M1155">
        <v>170</v>
      </c>
      <c r="N1155" t="s">
        <v>142</v>
      </c>
      <c r="Q1155">
        <v>6.4009999999999998</v>
      </c>
      <c r="R1155" t="s">
        <v>11</v>
      </c>
      <c r="T1155">
        <v>10</v>
      </c>
      <c r="V1155" t="s">
        <v>15</v>
      </c>
    </row>
    <row r="1156" spans="1:22" x14ac:dyDescent="0.25">
      <c r="A1156">
        <v>64</v>
      </c>
      <c r="B1156" t="s">
        <v>92</v>
      </c>
      <c r="C1156" t="s">
        <v>524</v>
      </c>
      <c r="E1156" t="s">
        <v>524</v>
      </c>
      <c r="L1156" t="s">
        <v>93</v>
      </c>
      <c r="M1156">
        <v>180</v>
      </c>
      <c r="N1156" t="s">
        <v>529</v>
      </c>
      <c r="Q1156">
        <v>1</v>
      </c>
      <c r="R1156" t="s">
        <v>11</v>
      </c>
      <c r="T1156">
        <v>10</v>
      </c>
      <c r="V1156" t="s">
        <v>18</v>
      </c>
    </row>
    <row r="1157" spans="1:22" x14ac:dyDescent="0.25">
      <c r="A1157">
        <v>65</v>
      </c>
      <c r="B1157" t="s">
        <v>92</v>
      </c>
      <c r="C1157" t="s">
        <v>530</v>
      </c>
      <c r="E1157" t="s">
        <v>530</v>
      </c>
      <c r="L1157" t="s">
        <v>93</v>
      </c>
      <c r="M1157">
        <v>10</v>
      </c>
      <c r="N1157" t="s">
        <v>531</v>
      </c>
      <c r="Q1157">
        <v>1</v>
      </c>
      <c r="R1157" t="s">
        <v>11</v>
      </c>
      <c r="T1157">
        <v>10</v>
      </c>
      <c r="V1157" t="s">
        <v>18</v>
      </c>
    </row>
    <row r="1158" spans="1:22" x14ac:dyDescent="0.25">
      <c r="A1158">
        <v>65</v>
      </c>
      <c r="B1158" t="s">
        <v>92</v>
      </c>
      <c r="C1158" t="s">
        <v>530</v>
      </c>
      <c r="E1158" t="s">
        <v>530</v>
      </c>
      <c r="L1158" t="s">
        <v>93</v>
      </c>
      <c r="M1158">
        <v>20</v>
      </c>
      <c r="N1158" t="s">
        <v>132</v>
      </c>
      <c r="Q1158">
        <v>3.411</v>
      </c>
      <c r="R1158" t="s">
        <v>14</v>
      </c>
      <c r="T1158">
        <v>10</v>
      </c>
      <c r="V1158" t="s">
        <v>15</v>
      </c>
    </row>
    <row r="1159" spans="1:22" x14ac:dyDescent="0.25">
      <c r="A1159">
        <v>65</v>
      </c>
      <c r="B1159" t="s">
        <v>92</v>
      </c>
      <c r="C1159" t="s">
        <v>530</v>
      </c>
      <c r="E1159" t="s">
        <v>530</v>
      </c>
      <c r="L1159" t="s">
        <v>93</v>
      </c>
      <c r="M1159">
        <v>30</v>
      </c>
      <c r="N1159" t="s">
        <v>102</v>
      </c>
      <c r="Q1159">
        <v>0.94</v>
      </c>
      <c r="R1159" t="s">
        <v>103</v>
      </c>
      <c r="T1159">
        <v>10</v>
      </c>
      <c r="V1159" t="s">
        <v>15</v>
      </c>
    </row>
    <row r="1160" spans="1:22" x14ac:dyDescent="0.25">
      <c r="A1160">
        <v>65</v>
      </c>
      <c r="B1160" t="s">
        <v>92</v>
      </c>
      <c r="C1160" t="s">
        <v>530</v>
      </c>
      <c r="E1160" t="s">
        <v>530</v>
      </c>
      <c r="L1160" t="s">
        <v>93</v>
      </c>
      <c r="M1160">
        <v>40</v>
      </c>
      <c r="N1160" t="s">
        <v>146</v>
      </c>
      <c r="Q1160">
        <v>2.0569999999999999</v>
      </c>
      <c r="R1160" t="s">
        <v>11</v>
      </c>
      <c r="T1160">
        <v>10</v>
      </c>
      <c r="V1160" t="s">
        <v>18</v>
      </c>
    </row>
    <row r="1161" spans="1:22" x14ac:dyDescent="0.25">
      <c r="A1161">
        <v>65</v>
      </c>
      <c r="B1161" t="s">
        <v>92</v>
      </c>
      <c r="C1161" t="s">
        <v>530</v>
      </c>
      <c r="E1161" t="s">
        <v>530</v>
      </c>
      <c r="L1161" t="s">
        <v>93</v>
      </c>
      <c r="M1161">
        <v>50</v>
      </c>
      <c r="N1161" t="s">
        <v>139</v>
      </c>
      <c r="Q1161">
        <v>2.0569999999999999</v>
      </c>
      <c r="R1161" t="s">
        <v>17</v>
      </c>
      <c r="T1161">
        <v>10</v>
      </c>
      <c r="V1161" t="s">
        <v>18</v>
      </c>
    </row>
    <row r="1162" spans="1:22" x14ac:dyDescent="0.25">
      <c r="A1162">
        <v>65</v>
      </c>
      <c r="B1162" t="s">
        <v>92</v>
      </c>
      <c r="C1162" t="s">
        <v>530</v>
      </c>
      <c r="E1162" t="s">
        <v>530</v>
      </c>
      <c r="L1162" t="s">
        <v>93</v>
      </c>
      <c r="M1162">
        <v>60</v>
      </c>
      <c r="N1162" t="s">
        <v>532</v>
      </c>
      <c r="Q1162">
        <v>1</v>
      </c>
      <c r="R1162" t="s">
        <v>11</v>
      </c>
      <c r="T1162">
        <v>10</v>
      </c>
      <c r="V1162" t="s">
        <v>18</v>
      </c>
    </row>
    <row r="1163" spans="1:22" x14ac:dyDescent="0.25">
      <c r="A1163">
        <v>65</v>
      </c>
      <c r="B1163" t="s">
        <v>92</v>
      </c>
      <c r="C1163" t="s">
        <v>530</v>
      </c>
      <c r="E1163" t="s">
        <v>530</v>
      </c>
      <c r="L1163" t="s">
        <v>93</v>
      </c>
      <c r="M1163">
        <v>70</v>
      </c>
      <c r="N1163" t="s">
        <v>148</v>
      </c>
      <c r="Q1163">
        <v>20.117000000000001</v>
      </c>
      <c r="R1163" t="s">
        <v>17</v>
      </c>
      <c r="T1163">
        <v>10</v>
      </c>
      <c r="V1163" t="s">
        <v>15</v>
      </c>
    </row>
    <row r="1164" spans="1:22" x14ac:dyDescent="0.25">
      <c r="A1164">
        <v>65</v>
      </c>
      <c r="B1164" t="s">
        <v>92</v>
      </c>
      <c r="C1164" t="s">
        <v>530</v>
      </c>
      <c r="E1164" t="s">
        <v>530</v>
      </c>
      <c r="L1164" t="s">
        <v>93</v>
      </c>
      <c r="M1164">
        <v>80</v>
      </c>
      <c r="N1164" t="s">
        <v>20</v>
      </c>
      <c r="Q1164">
        <v>164.958</v>
      </c>
      <c r="R1164" t="s">
        <v>17</v>
      </c>
      <c r="T1164">
        <v>10</v>
      </c>
      <c r="V1164" t="s">
        <v>15</v>
      </c>
    </row>
    <row r="1165" spans="1:22" x14ac:dyDescent="0.25">
      <c r="A1165">
        <v>65</v>
      </c>
      <c r="B1165" t="s">
        <v>92</v>
      </c>
      <c r="C1165" t="s">
        <v>530</v>
      </c>
      <c r="E1165" t="s">
        <v>530</v>
      </c>
      <c r="L1165" t="s">
        <v>93</v>
      </c>
      <c r="M1165">
        <v>90</v>
      </c>
      <c r="N1165" t="s">
        <v>24</v>
      </c>
      <c r="Q1165">
        <v>1</v>
      </c>
      <c r="R1165" t="s">
        <v>11</v>
      </c>
      <c r="T1165">
        <v>10</v>
      </c>
      <c r="V1165" t="s">
        <v>15</v>
      </c>
    </row>
    <row r="1166" spans="1:22" x14ac:dyDescent="0.25">
      <c r="A1166">
        <v>65</v>
      </c>
      <c r="B1166" t="s">
        <v>92</v>
      </c>
      <c r="C1166" t="s">
        <v>530</v>
      </c>
      <c r="E1166" t="s">
        <v>530</v>
      </c>
      <c r="L1166" t="s">
        <v>93</v>
      </c>
      <c r="M1166">
        <v>100</v>
      </c>
      <c r="N1166" t="s">
        <v>141</v>
      </c>
      <c r="Q1166">
        <v>0.107</v>
      </c>
      <c r="R1166" t="s">
        <v>14</v>
      </c>
      <c r="T1166">
        <v>10</v>
      </c>
      <c r="V1166" t="s">
        <v>15</v>
      </c>
    </row>
    <row r="1167" spans="1:22" x14ac:dyDescent="0.25">
      <c r="A1167">
        <v>65</v>
      </c>
      <c r="B1167" t="s">
        <v>92</v>
      </c>
      <c r="C1167" t="s">
        <v>530</v>
      </c>
      <c r="E1167" t="s">
        <v>530</v>
      </c>
      <c r="L1167" t="s">
        <v>93</v>
      </c>
      <c r="M1167">
        <v>110</v>
      </c>
      <c r="N1167" t="s">
        <v>140</v>
      </c>
      <c r="Q1167">
        <v>4</v>
      </c>
      <c r="R1167" t="s">
        <v>11</v>
      </c>
      <c r="T1167">
        <v>10</v>
      </c>
      <c r="V1167" t="s">
        <v>15</v>
      </c>
    </row>
    <row r="1168" spans="1:22" x14ac:dyDescent="0.25">
      <c r="A1168">
        <v>65</v>
      </c>
      <c r="B1168" t="s">
        <v>92</v>
      </c>
      <c r="C1168" t="s">
        <v>530</v>
      </c>
      <c r="E1168" t="s">
        <v>530</v>
      </c>
      <c r="L1168" t="s">
        <v>93</v>
      </c>
      <c r="M1168">
        <v>120</v>
      </c>
      <c r="N1168" t="s">
        <v>25</v>
      </c>
      <c r="Q1168">
        <v>1</v>
      </c>
      <c r="R1168" t="s">
        <v>11</v>
      </c>
      <c r="T1168">
        <v>10</v>
      </c>
      <c r="V1168" t="s">
        <v>15</v>
      </c>
    </row>
    <row r="1169" spans="1:22" x14ac:dyDescent="0.25">
      <c r="A1169">
        <v>65</v>
      </c>
      <c r="B1169" t="s">
        <v>92</v>
      </c>
      <c r="C1169" t="s">
        <v>530</v>
      </c>
      <c r="E1169" t="s">
        <v>530</v>
      </c>
      <c r="L1169" t="s">
        <v>93</v>
      </c>
      <c r="M1169">
        <v>130</v>
      </c>
      <c r="N1169" t="s">
        <v>26</v>
      </c>
      <c r="Q1169">
        <v>1</v>
      </c>
      <c r="R1169" t="s">
        <v>11</v>
      </c>
      <c r="T1169">
        <v>10</v>
      </c>
      <c r="V1169" t="s">
        <v>15</v>
      </c>
    </row>
    <row r="1170" spans="1:22" x14ac:dyDescent="0.25">
      <c r="A1170">
        <v>65</v>
      </c>
      <c r="B1170" t="s">
        <v>92</v>
      </c>
      <c r="C1170" t="s">
        <v>530</v>
      </c>
      <c r="E1170" t="s">
        <v>530</v>
      </c>
      <c r="L1170" t="s">
        <v>93</v>
      </c>
      <c r="M1170">
        <v>140</v>
      </c>
      <c r="N1170" t="s">
        <v>100</v>
      </c>
      <c r="Q1170">
        <v>1.216</v>
      </c>
      <c r="R1170" t="s">
        <v>14</v>
      </c>
      <c r="T1170">
        <v>10</v>
      </c>
      <c r="V1170" t="s">
        <v>15</v>
      </c>
    </row>
    <row r="1171" spans="1:22" x14ac:dyDescent="0.25">
      <c r="A1171">
        <v>65</v>
      </c>
      <c r="B1171" t="s">
        <v>92</v>
      </c>
      <c r="C1171" t="s">
        <v>530</v>
      </c>
      <c r="E1171" t="s">
        <v>530</v>
      </c>
      <c r="L1171" t="s">
        <v>93</v>
      </c>
      <c r="M1171">
        <v>150</v>
      </c>
      <c r="N1171" t="s">
        <v>533</v>
      </c>
      <c r="Q1171">
        <v>1</v>
      </c>
      <c r="R1171" t="s">
        <v>11</v>
      </c>
      <c r="T1171">
        <v>10</v>
      </c>
      <c r="V1171" t="s">
        <v>18</v>
      </c>
    </row>
    <row r="1172" spans="1:22" x14ac:dyDescent="0.25">
      <c r="A1172">
        <v>65</v>
      </c>
      <c r="B1172" t="s">
        <v>92</v>
      </c>
      <c r="C1172" t="s">
        <v>530</v>
      </c>
      <c r="E1172" t="s">
        <v>530</v>
      </c>
      <c r="L1172" t="s">
        <v>93</v>
      </c>
      <c r="M1172">
        <v>160</v>
      </c>
      <c r="N1172" t="s">
        <v>534</v>
      </c>
      <c r="Q1172">
        <v>1</v>
      </c>
      <c r="R1172" t="s">
        <v>11</v>
      </c>
      <c r="T1172">
        <v>10</v>
      </c>
      <c r="V1172" t="s">
        <v>18</v>
      </c>
    </row>
    <row r="1173" spans="1:22" x14ac:dyDescent="0.25">
      <c r="A1173">
        <v>65</v>
      </c>
      <c r="B1173" t="s">
        <v>92</v>
      </c>
      <c r="C1173" t="s">
        <v>530</v>
      </c>
      <c r="E1173" t="s">
        <v>530</v>
      </c>
      <c r="L1173" t="s">
        <v>93</v>
      </c>
      <c r="M1173">
        <v>170</v>
      </c>
      <c r="N1173" t="s">
        <v>142</v>
      </c>
      <c r="Q1173">
        <v>6.7060000000000004</v>
      </c>
      <c r="R1173" t="s">
        <v>11</v>
      </c>
      <c r="T1173">
        <v>10</v>
      </c>
      <c r="V1173" t="s">
        <v>15</v>
      </c>
    </row>
    <row r="1174" spans="1:22" x14ac:dyDescent="0.25">
      <c r="A1174">
        <v>65</v>
      </c>
      <c r="B1174" t="s">
        <v>92</v>
      </c>
      <c r="C1174" t="s">
        <v>530</v>
      </c>
      <c r="E1174" t="s">
        <v>530</v>
      </c>
      <c r="L1174" t="s">
        <v>93</v>
      </c>
      <c r="M1174">
        <v>180</v>
      </c>
      <c r="N1174" t="s">
        <v>535</v>
      </c>
      <c r="Q1174">
        <v>1</v>
      </c>
      <c r="R1174" t="s">
        <v>11</v>
      </c>
      <c r="T1174">
        <v>10</v>
      </c>
      <c r="V1174" t="s">
        <v>18</v>
      </c>
    </row>
    <row r="1175" spans="1:22" x14ac:dyDescent="0.25">
      <c r="A1175">
        <v>66</v>
      </c>
      <c r="B1175" t="s">
        <v>92</v>
      </c>
      <c r="C1175" t="s">
        <v>536</v>
      </c>
      <c r="E1175" t="s">
        <v>536</v>
      </c>
      <c r="L1175" t="s">
        <v>93</v>
      </c>
      <c r="M1175">
        <v>10</v>
      </c>
      <c r="N1175" t="s">
        <v>537</v>
      </c>
      <c r="Q1175">
        <v>1</v>
      </c>
      <c r="R1175" t="s">
        <v>11</v>
      </c>
      <c r="T1175">
        <v>10</v>
      </c>
      <c r="V1175" t="s">
        <v>18</v>
      </c>
    </row>
    <row r="1176" spans="1:22" x14ac:dyDescent="0.25">
      <c r="A1176">
        <v>66</v>
      </c>
      <c r="B1176" t="s">
        <v>92</v>
      </c>
      <c r="C1176" t="s">
        <v>536</v>
      </c>
      <c r="E1176" t="s">
        <v>536</v>
      </c>
      <c r="L1176" t="s">
        <v>93</v>
      </c>
      <c r="M1176">
        <v>20</v>
      </c>
      <c r="N1176" t="s">
        <v>132</v>
      </c>
      <c r="Q1176">
        <v>4.2720000000000002</v>
      </c>
      <c r="R1176" t="s">
        <v>14</v>
      </c>
      <c r="T1176">
        <v>10</v>
      </c>
      <c r="V1176" t="s">
        <v>15</v>
      </c>
    </row>
    <row r="1177" spans="1:22" x14ac:dyDescent="0.25">
      <c r="A1177">
        <v>66</v>
      </c>
      <c r="B1177" t="s">
        <v>92</v>
      </c>
      <c r="C1177" t="s">
        <v>536</v>
      </c>
      <c r="E1177" t="s">
        <v>536</v>
      </c>
      <c r="L1177" t="s">
        <v>93</v>
      </c>
      <c r="M1177">
        <v>30</v>
      </c>
      <c r="N1177" t="s">
        <v>102</v>
      </c>
      <c r="Q1177">
        <v>1.18</v>
      </c>
      <c r="R1177" t="s">
        <v>103</v>
      </c>
      <c r="T1177">
        <v>10</v>
      </c>
      <c r="V1177" t="s">
        <v>15</v>
      </c>
    </row>
    <row r="1178" spans="1:22" x14ac:dyDescent="0.25">
      <c r="A1178">
        <v>66</v>
      </c>
      <c r="B1178" t="s">
        <v>92</v>
      </c>
      <c r="C1178" t="s">
        <v>536</v>
      </c>
      <c r="E1178" t="s">
        <v>536</v>
      </c>
      <c r="L1178" t="s">
        <v>93</v>
      </c>
      <c r="M1178">
        <v>40</v>
      </c>
      <c r="N1178" t="s">
        <v>146</v>
      </c>
      <c r="Q1178">
        <v>2.0569999999999999</v>
      </c>
      <c r="R1178" t="s">
        <v>11</v>
      </c>
      <c r="T1178">
        <v>10</v>
      </c>
      <c r="V1178" t="s">
        <v>18</v>
      </c>
    </row>
    <row r="1179" spans="1:22" x14ac:dyDescent="0.25">
      <c r="A1179">
        <v>66</v>
      </c>
      <c r="B1179" t="s">
        <v>92</v>
      </c>
      <c r="C1179" t="s">
        <v>536</v>
      </c>
      <c r="E1179" t="s">
        <v>536</v>
      </c>
      <c r="L1179" t="s">
        <v>93</v>
      </c>
      <c r="M1179">
        <v>50</v>
      </c>
      <c r="N1179" t="s">
        <v>139</v>
      </c>
      <c r="Q1179">
        <v>2.0569999999999999</v>
      </c>
      <c r="R1179" t="s">
        <v>17</v>
      </c>
      <c r="T1179">
        <v>10</v>
      </c>
      <c r="V1179" t="s">
        <v>18</v>
      </c>
    </row>
    <row r="1180" spans="1:22" x14ac:dyDescent="0.25">
      <c r="A1180">
        <v>66</v>
      </c>
      <c r="B1180" t="s">
        <v>92</v>
      </c>
      <c r="C1180" t="s">
        <v>536</v>
      </c>
      <c r="E1180" t="s">
        <v>536</v>
      </c>
      <c r="L1180" t="s">
        <v>93</v>
      </c>
      <c r="M1180">
        <v>60</v>
      </c>
      <c r="N1180" t="s">
        <v>538</v>
      </c>
      <c r="Q1180">
        <v>1</v>
      </c>
      <c r="R1180" t="s">
        <v>11</v>
      </c>
      <c r="T1180">
        <v>10</v>
      </c>
      <c r="V1180" t="s">
        <v>18</v>
      </c>
    </row>
    <row r="1181" spans="1:22" x14ac:dyDescent="0.25">
      <c r="A1181">
        <v>66</v>
      </c>
      <c r="B1181" t="s">
        <v>92</v>
      </c>
      <c r="C1181" t="s">
        <v>536</v>
      </c>
      <c r="E1181" t="s">
        <v>536</v>
      </c>
      <c r="L1181" t="s">
        <v>93</v>
      </c>
      <c r="M1181">
        <v>70</v>
      </c>
      <c r="N1181" t="s">
        <v>148</v>
      </c>
      <c r="Q1181">
        <v>21.946000000000002</v>
      </c>
      <c r="R1181" t="s">
        <v>17</v>
      </c>
      <c r="T1181">
        <v>10</v>
      </c>
      <c r="V1181" t="s">
        <v>15</v>
      </c>
    </row>
    <row r="1182" spans="1:22" x14ac:dyDescent="0.25">
      <c r="A1182">
        <v>66</v>
      </c>
      <c r="B1182" t="s">
        <v>92</v>
      </c>
      <c r="C1182" t="s">
        <v>536</v>
      </c>
      <c r="E1182" t="s">
        <v>536</v>
      </c>
      <c r="L1182" t="s">
        <v>93</v>
      </c>
      <c r="M1182">
        <v>80</v>
      </c>
      <c r="N1182" t="s">
        <v>20</v>
      </c>
      <c r="Q1182">
        <v>179.95400000000001</v>
      </c>
      <c r="R1182" t="s">
        <v>17</v>
      </c>
      <c r="T1182">
        <v>10</v>
      </c>
      <c r="V1182" t="s">
        <v>15</v>
      </c>
    </row>
    <row r="1183" spans="1:22" x14ac:dyDescent="0.25">
      <c r="A1183">
        <v>66</v>
      </c>
      <c r="B1183" t="s">
        <v>92</v>
      </c>
      <c r="C1183" t="s">
        <v>536</v>
      </c>
      <c r="E1183" t="s">
        <v>536</v>
      </c>
      <c r="L1183" t="s">
        <v>93</v>
      </c>
      <c r="M1183">
        <v>90</v>
      </c>
      <c r="N1183" t="s">
        <v>24</v>
      </c>
      <c r="Q1183">
        <v>1</v>
      </c>
      <c r="R1183" t="s">
        <v>11</v>
      </c>
      <c r="T1183">
        <v>10</v>
      </c>
      <c r="V1183" t="s">
        <v>15</v>
      </c>
    </row>
    <row r="1184" spans="1:22" x14ac:dyDescent="0.25">
      <c r="A1184">
        <v>66</v>
      </c>
      <c r="B1184" t="s">
        <v>92</v>
      </c>
      <c r="C1184" t="s">
        <v>536</v>
      </c>
      <c r="E1184" t="s">
        <v>536</v>
      </c>
      <c r="L1184" t="s">
        <v>93</v>
      </c>
      <c r="M1184">
        <v>100</v>
      </c>
      <c r="N1184" t="s">
        <v>141</v>
      </c>
      <c r="Q1184">
        <v>0.128</v>
      </c>
      <c r="R1184" t="s">
        <v>14</v>
      </c>
      <c r="T1184">
        <v>10</v>
      </c>
      <c r="V1184" t="s">
        <v>15</v>
      </c>
    </row>
    <row r="1185" spans="1:22" x14ac:dyDescent="0.25">
      <c r="A1185">
        <v>66</v>
      </c>
      <c r="B1185" t="s">
        <v>92</v>
      </c>
      <c r="C1185" t="s">
        <v>536</v>
      </c>
      <c r="E1185" t="s">
        <v>536</v>
      </c>
      <c r="L1185" t="s">
        <v>93</v>
      </c>
      <c r="M1185">
        <v>110</v>
      </c>
      <c r="N1185" t="s">
        <v>140</v>
      </c>
      <c r="Q1185">
        <v>4</v>
      </c>
      <c r="R1185" t="s">
        <v>11</v>
      </c>
      <c r="T1185">
        <v>10</v>
      </c>
      <c r="V1185" t="s">
        <v>15</v>
      </c>
    </row>
    <row r="1186" spans="1:22" x14ac:dyDescent="0.25">
      <c r="A1186">
        <v>66</v>
      </c>
      <c r="B1186" t="s">
        <v>92</v>
      </c>
      <c r="C1186" t="s">
        <v>536</v>
      </c>
      <c r="E1186" t="s">
        <v>536</v>
      </c>
      <c r="L1186" t="s">
        <v>93</v>
      </c>
      <c r="M1186">
        <v>120</v>
      </c>
      <c r="N1186" t="s">
        <v>25</v>
      </c>
      <c r="Q1186">
        <v>1</v>
      </c>
      <c r="R1186" t="s">
        <v>11</v>
      </c>
      <c r="T1186">
        <v>10</v>
      </c>
      <c r="V1186" t="s">
        <v>15</v>
      </c>
    </row>
    <row r="1187" spans="1:22" x14ac:dyDescent="0.25">
      <c r="A1187">
        <v>66</v>
      </c>
      <c r="B1187" t="s">
        <v>92</v>
      </c>
      <c r="C1187" t="s">
        <v>536</v>
      </c>
      <c r="E1187" t="s">
        <v>536</v>
      </c>
      <c r="L1187" t="s">
        <v>93</v>
      </c>
      <c r="M1187">
        <v>130</v>
      </c>
      <c r="N1187" t="s">
        <v>26</v>
      </c>
      <c r="Q1187">
        <v>1</v>
      </c>
      <c r="R1187" t="s">
        <v>11</v>
      </c>
      <c r="T1187">
        <v>10</v>
      </c>
      <c r="V1187" t="s">
        <v>15</v>
      </c>
    </row>
    <row r="1188" spans="1:22" x14ac:dyDescent="0.25">
      <c r="A1188">
        <v>66</v>
      </c>
      <c r="B1188" t="s">
        <v>92</v>
      </c>
      <c r="C1188" t="s">
        <v>536</v>
      </c>
      <c r="E1188" t="s">
        <v>536</v>
      </c>
      <c r="L1188" t="s">
        <v>93</v>
      </c>
      <c r="M1188">
        <v>140</v>
      </c>
      <c r="N1188" t="s">
        <v>100</v>
      </c>
      <c r="Q1188">
        <v>1.216</v>
      </c>
      <c r="R1188" t="s">
        <v>14</v>
      </c>
      <c r="T1188">
        <v>10</v>
      </c>
      <c r="V1188" t="s">
        <v>15</v>
      </c>
    </row>
    <row r="1189" spans="1:22" x14ac:dyDescent="0.25">
      <c r="A1189">
        <v>66</v>
      </c>
      <c r="B1189" t="s">
        <v>92</v>
      </c>
      <c r="C1189" t="s">
        <v>536</v>
      </c>
      <c r="E1189" t="s">
        <v>536</v>
      </c>
      <c r="L1189" t="s">
        <v>93</v>
      </c>
      <c r="M1189">
        <v>150</v>
      </c>
      <c r="N1189" t="s">
        <v>539</v>
      </c>
      <c r="Q1189">
        <v>1</v>
      </c>
      <c r="R1189" t="s">
        <v>11</v>
      </c>
      <c r="T1189">
        <v>10</v>
      </c>
      <c r="V1189" t="s">
        <v>18</v>
      </c>
    </row>
    <row r="1190" spans="1:22" x14ac:dyDescent="0.25">
      <c r="A1190">
        <v>66</v>
      </c>
      <c r="B1190" t="s">
        <v>92</v>
      </c>
      <c r="C1190" t="s">
        <v>536</v>
      </c>
      <c r="E1190" t="s">
        <v>536</v>
      </c>
      <c r="L1190" t="s">
        <v>93</v>
      </c>
      <c r="M1190">
        <v>160</v>
      </c>
      <c r="N1190" t="s">
        <v>540</v>
      </c>
      <c r="Q1190">
        <v>1</v>
      </c>
      <c r="R1190" t="s">
        <v>11</v>
      </c>
      <c r="T1190">
        <v>10</v>
      </c>
      <c r="V1190" t="s">
        <v>18</v>
      </c>
    </row>
    <row r="1191" spans="1:22" x14ac:dyDescent="0.25">
      <c r="A1191">
        <v>66</v>
      </c>
      <c r="B1191" t="s">
        <v>92</v>
      </c>
      <c r="C1191" t="s">
        <v>536</v>
      </c>
      <c r="E1191" t="s">
        <v>536</v>
      </c>
      <c r="L1191" t="s">
        <v>93</v>
      </c>
      <c r="M1191">
        <v>170</v>
      </c>
      <c r="N1191" t="s">
        <v>142</v>
      </c>
      <c r="Q1191">
        <v>7.3150000000000004</v>
      </c>
      <c r="R1191" t="s">
        <v>11</v>
      </c>
      <c r="T1191">
        <v>10</v>
      </c>
      <c r="V1191" t="s">
        <v>15</v>
      </c>
    </row>
    <row r="1192" spans="1:22" x14ac:dyDescent="0.25">
      <c r="A1192">
        <v>66</v>
      </c>
      <c r="B1192" t="s">
        <v>92</v>
      </c>
      <c r="C1192" t="s">
        <v>536</v>
      </c>
      <c r="E1192" t="s">
        <v>536</v>
      </c>
      <c r="L1192" t="s">
        <v>93</v>
      </c>
      <c r="M1192">
        <v>180</v>
      </c>
      <c r="N1192" t="s">
        <v>541</v>
      </c>
      <c r="Q1192">
        <v>1</v>
      </c>
      <c r="R1192" t="s">
        <v>11</v>
      </c>
      <c r="T1192">
        <v>10</v>
      </c>
      <c r="V1192" t="s">
        <v>18</v>
      </c>
    </row>
    <row r="1193" spans="1:22" x14ac:dyDescent="0.25">
      <c r="A1193">
        <v>67</v>
      </c>
      <c r="B1193" t="s">
        <v>92</v>
      </c>
      <c r="C1193" t="s">
        <v>542</v>
      </c>
      <c r="E1193" t="s">
        <v>542</v>
      </c>
      <c r="L1193" t="s">
        <v>93</v>
      </c>
      <c r="M1193">
        <v>10</v>
      </c>
      <c r="N1193" t="s">
        <v>543</v>
      </c>
      <c r="Q1193">
        <v>1</v>
      </c>
      <c r="R1193" t="s">
        <v>11</v>
      </c>
      <c r="T1193">
        <v>10</v>
      </c>
      <c r="V1193" t="s">
        <v>18</v>
      </c>
    </row>
    <row r="1194" spans="1:22" x14ac:dyDescent="0.25">
      <c r="A1194">
        <v>67</v>
      </c>
      <c r="B1194" t="s">
        <v>92</v>
      </c>
      <c r="C1194" t="s">
        <v>542</v>
      </c>
      <c r="E1194" t="s">
        <v>542</v>
      </c>
      <c r="L1194" t="s">
        <v>93</v>
      </c>
      <c r="M1194">
        <v>20</v>
      </c>
      <c r="N1194" t="s">
        <v>132</v>
      </c>
      <c r="Q1194">
        <v>4.7030000000000003</v>
      </c>
      <c r="R1194" t="s">
        <v>14</v>
      </c>
      <c r="T1194">
        <v>10</v>
      </c>
      <c r="V1194" t="s">
        <v>15</v>
      </c>
    </row>
    <row r="1195" spans="1:22" x14ac:dyDescent="0.25">
      <c r="A1195">
        <v>67</v>
      </c>
      <c r="B1195" t="s">
        <v>92</v>
      </c>
      <c r="C1195" t="s">
        <v>542</v>
      </c>
      <c r="E1195" t="s">
        <v>542</v>
      </c>
      <c r="L1195" t="s">
        <v>93</v>
      </c>
      <c r="M1195">
        <v>30</v>
      </c>
      <c r="N1195" t="s">
        <v>102</v>
      </c>
      <c r="Q1195">
        <v>1.3</v>
      </c>
      <c r="R1195" t="s">
        <v>103</v>
      </c>
      <c r="T1195">
        <v>10</v>
      </c>
      <c r="V1195" t="s">
        <v>15</v>
      </c>
    </row>
    <row r="1196" spans="1:22" x14ac:dyDescent="0.25">
      <c r="A1196">
        <v>67</v>
      </c>
      <c r="B1196" t="s">
        <v>92</v>
      </c>
      <c r="C1196" t="s">
        <v>542</v>
      </c>
      <c r="E1196" t="s">
        <v>542</v>
      </c>
      <c r="L1196" t="s">
        <v>93</v>
      </c>
      <c r="M1196">
        <v>40</v>
      </c>
      <c r="N1196" t="s">
        <v>146</v>
      </c>
      <c r="Q1196">
        <v>2.0569999999999999</v>
      </c>
      <c r="R1196" t="s">
        <v>11</v>
      </c>
      <c r="T1196">
        <v>10</v>
      </c>
      <c r="V1196" t="s">
        <v>18</v>
      </c>
    </row>
    <row r="1197" spans="1:22" x14ac:dyDescent="0.25">
      <c r="A1197">
        <v>67</v>
      </c>
      <c r="B1197" t="s">
        <v>92</v>
      </c>
      <c r="C1197" t="s">
        <v>542</v>
      </c>
      <c r="E1197" t="s">
        <v>542</v>
      </c>
      <c r="L1197" t="s">
        <v>93</v>
      </c>
      <c r="M1197">
        <v>50</v>
      </c>
      <c r="N1197" t="s">
        <v>139</v>
      </c>
      <c r="Q1197">
        <v>2.0569999999999999</v>
      </c>
      <c r="R1197" t="s">
        <v>17</v>
      </c>
      <c r="T1197">
        <v>10</v>
      </c>
      <c r="V1197" t="s">
        <v>18</v>
      </c>
    </row>
    <row r="1198" spans="1:22" x14ac:dyDescent="0.25">
      <c r="A1198">
        <v>67</v>
      </c>
      <c r="B1198" t="s">
        <v>92</v>
      </c>
      <c r="C1198" t="s">
        <v>542</v>
      </c>
      <c r="E1198" t="s">
        <v>542</v>
      </c>
      <c r="L1198" t="s">
        <v>93</v>
      </c>
      <c r="M1198">
        <v>60</v>
      </c>
      <c r="N1198" t="s">
        <v>544</v>
      </c>
      <c r="Q1198">
        <v>1</v>
      </c>
      <c r="R1198" t="s">
        <v>11</v>
      </c>
      <c r="T1198">
        <v>10</v>
      </c>
      <c r="V1198" t="s">
        <v>18</v>
      </c>
    </row>
    <row r="1199" spans="1:22" x14ac:dyDescent="0.25">
      <c r="A1199">
        <v>67</v>
      </c>
      <c r="B1199" t="s">
        <v>92</v>
      </c>
      <c r="C1199" t="s">
        <v>542</v>
      </c>
      <c r="E1199" t="s">
        <v>542</v>
      </c>
      <c r="L1199" t="s">
        <v>93</v>
      </c>
      <c r="M1199">
        <v>70</v>
      </c>
      <c r="N1199" t="s">
        <v>148</v>
      </c>
      <c r="Q1199">
        <v>22.86</v>
      </c>
      <c r="R1199" t="s">
        <v>17</v>
      </c>
      <c r="T1199">
        <v>10</v>
      </c>
      <c r="V1199" t="s">
        <v>15</v>
      </c>
    </row>
    <row r="1200" spans="1:22" x14ac:dyDescent="0.25">
      <c r="A1200">
        <v>67</v>
      </c>
      <c r="B1200" t="s">
        <v>92</v>
      </c>
      <c r="C1200" t="s">
        <v>542</v>
      </c>
      <c r="E1200" t="s">
        <v>542</v>
      </c>
      <c r="L1200" t="s">
        <v>93</v>
      </c>
      <c r="M1200">
        <v>80</v>
      </c>
      <c r="N1200" t="s">
        <v>20</v>
      </c>
      <c r="Q1200">
        <v>187.452</v>
      </c>
      <c r="R1200" t="s">
        <v>17</v>
      </c>
      <c r="T1200">
        <v>10</v>
      </c>
      <c r="V1200" t="s">
        <v>15</v>
      </c>
    </row>
    <row r="1201" spans="1:22" x14ac:dyDescent="0.25">
      <c r="A1201">
        <v>67</v>
      </c>
      <c r="B1201" t="s">
        <v>92</v>
      </c>
      <c r="C1201" t="s">
        <v>542</v>
      </c>
      <c r="E1201" t="s">
        <v>542</v>
      </c>
      <c r="L1201" t="s">
        <v>93</v>
      </c>
      <c r="M1201">
        <v>90</v>
      </c>
      <c r="N1201" t="s">
        <v>24</v>
      </c>
      <c r="Q1201">
        <v>1</v>
      </c>
      <c r="R1201" t="s">
        <v>11</v>
      </c>
      <c r="T1201">
        <v>10</v>
      </c>
      <c r="V1201" t="s">
        <v>15</v>
      </c>
    </row>
    <row r="1202" spans="1:22" x14ac:dyDescent="0.25">
      <c r="A1202">
        <v>67</v>
      </c>
      <c r="B1202" t="s">
        <v>92</v>
      </c>
      <c r="C1202" t="s">
        <v>542</v>
      </c>
      <c r="E1202" t="s">
        <v>542</v>
      </c>
      <c r="L1202" t="s">
        <v>93</v>
      </c>
      <c r="M1202">
        <v>100</v>
      </c>
      <c r="N1202" t="s">
        <v>141</v>
      </c>
      <c r="Q1202">
        <v>0.13800000000000001</v>
      </c>
      <c r="R1202" t="s">
        <v>14</v>
      </c>
      <c r="T1202">
        <v>10</v>
      </c>
      <c r="V1202" t="s">
        <v>15</v>
      </c>
    </row>
    <row r="1203" spans="1:22" x14ac:dyDescent="0.25">
      <c r="A1203">
        <v>67</v>
      </c>
      <c r="B1203" t="s">
        <v>92</v>
      </c>
      <c r="C1203" t="s">
        <v>542</v>
      </c>
      <c r="E1203" t="s">
        <v>542</v>
      </c>
      <c r="L1203" t="s">
        <v>93</v>
      </c>
      <c r="M1203">
        <v>110</v>
      </c>
      <c r="N1203" t="s">
        <v>140</v>
      </c>
      <c r="Q1203">
        <v>4</v>
      </c>
      <c r="R1203" t="s">
        <v>11</v>
      </c>
      <c r="T1203">
        <v>10</v>
      </c>
      <c r="V1203" t="s">
        <v>15</v>
      </c>
    </row>
    <row r="1204" spans="1:22" x14ac:dyDescent="0.25">
      <c r="A1204">
        <v>67</v>
      </c>
      <c r="B1204" t="s">
        <v>92</v>
      </c>
      <c r="C1204" t="s">
        <v>542</v>
      </c>
      <c r="E1204" t="s">
        <v>542</v>
      </c>
      <c r="L1204" t="s">
        <v>93</v>
      </c>
      <c r="M1204">
        <v>120</v>
      </c>
      <c r="N1204" t="s">
        <v>25</v>
      </c>
      <c r="Q1204">
        <v>1</v>
      </c>
      <c r="R1204" t="s">
        <v>11</v>
      </c>
      <c r="T1204">
        <v>10</v>
      </c>
      <c r="V1204" t="s">
        <v>15</v>
      </c>
    </row>
    <row r="1205" spans="1:22" x14ac:dyDescent="0.25">
      <c r="A1205">
        <v>67</v>
      </c>
      <c r="B1205" t="s">
        <v>92</v>
      </c>
      <c r="C1205" t="s">
        <v>542</v>
      </c>
      <c r="E1205" t="s">
        <v>542</v>
      </c>
      <c r="L1205" t="s">
        <v>93</v>
      </c>
      <c r="M1205">
        <v>130</v>
      </c>
      <c r="N1205" t="s">
        <v>26</v>
      </c>
      <c r="Q1205">
        <v>1</v>
      </c>
      <c r="R1205" t="s">
        <v>11</v>
      </c>
      <c r="T1205">
        <v>10</v>
      </c>
      <c r="V1205" t="s">
        <v>15</v>
      </c>
    </row>
    <row r="1206" spans="1:22" x14ac:dyDescent="0.25">
      <c r="A1206">
        <v>67</v>
      </c>
      <c r="B1206" t="s">
        <v>92</v>
      </c>
      <c r="C1206" t="s">
        <v>542</v>
      </c>
      <c r="E1206" t="s">
        <v>542</v>
      </c>
      <c r="L1206" t="s">
        <v>93</v>
      </c>
      <c r="M1206">
        <v>140</v>
      </c>
      <c r="N1206" t="s">
        <v>100</v>
      </c>
      <c r="Q1206">
        <v>1.216</v>
      </c>
      <c r="R1206" t="s">
        <v>14</v>
      </c>
      <c r="T1206">
        <v>10</v>
      </c>
      <c r="V1206" t="s">
        <v>15</v>
      </c>
    </row>
    <row r="1207" spans="1:22" x14ac:dyDescent="0.25">
      <c r="A1207">
        <v>67</v>
      </c>
      <c r="B1207" t="s">
        <v>92</v>
      </c>
      <c r="C1207" t="s">
        <v>542</v>
      </c>
      <c r="E1207" t="s">
        <v>542</v>
      </c>
      <c r="L1207" t="s">
        <v>93</v>
      </c>
      <c r="M1207">
        <v>150</v>
      </c>
      <c r="N1207" t="s">
        <v>545</v>
      </c>
      <c r="Q1207">
        <v>1</v>
      </c>
      <c r="R1207" t="s">
        <v>11</v>
      </c>
      <c r="T1207">
        <v>10</v>
      </c>
      <c r="V1207" t="s">
        <v>18</v>
      </c>
    </row>
    <row r="1208" spans="1:22" x14ac:dyDescent="0.25">
      <c r="A1208">
        <v>67</v>
      </c>
      <c r="B1208" t="s">
        <v>92</v>
      </c>
      <c r="C1208" t="s">
        <v>542</v>
      </c>
      <c r="E1208" t="s">
        <v>542</v>
      </c>
      <c r="L1208" t="s">
        <v>93</v>
      </c>
      <c r="M1208">
        <v>160</v>
      </c>
      <c r="N1208" t="s">
        <v>546</v>
      </c>
      <c r="Q1208">
        <v>1</v>
      </c>
      <c r="R1208" t="s">
        <v>11</v>
      </c>
      <c r="T1208">
        <v>10</v>
      </c>
      <c r="V1208" t="s">
        <v>18</v>
      </c>
    </row>
    <row r="1209" spans="1:22" x14ac:dyDescent="0.25">
      <c r="A1209">
        <v>67</v>
      </c>
      <c r="B1209" t="s">
        <v>92</v>
      </c>
      <c r="C1209" t="s">
        <v>542</v>
      </c>
      <c r="E1209" t="s">
        <v>542</v>
      </c>
      <c r="L1209" t="s">
        <v>93</v>
      </c>
      <c r="M1209">
        <v>170</v>
      </c>
      <c r="N1209" t="s">
        <v>142</v>
      </c>
      <c r="Q1209">
        <v>7.62</v>
      </c>
      <c r="R1209" t="s">
        <v>11</v>
      </c>
      <c r="T1209">
        <v>10</v>
      </c>
      <c r="V1209" t="s">
        <v>15</v>
      </c>
    </row>
    <row r="1210" spans="1:22" x14ac:dyDescent="0.25">
      <c r="A1210">
        <v>67</v>
      </c>
      <c r="B1210" t="s">
        <v>92</v>
      </c>
      <c r="C1210" t="s">
        <v>542</v>
      </c>
      <c r="E1210" t="s">
        <v>542</v>
      </c>
      <c r="L1210" t="s">
        <v>93</v>
      </c>
      <c r="M1210">
        <v>180</v>
      </c>
      <c r="N1210" t="s">
        <v>547</v>
      </c>
      <c r="Q1210">
        <v>1</v>
      </c>
      <c r="R1210" t="s">
        <v>11</v>
      </c>
      <c r="T1210">
        <v>10</v>
      </c>
      <c r="V1210" t="s">
        <v>18</v>
      </c>
    </row>
    <row r="1211" spans="1:22" x14ac:dyDescent="0.25">
      <c r="A1211">
        <v>68</v>
      </c>
      <c r="B1211" t="s">
        <v>92</v>
      </c>
      <c r="C1211" t="s">
        <v>548</v>
      </c>
      <c r="E1211" t="s">
        <v>548</v>
      </c>
      <c r="L1211" t="s">
        <v>93</v>
      </c>
      <c r="M1211">
        <v>10</v>
      </c>
      <c r="N1211" t="s">
        <v>549</v>
      </c>
      <c r="Q1211">
        <v>1</v>
      </c>
      <c r="R1211" t="s">
        <v>11</v>
      </c>
      <c r="T1211">
        <v>10</v>
      </c>
      <c r="V1211" t="s">
        <v>18</v>
      </c>
    </row>
    <row r="1212" spans="1:22" x14ac:dyDescent="0.25">
      <c r="A1212">
        <v>68</v>
      </c>
      <c r="B1212" t="s">
        <v>92</v>
      </c>
      <c r="C1212" t="s">
        <v>548</v>
      </c>
      <c r="E1212" t="s">
        <v>548</v>
      </c>
      <c r="L1212" t="s">
        <v>93</v>
      </c>
      <c r="M1212">
        <v>20</v>
      </c>
      <c r="N1212" t="s">
        <v>132</v>
      </c>
      <c r="Q1212">
        <v>5.1340000000000003</v>
      </c>
      <c r="R1212" t="s">
        <v>14</v>
      </c>
      <c r="T1212">
        <v>10</v>
      </c>
      <c r="V1212" t="s">
        <v>15</v>
      </c>
    </row>
    <row r="1213" spans="1:22" x14ac:dyDescent="0.25">
      <c r="A1213">
        <v>68</v>
      </c>
      <c r="B1213" t="s">
        <v>92</v>
      </c>
      <c r="C1213" t="s">
        <v>548</v>
      </c>
      <c r="E1213" t="s">
        <v>548</v>
      </c>
      <c r="L1213" t="s">
        <v>93</v>
      </c>
      <c r="M1213">
        <v>30</v>
      </c>
      <c r="N1213" t="s">
        <v>102</v>
      </c>
      <c r="Q1213">
        <v>1.42</v>
      </c>
      <c r="R1213" t="s">
        <v>103</v>
      </c>
      <c r="T1213">
        <v>10</v>
      </c>
      <c r="V1213" t="s">
        <v>15</v>
      </c>
    </row>
    <row r="1214" spans="1:22" x14ac:dyDescent="0.25">
      <c r="A1214">
        <v>68</v>
      </c>
      <c r="B1214" t="s">
        <v>92</v>
      </c>
      <c r="C1214" t="s">
        <v>548</v>
      </c>
      <c r="E1214" t="s">
        <v>548</v>
      </c>
      <c r="L1214" t="s">
        <v>93</v>
      </c>
      <c r="M1214">
        <v>40</v>
      </c>
      <c r="N1214" t="s">
        <v>146</v>
      </c>
      <c r="Q1214">
        <v>2.0569999999999999</v>
      </c>
      <c r="R1214" t="s">
        <v>11</v>
      </c>
      <c r="T1214">
        <v>10</v>
      </c>
      <c r="V1214" t="s">
        <v>18</v>
      </c>
    </row>
    <row r="1215" spans="1:22" x14ac:dyDescent="0.25">
      <c r="A1215">
        <v>68</v>
      </c>
      <c r="B1215" t="s">
        <v>92</v>
      </c>
      <c r="C1215" t="s">
        <v>548</v>
      </c>
      <c r="E1215" t="s">
        <v>548</v>
      </c>
      <c r="L1215" t="s">
        <v>93</v>
      </c>
      <c r="M1215">
        <v>50</v>
      </c>
      <c r="N1215" t="s">
        <v>139</v>
      </c>
      <c r="Q1215">
        <v>2.0569999999999999</v>
      </c>
      <c r="R1215" t="s">
        <v>17</v>
      </c>
      <c r="T1215">
        <v>10</v>
      </c>
      <c r="V1215" t="s">
        <v>18</v>
      </c>
    </row>
    <row r="1216" spans="1:22" x14ac:dyDescent="0.25">
      <c r="A1216">
        <v>68</v>
      </c>
      <c r="B1216" t="s">
        <v>92</v>
      </c>
      <c r="C1216" t="s">
        <v>548</v>
      </c>
      <c r="E1216" t="s">
        <v>548</v>
      </c>
      <c r="L1216" t="s">
        <v>93</v>
      </c>
      <c r="M1216">
        <v>60</v>
      </c>
      <c r="N1216" t="s">
        <v>550</v>
      </c>
      <c r="Q1216">
        <v>1</v>
      </c>
      <c r="R1216" t="s">
        <v>11</v>
      </c>
      <c r="T1216">
        <v>10</v>
      </c>
      <c r="V1216" t="s">
        <v>18</v>
      </c>
    </row>
    <row r="1217" spans="1:22" x14ac:dyDescent="0.25">
      <c r="A1217">
        <v>68</v>
      </c>
      <c r="B1217" t="s">
        <v>92</v>
      </c>
      <c r="C1217" t="s">
        <v>548</v>
      </c>
      <c r="E1217" t="s">
        <v>548</v>
      </c>
      <c r="L1217" t="s">
        <v>93</v>
      </c>
      <c r="M1217">
        <v>70</v>
      </c>
      <c r="N1217" t="s">
        <v>148</v>
      </c>
      <c r="Q1217">
        <v>23.774000000000001</v>
      </c>
      <c r="R1217" t="s">
        <v>17</v>
      </c>
      <c r="T1217">
        <v>10</v>
      </c>
      <c r="V1217" t="s">
        <v>15</v>
      </c>
    </row>
    <row r="1218" spans="1:22" x14ac:dyDescent="0.25">
      <c r="A1218">
        <v>68</v>
      </c>
      <c r="B1218" t="s">
        <v>92</v>
      </c>
      <c r="C1218" t="s">
        <v>548</v>
      </c>
      <c r="E1218" t="s">
        <v>548</v>
      </c>
      <c r="L1218" t="s">
        <v>93</v>
      </c>
      <c r="M1218">
        <v>80</v>
      </c>
      <c r="N1218" t="s">
        <v>20</v>
      </c>
      <c r="Q1218">
        <v>194.95</v>
      </c>
      <c r="R1218" t="s">
        <v>17</v>
      </c>
      <c r="T1218">
        <v>10</v>
      </c>
      <c r="V1218" t="s">
        <v>15</v>
      </c>
    </row>
    <row r="1219" spans="1:22" x14ac:dyDescent="0.25">
      <c r="A1219">
        <v>68</v>
      </c>
      <c r="B1219" t="s">
        <v>92</v>
      </c>
      <c r="C1219" t="s">
        <v>548</v>
      </c>
      <c r="E1219" t="s">
        <v>548</v>
      </c>
      <c r="L1219" t="s">
        <v>93</v>
      </c>
      <c r="M1219">
        <v>90</v>
      </c>
      <c r="N1219" t="s">
        <v>24</v>
      </c>
      <c r="Q1219">
        <v>1</v>
      </c>
      <c r="R1219" t="s">
        <v>11</v>
      </c>
      <c r="T1219">
        <v>10</v>
      </c>
      <c r="V1219" t="s">
        <v>15</v>
      </c>
    </row>
    <row r="1220" spans="1:22" x14ac:dyDescent="0.25">
      <c r="A1220">
        <v>68</v>
      </c>
      <c r="B1220" t="s">
        <v>92</v>
      </c>
      <c r="C1220" t="s">
        <v>548</v>
      </c>
      <c r="E1220" t="s">
        <v>548</v>
      </c>
      <c r="L1220" t="s">
        <v>93</v>
      </c>
      <c r="M1220">
        <v>100</v>
      </c>
      <c r="N1220" t="s">
        <v>141</v>
      </c>
      <c r="Q1220">
        <v>0.14899999999999999</v>
      </c>
      <c r="R1220" t="s">
        <v>14</v>
      </c>
      <c r="T1220">
        <v>10</v>
      </c>
      <c r="V1220" t="s">
        <v>15</v>
      </c>
    </row>
    <row r="1221" spans="1:22" x14ac:dyDescent="0.25">
      <c r="A1221">
        <v>68</v>
      </c>
      <c r="B1221" t="s">
        <v>92</v>
      </c>
      <c r="C1221" t="s">
        <v>548</v>
      </c>
      <c r="E1221" t="s">
        <v>548</v>
      </c>
      <c r="L1221" t="s">
        <v>93</v>
      </c>
      <c r="M1221">
        <v>110</v>
      </c>
      <c r="N1221" t="s">
        <v>140</v>
      </c>
      <c r="Q1221">
        <v>4</v>
      </c>
      <c r="R1221" t="s">
        <v>11</v>
      </c>
      <c r="T1221">
        <v>10</v>
      </c>
      <c r="V1221" t="s">
        <v>15</v>
      </c>
    </row>
    <row r="1222" spans="1:22" x14ac:dyDescent="0.25">
      <c r="A1222">
        <v>68</v>
      </c>
      <c r="B1222" t="s">
        <v>92</v>
      </c>
      <c r="C1222" t="s">
        <v>548</v>
      </c>
      <c r="E1222" t="s">
        <v>548</v>
      </c>
      <c r="L1222" t="s">
        <v>93</v>
      </c>
      <c r="M1222">
        <v>120</v>
      </c>
      <c r="N1222" t="s">
        <v>25</v>
      </c>
      <c r="Q1222">
        <v>1</v>
      </c>
      <c r="R1222" t="s">
        <v>11</v>
      </c>
      <c r="T1222">
        <v>10</v>
      </c>
      <c r="V1222" t="s">
        <v>15</v>
      </c>
    </row>
    <row r="1223" spans="1:22" x14ac:dyDescent="0.25">
      <c r="A1223">
        <v>68</v>
      </c>
      <c r="B1223" t="s">
        <v>92</v>
      </c>
      <c r="C1223" t="s">
        <v>548</v>
      </c>
      <c r="E1223" t="s">
        <v>548</v>
      </c>
      <c r="L1223" t="s">
        <v>93</v>
      </c>
      <c r="M1223">
        <v>130</v>
      </c>
      <c r="N1223" t="s">
        <v>26</v>
      </c>
      <c r="Q1223">
        <v>1</v>
      </c>
      <c r="R1223" t="s">
        <v>11</v>
      </c>
      <c r="T1223">
        <v>10</v>
      </c>
      <c r="V1223" t="s">
        <v>15</v>
      </c>
    </row>
    <row r="1224" spans="1:22" x14ac:dyDescent="0.25">
      <c r="A1224">
        <v>68</v>
      </c>
      <c r="B1224" t="s">
        <v>92</v>
      </c>
      <c r="C1224" t="s">
        <v>548</v>
      </c>
      <c r="E1224" t="s">
        <v>548</v>
      </c>
      <c r="L1224" t="s">
        <v>93</v>
      </c>
      <c r="M1224">
        <v>140</v>
      </c>
      <c r="N1224" t="s">
        <v>100</v>
      </c>
      <c r="Q1224">
        <v>1.216</v>
      </c>
      <c r="R1224" t="s">
        <v>14</v>
      </c>
      <c r="T1224">
        <v>10</v>
      </c>
      <c r="V1224" t="s">
        <v>15</v>
      </c>
    </row>
    <row r="1225" spans="1:22" x14ac:dyDescent="0.25">
      <c r="A1225">
        <v>68</v>
      </c>
      <c r="B1225" t="s">
        <v>92</v>
      </c>
      <c r="C1225" t="s">
        <v>548</v>
      </c>
      <c r="E1225" t="s">
        <v>548</v>
      </c>
      <c r="L1225" t="s">
        <v>93</v>
      </c>
      <c r="M1225">
        <v>150</v>
      </c>
      <c r="N1225" t="s">
        <v>551</v>
      </c>
      <c r="Q1225">
        <v>1</v>
      </c>
      <c r="R1225" t="s">
        <v>11</v>
      </c>
      <c r="T1225">
        <v>10</v>
      </c>
      <c r="V1225" t="s">
        <v>18</v>
      </c>
    </row>
    <row r="1226" spans="1:22" x14ac:dyDescent="0.25">
      <c r="A1226">
        <v>68</v>
      </c>
      <c r="B1226" t="s">
        <v>92</v>
      </c>
      <c r="C1226" t="s">
        <v>548</v>
      </c>
      <c r="E1226" t="s">
        <v>548</v>
      </c>
      <c r="L1226" t="s">
        <v>93</v>
      </c>
      <c r="M1226">
        <v>160</v>
      </c>
      <c r="N1226" t="s">
        <v>552</v>
      </c>
      <c r="Q1226">
        <v>1</v>
      </c>
      <c r="R1226" t="s">
        <v>11</v>
      </c>
      <c r="T1226">
        <v>10</v>
      </c>
      <c r="V1226" t="s">
        <v>18</v>
      </c>
    </row>
    <row r="1227" spans="1:22" x14ac:dyDescent="0.25">
      <c r="A1227">
        <v>68</v>
      </c>
      <c r="B1227" t="s">
        <v>92</v>
      </c>
      <c r="C1227" t="s">
        <v>548</v>
      </c>
      <c r="E1227" t="s">
        <v>548</v>
      </c>
      <c r="L1227" t="s">
        <v>93</v>
      </c>
      <c r="M1227">
        <v>170</v>
      </c>
      <c r="N1227" t="s">
        <v>142</v>
      </c>
      <c r="Q1227">
        <v>7.9249999999999998</v>
      </c>
      <c r="R1227" t="s">
        <v>11</v>
      </c>
      <c r="T1227">
        <v>10</v>
      </c>
      <c r="V1227" t="s">
        <v>15</v>
      </c>
    </row>
    <row r="1228" spans="1:22" x14ac:dyDescent="0.25">
      <c r="A1228">
        <v>68</v>
      </c>
      <c r="B1228" t="s">
        <v>92</v>
      </c>
      <c r="C1228" t="s">
        <v>548</v>
      </c>
      <c r="E1228" t="s">
        <v>548</v>
      </c>
      <c r="L1228" t="s">
        <v>93</v>
      </c>
      <c r="M1228">
        <v>180</v>
      </c>
      <c r="N1228" t="s">
        <v>553</v>
      </c>
      <c r="Q1228">
        <v>1</v>
      </c>
      <c r="R1228" t="s">
        <v>11</v>
      </c>
      <c r="T1228">
        <v>10</v>
      </c>
      <c r="V1228" t="s">
        <v>18</v>
      </c>
    </row>
    <row r="1229" spans="1:22" x14ac:dyDescent="0.25">
      <c r="A1229">
        <v>69</v>
      </c>
      <c r="B1229" t="s">
        <v>92</v>
      </c>
      <c r="C1229" t="s">
        <v>554</v>
      </c>
      <c r="E1229" t="s">
        <v>554</v>
      </c>
      <c r="L1229" t="s">
        <v>93</v>
      </c>
      <c r="M1229">
        <v>10</v>
      </c>
      <c r="N1229" t="s">
        <v>555</v>
      </c>
      <c r="Q1229">
        <v>1</v>
      </c>
      <c r="R1229" t="s">
        <v>11</v>
      </c>
      <c r="T1229">
        <v>10</v>
      </c>
      <c r="V1229" t="s">
        <v>18</v>
      </c>
    </row>
    <row r="1230" spans="1:22" x14ac:dyDescent="0.25">
      <c r="A1230">
        <v>69</v>
      </c>
      <c r="B1230" t="s">
        <v>92</v>
      </c>
      <c r="C1230" t="s">
        <v>554</v>
      </c>
      <c r="E1230" t="s">
        <v>554</v>
      </c>
      <c r="L1230" t="s">
        <v>93</v>
      </c>
      <c r="M1230">
        <v>20</v>
      </c>
      <c r="N1230" t="s">
        <v>132</v>
      </c>
      <c r="Q1230">
        <v>2.2250000000000001</v>
      </c>
      <c r="R1230" t="s">
        <v>14</v>
      </c>
      <c r="T1230">
        <v>10</v>
      </c>
      <c r="V1230" t="s">
        <v>15</v>
      </c>
    </row>
    <row r="1231" spans="1:22" x14ac:dyDescent="0.25">
      <c r="A1231">
        <v>69</v>
      </c>
      <c r="B1231" t="s">
        <v>92</v>
      </c>
      <c r="C1231" t="s">
        <v>554</v>
      </c>
      <c r="E1231" t="s">
        <v>554</v>
      </c>
      <c r="L1231" t="s">
        <v>93</v>
      </c>
      <c r="M1231">
        <v>30</v>
      </c>
      <c r="N1231" t="s">
        <v>102</v>
      </c>
      <c r="Q1231">
        <v>0.60899999999999999</v>
      </c>
      <c r="R1231" t="s">
        <v>103</v>
      </c>
      <c r="T1231">
        <v>10</v>
      </c>
      <c r="V1231" t="s">
        <v>15</v>
      </c>
    </row>
    <row r="1232" spans="1:22" x14ac:dyDescent="0.25">
      <c r="A1232">
        <v>69</v>
      </c>
      <c r="B1232" t="s">
        <v>92</v>
      </c>
      <c r="C1232" t="s">
        <v>554</v>
      </c>
      <c r="E1232" t="s">
        <v>554</v>
      </c>
      <c r="L1232" t="s">
        <v>93</v>
      </c>
      <c r="M1232">
        <v>40</v>
      </c>
      <c r="N1232" t="s">
        <v>146</v>
      </c>
      <c r="Q1232">
        <v>2.1589999999999998</v>
      </c>
      <c r="R1232" t="s">
        <v>11</v>
      </c>
      <c r="T1232">
        <v>10</v>
      </c>
      <c r="V1232" t="s">
        <v>18</v>
      </c>
    </row>
    <row r="1233" spans="1:22" x14ac:dyDescent="0.25">
      <c r="A1233">
        <v>69</v>
      </c>
      <c r="B1233" t="s">
        <v>92</v>
      </c>
      <c r="C1233" t="s">
        <v>554</v>
      </c>
      <c r="E1233" t="s">
        <v>554</v>
      </c>
      <c r="L1233" t="s">
        <v>93</v>
      </c>
      <c r="M1233">
        <v>50</v>
      </c>
      <c r="N1233" t="s">
        <v>139</v>
      </c>
      <c r="Q1233">
        <v>2.1589999999999998</v>
      </c>
      <c r="R1233" t="s">
        <v>17</v>
      </c>
      <c r="T1233">
        <v>10</v>
      </c>
      <c r="V1233" t="s">
        <v>18</v>
      </c>
    </row>
    <row r="1234" spans="1:22" x14ac:dyDescent="0.25">
      <c r="A1234">
        <v>69</v>
      </c>
      <c r="B1234" t="s">
        <v>92</v>
      </c>
      <c r="C1234" t="s">
        <v>554</v>
      </c>
      <c r="E1234" t="s">
        <v>554</v>
      </c>
      <c r="L1234" t="s">
        <v>93</v>
      </c>
      <c r="M1234">
        <v>60</v>
      </c>
      <c r="N1234" t="s">
        <v>556</v>
      </c>
      <c r="Q1234">
        <v>1</v>
      </c>
      <c r="R1234" t="s">
        <v>11</v>
      </c>
      <c r="T1234">
        <v>10</v>
      </c>
      <c r="V1234" t="s">
        <v>18</v>
      </c>
    </row>
    <row r="1235" spans="1:22" x14ac:dyDescent="0.25">
      <c r="A1235">
        <v>69</v>
      </c>
      <c r="B1235" t="s">
        <v>92</v>
      </c>
      <c r="C1235" t="s">
        <v>554</v>
      </c>
      <c r="E1235" t="s">
        <v>554</v>
      </c>
      <c r="L1235" t="s">
        <v>93</v>
      </c>
      <c r="M1235">
        <v>70</v>
      </c>
      <c r="N1235" t="s">
        <v>148</v>
      </c>
      <c r="Q1235">
        <v>17.983000000000001</v>
      </c>
      <c r="R1235" t="s">
        <v>17</v>
      </c>
      <c r="T1235">
        <v>10</v>
      </c>
      <c r="V1235" t="s">
        <v>15</v>
      </c>
    </row>
    <row r="1236" spans="1:22" x14ac:dyDescent="0.25">
      <c r="A1236">
        <v>69</v>
      </c>
      <c r="B1236" t="s">
        <v>92</v>
      </c>
      <c r="C1236" t="s">
        <v>554</v>
      </c>
      <c r="E1236" t="s">
        <v>554</v>
      </c>
      <c r="L1236" t="s">
        <v>93</v>
      </c>
      <c r="M1236">
        <v>80</v>
      </c>
      <c r="N1236" t="s">
        <v>20</v>
      </c>
      <c r="Q1236">
        <v>147.46199999999999</v>
      </c>
      <c r="R1236" t="s">
        <v>17</v>
      </c>
      <c r="T1236">
        <v>10</v>
      </c>
      <c r="V1236" t="s">
        <v>15</v>
      </c>
    </row>
    <row r="1237" spans="1:22" x14ac:dyDescent="0.25">
      <c r="A1237">
        <v>69</v>
      </c>
      <c r="B1237" t="s">
        <v>92</v>
      </c>
      <c r="C1237" t="s">
        <v>554</v>
      </c>
      <c r="E1237" t="s">
        <v>554</v>
      </c>
      <c r="L1237" t="s">
        <v>93</v>
      </c>
      <c r="M1237">
        <v>90</v>
      </c>
      <c r="N1237" t="s">
        <v>24</v>
      </c>
      <c r="Q1237">
        <v>1</v>
      </c>
      <c r="R1237" t="s">
        <v>11</v>
      </c>
      <c r="T1237">
        <v>10</v>
      </c>
      <c r="V1237" t="s">
        <v>15</v>
      </c>
    </row>
    <row r="1238" spans="1:22" x14ac:dyDescent="0.25">
      <c r="A1238">
        <v>69</v>
      </c>
      <c r="B1238" t="s">
        <v>92</v>
      </c>
      <c r="C1238" t="s">
        <v>554</v>
      </c>
      <c r="E1238" t="s">
        <v>554</v>
      </c>
      <c r="L1238" t="s">
        <v>93</v>
      </c>
      <c r="M1238">
        <v>100</v>
      </c>
      <c r="N1238" t="s">
        <v>141</v>
      </c>
      <c r="Q1238">
        <v>7.5999999999999998E-2</v>
      </c>
      <c r="R1238" t="s">
        <v>14</v>
      </c>
      <c r="T1238">
        <v>10</v>
      </c>
      <c r="V1238" t="s">
        <v>15</v>
      </c>
    </row>
    <row r="1239" spans="1:22" x14ac:dyDescent="0.25">
      <c r="A1239">
        <v>69</v>
      </c>
      <c r="B1239" t="s">
        <v>92</v>
      </c>
      <c r="C1239" t="s">
        <v>554</v>
      </c>
      <c r="E1239" t="s">
        <v>554</v>
      </c>
      <c r="L1239" t="s">
        <v>93</v>
      </c>
      <c r="M1239">
        <v>110</v>
      </c>
      <c r="N1239" t="s">
        <v>140</v>
      </c>
      <c r="Q1239">
        <v>4</v>
      </c>
      <c r="R1239" t="s">
        <v>11</v>
      </c>
      <c r="T1239">
        <v>10</v>
      </c>
      <c r="V1239" t="s">
        <v>15</v>
      </c>
    </row>
    <row r="1240" spans="1:22" x14ac:dyDescent="0.25">
      <c r="A1240">
        <v>69</v>
      </c>
      <c r="B1240" t="s">
        <v>92</v>
      </c>
      <c r="C1240" t="s">
        <v>554</v>
      </c>
      <c r="E1240" t="s">
        <v>554</v>
      </c>
      <c r="L1240" t="s">
        <v>93</v>
      </c>
      <c r="M1240">
        <v>120</v>
      </c>
      <c r="N1240" t="s">
        <v>25</v>
      </c>
      <c r="Q1240">
        <v>1</v>
      </c>
      <c r="R1240" t="s">
        <v>11</v>
      </c>
      <c r="T1240">
        <v>10</v>
      </c>
      <c r="V1240" t="s">
        <v>15</v>
      </c>
    </row>
    <row r="1241" spans="1:22" x14ac:dyDescent="0.25">
      <c r="A1241">
        <v>69</v>
      </c>
      <c r="B1241" t="s">
        <v>92</v>
      </c>
      <c r="C1241" t="s">
        <v>554</v>
      </c>
      <c r="E1241" t="s">
        <v>554</v>
      </c>
      <c r="L1241" t="s">
        <v>93</v>
      </c>
      <c r="M1241">
        <v>130</v>
      </c>
      <c r="N1241" t="s">
        <v>26</v>
      </c>
      <c r="Q1241">
        <v>1</v>
      </c>
      <c r="R1241" t="s">
        <v>11</v>
      </c>
      <c r="T1241">
        <v>10</v>
      </c>
      <c r="V1241" t="s">
        <v>15</v>
      </c>
    </row>
    <row r="1242" spans="1:22" x14ac:dyDescent="0.25">
      <c r="A1242">
        <v>69</v>
      </c>
      <c r="B1242" t="s">
        <v>92</v>
      </c>
      <c r="C1242" t="s">
        <v>554</v>
      </c>
      <c r="E1242" t="s">
        <v>554</v>
      </c>
      <c r="L1242" t="s">
        <v>93</v>
      </c>
      <c r="M1242">
        <v>140</v>
      </c>
      <c r="N1242" t="s">
        <v>100</v>
      </c>
      <c r="Q1242">
        <v>1.27</v>
      </c>
      <c r="R1242" t="s">
        <v>14</v>
      </c>
      <c r="T1242">
        <v>10</v>
      </c>
      <c r="V1242" t="s">
        <v>15</v>
      </c>
    </row>
    <row r="1243" spans="1:22" x14ac:dyDescent="0.25">
      <c r="A1243">
        <v>69</v>
      </c>
      <c r="B1243" t="s">
        <v>92</v>
      </c>
      <c r="C1243" t="s">
        <v>554</v>
      </c>
      <c r="E1243" t="s">
        <v>554</v>
      </c>
      <c r="L1243" t="s">
        <v>93</v>
      </c>
      <c r="M1243">
        <v>150</v>
      </c>
      <c r="N1243" t="s">
        <v>557</v>
      </c>
      <c r="Q1243">
        <v>1</v>
      </c>
      <c r="R1243" t="s">
        <v>11</v>
      </c>
      <c r="T1243">
        <v>10</v>
      </c>
      <c r="V1243" t="s">
        <v>18</v>
      </c>
    </row>
    <row r="1244" spans="1:22" x14ac:dyDescent="0.25">
      <c r="A1244">
        <v>69</v>
      </c>
      <c r="B1244" t="s">
        <v>92</v>
      </c>
      <c r="C1244" t="s">
        <v>554</v>
      </c>
      <c r="E1244" t="s">
        <v>554</v>
      </c>
      <c r="L1244" t="s">
        <v>93</v>
      </c>
      <c r="M1244">
        <v>160</v>
      </c>
      <c r="N1244" t="s">
        <v>558</v>
      </c>
      <c r="Q1244">
        <v>1</v>
      </c>
      <c r="R1244" t="s">
        <v>11</v>
      </c>
      <c r="T1244">
        <v>10</v>
      </c>
      <c r="V1244" t="s">
        <v>18</v>
      </c>
    </row>
    <row r="1245" spans="1:22" x14ac:dyDescent="0.25">
      <c r="A1245">
        <v>69</v>
      </c>
      <c r="B1245" t="s">
        <v>92</v>
      </c>
      <c r="C1245" t="s">
        <v>554</v>
      </c>
      <c r="E1245" t="s">
        <v>554</v>
      </c>
      <c r="L1245" t="s">
        <v>93</v>
      </c>
      <c r="M1245">
        <v>170</v>
      </c>
      <c r="N1245" t="s">
        <v>142</v>
      </c>
      <c r="Q1245">
        <v>5.9939999999999998</v>
      </c>
      <c r="R1245" t="s">
        <v>11</v>
      </c>
      <c r="T1245">
        <v>10</v>
      </c>
      <c r="V1245" t="s">
        <v>15</v>
      </c>
    </row>
    <row r="1246" spans="1:22" x14ac:dyDescent="0.25">
      <c r="A1246">
        <v>69</v>
      </c>
      <c r="B1246" t="s">
        <v>92</v>
      </c>
      <c r="C1246" t="s">
        <v>554</v>
      </c>
      <c r="E1246" t="s">
        <v>554</v>
      </c>
      <c r="L1246" t="s">
        <v>93</v>
      </c>
      <c r="M1246">
        <v>180</v>
      </c>
      <c r="N1246" t="s">
        <v>559</v>
      </c>
      <c r="Q1246">
        <v>1</v>
      </c>
      <c r="R1246" t="s">
        <v>11</v>
      </c>
      <c r="T1246">
        <v>10</v>
      </c>
      <c r="V1246" t="s">
        <v>18</v>
      </c>
    </row>
    <row r="1247" spans="1:22" x14ac:dyDescent="0.25">
      <c r="A1247">
        <v>70</v>
      </c>
      <c r="B1247" t="s">
        <v>92</v>
      </c>
      <c r="C1247" t="s">
        <v>560</v>
      </c>
      <c r="E1247" t="s">
        <v>560</v>
      </c>
      <c r="L1247" t="s">
        <v>93</v>
      </c>
      <c r="M1247">
        <v>10</v>
      </c>
      <c r="N1247" t="s">
        <v>561</v>
      </c>
      <c r="Q1247">
        <v>1</v>
      </c>
      <c r="R1247" t="s">
        <v>11</v>
      </c>
      <c r="T1247">
        <v>10</v>
      </c>
      <c r="V1247" t="s">
        <v>18</v>
      </c>
    </row>
    <row r="1248" spans="1:22" x14ac:dyDescent="0.25">
      <c r="A1248">
        <v>70</v>
      </c>
      <c r="B1248" t="s">
        <v>92</v>
      </c>
      <c r="C1248" t="s">
        <v>560</v>
      </c>
      <c r="E1248" t="s">
        <v>560</v>
      </c>
      <c r="L1248" t="s">
        <v>93</v>
      </c>
      <c r="M1248">
        <v>20</v>
      </c>
      <c r="N1248" t="s">
        <v>132</v>
      </c>
      <c r="Q1248">
        <v>2.677</v>
      </c>
      <c r="R1248" t="s">
        <v>14</v>
      </c>
      <c r="T1248">
        <v>10</v>
      </c>
      <c r="V1248" t="s">
        <v>15</v>
      </c>
    </row>
    <row r="1249" spans="1:22" x14ac:dyDescent="0.25">
      <c r="A1249">
        <v>70</v>
      </c>
      <c r="B1249" t="s">
        <v>92</v>
      </c>
      <c r="C1249" t="s">
        <v>560</v>
      </c>
      <c r="E1249" t="s">
        <v>560</v>
      </c>
      <c r="L1249" t="s">
        <v>93</v>
      </c>
      <c r="M1249">
        <v>30</v>
      </c>
      <c r="N1249" t="s">
        <v>102</v>
      </c>
      <c r="Q1249">
        <v>0.73499999999999999</v>
      </c>
      <c r="R1249" t="s">
        <v>103</v>
      </c>
      <c r="T1249">
        <v>10</v>
      </c>
      <c r="V1249" t="s">
        <v>15</v>
      </c>
    </row>
    <row r="1250" spans="1:22" x14ac:dyDescent="0.25">
      <c r="A1250">
        <v>70</v>
      </c>
      <c r="B1250" t="s">
        <v>92</v>
      </c>
      <c r="C1250" t="s">
        <v>560</v>
      </c>
      <c r="E1250" t="s">
        <v>560</v>
      </c>
      <c r="L1250" t="s">
        <v>93</v>
      </c>
      <c r="M1250">
        <v>40</v>
      </c>
      <c r="N1250" t="s">
        <v>146</v>
      </c>
      <c r="Q1250">
        <v>2.1589999999999998</v>
      </c>
      <c r="R1250" t="s">
        <v>11</v>
      </c>
      <c r="T1250">
        <v>10</v>
      </c>
      <c r="V1250" t="s">
        <v>18</v>
      </c>
    </row>
    <row r="1251" spans="1:22" x14ac:dyDescent="0.25">
      <c r="A1251">
        <v>70</v>
      </c>
      <c r="B1251" t="s">
        <v>92</v>
      </c>
      <c r="C1251" t="s">
        <v>560</v>
      </c>
      <c r="E1251" t="s">
        <v>560</v>
      </c>
      <c r="L1251" t="s">
        <v>93</v>
      </c>
      <c r="M1251">
        <v>50</v>
      </c>
      <c r="N1251" t="s">
        <v>139</v>
      </c>
      <c r="Q1251">
        <v>2.1589999999999998</v>
      </c>
      <c r="R1251" t="s">
        <v>17</v>
      </c>
      <c r="T1251">
        <v>10</v>
      </c>
      <c r="V1251" t="s">
        <v>18</v>
      </c>
    </row>
    <row r="1252" spans="1:22" x14ac:dyDescent="0.25">
      <c r="A1252">
        <v>70</v>
      </c>
      <c r="B1252" t="s">
        <v>92</v>
      </c>
      <c r="C1252" t="s">
        <v>560</v>
      </c>
      <c r="E1252" t="s">
        <v>560</v>
      </c>
      <c r="L1252" t="s">
        <v>93</v>
      </c>
      <c r="M1252">
        <v>60</v>
      </c>
      <c r="N1252" t="s">
        <v>562</v>
      </c>
      <c r="Q1252">
        <v>1</v>
      </c>
      <c r="R1252" t="s">
        <v>11</v>
      </c>
      <c r="T1252">
        <v>10</v>
      </c>
      <c r="V1252" t="s">
        <v>18</v>
      </c>
    </row>
    <row r="1253" spans="1:22" x14ac:dyDescent="0.25">
      <c r="A1253">
        <v>70</v>
      </c>
      <c r="B1253" t="s">
        <v>92</v>
      </c>
      <c r="C1253" t="s">
        <v>560</v>
      </c>
      <c r="E1253" t="s">
        <v>560</v>
      </c>
      <c r="L1253" t="s">
        <v>93</v>
      </c>
      <c r="M1253">
        <v>70</v>
      </c>
      <c r="N1253" t="s">
        <v>148</v>
      </c>
      <c r="Q1253">
        <v>18.898</v>
      </c>
      <c r="R1253" t="s">
        <v>17</v>
      </c>
      <c r="T1253">
        <v>10</v>
      </c>
      <c r="V1253" t="s">
        <v>15</v>
      </c>
    </row>
    <row r="1254" spans="1:22" x14ac:dyDescent="0.25">
      <c r="A1254">
        <v>70</v>
      </c>
      <c r="B1254" t="s">
        <v>92</v>
      </c>
      <c r="C1254" t="s">
        <v>560</v>
      </c>
      <c r="E1254" t="s">
        <v>560</v>
      </c>
      <c r="L1254" t="s">
        <v>93</v>
      </c>
      <c r="M1254">
        <v>80</v>
      </c>
      <c r="N1254" t="s">
        <v>20</v>
      </c>
      <c r="Q1254">
        <v>154.96</v>
      </c>
      <c r="R1254" t="s">
        <v>17</v>
      </c>
      <c r="T1254">
        <v>10</v>
      </c>
      <c r="V1254" t="s">
        <v>15</v>
      </c>
    </row>
    <row r="1255" spans="1:22" x14ac:dyDescent="0.25">
      <c r="A1255">
        <v>70</v>
      </c>
      <c r="B1255" t="s">
        <v>92</v>
      </c>
      <c r="C1255" t="s">
        <v>560</v>
      </c>
      <c r="E1255" t="s">
        <v>560</v>
      </c>
      <c r="L1255" t="s">
        <v>93</v>
      </c>
      <c r="M1255">
        <v>90</v>
      </c>
      <c r="N1255" t="s">
        <v>24</v>
      </c>
      <c r="Q1255">
        <v>1</v>
      </c>
      <c r="R1255" t="s">
        <v>11</v>
      </c>
      <c r="T1255">
        <v>10</v>
      </c>
      <c r="V1255" t="s">
        <v>15</v>
      </c>
    </row>
    <row r="1256" spans="1:22" x14ac:dyDescent="0.25">
      <c r="A1256">
        <v>70</v>
      </c>
      <c r="B1256" t="s">
        <v>92</v>
      </c>
      <c r="C1256" t="s">
        <v>560</v>
      </c>
      <c r="E1256" t="s">
        <v>560</v>
      </c>
      <c r="L1256" t="s">
        <v>93</v>
      </c>
      <c r="M1256">
        <v>100</v>
      </c>
      <c r="N1256" t="s">
        <v>141</v>
      </c>
      <c r="Q1256">
        <v>8.5999999999999993E-2</v>
      </c>
      <c r="R1256" t="s">
        <v>14</v>
      </c>
      <c r="T1256">
        <v>10</v>
      </c>
      <c r="V1256" t="s">
        <v>15</v>
      </c>
    </row>
    <row r="1257" spans="1:22" x14ac:dyDescent="0.25">
      <c r="A1257">
        <v>70</v>
      </c>
      <c r="B1257" t="s">
        <v>92</v>
      </c>
      <c r="C1257" t="s">
        <v>560</v>
      </c>
      <c r="E1257" t="s">
        <v>560</v>
      </c>
      <c r="L1257" t="s">
        <v>93</v>
      </c>
      <c r="M1257">
        <v>110</v>
      </c>
      <c r="N1257" t="s">
        <v>140</v>
      </c>
      <c r="Q1257">
        <v>4</v>
      </c>
      <c r="R1257" t="s">
        <v>11</v>
      </c>
      <c r="T1257">
        <v>10</v>
      </c>
      <c r="V1257" t="s">
        <v>15</v>
      </c>
    </row>
    <row r="1258" spans="1:22" x14ac:dyDescent="0.25">
      <c r="A1258">
        <v>70</v>
      </c>
      <c r="B1258" t="s">
        <v>92</v>
      </c>
      <c r="C1258" t="s">
        <v>560</v>
      </c>
      <c r="E1258" t="s">
        <v>560</v>
      </c>
      <c r="L1258" t="s">
        <v>93</v>
      </c>
      <c r="M1258">
        <v>120</v>
      </c>
      <c r="N1258" t="s">
        <v>25</v>
      </c>
      <c r="Q1258">
        <v>1</v>
      </c>
      <c r="R1258" t="s">
        <v>11</v>
      </c>
      <c r="T1258">
        <v>10</v>
      </c>
      <c r="V1258" t="s">
        <v>15</v>
      </c>
    </row>
    <row r="1259" spans="1:22" x14ac:dyDescent="0.25">
      <c r="A1259">
        <v>70</v>
      </c>
      <c r="B1259" t="s">
        <v>92</v>
      </c>
      <c r="C1259" t="s">
        <v>560</v>
      </c>
      <c r="E1259" t="s">
        <v>560</v>
      </c>
      <c r="L1259" t="s">
        <v>93</v>
      </c>
      <c r="M1259">
        <v>130</v>
      </c>
      <c r="N1259" t="s">
        <v>26</v>
      </c>
      <c r="Q1259">
        <v>1</v>
      </c>
      <c r="R1259" t="s">
        <v>11</v>
      </c>
      <c r="T1259">
        <v>10</v>
      </c>
      <c r="V1259" t="s">
        <v>15</v>
      </c>
    </row>
    <row r="1260" spans="1:22" x14ac:dyDescent="0.25">
      <c r="A1260">
        <v>70</v>
      </c>
      <c r="B1260" t="s">
        <v>92</v>
      </c>
      <c r="C1260" t="s">
        <v>560</v>
      </c>
      <c r="E1260" t="s">
        <v>560</v>
      </c>
      <c r="L1260" t="s">
        <v>93</v>
      </c>
      <c r="M1260">
        <v>140</v>
      </c>
      <c r="N1260" t="s">
        <v>100</v>
      </c>
      <c r="Q1260">
        <v>1.27</v>
      </c>
      <c r="R1260" t="s">
        <v>14</v>
      </c>
      <c r="T1260">
        <v>10</v>
      </c>
      <c r="V1260" t="s">
        <v>15</v>
      </c>
    </row>
    <row r="1261" spans="1:22" x14ac:dyDescent="0.25">
      <c r="A1261">
        <v>70</v>
      </c>
      <c r="B1261" t="s">
        <v>92</v>
      </c>
      <c r="C1261" t="s">
        <v>560</v>
      </c>
      <c r="E1261" t="s">
        <v>560</v>
      </c>
      <c r="L1261" t="s">
        <v>93</v>
      </c>
      <c r="M1261">
        <v>150</v>
      </c>
      <c r="N1261" t="s">
        <v>563</v>
      </c>
      <c r="Q1261">
        <v>1</v>
      </c>
      <c r="R1261" t="s">
        <v>11</v>
      </c>
      <c r="T1261">
        <v>10</v>
      </c>
      <c r="V1261" t="s">
        <v>18</v>
      </c>
    </row>
    <row r="1262" spans="1:22" x14ac:dyDescent="0.25">
      <c r="A1262">
        <v>70</v>
      </c>
      <c r="B1262" t="s">
        <v>92</v>
      </c>
      <c r="C1262" t="s">
        <v>560</v>
      </c>
      <c r="E1262" t="s">
        <v>560</v>
      </c>
      <c r="L1262" t="s">
        <v>93</v>
      </c>
      <c r="M1262">
        <v>160</v>
      </c>
      <c r="N1262" t="s">
        <v>564</v>
      </c>
      <c r="Q1262">
        <v>1</v>
      </c>
      <c r="R1262" t="s">
        <v>11</v>
      </c>
      <c r="T1262">
        <v>10</v>
      </c>
      <c r="V1262" t="s">
        <v>18</v>
      </c>
    </row>
    <row r="1263" spans="1:22" x14ac:dyDescent="0.25">
      <c r="A1263">
        <v>70</v>
      </c>
      <c r="B1263" t="s">
        <v>92</v>
      </c>
      <c r="C1263" t="s">
        <v>560</v>
      </c>
      <c r="E1263" t="s">
        <v>560</v>
      </c>
      <c r="L1263" t="s">
        <v>93</v>
      </c>
      <c r="M1263">
        <v>170</v>
      </c>
      <c r="N1263" t="s">
        <v>142</v>
      </c>
      <c r="Q1263">
        <v>6.2990000000000004</v>
      </c>
      <c r="R1263" t="s">
        <v>11</v>
      </c>
      <c r="T1263">
        <v>10</v>
      </c>
      <c r="V1263" t="s">
        <v>15</v>
      </c>
    </row>
    <row r="1264" spans="1:22" x14ac:dyDescent="0.25">
      <c r="A1264">
        <v>70</v>
      </c>
      <c r="B1264" t="s">
        <v>92</v>
      </c>
      <c r="C1264" t="s">
        <v>560</v>
      </c>
      <c r="E1264" t="s">
        <v>560</v>
      </c>
      <c r="L1264" t="s">
        <v>93</v>
      </c>
      <c r="M1264">
        <v>180</v>
      </c>
      <c r="N1264" t="s">
        <v>565</v>
      </c>
      <c r="Q1264">
        <v>1</v>
      </c>
      <c r="R1264" t="s">
        <v>11</v>
      </c>
      <c r="T1264">
        <v>10</v>
      </c>
      <c r="V1264" t="s">
        <v>18</v>
      </c>
    </row>
    <row r="1265" spans="1:22" x14ac:dyDescent="0.25">
      <c r="A1265">
        <v>71</v>
      </c>
      <c r="B1265" t="s">
        <v>92</v>
      </c>
      <c r="C1265" t="s">
        <v>566</v>
      </c>
      <c r="E1265" t="s">
        <v>566</v>
      </c>
      <c r="L1265" t="s">
        <v>93</v>
      </c>
      <c r="M1265">
        <v>10</v>
      </c>
      <c r="N1265" t="s">
        <v>567</v>
      </c>
      <c r="Q1265">
        <v>1</v>
      </c>
      <c r="R1265" t="s">
        <v>11</v>
      </c>
      <c r="T1265">
        <v>10</v>
      </c>
      <c r="V1265" t="s">
        <v>18</v>
      </c>
    </row>
    <row r="1266" spans="1:22" x14ac:dyDescent="0.25">
      <c r="A1266">
        <v>71</v>
      </c>
      <c r="B1266" t="s">
        <v>92</v>
      </c>
      <c r="C1266" t="s">
        <v>566</v>
      </c>
      <c r="E1266" t="s">
        <v>566</v>
      </c>
      <c r="L1266" t="s">
        <v>93</v>
      </c>
      <c r="M1266">
        <v>20</v>
      </c>
      <c r="N1266" t="s">
        <v>132</v>
      </c>
      <c r="Q1266">
        <v>3.13</v>
      </c>
      <c r="R1266" t="s">
        <v>14</v>
      </c>
      <c r="T1266">
        <v>10</v>
      </c>
      <c r="V1266" t="s">
        <v>15</v>
      </c>
    </row>
    <row r="1267" spans="1:22" x14ac:dyDescent="0.25">
      <c r="A1267">
        <v>71</v>
      </c>
      <c r="B1267" t="s">
        <v>92</v>
      </c>
      <c r="C1267" t="s">
        <v>566</v>
      </c>
      <c r="E1267" t="s">
        <v>566</v>
      </c>
      <c r="L1267" t="s">
        <v>93</v>
      </c>
      <c r="M1267">
        <v>30</v>
      </c>
      <c r="N1267" t="s">
        <v>102</v>
      </c>
      <c r="Q1267">
        <v>0.86099999999999999</v>
      </c>
      <c r="R1267" t="s">
        <v>103</v>
      </c>
      <c r="T1267">
        <v>10</v>
      </c>
      <c r="V1267" t="s">
        <v>15</v>
      </c>
    </row>
    <row r="1268" spans="1:22" x14ac:dyDescent="0.25">
      <c r="A1268">
        <v>71</v>
      </c>
      <c r="B1268" t="s">
        <v>92</v>
      </c>
      <c r="C1268" t="s">
        <v>566</v>
      </c>
      <c r="E1268" t="s">
        <v>566</v>
      </c>
      <c r="L1268" t="s">
        <v>93</v>
      </c>
      <c r="M1268">
        <v>40</v>
      </c>
      <c r="N1268" t="s">
        <v>146</v>
      </c>
      <c r="Q1268">
        <v>2.1589999999999998</v>
      </c>
      <c r="R1268" t="s">
        <v>11</v>
      </c>
      <c r="T1268">
        <v>10</v>
      </c>
      <c r="V1268" t="s">
        <v>18</v>
      </c>
    </row>
    <row r="1269" spans="1:22" x14ac:dyDescent="0.25">
      <c r="A1269">
        <v>71</v>
      </c>
      <c r="B1269" t="s">
        <v>92</v>
      </c>
      <c r="C1269" t="s">
        <v>566</v>
      </c>
      <c r="E1269" t="s">
        <v>566</v>
      </c>
      <c r="L1269" t="s">
        <v>93</v>
      </c>
      <c r="M1269">
        <v>50</v>
      </c>
      <c r="N1269" t="s">
        <v>139</v>
      </c>
      <c r="Q1269">
        <v>2.1589999999999998</v>
      </c>
      <c r="R1269" t="s">
        <v>17</v>
      </c>
      <c r="T1269">
        <v>10</v>
      </c>
      <c r="V1269" t="s">
        <v>18</v>
      </c>
    </row>
    <row r="1270" spans="1:22" x14ac:dyDescent="0.25">
      <c r="A1270">
        <v>71</v>
      </c>
      <c r="B1270" t="s">
        <v>92</v>
      </c>
      <c r="C1270" t="s">
        <v>566</v>
      </c>
      <c r="E1270" t="s">
        <v>566</v>
      </c>
      <c r="L1270" t="s">
        <v>93</v>
      </c>
      <c r="M1270">
        <v>60</v>
      </c>
      <c r="N1270" t="s">
        <v>568</v>
      </c>
      <c r="Q1270">
        <v>1</v>
      </c>
      <c r="R1270" t="s">
        <v>11</v>
      </c>
      <c r="T1270">
        <v>10</v>
      </c>
      <c r="V1270" t="s">
        <v>18</v>
      </c>
    </row>
    <row r="1271" spans="1:22" x14ac:dyDescent="0.25">
      <c r="A1271">
        <v>71</v>
      </c>
      <c r="B1271" t="s">
        <v>92</v>
      </c>
      <c r="C1271" t="s">
        <v>566</v>
      </c>
      <c r="E1271" t="s">
        <v>566</v>
      </c>
      <c r="L1271" t="s">
        <v>93</v>
      </c>
      <c r="M1271">
        <v>70</v>
      </c>
      <c r="N1271" t="s">
        <v>148</v>
      </c>
      <c r="Q1271">
        <v>19.812000000000001</v>
      </c>
      <c r="R1271" t="s">
        <v>17</v>
      </c>
      <c r="T1271">
        <v>10</v>
      </c>
      <c r="V1271" t="s">
        <v>15</v>
      </c>
    </row>
    <row r="1272" spans="1:22" x14ac:dyDescent="0.25">
      <c r="A1272">
        <v>71</v>
      </c>
      <c r="B1272" t="s">
        <v>92</v>
      </c>
      <c r="C1272" t="s">
        <v>566</v>
      </c>
      <c r="E1272" t="s">
        <v>566</v>
      </c>
      <c r="L1272" t="s">
        <v>93</v>
      </c>
      <c r="M1272">
        <v>80</v>
      </c>
      <c r="N1272" t="s">
        <v>20</v>
      </c>
      <c r="Q1272">
        <v>162.458</v>
      </c>
      <c r="R1272" t="s">
        <v>17</v>
      </c>
      <c r="T1272">
        <v>10</v>
      </c>
      <c r="V1272" t="s">
        <v>15</v>
      </c>
    </row>
    <row r="1273" spans="1:22" x14ac:dyDescent="0.25">
      <c r="A1273">
        <v>71</v>
      </c>
      <c r="B1273" t="s">
        <v>92</v>
      </c>
      <c r="C1273" t="s">
        <v>566</v>
      </c>
      <c r="E1273" t="s">
        <v>566</v>
      </c>
      <c r="L1273" t="s">
        <v>93</v>
      </c>
      <c r="M1273">
        <v>90</v>
      </c>
      <c r="N1273" t="s">
        <v>24</v>
      </c>
      <c r="Q1273">
        <v>1</v>
      </c>
      <c r="R1273" t="s">
        <v>11</v>
      </c>
      <c r="T1273">
        <v>10</v>
      </c>
      <c r="V1273" t="s">
        <v>15</v>
      </c>
    </row>
    <row r="1274" spans="1:22" x14ac:dyDescent="0.25">
      <c r="A1274">
        <v>71</v>
      </c>
      <c r="B1274" t="s">
        <v>92</v>
      </c>
      <c r="C1274" t="s">
        <v>566</v>
      </c>
      <c r="E1274" t="s">
        <v>566</v>
      </c>
      <c r="L1274" t="s">
        <v>93</v>
      </c>
      <c r="M1274">
        <v>100</v>
      </c>
      <c r="N1274" t="s">
        <v>141</v>
      </c>
      <c r="Q1274">
        <v>9.7000000000000003E-2</v>
      </c>
      <c r="R1274" t="s">
        <v>14</v>
      </c>
      <c r="T1274">
        <v>10</v>
      </c>
      <c r="V1274" t="s">
        <v>15</v>
      </c>
    </row>
    <row r="1275" spans="1:22" x14ac:dyDescent="0.25">
      <c r="A1275">
        <v>71</v>
      </c>
      <c r="B1275" t="s">
        <v>92</v>
      </c>
      <c r="C1275" t="s">
        <v>566</v>
      </c>
      <c r="E1275" t="s">
        <v>566</v>
      </c>
      <c r="L1275" t="s">
        <v>93</v>
      </c>
      <c r="M1275">
        <v>110</v>
      </c>
      <c r="N1275" t="s">
        <v>140</v>
      </c>
      <c r="Q1275">
        <v>4</v>
      </c>
      <c r="R1275" t="s">
        <v>11</v>
      </c>
      <c r="T1275">
        <v>10</v>
      </c>
      <c r="V1275" t="s">
        <v>15</v>
      </c>
    </row>
    <row r="1276" spans="1:22" x14ac:dyDescent="0.25">
      <c r="A1276">
        <v>71</v>
      </c>
      <c r="B1276" t="s">
        <v>92</v>
      </c>
      <c r="C1276" t="s">
        <v>566</v>
      </c>
      <c r="E1276" t="s">
        <v>566</v>
      </c>
      <c r="L1276" t="s">
        <v>93</v>
      </c>
      <c r="M1276">
        <v>120</v>
      </c>
      <c r="N1276" t="s">
        <v>25</v>
      </c>
      <c r="Q1276">
        <v>1</v>
      </c>
      <c r="R1276" t="s">
        <v>11</v>
      </c>
      <c r="T1276">
        <v>10</v>
      </c>
      <c r="V1276" t="s">
        <v>15</v>
      </c>
    </row>
    <row r="1277" spans="1:22" x14ac:dyDescent="0.25">
      <c r="A1277">
        <v>71</v>
      </c>
      <c r="B1277" t="s">
        <v>92</v>
      </c>
      <c r="C1277" t="s">
        <v>566</v>
      </c>
      <c r="E1277" t="s">
        <v>566</v>
      </c>
      <c r="L1277" t="s">
        <v>93</v>
      </c>
      <c r="M1277">
        <v>130</v>
      </c>
      <c r="N1277" t="s">
        <v>26</v>
      </c>
      <c r="Q1277">
        <v>1</v>
      </c>
      <c r="R1277" t="s">
        <v>11</v>
      </c>
      <c r="T1277">
        <v>10</v>
      </c>
      <c r="V1277" t="s">
        <v>15</v>
      </c>
    </row>
    <row r="1278" spans="1:22" x14ac:dyDescent="0.25">
      <c r="A1278">
        <v>71</v>
      </c>
      <c r="B1278" t="s">
        <v>92</v>
      </c>
      <c r="C1278" t="s">
        <v>566</v>
      </c>
      <c r="E1278" t="s">
        <v>566</v>
      </c>
      <c r="L1278" t="s">
        <v>93</v>
      </c>
      <c r="M1278">
        <v>140</v>
      </c>
      <c r="N1278" t="s">
        <v>100</v>
      </c>
      <c r="Q1278">
        <v>1.27</v>
      </c>
      <c r="R1278" t="s">
        <v>14</v>
      </c>
      <c r="T1278">
        <v>10</v>
      </c>
      <c r="V1278" t="s">
        <v>15</v>
      </c>
    </row>
    <row r="1279" spans="1:22" x14ac:dyDescent="0.25">
      <c r="A1279">
        <v>71</v>
      </c>
      <c r="B1279" t="s">
        <v>92</v>
      </c>
      <c r="C1279" t="s">
        <v>566</v>
      </c>
      <c r="E1279" t="s">
        <v>566</v>
      </c>
      <c r="L1279" t="s">
        <v>93</v>
      </c>
      <c r="M1279">
        <v>150</v>
      </c>
      <c r="N1279" t="s">
        <v>569</v>
      </c>
      <c r="Q1279">
        <v>1</v>
      </c>
      <c r="R1279" t="s">
        <v>11</v>
      </c>
      <c r="T1279">
        <v>10</v>
      </c>
      <c r="V1279" t="s">
        <v>18</v>
      </c>
    </row>
    <row r="1280" spans="1:22" x14ac:dyDescent="0.25">
      <c r="A1280">
        <v>71</v>
      </c>
      <c r="B1280" t="s">
        <v>92</v>
      </c>
      <c r="C1280" t="s">
        <v>566</v>
      </c>
      <c r="E1280" t="s">
        <v>566</v>
      </c>
      <c r="L1280" t="s">
        <v>93</v>
      </c>
      <c r="M1280">
        <v>160</v>
      </c>
      <c r="N1280" t="s">
        <v>570</v>
      </c>
      <c r="Q1280">
        <v>1</v>
      </c>
      <c r="R1280" t="s">
        <v>11</v>
      </c>
      <c r="T1280">
        <v>10</v>
      </c>
      <c r="V1280" t="s">
        <v>18</v>
      </c>
    </row>
    <row r="1281" spans="1:22" x14ac:dyDescent="0.25">
      <c r="A1281">
        <v>71</v>
      </c>
      <c r="B1281" t="s">
        <v>92</v>
      </c>
      <c r="C1281" t="s">
        <v>566</v>
      </c>
      <c r="E1281" t="s">
        <v>566</v>
      </c>
      <c r="L1281" t="s">
        <v>93</v>
      </c>
      <c r="M1281">
        <v>170</v>
      </c>
      <c r="N1281" t="s">
        <v>142</v>
      </c>
      <c r="Q1281">
        <v>6.6040000000000001</v>
      </c>
      <c r="R1281" t="s">
        <v>11</v>
      </c>
      <c r="T1281">
        <v>10</v>
      </c>
      <c r="V1281" t="s">
        <v>15</v>
      </c>
    </row>
    <row r="1282" spans="1:22" x14ac:dyDescent="0.25">
      <c r="A1282">
        <v>71</v>
      </c>
      <c r="B1282" t="s">
        <v>92</v>
      </c>
      <c r="C1282" t="s">
        <v>566</v>
      </c>
      <c r="E1282" t="s">
        <v>566</v>
      </c>
      <c r="L1282" t="s">
        <v>93</v>
      </c>
      <c r="M1282">
        <v>180</v>
      </c>
      <c r="N1282" t="s">
        <v>571</v>
      </c>
      <c r="Q1282">
        <v>1</v>
      </c>
      <c r="R1282" t="s">
        <v>11</v>
      </c>
      <c r="T1282">
        <v>10</v>
      </c>
      <c r="V1282" t="s">
        <v>18</v>
      </c>
    </row>
    <row r="1283" spans="1:22" x14ac:dyDescent="0.25">
      <c r="A1283">
        <v>72</v>
      </c>
      <c r="B1283" t="s">
        <v>92</v>
      </c>
      <c r="C1283" t="s">
        <v>572</v>
      </c>
      <c r="E1283" t="s">
        <v>572</v>
      </c>
      <c r="L1283" t="s">
        <v>93</v>
      </c>
      <c r="M1283">
        <v>10</v>
      </c>
      <c r="N1283" t="s">
        <v>573</v>
      </c>
      <c r="Q1283">
        <v>1</v>
      </c>
      <c r="R1283" t="s">
        <v>11</v>
      </c>
      <c r="T1283">
        <v>10</v>
      </c>
      <c r="V1283" t="s">
        <v>18</v>
      </c>
    </row>
    <row r="1284" spans="1:22" x14ac:dyDescent="0.25">
      <c r="A1284">
        <v>72</v>
      </c>
      <c r="B1284" t="s">
        <v>92</v>
      </c>
      <c r="C1284" t="s">
        <v>572</v>
      </c>
      <c r="E1284" t="s">
        <v>572</v>
      </c>
      <c r="L1284" t="s">
        <v>93</v>
      </c>
      <c r="M1284">
        <v>20</v>
      </c>
      <c r="N1284" t="s">
        <v>132</v>
      </c>
      <c r="Q1284">
        <v>3.5819999999999999</v>
      </c>
      <c r="R1284" t="s">
        <v>14</v>
      </c>
      <c r="T1284">
        <v>10</v>
      </c>
      <c r="V1284" t="s">
        <v>15</v>
      </c>
    </row>
    <row r="1285" spans="1:22" x14ac:dyDescent="0.25">
      <c r="A1285">
        <v>72</v>
      </c>
      <c r="B1285" t="s">
        <v>92</v>
      </c>
      <c r="C1285" t="s">
        <v>572</v>
      </c>
      <c r="E1285" t="s">
        <v>572</v>
      </c>
      <c r="L1285" t="s">
        <v>93</v>
      </c>
      <c r="M1285">
        <v>30</v>
      </c>
      <c r="N1285" t="s">
        <v>102</v>
      </c>
      <c r="Q1285">
        <v>0.98699999999999999</v>
      </c>
      <c r="R1285" t="s">
        <v>103</v>
      </c>
      <c r="T1285">
        <v>10</v>
      </c>
      <c r="V1285" t="s">
        <v>15</v>
      </c>
    </row>
    <row r="1286" spans="1:22" x14ac:dyDescent="0.25">
      <c r="A1286">
        <v>72</v>
      </c>
      <c r="B1286" t="s">
        <v>92</v>
      </c>
      <c r="C1286" t="s">
        <v>572</v>
      </c>
      <c r="E1286" t="s">
        <v>572</v>
      </c>
      <c r="L1286" t="s">
        <v>93</v>
      </c>
      <c r="M1286">
        <v>40</v>
      </c>
      <c r="N1286" t="s">
        <v>146</v>
      </c>
      <c r="Q1286">
        <v>2.1589999999999998</v>
      </c>
      <c r="R1286" t="s">
        <v>11</v>
      </c>
      <c r="T1286">
        <v>10</v>
      </c>
      <c r="V1286" t="s">
        <v>18</v>
      </c>
    </row>
    <row r="1287" spans="1:22" x14ac:dyDescent="0.25">
      <c r="A1287">
        <v>72</v>
      </c>
      <c r="B1287" t="s">
        <v>92</v>
      </c>
      <c r="C1287" t="s">
        <v>572</v>
      </c>
      <c r="E1287" t="s">
        <v>572</v>
      </c>
      <c r="L1287" t="s">
        <v>93</v>
      </c>
      <c r="M1287">
        <v>50</v>
      </c>
      <c r="N1287" t="s">
        <v>139</v>
      </c>
      <c r="Q1287">
        <v>2.1589999999999998</v>
      </c>
      <c r="R1287" t="s">
        <v>17</v>
      </c>
      <c r="T1287">
        <v>10</v>
      </c>
      <c r="V1287" t="s">
        <v>18</v>
      </c>
    </row>
    <row r="1288" spans="1:22" x14ac:dyDescent="0.25">
      <c r="A1288">
        <v>72</v>
      </c>
      <c r="B1288" t="s">
        <v>92</v>
      </c>
      <c r="C1288" t="s">
        <v>572</v>
      </c>
      <c r="E1288" t="s">
        <v>572</v>
      </c>
      <c r="L1288" t="s">
        <v>93</v>
      </c>
      <c r="M1288">
        <v>60</v>
      </c>
      <c r="N1288" t="s">
        <v>574</v>
      </c>
      <c r="Q1288">
        <v>1</v>
      </c>
      <c r="R1288" t="s">
        <v>11</v>
      </c>
      <c r="T1288">
        <v>10</v>
      </c>
      <c r="V1288" t="s">
        <v>18</v>
      </c>
    </row>
    <row r="1289" spans="1:22" x14ac:dyDescent="0.25">
      <c r="A1289">
        <v>72</v>
      </c>
      <c r="B1289" t="s">
        <v>92</v>
      </c>
      <c r="C1289" t="s">
        <v>572</v>
      </c>
      <c r="E1289" t="s">
        <v>572</v>
      </c>
      <c r="L1289" t="s">
        <v>93</v>
      </c>
      <c r="M1289">
        <v>70</v>
      </c>
      <c r="N1289" t="s">
        <v>148</v>
      </c>
      <c r="Q1289">
        <v>20.725999999999999</v>
      </c>
      <c r="R1289" t="s">
        <v>17</v>
      </c>
      <c r="T1289">
        <v>10</v>
      </c>
      <c r="V1289" t="s">
        <v>15</v>
      </c>
    </row>
    <row r="1290" spans="1:22" x14ac:dyDescent="0.25">
      <c r="A1290">
        <v>72</v>
      </c>
      <c r="B1290" t="s">
        <v>92</v>
      </c>
      <c r="C1290" t="s">
        <v>572</v>
      </c>
      <c r="E1290" t="s">
        <v>572</v>
      </c>
      <c r="L1290" t="s">
        <v>93</v>
      </c>
      <c r="M1290">
        <v>80</v>
      </c>
      <c r="N1290" t="s">
        <v>20</v>
      </c>
      <c r="Q1290">
        <v>169.95599999999999</v>
      </c>
      <c r="R1290" t="s">
        <v>17</v>
      </c>
      <c r="T1290">
        <v>10</v>
      </c>
      <c r="V1290" t="s">
        <v>15</v>
      </c>
    </row>
    <row r="1291" spans="1:22" x14ac:dyDescent="0.25">
      <c r="A1291">
        <v>72</v>
      </c>
      <c r="B1291" t="s">
        <v>92</v>
      </c>
      <c r="C1291" t="s">
        <v>572</v>
      </c>
      <c r="E1291" t="s">
        <v>572</v>
      </c>
      <c r="L1291" t="s">
        <v>93</v>
      </c>
      <c r="M1291">
        <v>90</v>
      </c>
      <c r="N1291" t="s">
        <v>24</v>
      </c>
      <c r="Q1291">
        <v>1</v>
      </c>
      <c r="R1291" t="s">
        <v>11</v>
      </c>
      <c r="T1291">
        <v>10</v>
      </c>
      <c r="V1291" t="s">
        <v>15</v>
      </c>
    </row>
    <row r="1292" spans="1:22" x14ac:dyDescent="0.25">
      <c r="A1292">
        <v>72</v>
      </c>
      <c r="B1292" t="s">
        <v>92</v>
      </c>
      <c r="C1292" t="s">
        <v>572</v>
      </c>
      <c r="E1292" t="s">
        <v>572</v>
      </c>
      <c r="L1292" t="s">
        <v>93</v>
      </c>
      <c r="M1292">
        <v>100</v>
      </c>
      <c r="N1292" t="s">
        <v>141</v>
      </c>
      <c r="Q1292">
        <v>0.107</v>
      </c>
      <c r="R1292" t="s">
        <v>14</v>
      </c>
      <c r="T1292">
        <v>10</v>
      </c>
      <c r="V1292" t="s">
        <v>15</v>
      </c>
    </row>
    <row r="1293" spans="1:22" x14ac:dyDescent="0.25">
      <c r="A1293">
        <v>72</v>
      </c>
      <c r="B1293" t="s">
        <v>92</v>
      </c>
      <c r="C1293" t="s">
        <v>572</v>
      </c>
      <c r="E1293" t="s">
        <v>572</v>
      </c>
      <c r="L1293" t="s">
        <v>93</v>
      </c>
      <c r="M1293">
        <v>110</v>
      </c>
      <c r="N1293" t="s">
        <v>140</v>
      </c>
      <c r="Q1293">
        <v>4</v>
      </c>
      <c r="R1293" t="s">
        <v>11</v>
      </c>
      <c r="T1293">
        <v>10</v>
      </c>
      <c r="V1293" t="s">
        <v>15</v>
      </c>
    </row>
    <row r="1294" spans="1:22" x14ac:dyDescent="0.25">
      <c r="A1294">
        <v>72</v>
      </c>
      <c r="B1294" t="s">
        <v>92</v>
      </c>
      <c r="C1294" t="s">
        <v>572</v>
      </c>
      <c r="E1294" t="s">
        <v>572</v>
      </c>
      <c r="L1294" t="s">
        <v>93</v>
      </c>
      <c r="M1294">
        <v>120</v>
      </c>
      <c r="N1294" t="s">
        <v>25</v>
      </c>
      <c r="Q1294">
        <v>1</v>
      </c>
      <c r="R1294" t="s">
        <v>11</v>
      </c>
      <c r="T1294">
        <v>10</v>
      </c>
      <c r="V1294" t="s">
        <v>15</v>
      </c>
    </row>
    <row r="1295" spans="1:22" x14ac:dyDescent="0.25">
      <c r="A1295">
        <v>72</v>
      </c>
      <c r="B1295" t="s">
        <v>92</v>
      </c>
      <c r="C1295" t="s">
        <v>572</v>
      </c>
      <c r="E1295" t="s">
        <v>572</v>
      </c>
      <c r="L1295" t="s">
        <v>93</v>
      </c>
      <c r="M1295">
        <v>130</v>
      </c>
      <c r="N1295" t="s">
        <v>26</v>
      </c>
      <c r="Q1295">
        <v>1</v>
      </c>
      <c r="R1295" t="s">
        <v>11</v>
      </c>
      <c r="T1295">
        <v>10</v>
      </c>
      <c r="V1295" t="s">
        <v>15</v>
      </c>
    </row>
    <row r="1296" spans="1:22" x14ac:dyDescent="0.25">
      <c r="A1296">
        <v>72</v>
      </c>
      <c r="B1296" t="s">
        <v>92</v>
      </c>
      <c r="C1296" t="s">
        <v>572</v>
      </c>
      <c r="E1296" t="s">
        <v>572</v>
      </c>
      <c r="L1296" t="s">
        <v>93</v>
      </c>
      <c r="M1296">
        <v>140</v>
      </c>
      <c r="N1296" t="s">
        <v>100</v>
      </c>
      <c r="Q1296">
        <v>1.27</v>
      </c>
      <c r="R1296" t="s">
        <v>14</v>
      </c>
      <c r="T1296">
        <v>10</v>
      </c>
      <c r="V1296" t="s">
        <v>15</v>
      </c>
    </row>
    <row r="1297" spans="1:22" x14ac:dyDescent="0.25">
      <c r="A1297">
        <v>72</v>
      </c>
      <c r="B1297" t="s">
        <v>92</v>
      </c>
      <c r="C1297" t="s">
        <v>572</v>
      </c>
      <c r="E1297" t="s">
        <v>572</v>
      </c>
      <c r="L1297" t="s">
        <v>93</v>
      </c>
      <c r="M1297">
        <v>150</v>
      </c>
      <c r="N1297" t="s">
        <v>575</v>
      </c>
      <c r="Q1297">
        <v>1</v>
      </c>
      <c r="R1297" t="s">
        <v>11</v>
      </c>
      <c r="T1297">
        <v>10</v>
      </c>
      <c r="V1297" t="s">
        <v>18</v>
      </c>
    </row>
    <row r="1298" spans="1:22" x14ac:dyDescent="0.25">
      <c r="A1298">
        <v>72</v>
      </c>
      <c r="B1298" t="s">
        <v>92</v>
      </c>
      <c r="C1298" t="s">
        <v>572</v>
      </c>
      <c r="E1298" t="s">
        <v>572</v>
      </c>
      <c r="L1298" t="s">
        <v>93</v>
      </c>
      <c r="M1298">
        <v>160</v>
      </c>
      <c r="N1298" t="s">
        <v>576</v>
      </c>
      <c r="Q1298">
        <v>1</v>
      </c>
      <c r="R1298" t="s">
        <v>11</v>
      </c>
      <c r="T1298">
        <v>10</v>
      </c>
      <c r="V1298" t="s">
        <v>18</v>
      </c>
    </row>
    <row r="1299" spans="1:22" x14ac:dyDescent="0.25">
      <c r="A1299">
        <v>72</v>
      </c>
      <c r="B1299" t="s">
        <v>92</v>
      </c>
      <c r="C1299" t="s">
        <v>572</v>
      </c>
      <c r="E1299" t="s">
        <v>572</v>
      </c>
      <c r="L1299" t="s">
        <v>93</v>
      </c>
      <c r="M1299">
        <v>170</v>
      </c>
      <c r="N1299" t="s">
        <v>142</v>
      </c>
      <c r="Q1299">
        <v>6.9089999999999998</v>
      </c>
      <c r="R1299" t="s">
        <v>11</v>
      </c>
      <c r="T1299">
        <v>10</v>
      </c>
      <c r="V1299" t="s">
        <v>15</v>
      </c>
    </row>
    <row r="1300" spans="1:22" x14ac:dyDescent="0.25">
      <c r="A1300">
        <v>72</v>
      </c>
      <c r="B1300" t="s">
        <v>92</v>
      </c>
      <c r="C1300" t="s">
        <v>572</v>
      </c>
      <c r="E1300" t="s">
        <v>572</v>
      </c>
      <c r="L1300" t="s">
        <v>93</v>
      </c>
      <c r="M1300">
        <v>180</v>
      </c>
      <c r="N1300" t="s">
        <v>577</v>
      </c>
      <c r="Q1300">
        <v>1</v>
      </c>
      <c r="R1300" t="s">
        <v>11</v>
      </c>
      <c r="T1300">
        <v>10</v>
      </c>
      <c r="V1300" t="s">
        <v>18</v>
      </c>
    </row>
    <row r="1301" spans="1:22" x14ac:dyDescent="0.25">
      <c r="A1301">
        <v>73</v>
      </c>
      <c r="B1301" t="s">
        <v>92</v>
      </c>
      <c r="C1301" t="s">
        <v>578</v>
      </c>
      <c r="E1301" t="s">
        <v>578</v>
      </c>
      <c r="L1301" t="s">
        <v>93</v>
      </c>
      <c r="M1301">
        <v>10</v>
      </c>
      <c r="N1301" t="s">
        <v>579</v>
      </c>
      <c r="Q1301">
        <v>1</v>
      </c>
      <c r="R1301" t="s">
        <v>11</v>
      </c>
      <c r="T1301">
        <v>10</v>
      </c>
      <c r="V1301" t="s">
        <v>18</v>
      </c>
    </row>
    <row r="1302" spans="1:22" x14ac:dyDescent="0.25">
      <c r="A1302">
        <v>73</v>
      </c>
      <c r="B1302" t="s">
        <v>92</v>
      </c>
      <c r="C1302" t="s">
        <v>578</v>
      </c>
      <c r="E1302" t="s">
        <v>578</v>
      </c>
      <c r="L1302" t="s">
        <v>93</v>
      </c>
      <c r="M1302">
        <v>20</v>
      </c>
      <c r="N1302" t="s">
        <v>132</v>
      </c>
      <c r="Q1302">
        <v>4.4870000000000001</v>
      </c>
      <c r="R1302" t="s">
        <v>14</v>
      </c>
      <c r="T1302">
        <v>10</v>
      </c>
      <c r="V1302" t="s">
        <v>15</v>
      </c>
    </row>
    <row r="1303" spans="1:22" x14ac:dyDescent="0.25">
      <c r="A1303">
        <v>73</v>
      </c>
      <c r="B1303" t="s">
        <v>92</v>
      </c>
      <c r="C1303" t="s">
        <v>578</v>
      </c>
      <c r="E1303" t="s">
        <v>578</v>
      </c>
      <c r="L1303" t="s">
        <v>93</v>
      </c>
      <c r="M1303">
        <v>30</v>
      </c>
      <c r="N1303" t="s">
        <v>102</v>
      </c>
      <c r="Q1303">
        <v>1.24</v>
      </c>
      <c r="R1303" t="s">
        <v>103</v>
      </c>
      <c r="T1303">
        <v>10</v>
      </c>
      <c r="V1303" t="s">
        <v>15</v>
      </c>
    </row>
    <row r="1304" spans="1:22" x14ac:dyDescent="0.25">
      <c r="A1304">
        <v>73</v>
      </c>
      <c r="B1304" t="s">
        <v>92</v>
      </c>
      <c r="C1304" t="s">
        <v>578</v>
      </c>
      <c r="E1304" t="s">
        <v>578</v>
      </c>
      <c r="L1304" t="s">
        <v>93</v>
      </c>
      <c r="M1304">
        <v>40</v>
      </c>
      <c r="N1304" t="s">
        <v>146</v>
      </c>
      <c r="Q1304">
        <v>2.1589999999999998</v>
      </c>
      <c r="R1304" t="s">
        <v>11</v>
      </c>
      <c r="T1304">
        <v>10</v>
      </c>
      <c r="V1304" t="s">
        <v>18</v>
      </c>
    </row>
    <row r="1305" spans="1:22" x14ac:dyDescent="0.25">
      <c r="A1305">
        <v>73</v>
      </c>
      <c r="B1305" t="s">
        <v>92</v>
      </c>
      <c r="C1305" t="s">
        <v>578</v>
      </c>
      <c r="E1305" t="s">
        <v>578</v>
      </c>
      <c r="L1305" t="s">
        <v>93</v>
      </c>
      <c r="M1305">
        <v>50</v>
      </c>
      <c r="N1305" t="s">
        <v>139</v>
      </c>
      <c r="Q1305">
        <v>2.1589999999999998</v>
      </c>
      <c r="R1305" t="s">
        <v>17</v>
      </c>
      <c r="T1305">
        <v>10</v>
      </c>
      <c r="V1305" t="s">
        <v>18</v>
      </c>
    </row>
    <row r="1306" spans="1:22" x14ac:dyDescent="0.25">
      <c r="A1306">
        <v>73</v>
      </c>
      <c r="B1306" t="s">
        <v>92</v>
      </c>
      <c r="C1306" t="s">
        <v>578</v>
      </c>
      <c r="E1306" t="s">
        <v>578</v>
      </c>
      <c r="L1306" t="s">
        <v>93</v>
      </c>
      <c r="M1306">
        <v>60</v>
      </c>
      <c r="N1306" t="s">
        <v>580</v>
      </c>
      <c r="Q1306">
        <v>1</v>
      </c>
      <c r="R1306" t="s">
        <v>11</v>
      </c>
      <c r="T1306">
        <v>10</v>
      </c>
      <c r="V1306" t="s">
        <v>18</v>
      </c>
    </row>
    <row r="1307" spans="1:22" x14ac:dyDescent="0.25">
      <c r="A1307">
        <v>73</v>
      </c>
      <c r="B1307" t="s">
        <v>92</v>
      </c>
      <c r="C1307" t="s">
        <v>578</v>
      </c>
      <c r="E1307" t="s">
        <v>578</v>
      </c>
      <c r="L1307" t="s">
        <v>93</v>
      </c>
      <c r="M1307">
        <v>70</v>
      </c>
      <c r="N1307" t="s">
        <v>148</v>
      </c>
      <c r="Q1307">
        <v>22.555</v>
      </c>
      <c r="R1307" t="s">
        <v>17</v>
      </c>
      <c r="T1307">
        <v>10</v>
      </c>
      <c r="V1307" t="s">
        <v>15</v>
      </c>
    </row>
    <row r="1308" spans="1:22" x14ac:dyDescent="0.25">
      <c r="A1308">
        <v>73</v>
      </c>
      <c r="B1308" t="s">
        <v>92</v>
      </c>
      <c r="C1308" t="s">
        <v>578</v>
      </c>
      <c r="E1308" t="s">
        <v>578</v>
      </c>
      <c r="L1308" t="s">
        <v>93</v>
      </c>
      <c r="M1308">
        <v>80</v>
      </c>
      <c r="N1308" t="s">
        <v>20</v>
      </c>
      <c r="Q1308">
        <v>184.953</v>
      </c>
      <c r="R1308" t="s">
        <v>17</v>
      </c>
      <c r="T1308">
        <v>10</v>
      </c>
      <c r="V1308" t="s">
        <v>15</v>
      </c>
    </row>
    <row r="1309" spans="1:22" x14ac:dyDescent="0.25">
      <c r="A1309">
        <v>73</v>
      </c>
      <c r="B1309" t="s">
        <v>92</v>
      </c>
      <c r="C1309" t="s">
        <v>578</v>
      </c>
      <c r="E1309" t="s">
        <v>578</v>
      </c>
      <c r="L1309" t="s">
        <v>93</v>
      </c>
      <c r="M1309">
        <v>90</v>
      </c>
      <c r="N1309" t="s">
        <v>24</v>
      </c>
      <c r="Q1309">
        <v>1</v>
      </c>
      <c r="R1309" t="s">
        <v>11</v>
      </c>
      <c r="T1309">
        <v>10</v>
      </c>
      <c r="V1309" t="s">
        <v>15</v>
      </c>
    </row>
    <row r="1310" spans="1:22" x14ac:dyDescent="0.25">
      <c r="A1310">
        <v>73</v>
      </c>
      <c r="B1310" t="s">
        <v>92</v>
      </c>
      <c r="C1310" t="s">
        <v>578</v>
      </c>
      <c r="E1310" t="s">
        <v>578</v>
      </c>
      <c r="L1310" t="s">
        <v>93</v>
      </c>
      <c r="M1310">
        <v>100</v>
      </c>
      <c r="N1310" t="s">
        <v>141</v>
      </c>
      <c r="Q1310">
        <v>0.128</v>
      </c>
      <c r="R1310" t="s">
        <v>14</v>
      </c>
      <c r="T1310">
        <v>10</v>
      </c>
      <c r="V1310" t="s">
        <v>15</v>
      </c>
    </row>
    <row r="1311" spans="1:22" x14ac:dyDescent="0.25">
      <c r="A1311">
        <v>73</v>
      </c>
      <c r="B1311" t="s">
        <v>92</v>
      </c>
      <c r="C1311" t="s">
        <v>578</v>
      </c>
      <c r="E1311" t="s">
        <v>578</v>
      </c>
      <c r="L1311" t="s">
        <v>93</v>
      </c>
      <c r="M1311">
        <v>110</v>
      </c>
      <c r="N1311" t="s">
        <v>140</v>
      </c>
      <c r="Q1311">
        <v>4</v>
      </c>
      <c r="R1311" t="s">
        <v>11</v>
      </c>
      <c r="T1311">
        <v>10</v>
      </c>
      <c r="V1311" t="s">
        <v>15</v>
      </c>
    </row>
    <row r="1312" spans="1:22" x14ac:dyDescent="0.25">
      <c r="A1312">
        <v>73</v>
      </c>
      <c r="B1312" t="s">
        <v>92</v>
      </c>
      <c r="C1312" t="s">
        <v>578</v>
      </c>
      <c r="E1312" t="s">
        <v>578</v>
      </c>
      <c r="L1312" t="s">
        <v>93</v>
      </c>
      <c r="M1312">
        <v>120</v>
      </c>
      <c r="N1312" t="s">
        <v>25</v>
      </c>
      <c r="Q1312">
        <v>1</v>
      </c>
      <c r="R1312" t="s">
        <v>11</v>
      </c>
      <c r="T1312">
        <v>10</v>
      </c>
      <c r="V1312" t="s">
        <v>15</v>
      </c>
    </row>
    <row r="1313" spans="1:22" x14ac:dyDescent="0.25">
      <c r="A1313">
        <v>73</v>
      </c>
      <c r="B1313" t="s">
        <v>92</v>
      </c>
      <c r="C1313" t="s">
        <v>578</v>
      </c>
      <c r="E1313" t="s">
        <v>578</v>
      </c>
      <c r="L1313" t="s">
        <v>93</v>
      </c>
      <c r="M1313">
        <v>130</v>
      </c>
      <c r="N1313" t="s">
        <v>26</v>
      </c>
      <c r="Q1313">
        <v>1</v>
      </c>
      <c r="R1313" t="s">
        <v>11</v>
      </c>
      <c r="T1313">
        <v>10</v>
      </c>
      <c r="V1313" t="s">
        <v>15</v>
      </c>
    </row>
    <row r="1314" spans="1:22" x14ac:dyDescent="0.25">
      <c r="A1314">
        <v>73</v>
      </c>
      <c r="B1314" t="s">
        <v>92</v>
      </c>
      <c r="C1314" t="s">
        <v>578</v>
      </c>
      <c r="E1314" t="s">
        <v>578</v>
      </c>
      <c r="L1314" t="s">
        <v>93</v>
      </c>
      <c r="M1314">
        <v>140</v>
      </c>
      <c r="N1314" t="s">
        <v>100</v>
      </c>
      <c r="Q1314">
        <v>1.27</v>
      </c>
      <c r="R1314" t="s">
        <v>14</v>
      </c>
      <c r="T1314">
        <v>10</v>
      </c>
      <c r="V1314" t="s">
        <v>15</v>
      </c>
    </row>
    <row r="1315" spans="1:22" x14ac:dyDescent="0.25">
      <c r="A1315">
        <v>73</v>
      </c>
      <c r="B1315" t="s">
        <v>92</v>
      </c>
      <c r="C1315" t="s">
        <v>578</v>
      </c>
      <c r="E1315" t="s">
        <v>578</v>
      </c>
      <c r="L1315" t="s">
        <v>93</v>
      </c>
      <c r="M1315">
        <v>150</v>
      </c>
      <c r="N1315" t="s">
        <v>581</v>
      </c>
      <c r="Q1315">
        <v>1</v>
      </c>
      <c r="R1315" t="s">
        <v>11</v>
      </c>
      <c r="T1315">
        <v>10</v>
      </c>
      <c r="V1315" t="s">
        <v>18</v>
      </c>
    </row>
    <row r="1316" spans="1:22" x14ac:dyDescent="0.25">
      <c r="A1316">
        <v>73</v>
      </c>
      <c r="B1316" t="s">
        <v>92</v>
      </c>
      <c r="C1316" t="s">
        <v>578</v>
      </c>
      <c r="E1316" t="s">
        <v>578</v>
      </c>
      <c r="L1316" t="s">
        <v>93</v>
      </c>
      <c r="M1316">
        <v>160</v>
      </c>
      <c r="N1316" t="s">
        <v>582</v>
      </c>
      <c r="Q1316">
        <v>1</v>
      </c>
      <c r="R1316" t="s">
        <v>11</v>
      </c>
      <c r="T1316">
        <v>10</v>
      </c>
      <c r="V1316" t="s">
        <v>18</v>
      </c>
    </row>
    <row r="1317" spans="1:22" x14ac:dyDescent="0.25">
      <c r="A1317">
        <v>73</v>
      </c>
      <c r="B1317" t="s">
        <v>92</v>
      </c>
      <c r="C1317" t="s">
        <v>578</v>
      </c>
      <c r="E1317" t="s">
        <v>578</v>
      </c>
      <c r="L1317" t="s">
        <v>93</v>
      </c>
      <c r="M1317">
        <v>170</v>
      </c>
      <c r="N1317" t="s">
        <v>142</v>
      </c>
      <c r="Q1317">
        <v>7.5179999999999998</v>
      </c>
      <c r="R1317" t="s">
        <v>11</v>
      </c>
      <c r="T1317">
        <v>10</v>
      </c>
      <c r="V1317" t="s">
        <v>15</v>
      </c>
    </row>
    <row r="1318" spans="1:22" x14ac:dyDescent="0.25">
      <c r="A1318">
        <v>73</v>
      </c>
      <c r="B1318" t="s">
        <v>92</v>
      </c>
      <c r="C1318" t="s">
        <v>578</v>
      </c>
      <c r="E1318" t="s">
        <v>578</v>
      </c>
      <c r="L1318" t="s">
        <v>93</v>
      </c>
      <c r="M1318">
        <v>180</v>
      </c>
      <c r="N1318" t="s">
        <v>583</v>
      </c>
      <c r="Q1318">
        <v>1</v>
      </c>
      <c r="R1318" t="s">
        <v>11</v>
      </c>
      <c r="T1318">
        <v>10</v>
      </c>
      <c r="V1318" t="s">
        <v>18</v>
      </c>
    </row>
    <row r="1319" spans="1:22" x14ac:dyDescent="0.25">
      <c r="A1319">
        <v>74</v>
      </c>
      <c r="B1319" t="s">
        <v>92</v>
      </c>
      <c r="C1319" t="s">
        <v>584</v>
      </c>
      <c r="E1319" t="s">
        <v>584</v>
      </c>
      <c r="L1319" t="s">
        <v>93</v>
      </c>
      <c r="M1319">
        <v>10</v>
      </c>
      <c r="N1319" t="s">
        <v>585</v>
      </c>
      <c r="Q1319">
        <v>1</v>
      </c>
      <c r="R1319" t="s">
        <v>11</v>
      </c>
      <c r="T1319">
        <v>10</v>
      </c>
      <c r="V1319" t="s">
        <v>18</v>
      </c>
    </row>
    <row r="1320" spans="1:22" x14ac:dyDescent="0.25">
      <c r="A1320">
        <v>74</v>
      </c>
      <c r="B1320" t="s">
        <v>92</v>
      </c>
      <c r="C1320" t="s">
        <v>584</v>
      </c>
      <c r="E1320" t="s">
        <v>584</v>
      </c>
      <c r="L1320" t="s">
        <v>93</v>
      </c>
      <c r="M1320">
        <v>20</v>
      </c>
      <c r="N1320" t="s">
        <v>132</v>
      </c>
      <c r="Q1320">
        <v>4.9400000000000004</v>
      </c>
      <c r="R1320" t="s">
        <v>14</v>
      </c>
      <c r="T1320">
        <v>10</v>
      </c>
      <c r="V1320" t="s">
        <v>15</v>
      </c>
    </row>
    <row r="1321" spans="1:22" x14ac:dyDescent="0.25">
      <c r="A1321">
        <v>74</v>
      </c>
      <c r="B1321" t="s">
        <v>92</v>
      </c>
      <c r="C1321" t="s">
        <v>584</v>
      </c>
      <c r="E1321" t="s">
        <v>584</v>
      </c>
      <c r="L1321" t="s">
        <v>93</v>
      </c>
      <c r="M1321">
        <v>30</v>
      </c>
      <c r="N1321" t="s">
        <v>102</v>
      </c>
      <c r="Q1321">
        <v>1.3660000000000001</v>
      </c>
      <c r="R1321" t="s">
        <v>103</v>
      </c>
      <c r="T1321">
        <v>10</v>
      </c>
      <c r="V1321" t="s">
        <v>15</v>
      </c>
    </row>
    <row r="1322" spans="1:22" x14ac:dyDescent="0.25">
      <c r="A1322">
        <v>74</v>
      </c>
      <c r="B1322" t="s">
        <v>92</v>
      </c>
      <c r="C1322" t="s">
        <v>584</v>
      </c>
      <c r="E1322" t="s">
        <v>584</v>
      </c>
      <c r="L1322" t="s">
        <v>93</v>
      </c>
      <c r="M1322">
        <v>40</v>
      </c>
      <c r="N1322" t="s">
        <v>146</v>
      </c>
      <c r="Q1322">
        <v>2.1589999999999998</v>
      </c>
      <c r="R1322" t="s">
        <v>11</v>
      </c>
      <c r="T1322">
        <v>10</v>
      </c>
      <c r="V1322" t="s">
        <v>18</v>
      </c>
    </row>
    <row r="1323" spans="1:22" x14ac:dyDescent="0.25">
      <c r="A1323">
        <v>74</v>
      </c>
      <c r="B1323" t="s">
        <v>92</v>
      </c>
      <c r="C1323" t="s">
        <v>584</v>
      </c>
      <c r="E1323" t="s">
        <v>584</v>
      </c>
      <c r="L1323" t="s">
        <v>93</v>
      </c>
      <c r="M1323">
        <v>50</v>
      </c>
      <c r="N1323" t="s">
        <v>139</v>
      </c>
      <c r="Q1323">
        <v>2.1589999999999998</v>
      </c>
      <c r="R1323" t="s">
        <v>17</v>
      </c>
      <c r="T1323">
        <v>10</v>
      </c>
      <c r="V1323" t="s">
        <v>18</v>
      </c>
    </row>
    <row r="1324" spans="1:22" x14ac:dyDescent="0.25">
      <c r="A1324">
        <v>74</v>
      </c>
      <c r="B1324" t="s">
        <v>92</v>
      </c>
      <c r="C1324" t="s">
        <v>584</v>
      </c>
      <c r="E1324" t="s">
        <v>584</v>
      </c>
      <c r="L1324" t="s">
        <v>93</v>
      </c>
      <c r="M1324">
        <v>60</v>
      </c>
      <c r="N1324" t="s">
        <v>586</v>
      </c>
      <c r="Q1324">
        <v>1</v>
      </c>
      <c r="R1324" t="s">
        <v>11</v>
      </c>
      <c r="T1324">
        <v>10</v>
      </c>
      <c r="V1324" t="s">
        <v>18</v>
      </c>
    </row>
    <row r="1325" spans="1:22" x14ac:dyDescent="0.25">
      <c r="A1325">
        <v>74</v>
      </c>
      <c r="B1325" t="s">
        <v>92</v>
      </c>
      <c r="C1325" t="s">
        <v>584</v>
      </c>
      <c r="E1325" t="s">
        <v>584</v>
      </c>
      <c r="L1325" t="s">
        <v>93</v>
      </c>
      <c r="M1325">
        <v>70</v>
      </c>
      <c r="N1325" t="s">
        <v>148</v>
      </c>
      <c r="Q1325">
        <v>23.47</v>
      </c>
      <c r="R1325" t="s">
        <v>17</v>
      </c>
      <c r="T1325">
        <v>10</v>
      </c>
      <c r="V1325" t="s">
        <v>15</v>
      </c>
    </row>
    <row r="1326" spans="1:22" x14ac:dyDescent="0.25">
      <c r="A1326">
        <v>74</v>
      </c>
      <c r="B1326" t="s">
        <v>92</v>
      </c>
      <c r="C1326" t="s">
        <v>584</v>
      </c>
      <c r="E1326" t="s">
        <v>584</v>
      </c>
      <c r="L1326" t="s">
        <v>93</v>
      </c>
      <c r="M1326">
        <v>80</v>
      </c>
      <c r="N1326" t="s">
        <v>20</v>
      </c>
      <c r="Q1326">
        <v>192.45099999999999</v>
      </c>
      <c r="R1326" t="s">
        <v>17</v>
      </c>
      <c r="T1326">
        <v>10</v>
      </c>
      <c r="V1326" t="s">
        <v>15</v>
      </c>
    </row>
    <row r="1327" spans="1:22" x14ac:dyDescent="0.25">
      <c r="A1327">
        <v>74</v>
      </c>
      <c r="B1327" t="s">
        <v>92</v>
      </c>
      <c r="C1327" t="s">
        <v>584</v>
      </c>
      <c r="E1327" t="s">
        <v>584</v>
      </c>
      <c r="L1327" t="s">
        <v>93</v>
      </c>
      <c r="M1327">
        <v>90</v>
      </c>
      <c r="N1327" t="s">
        <v>24</v>
      </c>
      <c r="Q1327">
        <v>1</v>
      </c>
      <c r="R1327" t="s">
        <v>11</v>
      </c>
      <c r="T1327">
        <v>10</v>
      </c>
      <c r="V1327" t="s">
        <v>15</v>
      </c>
    </row>
    <row r="1328" spans="1:22" x14ac:dyDescent="0.25">
      <c r="A1328">
        <v>74</v>
      </c>
      <c r="B1328" t="s">
        <v>92</v>
      </c>
      <c r="C1328" t="s">
        <v>584</v>
      </c>
      <c r="E1328" t="s">
        <v>584</v>
      </c>
      <c r="L1328" t="s">
        <v>93</v>
      </c>
      <c r="M1328">
        <v>100</v>
      </c>
      <c r="N1328" t="s">
        <v>141</v>
      </c>
      <c r="Q1328">
        <v>0.13800000000000001</v>
      </c>
      <c r="R1328" t="s">
        <v>14</v>
      </c>
      <c r="T1328">
        <v>10</v>
      </c>
      <c r="V1328" t="s">
        <v>15</v>
      </c>
    </row>
    <row r="1329" spans="1:22" x14ac:dyDescent="0.25">
      <c r="A1329">
        <v>74</v>
      </c>
      <c r="B1329" t="s">
        <v>92</v>
      </c>
      <c r="C1329" t="s">
        <v>584</v>
      </c>
      <c r="E1329" t="s">
        <v>584</v>
      </c>
      <c r="L1329" t="s">
        <v>93</v>
      </c>
      <c r="M1329">
        <v>110</v>
      </c>
      <c r="N1329" t="s">
        <v>140</v>
      </c>
      <c r="Q1329">
        <v>4</v>
      </c>
      <c r="R1329" t="s">
        <v>11</v>
      </c>
      <c r="T1329">
        <v>10</v>
      </c>
      <c r="V1329" t="s">
        <v>15</v>
      </c>
    </row>
    <row r="1330" spans="1:22" x14ac:dyDescent="0.25">
      <c r="A1330">
        <v>74</v>
      </c>
      <c r="B1330" t="s">
        <v>92</v>
      </c>
      <c r="C1330" t="s">
        <v>584</v>
      </c>
      <c r="E1330" t="s">
        <v>584</v>
      </c>
      <c r="L1330" t="s">
        <v>93</v>
      </c>
      <c r="M1330">
        <v>120</v>
      </c>
      <c r="N1330" t="s">
        <v>25</v>
      </c>
      <c r="Q1330">
        <v>1</v>
      </c>
      <c r="R1330" t="s">
        <v>11</v>
      </c>
      <c r="T1330">
        <v>10</v>
      </c>
      <c r="V1330" t="s">
        <v>15</v>
      </c>
    </row>
    <row r="1331" spans="1:22" x14ac:dyDescent="0.25">
      <c r="A1331">
        <v>74</v>
      </c>
      <c r="B1331" t="s">
        <v>92</v>
      </c>
      <c r="C1331" t="s">
        <v>584</v>
      </c>
      <c r="E1331" t="s">
        <v>584</v>
      </c>
      <c r="L1331" t="s">
        <v>93</v>
      </c>
      <c r="M1331">
        <v>130</v>
      </c>
      <c r="N1331" t="s">
        <v>26</v>
      </c>
      <c r="Q1331">
        <v>1</v>
      </c>
      <c r="R1331" t="s">
        <v>11</v>
      </c>
      <c r="T1331">
        <v>10</v>
      </c>
      <c r="V1331" t="s">
        <v>15</v>
      </c>
    </row>
    <row r="1332" spans="1:22" x14ac:dyDescent="0.25">
      <c r="A1332">
        <v>74</v>
      </c>
      <c r="B1332" t="s">
        <v>92</v>
      </c>
      <c r="C1332" t="s">
        <v>584</v>
      </c>
      <c r="E1332" t="s">
        <v>584</v>
      </c>
      <c r="L1332" t="s">
        <v>93</v>
      </c>
      <c r="M1332">
        <v>140</v>
      </c>
      <c r="N1332" t="s">
        <v>100</v>
      </c>
      <c r="Q1332">
        <v>1.27</v>
      </c>
      <c r="R1332" t="s">
        <v>14</v>
      </c>
      <c r="T1332">
        <v>10</v>
      </c>
      <c r="V1332" t="s">
        <v>15</v>
      </c>
    </row>
    <row r="1333" spans="1:22" x14ac:dyDescent="0.25">
      <c r="A1333">
        <v>74</v>
      </c>
      <c r="B1333" t="s">
        <v>92</v>
      </c>
      <c r="C1333" t="s">
        <v>584</v>
      </c>
      <c r="E1333" t="s">
        <v>584</v>
      </c>
      <c r="L1333" t="s">
        <v>93</v>
      </c>
      <c r="M1333">
        <v>150</v>
      </c>
      <c r="N1333" t="s">
        <v>587</v>
      </c>
      <c r="Q1333">
        <v>1</v>
      </c>
      <c r="R1333" t="s">
        <v>11</v>
      </c>
      <c r="T1333">
        <v>10</v>
      </c>
      <c r="V1333" t="s">
        <v>18</v>
      </c>
    </row>
    <row r="1334" spans="1:22" x14ac:dyDescent="0.25">
      <c r="A1334">
        <v>74</v>
      </c>
      <c r="B1334" t="s">
        <v>92</v>
      </c>
      <c r="C1334" t="s">
        <v>584</v>
      </c>
      <c r="E1334" t="s">
        <v>584</v>
      </c>
      <c r="L1334" t="s">
        <v>93</v>
      </c>
      <c r="M1334">
        <v>160</v>
      </c>
      <c r="N1334" t="s">
        <v>588</v>
      </c>
      <c r="Q1334">
        <v>1</v>
      </c>
      <c r="R1334" t="s">
        <v>11</v>
      </c>
      <c r="T1334">
        <v>10</v>
      </c>
      <c r="V1334" t="s">
        <v>18</v>
      </c>
    </row>
    <row r="1335" spans="1:22" x14ac:dyDescent="0.25">
      <c r="A1335">
        <v>74</v>
      </c>
      <c r="B1335" t="s">
        <v>92</v>
      </c>
      <c r="C1335" t="s">
        <v>584</v>
      </c>
      <c r="E1335" t="s">
        <v>584</v>
      </c>
      <c r="L1335" t="s">
        <v>93</v>
      </c>
      <c r="M1335">
        <v>170</v>
      </c>
      <c r="N1335" t="s">
        <v>142</v>
      </c>
      <c r="Q1335">
        <v>7.8230000000000004</v>
      </c>
      <c r="R1335" t="s">
        <v>11</v>
      </c>
      <c r="T1335">
        <v>10</v>
      </c>
      <c r="V1335" t="s">
        <v>15</v>
      </c>
    </row>
    <row r="1336" spans="1:22" x14ac:dyDescent="0.25">
      <c r="A1336">
        <v>74</v>
      </c>
      <c r="B1336" t="s">
        <v>92</v>
      </c>
      <c r="C1336" t="s">
        <v>584</v>
      </c>
      <c r="E1336" t="s">
        <v>584</v>
      </c>
      <c r="L1336" t="s">
        <v>93</v>
      </c>
      <c r="M1336">
        <v>180</v>
      </c>
      <c r="N1336" t="s">
        <v>589</v>
      </c>
      <c r="Q1336">
        <v>1</v>
      </c>
      <c r="R1336" t="s">
        <v>11</v>
      </c>
      <c r="T1336">
        <v>10</v>
      </c>
      <c r="V1336" t="s">
        <v>18</v>
      </c>
    </row>
    <row r="1337" spans="1:22" x14ac:dyDescent="0.25">
      <c r="A1337">
        <v>75</v>
      </c>
      <c r="B1337" t="s">
        <v>92</v>
      </c>
      <c r="C1337" t="s">
        <v>590</v>
      </c>
      <c r="E1337" t="s">
        <v>590</v>
      </c>
      <c r="L1337" t="s">
        <v>93</v>
      </c>
      <c r="M1337">
        <v>10</v>
      </c>
      <c r="N1337" t="s">
        <v>591</v>
      </c>
      <c r="Q1337">
        <v>1</v>
      </c>
      <c r="R1337" t="s">
        <v>11</v>
      </c>
      <c r="T1337">
        <v>10</v>
      </c>
      <c r="V1337" t="s">
        <v>18</v>
      </c>
    </row>
    <row r="1338" spans="1:22" x14ac:dyDescent="0.25">
      <c r="A1338">
        <v>75</v>
      </c>
      <c r="B1338" t="s">
        <v>92</v>
      </c>
      <c r="C1338" t="s">
        <v>590</v>
      </c>
      <c r="E1338" t="s">
        <v>590</v>
      </c>
      <c r="L1338" t="s">
        <v>93</v>
      </c>
      <c r="M1338">
        <v>20</v>
      </c>
      <c r="N1338" t="s">
        <v>132</v>
      </c>
      <c r="Q1338">
        <v>5.3920000000000003</v>
      </c>
      <c r="R1338" t="s">
        <v>14</v>
      </c>
      <c r="T1338">
        <v>10</v>
      </c>
      <c r="V1338" t="s">
        <v>15</v>
      </c>
    </row>
    <row r="1339" spans="1:22" x14ac:dyDescent="0.25">
      <c r="A1339">
        <v>75</v>
      </c>
      <c r="B1339" t="s">
        <v>92</v>
      </c>
      <c r="C1339" t="s">
        <v>590</v>
      </c>
      <c r="E1339" t="s">
        <v>590</v>
      </c>
      <c r="L1339" t="s">
        <v>93</v>
      </c>
      <c r="M1339">
        <v>30</v>
      </c>
      <c r="N1339" t="s">
        <v>102</v>
      </c>
      <c r="Q1339">
        <v>1.492</v>
      </c>
      <c r="R1339" t="s">
        <v>103</v>
      </c>
      <c r="T1339">
        <v>10</v>
      </c>
      <c r="V1339" t="s">
        <v>15</v>
      </c>
    </row>
    <row r="1340" spans="1:22" x14ac:dyDescent="0.25">
      <c r="A1340">
        <v>75</v>
      </c>
      <c r="B1340" t="s">
        <v>92</v>
      </c>
      <c r="C1340" t="s">
        <v>590</v>
      </c>
      <c r="E1340" t="s">
        <v>590</v>
      </c>
      <c r="L1340" t="s">
        <v>93</v>
      </c>
      <c r="M1340">
        <v>40</v>
      </c>
      <c r="N1340" t="s">
        <v>146</v>
      </c>
      <c r="Q1340">
        <v>2.1589999999999998</v>
      </c>
      <c r="R1340" t="s">
        <v>11</v>
      </c>
      <c r="T1340">
        <v>10</v>
      </c>
      <c r="V1340" t="s">
        <v>18</v>
      </c>
    </row>
    <row r="1341" spans="1:22" x14ac:dyDescent="0.25">
      <c r="A1341">
        <v>75</v>
      </c>
      <c r="B1341" t="s">
        <v>92</v>
      </c>
      <c r="C1341" t="s">
        <v>590</v>
      </c>
      <c r="E1341" t="s">
        <v>590</v>
      </c>
      <c r="L1341" t="s">
        <v>93</v>
      </c>
      <c r="M1341">
        <v>50</v>
      </c>
      <c r="N1341" t="s">
        <v>139</v>
      </c>
      <c r="Q1341">
        <v>2.1589999999999998</v>
      </c>
      <c r="R1341" t="s">
        <v>17</v>
      </c>
      <c r="T1341">
        <v>10</v>
      </c>
      <c r="V1341" t="s">
        <v>18</v>
      </c>
    </row>
    <row r="1342" spans="1:22" x14ac:dyDescent="0.25">
      <c r="A1342">
        <v>75</v>
      </c>
      <c r="B1342" t="s">
        <v>92</v>
      </c>
      <c r="C1342" t="s">
        <v>590</v>
      </c>
      <c r="E1342" t="s">
        <v>590</v>
      </c>
      <c r="L1342" t="s">
        <v>93</v>
      </c>
      <c r="M1342">
        <v>60</v>
      </c>
      <c r="N1342" t="s">
        <v>592</v>
      </c>
      <c r="Q1342">
        <v>1</v>
      </c>
      <c r="R1342" t="s">
        <v>11</v>
      </c>
      <c r="T1342">
        <v>10</v>
      </c>
      <c r="V1342" t="s">
        <v>18</v>
      </c>
    </row>
    <row r="1343" spans="1:22" x14ac:dyDescent="0.25">
      <c r="A1343">
        <v>75</v>
      </c>
      <c r="B1343" t="s">
        <v>92</v>
      </c>
      <c r="C1343" t="s">
        <v>590</v>
      </c>
      <c r="E1343" t="s">
        <v>590</v>
      </c>
      <c r="L1343" t="s">
        <v>93</v>
      </c>
      <c r="M1343">
        <v>70</v>
      </c>
      <c r="N1343" t="s">
        <v>148</v>
      </c>
      <c r="Q1343">
        <v>24.384</v>
      </c>
      <c r="R1343" t="s">
        <v>17</v>
      </c>
      <c r="T1343">
        <v>10</v>
      </c>
      <c r="V1343" t="s">
        <v>15</v>
      </c>
    </row>
    <row r="1344" spans="1:22" x14ac:dyDescent="0.25">
      <c r="A1344">
        <v>75</v>
      </c>
      <c r="B1344" t="s">
        <v>92</v>
      </c>
      <c r="C1344" t="s">
        <v>590</v>
      </c>
      <c r="E1344" t="s">
        <v>590</v>
      </c>
      <c r="L1344" t="s">
        <v>93</v>
      </c>
      <c r="M1344">
        <v>80</v>
      </c>
      <c r="N1344" t="s">
        <v>20</v>
      </c>
      <c r="Q1344">
        <v>199.94900000000001</v>
      </c>
      <c r="R1344" t="s">
        <v>17</v>
      </c>
      <c r="T1344">
        <v>10</v>
      </c>
      <c r="V1344" t="s">
        <v>15</v>
      </c>
    </row>
    <row r="1345" spans="1:22" x14ac:dyDescent="0.25">
      <c r="A1345">
        <v>75</v>
      </c>
      <c r="B1345" t="s">
        <v>92</v>
      </c>
      <c r="C1345" t="s">
        <v>590</v>
      </c>
      <c r="E1345" t="s">
        <v>590</v>
      </c>
      <c r="L1345" t="s">
        <v>93</v>
      </c>
      <c r="M1345">
        <v>90</v>
      </c>
      <c r="N1345" t="s">
        <v>24</v>
      </c>
      <c r="Q1345">
        <v>1</v>
      </c>
      <c r="R1345" t="s">
        <v>11</v>
      </c>
      <c r="T1345">
        <v>10</v>
      </c>
      <c r="V1345" t="s">
        <v>15</v>
      </c>
    </row>
    <row r="1346" spans="1:22" x14ac:dyDescent="0.25">
      <c r="A1346">
        <v>75</v>
      </c>
      <c r="B1346" t="s">
        <v>92</v>
      </c>
      <c r="C1346" t="s">
        <v>590</v>
      </c>
      <c r="E1346" t="s">
        <v>590</v>
      </c>
      <c r="L1346" t="s">
        <v>93</v>
      </c>
      <c r="M1346">
        <v>100</v>
      </c>
      <c r="N1346" t="s">
        <v>141</v>
      </c>
      <c r="Q1346">
        <v>0.14899999999999999</v>
      </c>
      <c r="R1346" t="s">
        <v>14</v>
      </c>
      <c r="T1346">
        <v>10</v>
      </c>
      <c r="V1346" t="s">
        <v>15</v>
      </c>
    </row>
    <row r="1347" spans="1:22" x14ac:dyDescent="0.25">
      <c r="A1347">
        <v>75</v>
      </c>
      <c r="B1347" t="s">
        <v>92</v>
      </c>
      <c r="C1347" t="s">
        <v>590</v>
      </c>
      <c r="E1347" t="s">
        <v>590</v>
      </c>
      <c r="L1347" t="s">
        <v>93</v>
      </c>
      <c r="M1347">
        <v>110</v>
      </c>
      <c r="N1347" t="s">
        <v>140</v>
      </c>
      <c r="Q1347">
        <v>4</v>
      </c>
      <c r="R1347" t="s">
        <v>11</v>
      </c>
      <c r="T1347">
        <v>10</v>
      </c>
      <c r="V1347" t="s">
        <v>15</v>
      </c>
    </row>
    <row r="1348" spans="1:22" x14ac:dyDescent="0.25">
      <c r="A1348">
        <v>75</v>
      </c>
      <c r="B1348" t="s">
        <v>92</v>
      </c>
      <c r="C1348" t="s">
        <v>590</v>
      </c>
      <c r="E1348" t="s">
        <v>590</v>
      </c>
      <c r="L1348" t="s">
        <v>93</v>
      </c>
      <c r="M1348">
        <v>120</v>
      </c>
      <c r="N1348" t="s">
        <v>25</v>
      </c>
      <c r="Q1348">
        <v>1</v>
      </c>
      <c r="R1348" t="s">
        <v>11</v>
      </c>
      <c r="T1348">
        <v>10</v>
      </c>
      <c r="V1348" t="s">
        <v>15</v>
      </c>
    </row>
    <row r="1349" spans="1:22" x14ac:dyDescent="0.25">
      <c r="A1349">
        <v>75</v>
      </c>
      <c r="B1349" t="s">
        <v>92</v>
      </c>
      <c r="C1349" t="s">
        <v>590</v>
      </c>
      <c r="E1349" t="s">
        <v>590</v>
      </c>
      <c r="L1349" t="s">
        <v>93</v>
      </c>
      <c r="M1349">
        <v>130</v>
      </c>
      <c r="N1349" t="s">
        <v>26</v>
      </c>
      <c r="Q1349">
        <v>1</v>
      </c>
      <c r="R1349" t="s">
        <v>11</v>
      </c>
      <c r="T1349">
        <v>10</v>
      </c>
      <c r="V1349" t="s">
        <v>15</v>
      </c>
    </row>
    <row r="1350" spans="1:22" x14ac:dyDescent="0.25">
      <c r="A1350">
        <v>75</v>
      </c>
      <c r="B1350" t="s">
        <v>92</v>
      </c>
      <c r="C1350" t="s">
        <v>590</v>
      </c>
      <c r="E1350" t="s">
        <v>590</v>
      </c>
      <c r="L1350" t="s">
        <v>93</v>
      </c>
      <c r="M1350">
        <v>140</v>
      </c>
      <c r="N1350" t="s">
        <v>100</v>
      </c>
      <c r="Q1350">
        <v>1.27</v>
      </c>
      <c r="R1350" t="s">
        <v>14</v>
      </c>
      <c r="T1350">
        <v>10</v>
      </c>
      <c r="V1350" t="s">
        <v>15</v>
      </c>
    </row>
    <row r="1351" spans="1:22" x14ac:dyDescent="0.25">
      <c r="A1351">
        <v>75</v>
      </c>
      <c r="B1351" t="s">
        <v>92</v>
      </c>
      <c r="C1351" t="s">
        <v>590</v>
      </c>
      <c r="E1351" t="s">
        <v>590</v>
      </c>
      <c r="L1351" t="s">
        <v>93</v>
      </c>
      <c r="M1351">
        <v>150</v>
      </c>
      <c r="N1351" t="s">
        <v>593</v>
      </c>
      <c r="Q1351">
        <v>1</v>
      </c>
      <c r="R1351" t="s">
        <v>11</v>
      </c>
      <c r="T1351">
        <v>10</v>
      </c>
      <c r="V1351" t="s">
        <v>18</v>
      </c>
    </row>
    <row r="1352" spans="1:22" x14ac:dyDescent="0.25">
      <c r="A1352">
        <v>75</v>
      </c>
      <c r="B1352" t="s">
        <v>92</v>
      </c>
      <c r="C1352" t="s">
        <v>590</v>
      </c>
      <c r="E1352" t="s">
        <v>590</v>
      </c>
      <c r="L1352" t="s">
        <v>93</v>
      </c>
      <c r="M1352">
        <v>160</v>
      </c>
      <c r="N1352" t="s">
        <v>594</v>
      </c>
      <c r="Q1352">
        <v>1</v>
      </c>
      <c r="R1352" t="s">
        <v>11</v>
      </c>
      <c r="T1352">
        <v>10</v>
      </c>
      <c r="V1352" t="s">
        <v>18</v>
      </c>
    </row>
    <row r="1353" spans="1:22" x14ac:dyDescent="0.25">
      <c r="A1353">
        <v>75</v>
      </c>
      <c r="B1353" t="s">
        <v>92</v>
      </c>
      <c r="C1353" t="s">
        <v>590</v>
      </c>
      <c r="E1353" t="s">
        <v>590</v>
      </c>
      <c r="L1353" t="s">
        <v>93</v>
      </c>
      <c r="M1353">
        <v>170</v>
      </c>
      <c r="N1353" t="s">
        <v>142</v>
      </c>
      <c r="Q1353">
        <v>8.1280000000000001</v>
      </c>
      <c r="R1353" t="s">
        <v>11</v>
      </c>
      <c r="T1353">
        <v>10</v>
      </c>
      <c r="V1353" t="s">
        <v>15</v>
      </c>
    </row>
    <row r="1354" spans="1:22" x14ac:dyDescent="0.25">
      <c r="A1354">
        <v>75</v>
      </c>
      <c r="B1354" t="s">
        <v>92</v>
      </c>
      <c r="C1354" t="s">
        <v>590</v>
      </c>
      <c r="E1354" t="s">
        <v>590</v>
      </c>
      <c r="L1354" t="s">
        <v>93</v>
      </c>
      <c r="M1354">
        <v>180</v>
      </c>
      <c r="N1354" t="s">
        <v>595</v>
      </c>
      <c r="Q1354">
        <v>1</v>
      </c>
      <c r="R1354" t="s">
        <v>11</v>
      </c>
      <c r="T1354">
        <v>10</v>
      </c>
      <c r="V1354" t="s">
        <v>18</v>
      </c>
    </row>
    <row r="1355" spans="1:22" x14ac:dyDescent="0.25">
      <c r="A1355">
        <v>76</v>
      </c>
      <c r="B1355" t="s">
        <v>92</v>
      </c>
      <c r="C1355" t="s">
        <v>596</v>
      </c>
      <c r="E1355" t="s">
        <v>596</v>
      </c>
      <c r="L1355" t="s">
        <v>93</v>
      </c>
      <c r="M1355">
        <v>10</v>
      </c>
      <c r="N1355" t="s">
        <v>145</v>
      </c>
      <c r="Q1355">
        <v>1</v>
      </c>
      <c r="R1355" t="s">
        <v>11</v>
      </c>
      <c r="T1355">
        <v>10</v>
      </c>
      <c r="V1355" t="s">
        <v>18</v>
      </c>
    </row>
    <row r="1356" spans="1:22" x14ac:dyDescent="0.25">
      <c r="A1356">
        <v>76</v>
      </c>
      <c r="B1356" t="s">
        <v>92</v>
      </c>
      <c r="C1356" t="s">
        <v>596</v>
      </c>
      <c r="E1356" t="s">
        <v>596</v>
      </c>
      <c r="L1356" t="s">
        <v>93</v>
      </c>
      <c r="M1356">
        <v>20</v>
      </c>
      <c r="N1356" t="s">
        <v>114</v>
      </c>
      <c r="Q1356">
        <v>2.2930000000000001</v>
      </c>
      <c r="R1356" t="s">
        <v>14</v>
      </c>
      <c r="T1356">
        <v>10</v>
      </c>
      <c r="V1356" t="s">
        <v>15</v>
      </c>
    </row>
    <row r="1357" spans="1:22" x14ac:dyDescent="0.25">
      <c r="A1357">
        <v>76</v>
      </c>
      <c r="B1357" t="s">
        <v>92</v>
      </c>
      <c r="C1357" t="s">
        <v>596</v>
      </c>
      <c r="E1357" t="s">
        <v>596</v>
      </c>
      <c r="L1357" t="s">
        <v>93</v>
      </c>
      <c r="M1357">
        <v>30</v>
      </c>
      <c r="N1357" t="s">
        <v>102</v>
      </c>
      <c r="Q1357">
        <v>0.57499999999999996</v>
      </c>
      <c r="R1357" t="s">
        <v>103</v>
      </c>
      <c r="T1357">
        <v>10</v>
      </c>
      <c r="V1357" t="s">
        <v>15</v>
      </c>
    </row>
    <row r="1358" spans="1:22" x14ac:dyDescent="0.25">
      <c r="A1358">
        <v>76</v>
      </c>
      <c r="B1358" t="s">
        <v>92</v>
      </c>
      <c r="C1358" t="s">
        <v>596</v>
      </c>
      <c r="E1358" t="s">
        <v>596</v>
      </c>
      <c r="L1358" t="s">
        <v>93</v>
      </c>
      <c r="M1358">
        <v>40</v>
      </c>
      <c r="N1358" t="s">
        <v>597</v>
      </c>
      <c r="Q1358">
        <v>0.86399999999999999</v>
      </c>
      <c r="R1358" t="s">
        <v>11</v>
      </c>
      <c r="T1358">
        <v>10</v>
      </c>
      <c r="V1358" t="s">
        <v>18</v>
      </c>
    </row>
    <row r="1359" spans="1:22" x14ac:dyDescent="0.25">
      <c r="A1359">
        <v>76</v>
      </c>
      <c r="B1359" t="s">
        <v>92</v>
      </c>
      <c r="C1359" t="s">
        <v>596</v>
      </c>
      <c r="E1359" t="s">
        <v>596</v>
      </c>
      <c r="L1359" t="s">
        <v>93</v>
      </c>
      <c r="M1359">
        <v>50</v>
      </c>
      <c r="N1359" t="s">
        <v>139</v>
      </c>
      <c r="Q1359">
        <v>0.86399999999999999</v>
      </c>
      <c r="R1359" t="s">
        <v>17</v>
      </c>
      <c r="T1359">
        <v>10</v>
      </c>
      <c r="V1359" t="s">
        <v>18</v>
      </c>
    </row>
    <row r="1360" spans="1:22" x14ac:dyDescent="0.25">
      <c r="A1360">
        <v>76</v>
      </c>
      <c r="B1360" t="s">
        <v>92</v>
      </c>
      <c r="C1360" t="s">
        <v>596</v>
      </c>
      <c r="E1360" t="s">
        <v>596</v>
      </c>
      <c r="L1360" t="s">
        <v>93</v>
      </c>
      <c r="M1360">
        <v>60</v>
      </c>
      <c r="N1360" t="s">
        <v>598</v>
      </c>
      <c r="Q1360">
        <v>1</v>
      </c>
      <c r="R1360" t="s">
        <v>11</v>
      </c>
      <c r="T1360">
        <v>10</v>
      </c>
      <c r="V1360" t="s">
        <v>18</v>
      </c>
    </row>
    <row r="1361" spans="1:22" x14ac:dyDescent="0.25">
      <c r="A1361">
        <v>76</v>
      </c>
      <c r="B1361" t="s">
        <v>92</v>
      </c>
      <c r="C1361" t="s">
        <v>596</v>
      </c>
      <c r="E1361" t="s">
        <v>596</v>
      </c>
      <c r="L1361" t="s">
        <v>93</v>
      </c>
      <c r="M1361">
        <v>70</v>
      </c>
      <c r="N1361" t="s">
        <v>599</v>
      </c>
      <c r="Q1361">
        <v>16.611999999999998</v>
      </c>
      <c r="R1361" t="s">
        <v>17</v>
      </c>
      <c r="T1361">
        <v>10</v>
      </c>
      <c r="V1361" t="s">
        <v>15</v>
      </c>
    </row>
    <row r="1362" spans="1:22" x14ac:dyDescent="0.25">
      <c r="A1362">
        <v>76</v>
      </c>
      <c r="B1362" t="s">
        <v>92</v>
      </c>
      <c r="C1362" t="s">
        <v>596</v>
      </c>
      <c r="E1362" t="s">
        <v>596</v>
      </c>
      <c r="L1362" t="s">
        <v>93</v>
      </c>
      <c r="M1362">
        <v>80</v>
      </c>
      <c r="N1362" t="s">
        <v>20</v>
      </c>
      <c r="Q1362">
        <v>136.215</v>
      </c>
      <c r="R1362" t="s">
        <v>17</v>
      </c>
      <c r="T1362">
        <v>10</v>
      </c>
      <c r="V1362" t="s">
        <v>15</v>
      </c>
    </row>
    <row r="1363" spans="1:22" x14ac:dyDescent="0.25">
      <c r="A1363">
        <v>76</v>
      </c>
      <c r="B1363" t="s">
        <v>92</v>
      </c>
      <c r="C1363" t="s">
        <v>596</v>
      </c>
      <c r="E1363" t="s">
        <v>596</v>
      </c>
      <c r="L1363" t="s">
        <v>93</v>
      </c>
      <c r="M1363">
        <v>90</v>
      </c>
      <c r="N1363" t="s">
        <v>24</v>
      </c>
      <c r="Q1363">
        <v>1</v>
      </c>
      <c r="R1363" t="s">
        <v>11</v>
      </c>
      <c r="T1363">
        <v>10</v>
      </c>
      <c r="V1363" t="s">
        <v>15</v>
      </c>
    </row>
    <row r="1364" spans="1:22" x14ac:dyDescent="0.25">
      <c r="A1364">
        <v>76</v>
      </c>
      <c r="B1364" t="s">
        <v>92</v>
      </c>
      <c r="C1364" t="s">
        <v>596</v>
      </c>
      <c r="E1364" t="s">
        <v>596</v>
      </c>
      <c r="L1364" t="s">
        <v>93</v>
      </c>
      <c r="M1364">
        <v>100</v>
      </c>
      <c r="N1364" t="s">
        <v>141</v>
      </c>
      <c r="Q1364">
        <v>8.1000000000000003E-2</v>
      </c>
      <c r="R1364" t="s">
        <v>14</v>
      </c>
      <c r="T1364">
        <v>10</v>
      </c>
      <c r="V1364" t="s">
        <v>15</v>
      </c>
    </row>
    <row r="1365" spans="1:22" x14ac:dyDescent="0.25">
      <c r="A1365">
        <v>76</v>
      </c>
      <c r="B1365" t="s">
        <v>92</v>
      </c>
      <c r="C1365" t="s">
        <v>596</v>
      </c>
      <c r="E1365" t="s">
        <v>596</v>
      </c>
      <c r="L1365" t="s">
        <v>93</v>
      </c>
      <c r="M1365">
        <v>110</v>
      </c>
      <c r="N1365" t="s">
        <v>140</v>
      </c>
      <c r="Q1365">
        <v>4</v>
      </c>
      <c r="R1365" t="s">
        <v>11</v>
      </c>
      <c r="T1365">
        <v>10</v>
      </c>
      <c r="V1365" t="s">
        <v>15</v>
      </c>
    </row>
    <row r="1366" spans="1:22" x14ac:dyDescent="0.25">
      <c r="A1366">
        <v>76</v>
      </c>
      <c r="B1366" t="s">
        <v>92</v>
      </c>
      <c r="C1366" t="s">
        <v>596</v>
      </c>
      <c r="E1366" t="s">
        <v>596</v>
      </c>
      <c r="L1366" t="s">
        <v>93</v>
      </c>
      <c r="M1366">
        <v>120</v>
      </c>
      <c r="N1366" t="s">
        <v>25</v>
      </c>
      <c r="Q1366">
        <v>1</v>
      </c>
      <c r="R1366" t="s">
        <v>11</v>
      </c>
      <c r="T1366">
        <v>10</v>
      </c>
      <c r="V1366" t="s">
        <v>15</v>
      </c>
    </row>
    <row r="1367" spans="1:22" x14ac:dyDescent="0.25">
      <c r="A1367">
        <v>76</v>
      </c>
      <c r="B1367" t="s">
        <v>92</v>
      </c>
      <c r="C1367" t="s">
        <v>596</v>
      </c>
      <c r="E1367" t="s">
        <v>596</v>
      </c>
      <c r="L1367" t="s">
        <v>93</v>
      </c>
      <c r="M1367">
        <v>130</v>
      </c>
      <c r="N1367" t="s">
        <v>26</v>
      </c>
      <c r="Q1367">
        <v>1</v>
      </c>
      <c r="R1367" t="s">
        <v>11</v>
      </c>
      <c r="T1367">
        <v>10</v>
      </c>
      <c r="V1367" t="s">
        <v>15</v>
      </c>
    </row>
    <row r="1368" spans="1:22" x14ac:dyDescent="0.25">
      <c r="A1368">
        <v>76</v>
      </c>
      <c r="B1368" t="s">
        <v>92</v>
      </c>
      <c r="C1368" t="s">
        <v>596</v>
      </c>
      <c r="E1368" t="s">
        <v>596</v>
      </c>
      <c r="L1368" t="s">
        <v>93</v>
      </c>
      <c r="M1368">
        <v>140</v>
      </c>
      <c r="N1368" t="s">
        <v>100</v>
      </c>
      <c r="Q1368">
        <v>0.58099999999999996</v>
      </c>
      <c r="R1368" t="s">
        <v>14</v>
      </c>
      <c r="T1368">
        <v>10</v>
      </c>
      <c r="V1368" t="s">
        <v>15</v>
      </c>
    </row>
    <row r="1369" spans="1:22" x14ac:dyDescent="0.25">
      <c r="A1369">
        <v>76</v>
      </c>
      <c r="B1369" t="s">
        <v>92</v>
      </c>
      <c r="C1369" t="s">
        <v>596</v>
      </c>
      <c r="E1369" t="s">
        <v>596</v>
      </c>
      <c r="L1369" t="s">
        <v>93</v>
      </c>
      <c r="M1369">
        <v>150</v>
      </c>
      <c r="N1369" t="s">
        <v>149</v>
      </c>
      <c r="Q1369">
        <v>1</v>
      </c>
      <c r="R1369" t="s">
        <v>11</v>
      </c>
      <c r="T1369">
        <v>10</v>
      </c>
      <c r="V1369" t="s">
        <v>18</v>
      </c>
    </row>
    <row r="1370" spans="1:22" x14ac:dyDescent="0.25">
      <c r="A1370">
        <v>76</v>
      </c>
      <c r="B1370" t="s">
        <v>92</v>
      </c>
      <c r="C1370" t="s">
        <v>596</v>
      </c>
      <c r="E1370" t="s">
        <v>596</v>
      </c>
      <c r="L1370" t="s">
        <v>93</v>
      </c>
      <c r="M1370">
        <v>160</v>
      </c>
      <c r="N1370" t="s">
        <v>150</v>
      </c>
      <c r="Q1370">
        <v>1</v>
      </c>
      <c r="R1370" t="s">
        <v>11</v>
      </c>
      <c r="T1370">
        <v>10</v>
      </c>
      <c r="V1370" t="s">
        <v>18</v>
      </c>
    </row>
    <row r="1371" spans="1:22" x14ac:dyDescent="0.25">
      <c r="A1371">
        <v>76</v>
      </c>
      <c r="B1371" t="s">
        <v>92</v>
      </c>
      <c r="C1371" t="s">
        <v>596</v>
      </c>
      <c r="E1371" t="s">
        <v>596</v>
      </c>
      <c r="L1371" t="s">
        <v>93</v>
      </c>
      <c r="M1371">
        <v>170</v>
      </c>
      <c r="N1371" t="s">
        <v>142</v>
      </c>
      <c r="Q1371">
        <v>5.5369999999999999</v>
      </c>
      <c r="R1371" t="s">
        <v>11</v>
      </c>
      <c r="T1371">
        <v>10</v>
      </c>
      <c r="V1371" t="s">
        <v>15</v>
      </c>
    </row>
    <row r="1372" spans="1:22" x14ac:dyDescent="0.25">
      <c r="A1372">
        <v>76</v>
      </c>
      <c r="B1372" t="s">
        <v>92</v>
      </c>
      <c r="C1372" t="s">
        <v>596</v>
      </c>
      <c r="E1372" t="s">
        <v>596</v>
      </c>
      <c r="L1372" t="s">
        <v>93</v>
      </c>
      <c r="M1372">
        <v>180</v>
      </c>
      <c r="N1372" t="s">
        <v>151</v>
      </c>
      <c r="Q1372">
        <v>1</v>
      </c>
      <c r="R1372" t="s">
        <v>11</v>
      </c>
      <c r="T1372">
        <v>10</v>
      </c>
      <c r="V1372" t="s">
        <v>18</v>
      </c>
    </row>
    <row r="1373" spans="1:22" x14ac:dyDescent="0.25">
      <c r="A1373">
        <v>77</v>
      </c>
      <c r="B1373" t="s">
        <v>92</v>
      </c>
      <c r="C1373" t="s">
        <v>600</v>
      </c>
      <c r="E1373" t="s">
        <v>600</v>
      </c>
      <c r="L1373" t="s">
        <v>93</v>
      </c>
      <c r="M1373">
        <v>10</v>
      </c>
      <c r="N1373" t="s">
        <v>153</v>
      </c>
      <c r="Q1373">
        <v>1</v>
      </c>
      <c r="R1373" t="s">
        <v>11</v>
      </c>
      <c r="T1373">
        <v>10</v>
      </c>
      <c r="V1373" t="s">
        <v>18</v>
      </c>
    </row>
    <row r="1374" spans="1:22" x14ac:dyDescent="0.25">
      <c r="A1374">
        <v>77</v>
      </c>
      <c r="B1374" t="s">
        <v>92</v>
      </c>
      <c r="C1374" t="s">
        <v>600</v>
      </c>
      <c r="E1374" t="s">
        <v>600</v>
      </c>
      <c r="L1374" t="s">
        <v>93</v>
      </c>
      <c r="M1374">
        <v>20</v>
      </c>
      <c r="N1374" t="s">
        <v>115</v>
      </c>
      <c r="Q1374">
        <v>2.68</v>
      </c>
      <c r="R1374" t="s">
        <v>14</v>
      </c>
      <c r="T1374">
        <v>10</v>
      </c>
      <c r="V1374" t="s">
        <v>15</v>
      </c>
    </row>
    <row r="1375" spans="1:22" x14ac:dyDescent="0.25">
      <c r="A1375">
        <v>77</v>
      </c>
      <c r="B1375" t="s">
        <v>92</v>
      </c>
      <c r="C1375" t="s">
        <v>600</v>
      </c>
      <c r="E1375" t="s">
        <v>600</v>
      </c>
      <c r="L1375" t="s">
        <v>93</v>
      </c>
      <c r="M1375">
        <v>30</v>
      </c>
      <c r="N1375" t="s">
        <v>102</v>
      </c>
      <c r="Q1375">
        <v>0.68300000000000005</v>
      </c>
      <c r="R1375" t="s">
        <v>103</v>
      </c>
      <c r="T1375">
        <v>10</v>
      </c>
      <c r="V1375" t="s">
        <v>15</v>
      </c>
    </row>
    <row r="1376" spans="1:22" x14ac:dyDescent="0.25">
      <c r="A1376">
        <v>77</v>
      </c>
      <c r="B1376" t="s">
        <v>92</v>
      </c>
      <c r="C1376" t="s">
        <v>600</v>
      </c>
      <c r="E1376" t="s">
        <v>600</v>
      </c>
      <c r="L1376" t="s">
        <v>93</v>
      </c>
      <c r="M1376">
        <v>40</v>
      </c>
      <c r="N1376" t="s">
        <v>597</v>
      </c>
      <c r="Q1376">
        <v>1.016</v>
      </c>
      <c r="R1376" t="s">
        <v>11</v>
      </c>
      <c r="T1376">
        <v>10</v>
      </c>
      <c r="V1376" t="s">
        <v>18</v>
      </c>
    </row>
    <row r="1377" spans="1:22" x14ac:dyDescent="0.25">
      <c r="A1377">
        <v>77</v>
      </c>
      <c r="B1377" t="s">
        <v>92</v>
      </c>
      <c r="C1377" t="s">
        <v>600</v>
      </c>
      <c r="E1377" t="s">
        <v>600</v>
      </c>
      <c r="L1377" t="s">
        <v>93</v>
      </c>
      <c r="M1377">
        <v>50</v>
      </c>
      <c r="N1377" t="s">
        <v>139</v>
      </c>
      <c r="Q1377">
        <v>1.016</v>
      </c>
      <c r="R1377" t="s">
        <v>17</v>
      </c>
      <c r="T1377">
        <v>10</v>
      </c>
      <c r="V1377" t="s">
        <v>18</v>
      </c>
    </row>
    <row r="1378" spans="1:22" x14ac:dyDescent="0.25">
      <c r="A1378">
        <v>77</v>
      </c>
      <c r="B1378" t="s">
        <v>92</v>
      </c>
      <c r="C1378" t="s">
        <v>600</v>
      </c>
      <c r="E1378" t="s">
        <v>600</v>
      </c>
      <c r="L1378" t="s">
        <v>93</v>
      </c>
      <c r="M1378">
        <v>60</v>
      </c>
      <c r="N1378" t="s">
        <v>601</v>
      </c>
      <c r="Q1378">
        <v>1</v>
      </c>
      <c r="R1378" t="s">
        <v>11</v>
      </c>
      <c r="T1378">
        <v>10</v>
      </c>
      <c r="V1378" t="s">
        <v>18</v>
      </c>
    </row>
    <row r="1379" spans="1:22" x14ac:dyDescent="0.25">
      <c r="A1379">
        <v>77</v>
      </c>
      <c r="B1379" t="s">
        <v>92</v>
      </c>
      <c r="C1379" t="s">
        <v>600</v>
      </c>
      <c r="E1379" t="s">
        <v>600</v>
      </c>
      <c r="L1379" t="s">
        <v>93</v>
      </c>
      <c r="M1379">
        <v>70</v>
      </c>
      <c r="N1379" t="s">
        <v>599</v>
      </c>
      <c r="Q1379">
        <v>17.526</v>
      </c>
      <c r="R1379" t="s">
        <v>17</v>
      </c>
      <c r="T1379">
        <v>10</v>
      </c>
      <c r="V1379" t="s">
        <v>15</v>
      </c>
    </row>
    <row r="1380" spans="1:22" x14ac:dyDescent="0.25">
      <c r="A1380">
        <v>77</v>
      </c>
      <c r="B1380" t="s">
        <v>92</v>
      </c>
      <c r="C1380" t="s">
        <v>600</v>
      </c>
      <c r="E1380" t="s">
        <v>600</v>
      </c>
      <c r="L1380" t="s">
        <v>93</v>
      </c>
      <c r="M1380">
        <v>80</v>
      </c>
      <c r="N1380" t="s">
        <v>20</v>
      </c>
      <c r="Q1380">
        <v>143.71299999999999</v>
      </c>
      <c r="R1380" t="s">
        <v>17</v>
      </c>
      <c r="T1380">
        <v>10</v>
      </c>
      <c r="V1380" t="s">
        <v>15</v>
      </c>
    </row>
    <row r="1381" spans="1:22" x14ac:dyDescent="0.25">
      <c r="A1381">
        <v>77</v>
      </c>
      <c r="B1381" t="s">
        <v>92</v>
      </c>
      <c r="C1381" t="s">
        <v>600</v>
      </c>
      <c r="E1381" t="s">
        <v>600</v>
      </c>
      <c r="L1381" t="s">
        <v>93</v>
      </c>
      <c r="M1381">
        <v>90</v>
      </c>
      <c r="N1381" t="s">
        <v>24</v>
      </c>
      <c r="Q1381">
        <v>1</v>
      </c>
      <c r="R1381" t="s">
        <v>11</v>
      </c>
      <c r="T1381">
        <v>10</v>
      </c>
      <c r="V1381" t="s">
        <v>15</v>
      </c>
    </row>
    <row r="1382" spans="1:22" x14ac:dyDescent="0.25">
      <c r="A1382">
        <v>77</v>
      </c>
      <c r="B1382" t="s">
        <v>92</v>
      </c>
      <c r="C1382" t="s">
        <v>600</v>
      </c>
      <c r="E1382" t="s">
        <v>600</v>
      </c>
      <c r="L1382" t="s">
        <v>93</v>
      </c>
      <c r="M1382">
        <v>100</v>
      </c>
      <c r="N1382" t="s">
        <v>141</v>
      </c>
      <c r="Q1382">
        <v>9.1999999999999998E-2</v>
      </c>
      <c r="R1382" t="s">
        <v>14</v>
      </c>
      <c r="T1382">
        <v>10</v>
      </c>
      <c r="V1382" t="s">
        <v>15</v>
      </c>
    </row>
    <row r="1383" spans="1:22" x14ac:dyDescent="0.25">
      <c r="A1383">
        <v>77</v>
      </c>
      <c r="B1383" t="s">
        <v>92</v>
      </c>
      <c r="C1383" t="s">
        <v>600</v>
      </c>
      <c r="E1383" t="s">
        <v>600</v>
      </c>
      <c r="L1383" t="s">
        <v>93</v>
      </c>
      <c r="M1383">
        <v>110</v>
      </c>
      <c r="N1383" t="s">
        <v>140</v>
      </c>
      <c r="Q1383">
        <v>4</v>
      </c>
      <c r="R1383" t="s">
        <v>11</v>
      </c>
      <c r="T1383">
        <v>10</v>
      </c>
      <c r="V1383" t="s">
        <v>15</v>
      </c>
    </row>
    <row r="1384" spans="1:22" x14ac:dyDescent="0.25">
      <c r="A1384">
        <v>77</v>
      </c>
      <c r="B1384" t="s">
        <v>92</v>
      </c>
      <c r="C1384" t="s">
        <v>600</v>
      </c>
      <c r="E1384" t="s">
        <v>600</v>
      </c>
      <c r="L1384" t="s">
        <v>93</v>
      </c>
      <c r="M1384">
        <v>120</v>
      </c>
      <c r="N1384" t="s">
        <v>25</v>
      </c>
      <c r="Q1384">
        <v>1</v>
      </c>
      <c r="R1384" t="s">
        <v>11</v>
      </c>
      <c r="T1384">
        <v>10</v>
      </c>
      <c r="V1384" t="s">
        <v>15</v>
      </c>
    </row>
    <row r="1385" spans="1:22" x14ac:dyDescent="0.25">
      <c r="A1385">
        <v>77</v>
      </c>
      <c r="B1385" t="s">
        <v>92</v>
      </c>
      <c r="C1385" t="s">
        <v>600</v>
      </c>
      <c r="E1385" t="s">
        <v>600</v>
      </c>
      <c r="L1385" t="s">
        <v>93</v>
      </c>
      <c r="M1385">
        <v>130</v>
      </c>
      <c r="N1385" t="s">
        <v>26</v>
      </c>
      <c r="Q1385">
        <v>1</v>
      </c>
      <c r="R1385" t="s">
        <v>11</v>
      </c>
      <c r="T1385">
        <v>10</v>
      </c>
      <c r="V1385" t="s">
        <v>15</v>
      </c>
    </row>
    <row r="1386" spans="1:22" x14ac:dyDescent="0.25">
      <c r="A1386">
        <v>77</v>
      </c>
      <c r="B1386" t="s">
        <v>92</v>
      </c>
      <c r="C1386" t="s">
        <v>600</v>
      </c>
      <c r="E1386" t="s">
        <v>600</v>
      </c>
      <c r="L1386" t="s">
        <v>93</v>
      </c>
      <c r="M1386">
        <v>140</v>
      </c>
      <c r="N1386" t="s">
        <v>100</v>
      </c>
      <c r="Q1386">
        <v>0.66200000000000003</v>
      </c>
      <c r="R1386" t="s">
        <v>14</v>
      </c>
      <c r="T1386">
        <v>10</v>
      </c>
      <c r="V1386" t="s">
        <v>15</v>
      </c>
    </row>
    <row r="1387" spans="1:22" x14ac:dyDescent="0.25">
      <c r="A1387">
        <v>77</v>
      </c>
      <c r="B1387" t="s">
        <v>92</v>
      </c>
      <c r="C1387" t="s">
        <v>600</v>
      </c>
      <c r="E1387" t="s">
        <v>600</v>
      </c>
      <c r="L1387" t="s">
        <v>93</v>
      </c>
      <c r="M1387">
        <v>150</v>
      </c>
      <c r="N1387" t="s">
        <v>155</v>
      </c>
      <c r="Q1387">
        <v>1</v>
      </c>
      <c r="R1387" t="s">
        <v>11</v>
      </c>
      <c r="T1387">
        <v>10</v>
      </c>
      <c r="V1387" t="s">
        <v>18</v>
      </c>
    </row>
    <row r="1388" spans="1:22" x14ac:dyDescent="0.25">
      <c r="A1388">
        <v>77</v>
      </c>
      <c r="B1388" t="s">
        <v>92</v>
      </c>
      <c r="C1388" t="s">
        <v>600</v>
      </c>
      <c r="E1388" t="s">
        <v>600</v>
      </c>
      <c r="L1388" t="s">
        <v>93</v>
      </c>
      <c r="M1388">
        <v>160</v>
      </c>
      <c r="N1388" t="s">
        <v>156</v>
      </c>
      <c r="Q1388">
        <v>1</v>
      </c>
      <c r="R1388" t="s">
        <v>11</v>
      </c>
      <c r="T1388">
        <v>10</v>
      </c>
      <c r="V1388" t="s">
        <v>18</v>
      </c>
    </row>
    <row r="1389" spans="1:22" x14ac:dyDescent="0.25">
      <c r="A1389">
        <v>77</v>
      </c>
      <c r="B1389" t="s">
        <v>92</v>
      </c>
      <c r="C1389" t="s">
        <v>600</v>
      </c>
      <c r="E1389" t="s">
        <v>600</v>
      </c>
      <c r="L1389" t="s">
        <v>93</v>
      </c>
      <c r="M1389">
        <v>170</v>
      </c>
      <c r="N1389" t="s">
        <v>142</v>
      </c>
      <c r="Q1389">
        <v>5.8419999999999996</v>
      </c>
      <c r="R1389" t="s">
        <v>11</v>
      </c>
      <c r="T1389">
        <v>10</v>
      </c>
      <c r="V1389" t="s">
        <v>15</v>
      </c>
    </row>
    <row r="1390" spans="1:22" x14ac:dyDescent="0.25">
      <c r="A1390">
        <v>77</v>
      </c>
      <c r="B1390" t="s">
        <v>92</v>
      </c>
      <c r="C1390" t="s">
        <v>600</v>
      </c>
      <c r="E1390" t="s">
        <v>600</v>
      </c>
      <c r="L1390" t="s">
        <v>93</v>
      </c>
      <c r="M1390">
        <v>180</v>
      </c>
      <c r="N1390" t="s">
        <v>157</v>
      </c>
      <c r="Q1390">
        <v>1</v>
      </c>
      <c r="R1390" t="s">
        <v>11</v>
      </c>
      <c r="T1390">
        <v>10</v>
      </c>
      <c r="V1390" t="s">
        <v>18</v>
      </c>
    </row>
    <row r="1391" spans="1:22" x14ac:dyDescent="0.25">
      <c r="A1391">
        <v>78</v>
      </c>
      <c r="B1391" t="s">
        <v>92</v>
      </c>
      <c r="C1391" t="s">
        <v>602</v>
      </c>
      <c r="E1391" t="s">
        <v>602</v>
      </c>
      <c r="L1391" t="s">
        <v>93</v>
      </c>
      <c r="M1391">
        <v>10</v>
      </c>
      <c r="N1391" t="s">
        <v>159</v>
      </c>
      <c r="Q1391">
        <v>1</v>
      </c>
      <c r="R1391" t="s">
        <v>11</v>
      </c>
      <c r="T1391">
        <v>10</v>
      </c>
      <c r="V1391" t="s">
        <v>18</v>
      </c>
    </row>
    <row r="1392" spans="1:22" x14ac:dyDescent="0.25">
      <c r="A1392">
        <v>78</v>
      </c>
      <c r="B1392" t="s">
        <v>92</v>
      </c>
      <c r="C1392" t="s">
        <v>602</v>
      </c>
      <c r="E1392" t="s">
        <v>602</v>
      </c>
      <c r="L1392" t="s">
        <v>93</v>
      </c>
      <c r="M1392">
        <v>20</v>
      </c>
      <c r="N1392" t="s">
        <v>116</v>
      </c>
      <c r="Q1392">
        <v>3.0680000000000001</v>
      </c>
      <c r="R1392" t="s">
        <v>14</v>
      </c>
      <c r="T1392">
        <v>10</v>
      </c>
      <c r="V1392" t="s">
        <v>15</v>
      </c>
    </row>
    <row r="1393" spans="1:22" x14ac:dyDescent="0.25">
      <c r="A1393">
        <v>78</v>
      </c>
      <c r="B1393" t="s">
        <v>92</v>
      </c>
      <c r="C1393" t="s">
        <v>602</v>
      </c>
      <c r="E1393" t="s">
        <v>602</v>
      </c>
      <c r="L1393" t="s">
        <v>93</v>
      </c>
      <c r="M1393">
        <v>30</v>
      </c>
      <c r="N1393" t="s">
        <v>102</v>
      </c>
      <c r="Q1393">
        <v>0.79100000000000004</v>
      </c>
      <c r="R1393" t="s">
        <v>103</v>
      </c>
      <c r="T1393">
        <v>10</v>
      </c>
      <c r="V1393" t="s">
        <v>15</v>
      </c>
    </row>
    <row r="1394" spans="1:22" x14ac:dyDescent="0.25">
      <c r="A1394">
        <v>78</v>
      </c>
      <c r="B1394" t="s">
        <v>92</v>
      </c>
      <c r="C1394" t="s">
        <v>602</v>
      </c>
      <c r="E1394" t="s">
        <v>602</v>
      </c>
      <c r="L1394" t="s">
        <v>93</v>
      </c>
      <c r="M1394">
        <v>40</v>
      </c>
      <c r="N1394" t="s">
        <v>597</v>
      </c>
      <c r="Q1394">
        <v>1.1679999999999999</v>
      </c>
      <c r="R1394" t="s">
        <v>11</v>
      </c>
      <c r="T1394">
        <v>10</v>
      </c>
      <c r="V1394" t="s">
        <v>18</v>
      </c>
    </row>
    <row r="1395" spans="1:22" x14ac:dyDescent="0.25">
      <c r="A1395">
        <v>78</v>
      </c>
      <c r="B1395" t="s">
        <v>92</v>
      </c>
      <c r="C1395" t="s">
        <v>602</v>
      </c>
      <c r="E1395" t="s">
        <v>602</v>
      </c>
      <c r="L1395" t="s">
        <v>93</v>
      </c>
      <c r="M1395">
        <v>50</v>
      </c>
      <c r="N1395" t="s">
        <v>139</v>
      </c>
      <c r="Q1395">
        <v>1.1679999999999999</v>
      </c>
      <c r="R1395" t="s">
        <v>17</v>
      </c>
      <c r="T1395">
        <v>10</v>
      </c>
      <c r="V1395" t="s">
        <v>18</v>
      </c>
    </row>
    <row r="1396" spans="1:22" x14ac:dyDescent="0.25">
      <c r="A1396">
        <v>78</v>
      </c>
      <c r="B1396" t="s">
        <v>92</v>
      </c>
      <c r="C1396" t="s">
        <v>602</v>
      </c>
      <c r="E1396" t="s">
        <v>602</v>
      </c>
      <c r="L1396" t="s">
        <v>93</v>
      </c>
      <c r="M1396">
        <v>60</v>
      </c>
      <c r="N1396" t="s">
        <v>603</v>
      </c>
      <c r="Q1396">
        <v>1</v>
      </c>
      <c r="R1396" t="s">
        <v>11</v>
      </c>
      <c r="T1396">
        <v>10</v>
      </c>
      <c r="V1396" t="s">
        <v>18</v>
      </c>
    </row>
    <row r="1397" spans="1:22" x14ac:dyDescent="0.25">
      <c r="A1397">
        <v>78</v>
      </c>
      <c r="B1397" t="s">
        <v>92</v>
      </c>
      <c r="C1397" t="s">
        <v>602</v>
      </c>
      <c r="E1397" t="s">
        <v>602</v>
      </c>
      <c r="L1397" t="s">
        <v>93</v>
      </c>
      <c r="M1397">
        <v>70</v>
      </c>
      <c r="N1397" t="s">
        <v>599</v>
      </c>
      <c r="Q1397">
        <v>18.440000000000001</v>
      </c>
      <c r="R1397" t="s">
        <v>17</v>
      </c>
      <c r="T1397">
        <v>10</v>
      </c>
      <c r="V1397" t="s">
        <v>15</v>
      </c>
    </row>
    <row r="1398" spans="1:22" x14ac:dyDescent="0.25">
      <c r="A1398">
        <v>78</v>
      </c>
      <c r="B1398" t="s">
        <v>92</v>
      </c>
      <c r="C1398" t="s">
        <v>602</v>
      </c>
      <c r="E1398" t="s">
        <v>602</v>
      </c>
      <c r="L1398" t="s">
        <v>93</v>
      </c>
      <c r="M1398">
        <v>80</v>
      </c>
      <c r="N1398" t="s">
        <v>20</v>
      </c>
      <c r="Q1398">
        <v>151.21100000000001</v>
      </c>
      <c r="R1398" t="s">
        <v>17</v>
      </c>
      <c r="T1398">
        <v>10</v>
      </c>
      <c r="V1398" t="s">
        <v>15</v>
      </c>
    </row>
    <row r="1399" spans="1:22" x14ac:dyDescent="0.25">
      <c r="A1399">
        <v>78</v>
      </c>
      <c r="B1399" t="s">
        <v>92</v>
      </c>
      <c r="C1399" t="s">
        <v>602</v>
      </c>
      <c r="E1399" t="s">
        <v>602</v>
      </c>
      <c r="L1399" t="s">
        <v>93</v>
      </c>
      <c r="M1399">
        <v>90</v>
      </c>
      <c r="N1399" t="s">
        <v>24</v>
      </c>
      <c r="Q1399">
        <v>1</v>
      </c>
      <c r="R1399" t="s">
        <v>11</v>
      </c>
      <c r="T1399">
        <v>10</v>
      </c>
      <c r="V1399" t="s">
        <v>15</v>
      </c>
    </row>
    <row r="1400" spans="1:22" x14ac:dyDescent="0.25">
      <c r="A1400">
        <v>78</v>
      </c>
      <c r="B1400" t="s">
        <v>92</v>
      </c>
      <c r="C1400" t="s">
        <v>602</v>
      </c>
      <c r="E1400" t="s">
        <v>602</v>
      </c>
      <c r="L1400" t="s">
        <v>93</v>
      </c>
      <c r="M1400">
        <v>100</v>
      </c>
      <c r="N1400" t="s">
        <v>141</v>
      </c>
      <c r="Q1400">
        <v>0.10199999999999999</v>
      </c>
      <c r="R1400" t="s">
        <v>14</v>
      </c>
      <c r="T1400">
        <v>10</v>
      </c>
      <c r="V1400" t="s">
        <v>15</v>
      </c>
    </row>
    <row r="1401" spans="1:22" x14ac:dyDescent="0.25">
      <c r="A1401">
        <v>78</v>
      </c>
      <c r="B1401" t="s">
        <v>92</v>
      </c>
      <c r="C1401" t="s">
        <v>602</v>
      </c>
      <c r="E1401" t="s">
        <v>602</v>
      </c>
      <c r="L1401" t="s">
        <v>93</v>
      </c>
      <c r="M1401">
        <v>110</v>
      </c>
      <c r="N1401" t="s">
        <v>140</v>
      </c>
      <c r="Q1401">
        <v>4</v>
      </c>
      <c r="R1401" t="s">
        <v>11</v>
      </c>
      <c r="T1401">
        <v>10</v>
      </c>
      <c r="V1401" t="s">
        <v>15</v>
      </c>
    </row>
    <row r="1402" spans="1:22" x14ac:dyDescent="0.25">
      <c r="A1402">
        <v>78</v>
      </c>
      <c r="B1402" t="s">
        <v>92</v>
      </c>
      <c r="C1402" t="s">
        <v>602</v>
      </c>
      <c r="E1402" t="s">
        <v>602</v>
      </c>
      <c r="L1402" t="s">
        <v>93</v>
      </c>
      <c r="M1402">
        <v>120</v>
      </c>
      <c r="N1402" t="s">
        <v>25</v>
      </c>
      <c r="Q1402">
        <v>1</v>
      </c>
      <c r="R1402" t="s">
        <v>11</v>
      </c>
      <c r="T1402">
        <v>10</v>
      </c>
      <c r="V1402" t="s">
        <v>15</v>
      </c>
    </row>
    <row r="1403" spans="1:22" x14ac:dyDescent="0.25">
      <c r="A1403">
        <v>78</v>
      </c>
      <c r="B1403" t="s">
        <v>92</v>
      </c>
      <c r="C1403" t="s">
        <v>602</v>
      </c>
      <c r="E1403" t="s">
        <v>602</v>
      </c>
      <c r="L1403" t="s">
        <v>93</v>
      </c>
      <c r="M1403">
        <v>130</v>
      </c>
      <c r="N1403" t="s">
        <v>26</v>
      </c>
      <c r="Q1403">
        <v>1</v>
      </c>
      <c r="R1403" t="s">
        <v>11</v>
      </c>
      <c r="T1403">
        <v>10</v>
      </c>
      <c r="V1403" t="s">
        <v>15</v>
      </c>
    </row>
    <row r="1404" spans="1:22" x14ac:dyDescent="0.25">
      <c r="A1404">
        <v>78</v>
      </c>
      <c r="B1404" t="s">
        <v>92</v>
      </c>
      <c r="C1404" t="s">
        <v>602</v>
      </c>
      <c r="E1404" t="s">
        <v>602</v>
      </c>
      <c r="L1404" t="s">
        <v>93</v>
      </c>
      <c r="M1404">
        <v>140</v>
      </c>
      <c r="N1404" t="s">
        <v>100</v>
      </c>
      <c r="Q1404">
        <v>0.74299999999999999</v>
      </c>
      <c r="R1404" t="s">
        <v>14</v>
      </c>
      <c r="T1404">
        <v>10</v>
      </c>
      <c r="V1404" t="s">
        <v>15</v>
      </c>
    </row>
    <row r="1405" spans="1:22" x14ac:dyDescent="0.25">
      <c r="A1405">
        <v>78</v>
      </c>
      <c r="B1405" t="s">
        <v>92</v>
      </c>
      <c r="C1405" t="s">
        <v>602</v>
      </c>
      <c r="E1405" t="s">
        <v>602</v>
      </c>
      <c r="L1405" t="s">
        <v>93</v>
      </c>
      <c r="M1405">
        <v>150</v>
      </c>
      <c r="N1405" t="s">
        <v>161</v>
      </c>
      <c r="Q1405">
        <v>1</v>
      </c>
      <c r="R1405" t="s">
        <v>11</v>
      </c>
      <c r="T1405">
        <v>10</v>
      </c>
      <c r="V1405" t="s">
        <v>18</v>
      </c>
    </row>
    <row r="1406" spans="1:22" x14ac:dyDescent="0.25">
      <c r="A1406">
        <v>78</v>
      </c>
      <c r="B1406" t="s">
        <v>92</v>
      </c>
      <c r="C1406" t="s">
        <v>602</v>
      </c>
      <c r="E1406" t="s">
        <v>602</v>
      </c>
      <c r="L1406" t="s">
        <v>93</v>
      </c>
      <c r="M1406">
        <v>160</v>
      </c>
      <c r="N1406" t="s">
        <v>162</v>
      </c>
      <c r="Q1406">
        <v>1</v>
      </c>
      <c r="R1406" t="s">
        <v>11</v>
      </c>
      <c r="T1406">
        <v>10</v>
      </c>
      <c r="V1406" t="s">
        <v>18</v>
      </c>
    </row>
    <row r="1407" spans="1:22" x14ac:dyDescent="0.25">
      <c r="A1407">
        <v>78</v>
      </c>
      <c r="B1407" t="s">
        <v>92</v>
      </c>
      <c r="C1407" t="s">
        <v>602</v>
      </c>
      <c r="E1407" t="s">
        <v>602</v>
      </c>
      <c r="L1407" t="s">
        <v>93</v>
      </c>
      <c r="M1407">
        <v>170</v>
      </c>
      <c r="N1407" t="s">
        <v>142</v>
      </c>
      <c r="Q1407">
        <v>6.1470000000000002</v>
      </c>
      <c r="R1407" t="s">
        <v>11</v>
      </c>
      <c r="T1407">
        <v>10</v>
      </c>
      <c r="V1407" t="s">
        <v>15</v>
      </c>
    </row>
    <row r="1408" spans="1:22" x14ac:dyDescent="0.25">
      <c r="A1408">
        <v>78</v>
      </c>
      <c r="B1408" t="s">
        <v>92</v>
      </c>
      <c r="C1408" t="s">
        <v>602</v>
      </c>
      <c r="E1408" t="s">
        <v>602</v>
      </c>
      <c r="L1408" t="s">
        <v>93</v>
      </c>
      <c r="M1408">
        <v>180</v>
      </c>
      <c r="N1408" t="s">
        <v>163</v>
      </c>
      <c r="Q1408">
        <v>1</v>
      </c>
      <c r="R1408" t="s">
        <v>11</v>
      </c>
      <c r="T1408">
        <v>10</v>
      </c>
      <c r="V1408" t="s">
        <v>18</v>
      </c>
    </row>
    <row r="1409" spans="1:22" x14ac:dyDescent="0.25">
      <c r="A1409">
        <v>79</v>
      </c>
      <c r="B1409" t="s">
        <v>92</v>
      </c>
      <c r="C1409" t="s">
        <v>604</v>
      </c>
      <c r="E1409" t="s">
        <v>604</v>
      </c>
      <c r="L1409" t="s">
        <v>93</v>
      </c>
      <c r="M1409">
        <v>10</v>
      </c>
      <c r="N1409" t="s">
        <v>165</v>
      </c>
      <c r="Q1409">
        <v>1</v>
      </c>
      <c r="R1409" t="s">
        <v>11</v>
      </c>
      <c r="T1409">
        <v>10</v>
      </c>
      <c r="V1409" t="s">
        <v>18</v>
      </c>
    </row>
    <row r="1410" spans="1:22" x14ac:dyDescent="0.25">
      <c r="A1410">
        <v>79</v>
      </c>
      <c r="B1410" t="s">
        <v>92</v>
      </c>
      <c r="C1410" t="s">
        <v>604</v>
      </c>
      <c r="E1410" t="s">
        <v>604</v>
      </c>
      <c r="L1410" t="s">
        <v>93</v>
      </c>
      <c r="M1410">
        <v>20</v>
      </c>
      <c r="N1410" t="s">
        <v>117</v>
      </c>
      <c r="Q1410">
        <v>3.843</v>
      </c>
      <c r="R1410" t="s">
        <v>14</v>
      </c>
      <c r="T1410">
        <v>10</v>
      </c>
      <c r="V1410" t="s">
        <v>15</v>
      </c>
    </row>
    <row r="1411" spans="1:22" x14ac:dyDescent="0.25">
      <c r="A1411">
        <v>79</v>
      </c>
      <c r="B1411" t="s">
        <v>92</v>
      </c>
      <c r="C1411" t="s">
        <v>604</v>
      </c>
      <c r="E1411" t="s">
        <v>604</v>
      </c>
      <c r="L1411" t="s">
        <v>93</v>
      </c>
      <c r="M1411">
        <v>30</v>
      </c>
      <c r="N1411" t="s">
        <v>102</v>
      </c>
      <c r="Q1411">
        <v>0.89900000000000002</v>
      </c>
      <c r="R1411" t="s">
        <v>103</v>
      </c>
      <c r="T1411">
        <v>10</v>
      </c>
      <c r="V1411" t="s">
        <v>15</v>
      </c>
    </row>
    <row r="1412" spans="1:22" x14ac:dyDescent="0.25">
      <c r="A1412">
        <v>79</v>
      </c>
      <c r="B1412" t="s">
        <v>92</v>
      </c>
      <c r="C1412" t="s">
        <v>604</v>
      </c>
      <c r="E1412" t="s">
        <v>604</v>
      </c>
      <c r="L1412" t="s">
        <v>93</v>
      </c>
      <c r="M1412">
        <v>40</v>
      </c>
      <c r="N1412" t="s">
        <v>597</v>
      </c>
      <c r="Q1412">
        <v>1.321</v>
      </c>
      <c r="R1412" t="s">
        <v>11</v>
      </c>
      <c r="T1412">
        <v>10</v>
      </c>
      <c r="V1412" t="s">
        <v>18</v>
      </c>
    </row>
    <row r="1413" spans="1:22" x14ac:dyDescent="0.25">
      <c r="A1413">
        <v>79</v>
      </c>
      <c r="B1413" t="s">
        <v>92</v>
      </c>
      <c r="C1413" t="s">
        <v>604</v>
      </c>
      <c r="E1413" t="s">
        <v>604</v>
      </c>
      <c r="L1413" t="s">
        <v>93</v>
      </c>
      <c r="M1413">
        <v>50</v>
      </c>
      <c r="N1413" t="s">
        <v>139</v>
      </c>
      <c r="Q1413">
        <v>1.321</v>
      </c>
      <c r="R1413" t="s">
        <v>17</v>
      </c>
      <c r="T1413">
        <v>10</v>
      </c>
      <c r="V1413" t="s">
        <v>18</v>
      </c>
    </row>
    <row r="1414" spans="1:22" x14ac:dyDescent="0.25">
      <c r="A1414">
        <v>79</v>
      </c>
      <c r="B1414" t="s">
        <v>92</v>
      </c>
      <c r="C1414" t="s">
        <v>604</v>
      </c>
      <c r="E1414" t="s">
        <v>604</v>
      </c>
      <c r="L1414" t="s">
        <v>93</v>
      </c>
      <c r="M1414">
        <v>60</v>
      </c>
      <c r="N1414" t="s">
        <v>605</v>
      </c>
      <c r="Q1414">
        <v>1</v>
      </c>
      <c r="R1414" t="s">
        <v>11</v>
      </c>
      <c r="T1414">
        <v>10</v>
      </c>
      <c r="V1414" t="s">
        <v>18</v>
      </c>
    </row>
    <row r="1415" spans="1:22" x14ac:dyDescent="0.25">
      <c r="A1415">
        <v>79</v>
      </c>
      <c r="B1415" t="s">
        <v>92</v>
      </c>
      <c r="C1415" t="s">
        <v>604</v>
      </c>
      <c r="E1415" t="s">
        <v>604</v>
      </c>
      <c r="L1415" t="s">
        <v>93</v>
      </c>
      <c r="M1415">
        <v>70</v>
      </c>
      <c r="N1415" t="s">
        <v>599</v>
      </c>
      <c r="Q1415">
        <v>19.355</v>
      </c>
      <c r="R1415" t="s">
        <v>17</v>
      </c>
      <c r="T1415">
        <v>10</v>
      </c>
      <c r="V1415" t="s">
        <v>15</v>
      </c>
    </row>
    <row r="1416" spans="1:22" x14ac:dyDescent="0.25">
      <c r="A1416">
        <v>79</v>
      </c>
      <c r="B1416" t="s">
        <v>92</v>
      </c>
      <c r="C1416" t="s">
        <v>604</v>
      </c>
      <c r="E1416" t="s">
        <v>604</v>
      </c>
      <c r="L1416" t="s">
        <v>93</v>
      </c>
      <c r="M1416">
        <v>80</v>
      </c>
      <c r="N1416" t="s">
        <v>20</v>
      </c>
      <c r="Q1416">
        <v>158.709</v>
      </c>
      <c r="R1416" t="s">
        <v>17</v>
      </c>
      <c r="T1416">
        <v>10</v>
      </c>
      <c r="V1416" t="s">
        <v>15</v>
      </c>
    </row>
    <row r="1417" spans="1:22" x14ac:dyDescent="0.25">
      <c r="A1417">
        <v>79</v>
      </c>
      <c r="B1417" t="s">
        <v>92</v>
      </c>
      <c r="C1417" t="s">
        <v>604</v>
      </c>
      <c r="E1417" t="s">
        <v>604</v>
      </c>
      <c r="L1417" t="s">
        <v>93</v>
      </c>
      <c r="M1417">
        <v>90</v>
      </c>
      <c r="N1417" t="s">
        <v>24</v>
      </c>
      <c r="Q1417">
        <v>1</v>
      </c>
      <c r="R1417" t="s">
        <v>11</v>
      </c>
      <c r="T1417">
        <v>10</v>
      </c>
      <c r="V1417" t="s">
        <v>15</v>
      </c>
    </row>
    <row r="1418" spans="1:22" x14ac:dyDescent="0.25">
      <c r="A1418">
        <v>79</v>
      </c>
      <c r="B1418" t="s">
        <v>92</v>
      </c>
      <c r="C1418" t="s">
        <v>604</v>
      </c>
      <c r="E1418" t="s">
        <v>604</v>
      </c>
      <c r="L1418" t="s">
        <v>93</v>
      </c>
      <c r="M1418">
        <v>100</v>
      </c>
      <c r="N1418" t="s">
        <v>141</v>
      </c>
      <c r="Q1418">
        <v>0.112</v>
      </c>
      <c r="R1418" t="s">
        <v>14</v>
      </c>
      <c r="T1418">
        <v>10</v>
      </c>
      <c r="V1418" t="s">
        <v>15</v>
      </c>
    </row>
    <row r="1419" spans="1:22" x14ac:dyDescent="0.25">
      <c r="A1419">
        <v>79</v>
      </c>
      <c r="B1419" t="s">
        <v>92</v>
      </c>
      <c r="C1419" t="s">
        <v>604</v>
      </c>
      <c r="E1419" t="s">
        <v>604</v>
      </c>
      <c r="L1419" t="s">
        <v>93</v>
      </c>
      <c r="M1419">
        <v>110</v>
      </c>
      <c r="N1419" t="s">
        <v>140</v>
      </c>
      <c r="Q1419">
        <v>4</v>
      </c>
      <c r="R1419" t="s">
        <v>11</v>
      </c>
      <c r="T1419">
        <v>10</v>
      </c>
      <c r="V1419" t="s">
        <v>15</v>
      </c>
    </row>
    <row r="1420" spans="1:22" x14ac:dyDescent="0.25">
      <c r="A1420">
        <v>79</v>
      </c>
      <c r="B1420" t="s">
        <v>92</v>
      </c>
      <c r="C1420" t="s">
        <v>604</v>
      </c>
      <c r="E1420" t="s">
        <v>604</v>
      </c>
      <c r="L1420" t="s">
        <v>93</v>
      </c>
      <c r="M1420">
        <v>120</v>
      </c>
      <c r="N1420" t="s">
        <v>25</v>
      </c>
      <c r="Q1420">
        <v>1</v>
      </c>
      <c r="R1420" t="s">
        <v>11</v>
      </c>
      <c r="T1420">
        <v>10</v>
      </c>
      <c r="V1420" t="s">
        <v>15</v>
      </c>
    </row>
    <row r="1421" spans="1:22" x14ac:dyDescent="0.25">
      <c r="A1421">
        <v>79</v>
      </c>
      <c r="B1421" t="s">
        <v>92</v>
      </c>
      <c r="C1421" t="s">
        <v>604</v>
      </c>
      <c r="E1421" t="s">
        <v>604</v>
      </c>
      <c r="L1421" t="s">
        <v>93</v>
      </c>
      <c r="M1421">
        <v>130</v>
      </c>
      <c r="N1421" t="s">
        <v>26</v>
      </c>
      <c r="Q1421">
        <v>1</v>
      </c>
      <c r="R1421" t="s">
        <v>11</v>
      </c>
      <c r="T1421">
        <v>10</v>
      </c>
      <c r="V1421" t="s">
        <v>15</v>
      </c>
    </row>
    <row r="1422" spans="1:22" x14ac:dyDescent="0.25">
      <c r="A1422">
        <v>79</v>
      </c>
      <c r="B1422" t="s">
        <v>92</v>
      </c>
      <c r="C1422" t="s">
        <v>604</v>
      </c>
      <c r="E1422" t="s">
        <v>604</v>
      </c>
      <c r="L1422" t="s">
        <v>93</v>
      </c>
      <c r="M1422">
        <v>140</v>
      </c>
      <c r="N1422" t="s">
        <v>100</v>
      </c>
      <c r="Q1422">
        <v>0.82399999999999995</v>
      </c>
      <c r="R1422" t="s">
        <v>14</v>
      </c>
      <c r="T1422">
        <v>10</v>
      </c>
      <c r="V1422" t="s">
        <v>15</v>
      </c>
    </row>
    <row r="1423" spans="1:22" x14ac:dyDescent="0.25">
      <c r="A1423">
        <v>79</v>
      </c>
      <c r="B1423" t="s">
        <v>92</v>
      </c>
      <c r="C1423" t="s">
        <v>604</v>
      </c>
      <c r="E1423" t="s">
        <v>604</v>
      </c>
      <c r="L1423" t="s">
        <v>93</v>
      </c>
      <c r="M1423">
        <v>150</v>
      </c>
      <c r="N1423" t="s">
        <v>167</v>
      </c>
      <c r="Q1423">
        <v>1</v>
      </c>
      <c r="R1423" t="s">
        <v>11</v>
      </c>
      <c r="T1423">
        <v>10</v>
      </c>
      <c r="V1423" t="s">
        <v>18</v>
      </c>
    </row>
    <row r="1424" spans="1:22" x14ac:dyDescent="0.25">
      <c r="A1424">
        <v>79</v>
      </c>
      <c r="B1424" t="s">
        <v>92</v>
      </c>
      <c r="C1424" t="s">
        <v>604</v>
      </c>
      <c r="E1424" t="s">
        <v>604</v>
      </c>
      <c r="L1424" t="s">
        <v>93</v>
      </c>
      <c r="M1424">
        <v>160</v>
      </c>
      <c r="N1424" t="s">
        <v>168</v>
      </c>
      <c r="Q1424">
        <v>1</v>
      </c>
      <c r="R1424" t="s">
        <v>11</v>
      </c>
      <c r="T1424">
        <v>10</v>
      </c>
      <c r="V1424" t="s">
        <v>18</v>
      </c>
    </row>
    <row r="1425" spans="1:22" x14ac:dyDescent="0.25">
      <c r="A1425">
        <v>79</v>
      </c>
      <c r="B1425" t="s">
        <v>92</v>
      </c>
      <c r="C1425" t="s">
        <v>604</v>
      </c>
      <c r="E1425" t="s">
        <v>604</v>
      </c>
      <c r="L1425" t="s">
        <v>93</v>
      </c>
      <c r="M1425">
        <v>170</v>
      </c>
      <c r="N1425" t="s">
        <v>142</v>
      </c>
      <c r="Q1425">
        <v>6.452</v>
      </c>
      <c r="R1425" t="s">
        <v>11</v>
      </c>
      <c r="T1425">
        <v>10</v>
      </c>
      <c r="V1425" t="s">
        <v>15</v>
      </c>
    </row>
    <row r="1426" spans="1:22" x14ac:dyDescent="0.25">
      <c r="A1426">
        <v>79</v>
      </c>
      <c r="B1426" t="s">
        <v>92</v>
      </c>
      <c r="C1426" t="s">
        <v>604</v>
      </c>
      <c r="E1426" t="s">
        <v>604</v>
      </c>
      <c r="L1426" t="s">
        <v>93</v>
      </c>
      <c r="M1426">
        <v>180</v>
      </c>
      <c r="N1426" t="s">
        <v>169</v>
      </c>
      <c r="Q1426">
        <v>1</v>
      </c>
      <c r="R1426" t="s">
        <v>11</v>
      </c>
      <c r="T1426">
        <v>10</v>
      </c>
      <c r="V1426" t="s">
        <v>18</v>
      </c>
    </row>
    <row r="1427" spans="1:22" x14ac:dyDescent="0.25">
      <c r="A1427">
        <v>80</v>
      </c>
      <c r="B1427" t="s">
        <v>92</v>
      </c>
      <c r="C1427" t="s">
        <v>606</v>
      </c>
      <c r="E1427" t="s">
        <v>606</v>
      </c>
      <c r="L1427" t="s">
        <v>93</v>
      </c>
      <c r="M1427">
        <v>10</v>
      </c>
      <c r="N1427" t="s">
        <v>171</v>
      </c>
      <c r="Q1427">
        <v>1</v>
      </c>
      <c r="R1427" t="s">
        <v>11</v>
      </c>
      <c r="T1427">
        <v>10</v>
      </c>
      <c r="V1427" t="s">
        <v>18</v>
      </c>
    </row>
    <row r="1428" spans="1:22" x14ac:dyDescent="0.25">
      <c r="A1428">
        <v>80</v>
      </c>
      <c r="B1428" t="s">
        <v>92</v>
      </c>
      <c r="C1428" t="s">
        <v>606</v>
      </c>
      <c r="E1428" t="s">
        <v>606</v>
      </c>
      <c r="L1428" t="s">
        <v>93</v>
      </c>
      <c r="M1428">
        <v>20</v>
      </c>
      <c r="N1428" t="s">
        <v>117</v>
      </c>
      <c r="Q1428">
        <v>3.843</v>
      </c>
      <c r="R1428" t="s">
        <v>14</v>
      </c>
      <c r="T1428">
        <v>10</v>
      </c>
      <c r="V1428" t="s">
        <v>15</v>
      </c>
    </row>
    <row r="1429" spans="1:22" x14ac:dyDescent="0.25">
      <c r="A1429">
        <v>80</v>
      </c>
      <c r="B1429" t="s">
        <v>92</v>
      </c>
      <c r="C1429" t="s">
        <v>606</v>
      </c>
      <c r="E1429" t="s">
        <v>606</v>
      </c>
      <c r="L1429" t="s">
        <v>93</v>
      </c>
      <c r="M1429">
        <v>30</v>
      </c>
      <c r="N1429" t="s">
        <v>102</v>
      </c>
      <c r="Q1429">
        <v>0.95299999999999996</v>
      </c>
      <c r="R1429" t="s">
        <v>103</v>
      </c>
      <c r="T1429">
        <v>10</v>
      </c>
      <c r="V1429" t="s">
        <v>15</v>
      </c>
    </row>
    <row r="1430" spans="1:22" x14ac:dyDescent="0.25">
      <c r="A1430">
        <v>80</v>
      </c>
      <c r="B1430" t="s">
        <v>92</v>
      </c>
      <c r="C1430" t="s">
        <v>606</v>
      </c>
      <c r="E1430" t="s">
        <v>606</v>
      </c>
      <c r="L1430" t="s">
        <v>93</v>
      </c>
      <c r="M1430">
        <v>40</v>
      </c>
      <c r="N1430" t="s">
        <v>597</v>
      </c>
      <c r="Q1430">
        <v>1.397</v>
      </c>
      <c r="R1430" t="s">
        <v>11</v>
      </c>
      <c r="T1430">
        <v>10</v>
      </c>
      <c r="V1430" t="s">
        <v>18</v>
      </c>
    </row>
    <row r="1431" spans="1:22" x14ac:dyDescent="0.25">
      <c r="A1431">
        <v>80</v>
      </c>
      <c r="B1431" t="s">
        <v>92</v>
      </c>
      <c r="C1431" t="s">
        <v>606</v>
      </c>
      <c r="E1431" t="s">
        <v>606</v>
      </c>
      <c r="L1431" t="s">
        <v>93</v>
      </c>
      <c r="M1431">
        <v>50</v>
      </c>
      <c r="N1431" t="s">
        <v>139</v>
      </c>
      <c r="Q1431">
        <v>1.397</v>
      </c>
      <c r="R1431" t="s">
        <v>17</v>
      </c>
      <c r="T1431">
        <v>10</v>
      </c>
      <c r="V1431" t="s">
        <v>18</v>
      </c>
    </row>
    <row r="1432" spans="1:22" x14ac:dyDescent="0.25">
      <c r="A1432">
        <v>80</v>
      </c>
      <c r="B1432" t="s">
        <v>92</v>
      </c>
      <c r="C1432" t="s">
        <v>606</v>
      </c>
      <c r="E1432" t="s">
        <v>606</v>
      </c>
      <c r="L1432" t="s">
        <v>93</v>
      </c>
      <c r="M1432">
        <v>60</v>
      </c>
      <c r="N1432" t="s">
        <v>607</v>
      </c>
      <c r="Q1432">
        <v>1</v>
      </c>
      <c r="R1432" t="s">
        <v>11</v>
      </c>
      <c r="T1432">
        <v>10</v>
      </c>
      <c r="V1432" t="s">
        <v>18</v>
      </c>
    </row>
    <row r="1433" spans="1:22" x14ac:dyDescent="0.25">
      <c r="A1433">
        <v>80</v>
      </c>
      <c r="B1433" t="s">
        <v>92</v>
      </c>
      <c r="C1433" t="s">
        <v>606</v>
      </c>
      <c r="E1433" t="s">
        <v>606</v>
      </c>
      <c r="L1433" t="s">
        <v>93</v>
      </c>
      <c r="M1433">
        <v>70</v>
      </c>
      <c r="N1433" t="s">
        <v>599</v>
      </c>
      <c r="Q1433">
        <v>19.812000000000001</v>
      </c>
      <c r="R1433" t="s">
        <v>17</v>
      </c>
      <c r="T1433">
        <v>10</v>
      </c>
      <c r="V1433" t="s">
        <v>15</v>
      </c>
    </row>
    <row r="1434" spans="1:22" x14ac:dyDescent="0.25">
      <c r="A1434">
        <v>80</v>
      </c>
      <c r="B1434" t="s">
        <v>92</v>
      </c>
      <c r="C1434" t="s">
        <v>606</v>
      </c>
      <c r="E1434" t="s">
        <v>606</v>
      </c>
      <c r="L1434" t="s">
        <v>93</v>
      </c>
      <c r="M1434">
        <v>80</v>
      </c>
      <c r="N1434" t="s">
        <v>20</v>
      </c>
      <c r="Q1434">
        <v>162.458</v>
      </c>
      <c r="R1434" t="s">
        <v>17</v>
      </c>
      <c r="T1434">
        <v>10</v>
      </c>
      <c r="V1434" t="s">
        <v>15</v>
      </c>
    </row>
    <row r="1435" spans="1:22" x14ac:dyDescent="0.25">
      <c r="A1435">
        <v>80</v>
      </c>
      <c r="B1435" t="s">
        <v>92</v>
      </c>
      <c r="C1435" t="s">
        <v>606</v>
      </c>
      <c r="E1435" t="s">
        <v>606</v>
      </c>
      <c r="L1435" t="s">
        <v>93</v>
      </c>
      <c r="M1435">
        <v>90</v>
      </c>
      <c r="N1435" t="s">
        <v>24</v>
      </c>
      <c r="Q1435">
        <v>1</v>
      </c>
      <c r="R1435" t="s">
        <v>11</v>
      </c>
      <c r="T1435">
        <v>10</v>
      </c>
      <c r="V1435" t="s">
        <v>15</v>
      </c>
    </row>
    <row r="1436" spans="1:22" x14ac:dyDescent="0.25">
      <c r="A1436">
        <v>80</v>
      </c>
      <c r="B1436" t="s">
        <v>92</v>
      </c>
      <c r="C1436" t="s">
        <v>606</v>
      </c>
      <c r="E1436" t="s">
        <v>606</v>
      </c>
      <c r="L1436" t="s">
        <v>93</v>
      </c>
      <c r="M1436">
        <v>100</v>
      </c>
      <c r="N1436" t="s">
        <v>141</v>
      </c>
      <c r="Q1436">
        <v>0.11700000000000001</v>
      </c>
      <c r="R1436" t="s">
        <v>14</v>
      </c>
      <c r="T1436">
        <v>10</v>
      </c>
      <c r="V1436" t="s">
        <v>15</v>
      </c>
    </row>
    <row r="1437" spans="1:22" x14ac:dyDescent="0.25">
      <c r="A1437">
        <v>80</v>
      </c>
      <c r="B1437" t="s">
        <v>92</v>
      </c>
      <c r="C1437" t="s">
        <v>606</v>
      </c>
      <c r="E1437" t="s">
        <v>606</v>
      </c>
      <c r="L1437" t="s">
        <v>93</v>
      </c>
      <c r="M1437">
        <v>110</v>
      </c>
      <c r="N1437" t="s">
        <v>140</v>
      </c>
      <c r="Q1437">
        <v>4</v>
      </c>
      <c r="R1437" t="s">
        <v>11</v>
      </c>
      <c r="T1437">
        <v>10</v>
      </c>
      <c r="V1437" t="s">
        <v>15</v>
      </c>
    </row>
    <row r="1438" spans="1:22" x14ac:dyDescent="0.25">
      <c r="A1438">
        <v>80</v>
      </c>
      <c r="B1438" t="s">
        <v>92</v>
      </c>
      <c r="C1438" t="s">
        <v>606</v>
      </c>
      <c r="E1438" t="s">
        <v>606</v>
      </c>
      <c r="L1438" t="s">
        <v>93</v>
      </c>
      <c r="M1438">
        <v>120</v>
      </c>
      <c r="N1438" t="s">
        <v>25</v>
      </c>
      <c r="Q1438">
        <v>1</v>
      </c>
      <c r="R1438" t="s">
        <v>11</v>
      </c>
      <c r="T1438">
        <v>10</v>
      </c>
      <c r="V1438" t="s">
        <v>15</v>
      </c>
    </row>
    <row r="1439" spans="1:22" x14ac:dyDescent="0.25">
      <c r="A1439">
        <v>80</v>
      </c>
      <c r="B1439" t="s">
        <v>92</v>
      </c>
      <c r="C1439" t="s">
        <v>606</v>
      </c>
      <c r="E1439" t="s">
        <v>606</v>
      </c>
      <c r="L1439" t="s">
        <v>93</v>
      </c>
      <c r="M1439">
        <v>130</v>
      </c>
      <c r="N1439" t="s">
        <v>26</v>
      </c>
      <c r="Q1439">
        <v>1</v>
      </c>
      <c r="R1439" t="s">
        <v>11</v>
      </c>
      <c r="T1439">
        <v>10</v>
      </c>
      <c r="V1439" t="s">
        <v>15</v>
      </c>
    </row>
    <row r="1440" spans="1:22" x14ac:dyDescent="0.25">
      <c r="A1440">
        <v>80</v>
      </c>
      <c r="B1440" t="s">
        <v>92</v>
      </c>
      <c r="C1440" t="s">
        <v>606</v>
      </c>
      <c r="E1440" t="s">
        <v>606</v>
      </c>
      <c r="L1440" t="s">
        <v>93</v>
      </c>
      <c r="M1440">
        <v>140</v>
      </c>
      <c r="N1440" t="s">
        <v>100</v>
      </c>
      <c r="Q1440">
        <v>0.86499999999999999</v>
      </c>
      <c r="R1440" t="s">
        <v>14</v>
      </c>
      <c r="T1440">
        <v>10</v>
      </c>
      <c r="V1440" t="s">
        <v>15</v>
      </c>
    </row>
    <row r="1441" spans="1:22" x14ac:dyDescent="0.25">
      <c r="A1441">
        <v>80</v>
      </c>
      <c r="B1441" t="s">
        <v>92</v>
      </c>
      <c r="C1441" t="s">
        <v>606</v>
      </c>
      <c r="E1441" t="s">
        <v>606</v>
      </c>
      <c r="L1441" t="s">
        <v>93</v>
      </c>
      <c r="M1441">
        <v>150</v>
      </c>
      <c r="N1441" t="s">
        <v>173</v>
      </c>
      <c r="Q1441">
        <v>1</v>
      </c>
      <c r="R1441" t="s">
        <v>11</v>
      </c>
      <c r="T1441">
        <v>10</v>
      </c>
      <c r="V1441" t="s">
        <v>18</v>
      </c>
    </row>
    <row r="1442" spans="1:22" x14ac:dyDescent="0.25">
      <c r="A1442">
        <v>80</v>
      </c>
      <c r="B1442" t="s">
        <v>92</v>
      </c>
      <c r="C1442" t="s">
        <v>606</v>
      </c>
      <c r="E1442" t="s">
        <v>606</v>
      </c>
      <c r="L1442" t="s">
        <v>93</v>
      </c>
      <c r="M1442">
        <v>160</v>
      </c>
      <c r="N1442" t="s">
        <v>174</v>
      </c>
      <c r="Q1442">
        <v>1</v>
      </c>
      <c r="R1442" t="s">
        <v>11</v>
      </c>
      <c r="T1442">
        <v>10</v>
      </c>
      <c r="V1442" t="s">
        <v>18</v>
      </c>
    </row>
    <row r="1443" spans="1:22" x14ac:dyDescent="0.25">
      <c r="A1443">
        <v>80</v>
      </c>
      <c r="B1443" t="s">
        <v>92</v>
      </c>
      <c r="C1443" t="s">
        <v>606</v>
      </c>
      <c r="E1443" t="s">
        <v>606</v>
      </c>
      <c r="L1443" t="s">
        <v>93</v>
      </c>
      <c r="M1443">
        <v>170</v>
      </c>
      <c r="N1443" t="s">
        <v>142</v>
      </c>
      <c r="Q1443">
        <v>6.6040000000000001</v>
      </c>
      <c r="R1443" t="s">
        <v>11</v>
      </c>
      <c r="T1443">
        <v>10</v>
      </c>
      <c r="V1443" t="s">
        <v>15</v>
      </c>
    </row>
    <row r="1444" spans="1:22" x14ac:dyDescent="0.25">
      <c r="A1444">
        <v>80</v>
      </c>
      <c r="B1444" t="s">
        <v>92</v>
      </c>
      <c r="C1444" t="s">
        <v>606</v>
      </c>
      <c r="E1444" t="s">
        <v>606</v>
      </c>
      <c r="L1444" t="s">
        <v>93</v>
      </c>
      <c r="M1444">
        <v>180</v>
      </c>
      <c r="N1444" t="s">
        <v>175</v>
      </c>
      <c r="Q1444">
        <v>1</v>
      </c>
      <c r="R1444" t="s">
        <v>11</v>
      </c>
      <c r="T1444">
        <v>10</v>
      </c>
      <c r="V1444" t="s">
        <v>18</v>
      </c>
    </row>
    <row r="1445" spans="1:22" x14ac:dyDescent="0.25">
      <c r="A1445">
        <v>81</v>
      </c>
      <c r="B1445" t="s">
        <v>92</v>
      </c>
      <c r="C1445" t="s">
        <v>608</v>
      </c>
      <c r="E1445" t="s">
        <v>608</v>
      </c>
      <c r="L1445" t="s">
        <v>93</v>
      </c>
      <c r="M1445">
        <v>10</v>
      </c>
      <c r="N1445" t="s">
        <v>177</v>
      </c>
      <c r="Q1445">
        <v>1</v>
      </c>
      <c r="R1445" t="s">
        <v>11</v>
      </c>
      <c r="T1445">
        <v>10</v>
      </c>
      <c r="V1445" t="s">
        <v>18</v>
      </c>
    </row>
    <row r="1446" spans="1:22" x14ac:dyDescent="0.25">
      <c r="A1446">
        <v>81</v>
      </c>
      <c r="B1446" t="s">
        <v>92</v>
      </c>
      <c r="C1446" t="s">
        <v>608</v>
      </c>
      <c r="E1446" t="s">
        <v>608</v>
      </c>
      <c r="L1446" t="s">
        <v>93</v>
      </c>
      <c r="M1446">
        <v>20</v>
      </c>
      <c r="N1446" t="s">
        <v>117</v>
      </c>
      <c r="Q1446">
        <v>3.843</v>
      </c>
      <c r="R1446" t="s">
        <v>14</v>
      </c>
      <c r="T1446">
        <v>10</v>
      </c>
      <c r="V1446" t="s">
        <v>15</v>
      </c>
    </row>
    <row r="1447" spans="1:22" x14ac:dyDescent="0.25">
      <c r="A1447">
        <v>81</v>
      </c>
      <c r="B1447" t="s">
        <v>92</v>
      </c>
      <c r="C1447" t="s">
        <v>608</v>
      </c>
      <c r="E1447" t="s">
        <v>608</v>
      </c>
      <c r="L1447" t="s">
        <v>93</v>
      </c>
      <c r="M1447">
        <v>30</v>
      </c>
      <c r="N1447" t="s">
        <v>102</v>
      </c>
      <c r="Q1447">
        <v>1.006</v>
      </c>
      <c r="R1447" t="s">
        <v>103</v>
      </c>
      <c r="T1447">
        <v>10</v>
      </c>
      <c r="V1447" t="s">
        <v>15</v>
      </c>
    </row>
    <row r="1448" spans="1:22" x14ac:dyDescent="0.25">
      <c r="A1448">
        <v>81</v>
      </c>
      <c r="B1448" t="s">
        <v>92</v>
      </c>
      <c r="C1448" t="s">
        <v>608</v>
      </c>
      <c r="E1448" t="s">
        <v>608</v>
      </c>
      <c r="L1448" t="s">
        <v>93</v>
      </c>
      <c r="M1448">
        <v>40</v>
      </c>
      <c r="N1448" t="s">
        <v>597</v>
      </c>
      <c r="Q1448">
        <v>1.4730000000000001</v>
      </c>
      <c r="R1448" t="s">
        <v>11</v>
      </c>
      <c r="T1448">
        <v>10</v>
      </c>
      <c r="V1448" t="s">
        <v>18</v>
      </c>
    </row>
    <row r="1449" spans="1:22" x14ac:dyDescent="0.25">
      <c r="A1449">
        <v>81</v>
      </c>
      <c r="B1449" t="s">
        <v>92</v>
      </c>
      <c r="C1449" t="s">
        <v>608</v>
      </c>
      <c r="E1449" t="s">
        <v>608</v>
      </c>
      <c r="L1449" t="s">
        <v>93</v>
      </c>
      <c r="M1449">
        <v>50</v>
      </c>
      <c r="N1449" t="s">
        <v>139</v>
      </c>
      <c r="Q1449">
        <v>1.4730000000000001</v>
      </c>
      <c r="R1449" t="s">
        <v>17</v>
      </c>
      <c r="T1449">
        <v>10</v>
      </c>
      <c r="V1449" t="s">
        <v>18</v>
      </c>
    </row>
    <row r="1450" spans="1:22" x14ac:dyDescent="0.25">
      <c r="A1450">
        <v>81</v>
      </c>
      <c r="B1450" t="s">
        <v>92</v>
      </c>
      <c r="C1450" t="s">
        <v>608</v>
      </c>
      <c r="E1450" t="s">
        <v>608</v>
      </c>
      <c r="L1450" t="s">
        <v>93</v>
      </c>
      <c r="M1450">
        <v>60</v>
      </c>
      <c r="N1450" t="s">
        <v>609</v>
      </c>
      <c r="Q1450">
        <v>1</v>
      </c>
      <c r="R1450" t="s">
        <v>11</v>
      </c>
      <c r="T1450">
        <v>10</v>
      </c>
      <c r="V1450" t="s">
        <v>18</v>
      </c>
    </row>
    <row r="1451" spans="1:22" x14ac:dyDescent="0.25">
      <c r="A1451">
        <v>81</v>
      </c>
      <c r="B1451" t="s">
        <v>92</v>
      </c>
      <c r="C1451" t="s">
        <v>608</v>
      </c>
      <c r="E1451" t="s">
        <v>608</v>
      </c>
      <c r="L1451" t="s">
        <v>93</v>
      </c>
      <c r="M1451">
        <v>70</v>
      </c>
      <c r="N1451" t="s">
        <v>599</v>
      </c>
      <c r="Q1451">
        <v>20.268999999999998</v>
      </c>
      <c r="R1451" t="s">
        <v>17</v>
      </c>
      <c r="T1451">
        <v>10</v>
      </c>
      <c r="V1451" t="s">
        <v>15</v>
      </c>
    </row>
    <row r="1452" spans="1:22" x14ac:dyDescent="0.25">
      <c r="A1452">
        <v>81</v>
      </c>
      <c r="B1452" t="s">
        <v>92</v>
      </c>
      <c r="C1452" t="s">
        <v>608</v>
      </c>
      <c r="E1452" t="s">
        <v>608</v>
      </c>
      <c r="L1452" t="s">
        <v>93</v>
      </c>
      <c r="M1452">
        <v>80</v>
      </c>
      <c r="N1452" t="s">
        <v>20</v>
      </c>
      <c r="Q1452">
        <v>166.20699999999999</v>
      </c>
      <c r="R1452" t="s">
        <v>17</v>
      </c>
      <c r="T1452">
        <v>10</v>
      </c>
      <c r="V1452" t="s">
        <v>15</v>
      </c>
    </row>
    <row r="1453" spans="1:22" x14ac:dyDescent="0.25">
      <c r="A1453">
        <v>81</v>
      </c>
      <c r="B1453" t="s">
        <v>92</v>
      </c>
      <c r="C1453" t="s">
        <v>608</v>
      </c>
      <c r="E1453" t="s">
        <v>608</v>
      </c>
      <c r="L1453" t="s">
        <v>93</v>
      </c>
      <c r="M1453">
        <v>90</v>
      </c>
      <c r="N1453" t="s">
        <v>24</v>
      </c>
      <c r="Q1453">
        <v>1</v>
      </c>
      <c r="R1453" t="s">
        <v>11</v>
      </c>
      <c r="T1453">
        <v>10</v>
      </c>
      <c r="V1453" t="s">
        <v>15</v>
      </c>
    </row>
    <row r="1454" spans="1:22" x14ac:dyDescent="0.25">
      <c r="A1454">
        <v>81</v>
      </c>
      <c r="B1454" t="s">
        <v>92</v>
      </c>
      <c r="C1454" t="s">
        <v>608</v>
      </c>
      <c r="E1454" t="s">
        <v>608</v>
      </c>
      <c r="L1454" t="s">
        <v>93</v>
      </c>
      <c r="M1454">
        <v>100</v>
      </c>
      <c r="N1454" t="s">
        <v>141</v>
      </c>
      <c r="Q1454">
        <v>0.123</v>
      </c>
      <c r="R1454" t="s">
        <v>14</v>
      </c>
      <c r="T1454">
        <v>10</v>
      </c>
      <c r="V1454" t="s">
        <v>15</v>
      </c>
    </row>
    <row r="1455" spans="1:22" x14ac:dyDescent="0.25">
      <c r="A1455">
        <v>81</v>
      </c>
      <c r="B1455" t="s">
        <v>92</v>
      </c>
      <c r="C1455" t="s">
        <v>608</v>
      </c>
      <c r="E1455" t="s">
        <v>608</v>
      </c>
      <c r="L1455" t="s">
        <v>93</v>
      </c>
      <c r="M1455">
        <v>110</v>
      </c>
      <c r="N1455" t="s">
        <v>140</v>
      </c>
      <c r="Q1455">
        <v>4</v>
      </c>
      <c r="R1455" t="s">
        <v>11</v>
      </c>
      <c r="T1455">
        <v>10</v>
      </c>
      <c r="V1455" t="s">
        <v>15</v>
      </c>
    </row>
    <row r="1456" spans="1:22" x14ac:dyDescent="0.25">
      <c r="A1456">
        <v>81</v>
      </c>
      <c r="B1456" t="s">
        <v>92</v>
      </c>
      <c r="C1456" t="s">
        <v>608</v>
      </c>
      <c r="E1456" t="s">
        <v>608</v>
      </c>
      <c r="L1456" t="s">
        <v>93</v>
      </c>
      <c r="M1456">
        <v>120</v>
      </c>
      <c r="N1456" t="s">
        <v>25</v>
      </c>
      <c r="Q1456">
        <v>1</v>
      </c>
      <c r="R1456" t="s">
        <v>11</v>
      </c>
      <c r="T1456">
        <v>10</v>
      </c>
      <c r="V1456" t="s">
        <v>15</v>
      </c>
    </row>
    <row r="1457" spans="1:22" x14ac:dyDescent="0.25">
      <c r="A1457">
        <v>81</v>
      </c>
      <c r="B1457" t="s">
        <v>92</v>
      </c>
      <c r="C1457" t="s">
        <v>608</v>
      </c>
      <c r="E1457" t="s">
        <v>608</v>
      </c>
      <c r="L1457" t="s">
        <v>93</v>
      </c>
      <c r="M1457">
        <v>130</v>
      </c>
      <c r="N1457" t="s">
        <v>26</v>
      </c>
      <c r="Q1457">
        <v>1</v>
      </c>
      <c r="R1457" t="s">
        <v>11</v>
      </c>
      <c r="T1457">
        <v>10</v>
      </c>
      <c r="V1457" t="s">
        <v>15</v>
      </c>
    </row>
    <row r="1458" spans="1:22" x14ac:dyDescent="0.25">
      <c r="A1458">
        <v>81</v>
      </c>
      <c r="B1458" t="s">
        <v>92</v>
      </c>
      <c r="C1458" t="s">
        <v>608</v>
      </c>
      <c r="E1458" t="s">
        <v>608</v>
      </c>
      <c r="L1458" t="s">
        <v>93</v>
      </c>
      <c r="M1458">
        <v>140</v>
      </c>
      <c r="N1458" t="s">
        <v>100</v>
      </c>
      <c r="Q1458">
        <v>0.90500000000000003</v>
      </c>
      <c r="R1458" t="s">
        <v>14</v>
      </c>
      <c r="T1458">
        <v>10</v>
      </c>
      <c r="V1458" t="s">
        <v>15</v>
      </c>
    </row>
    <row r="1459" spans="1:22" x14ac:dyDescent="0.25">
      <c r="A1459">
        <v>81</v>
      </c>
      <c r="B1459" t="s">
        <v>92</v>
      </c>
      <c r="C1459" t="s">
        <v>608</v>
      </c>
      <c r="E1459" t="s">
        <v>608</v>
      </c>
      <c r="L1459" t="s">
        <v>93</v>
      </c>
      <c r="M1459">
        <v>150</v>
      </c>
      <c r="N1459" t="s">
        <v>179</v>
      </c>
      <c r="Q1459">
        <v>1</v>
      </c>
      <c r="R1459" t="s">
        <v>11</v>
      </c>
      <c r="T1459">
        <v>10</v>
      </c>
      <c r="V1459" t="s">
        <v>18</v>
      </c>
    </row>
    <row r="1460" spans="1:22" x14ac:dyDescent="0.25">
      <c r="A1460">
        <v>81</v>
      </c>
      <c r="B1460" t="s">
        <v>92</v>
      </c>
      <c r="C1460" t="s">
        <v>608</v>
      </c>
      <c r="E1460" t="s">
        <v>608</v>
      </c>
      <c r="L1460" t="s">
        <v>93</v>
      </c>
      <c r="M1460">
        <v>160</v>
      </c>
      <c r="N1460" t="s">
        <v>180</v>
      </c>
      <c r="Q1460">
        <v>1</v>
      </c>
      <c r="R1460" t="s">
        <v>11</v>
      </c>
      <c r="T1460">
        <v>10</v>
      </c>
      <c r="V1460" t="s">
        <v>18</v>
      </c>
    </row>
    <row r="1461" spans="1:22" x14ac:dyDescent="0.25">
      <c r="A1461">
        <v>81</v>
      </c>
      <c r="B1461" t="s">
        <v>92</v>
      </c>
      <c r="C1461" t="s">
        <v>608</v>
      </c>
      <c r="E1461" t="s">
        <v>608</v>
      </c>
      <c r="L1461" t="s">
        <v>93</v>
      </c>
      <c r="M1461">
        <v>170</v>
      </c>
      <c r="N1461" t="s">
        <v>142</v>
      </c>
      <c r="Q1461">
        <v>6.7560000000000002</v>
      </c>
      <c r="R1461" t="s">
        <v>11</v>
      </c>
      <c r="T1461">
        <v>10</v>
      </c>
      <c r="V1461" t="s">
        <v>15</v>
      </c>
    </row>
    <row r="1462" spans="1:22" x14ac:dyDescent="0.25">
      <c r="A1462">
        <v>81</v>
      </c>
      <c r="B1462" t="s">
        <v>92</v>
      </c>
      <c r="C1462" t="s">
        <v>608</v>
      </c>
      <c r="E1462" t="s">
        <v>608</v>
      </c>
      <c r="L1462" t="s">
        <v>93</v>
      </c>
      <c r="M1462">
        <v>180</v>
      </c>
      <c r="N1462" t="s">
        <v>181</v>
      </c>
      <c r="Q1462">
        <v>1</v>
      </c>
      <c r="R1462" t="s">
        <v>11</v>
      </c>
      <c r="T1462">
        <v>10</v>
      </c>
      <c r="V1462" t="s">
        <v>18</v>
      </c>
    </row>
    <row r="1463" spans="1:22" x14ac:dyDescent="0.25">
      <c r="A1463">
        <v>82</v>
      </c>
      <c r="B1463" t="s">
        <v>92</v>
      </c>
      <c r="C1463" t="s">
        <v>610</v>
      </c>
      <c r="E1463" t="s">
        <v>610</v>
      </c>
      <c r="L1463" t="s">
        <v>93</v>
      </c>
      <c r="M1463">
        <v>10</v>
      </c>
      <c r="N1463" t="s">
        <v>183</v>
      </c>
      <c r="Q1463">
        <v>1</v>
      </c>
      <c r="R1463" t="s">
        <v>11</v>
      </c>
      <c r="T1463">
        <v>10</v>
      </c>
      <c r="V1463" t="s">
        <v>18</v>
      </c>
    </row>
    <row r="1464" spans="1:22" x14ac:dyDescent="0.25">
      <c r="A1464">
        <v>82</v>
      </c>
      <c r="B1464" t="s">
        <v>92</v>
      </c>
      <c r="C1464" t="s">
        <v>610</v>
      </c>
      <c r="E1464" t="s">
        <v>610</v>
      </c>
      <c r="L1464" t="s">
        <v>93</v>
      </c>
      <c r="M1464">
        <v>20</v>
      </c>
      <c r="N1464" t="s">
        <v>118</v>
      </c>
      <c r="Q1464">
        <v>4.2300000000000004</v>
      </c>
      <c r="R1464" t="s">
        <v>14</v>
      </c>
      <c r="T1464">
        <v>10</v>
      </c>
      <c r="V1464" t="s">
        <v>15</v>
      </c>
    </row>
    <row r="1465" spans="1:22" x14ac:dyDescent="0.25">
      <c r="A1465">
        <v>82</v>
      </c>
      <c r="B1465" t="s">
        <v>92</v>
      </c>
      <c r="C1465" t="s">
        <v>610</v>
      </c>
      <c r="E1465" t="s">
        <v>610</v>
      </c>
      <c r="L1465" t="s">
        <v>93</v>
      </c>
      <c r="M1465">
        <v>30</v>
      </c>
      <c r="N1465" t="s">
        <v>102</v>
      </c>
      <c r="Q1465">
        <v>1.1140000000000001</v>
      </c>
      <c r="R1465" t="s">
        <v>103</v>
      </c>
      <c r="T1465">
        <v>10</v>
      </c>
      <c r="V1465" t="s">
        <v>15</v>
      </c>
    </row>
    <row r="1466" spans="1:22" x14ac:dyDescent="0.25">
      <c r="A1466">
        <v>82</v>
      </c>
      <c r="B1466" t="s">
        <v>92</v>
      </c>
      <c r="C1466" t="s">
        <v>610</v>
      </c>
      <c r="E1466" t="s">
        <v>610</v>
      </c>
      <c r="L1466" t="s">
        <v>93</v>
      </c>
      <c r="M1466">
        <v>40</v>
      </c>
      <c r="N1466" t="s">
        <v>597</v>
      </c>
      <c r="Q1466">
        <v>1.6259999999999999</v>
      </c>
      <c r="R1466" t="s">
        <v>11</v>
      </c>
      <c r="T1466">
        <v>10</v>
      </c>
      <c r="V1466" t="s">
        <v>18</v>
      </c>
    </row>
    <row r="1467" spans="1:22" x14ac:dyDescent="0.25">
      <c r="A1467">
        <v>82</v>
      </c>
      <c r="B1467" t="s">
        <v>92</v>
      </c>
      <c r="C1467" t="s">
        <v>610</v>
      </c>
      <c r="E1467" t="s">
        <v>610</v>
      </c>
      <c r="L1467" t="s">
        <v>93</v>
      </c>
      <c r="M1467">
        <v>50</v>
      </c>
      <c r="N1467" t="s">
        <v>139</v>
      </c>
      <c r="Q1467">
        <v>1.6259999999999999</v>
      </c>
      <c r="R1467" t="s">
        <v>17</v>
      </c>
      <c r="T1467">
        <v>10</v>
      </c>
      <c r="V1467" t="s">
        <v>18</v>
      </c>
    </row>
    <row r="1468" spans="1:22" x14ac:dyDescent="0.25">
      <c r="A1468">
        <v>82</v>
      </c>
      <c r="B1468" t="s">
        <v>92</v>
      </c>
      <c r="C1468" t="s">
        <v>610</v>
      </c>
      <c r="E1468" t="s">
        <v>610</v>
      </c>
      <c r="L1468" t="s">
        <v>93</v>
      </c>
      <c r="M1468">
        <v>60</v>
      </c>
      <c r="N1468" t="s">
        <v>611</v>
      </c>
      <c r="Q1468">
        <v>1</v>
      </c>
      <c r="R1468" t="s">
        <v>11</v>
      </c>
      <c r="T1468">
        <v>10</v>
      </c>
      <c r="V1468" t="s">
        <v>18</v>
      </c>
    </row>
    <row r="1469" spans="1:22" x14ac:dyDescent="0.25">
      <c r="A1469">
        <v>82</v>
      </c>
      <c r="B1469" t="s">
        <v>92</v>
      </c>
      <c r="C1469" t="s">
        <v>610</v>
      </c>
      <c r="E1469" t="s">
        <v>610</v>
      </c>
      <c r="L1469" t="s">
        <v>93</v>
      </c>
      <c r="M1469">
        <v>70</v>
      </c>
      <c r="N1469" t="s">
        <v>599</v>
      </c>
      <c r="Q1469">
        <v>21.184000000000001</v>
      </c>
      <c r="R1469" t="s">
        <v>17</v>
      </c>
      <c r="T1469">
        <v>10</v>
      </c>
      <c r="V1469" t="s">
        <v>15</v>
      </c>
    </row>
    <row r="1470" spans="1:22" x14ac:dyDescent="0.25">
      <c r="A1470">
        <v>82</v>
      </c>
      <c r="B1470" t="s">
        <v>92</v>
      </c>
      <c r="C1470" t="s">
        <v>610</v>
      </c>
      <c r="E1470" t="s">
        <v>610</v>
      </c>
      <c r="L1470" t="s">
        <v>93</v>
      </c>
      <c r="M1470">
        <v>80</v>
      </c>
      <c r="N1470" t="s">
        <v>20</v>
      </c>
      <c r="Q1470">
        <v>173.70599999999999</v>
      </c>
      <c r="R1470" t="s">
        <v>17</v>
      </c>
      <c r="T1470">
        <v>10</v>
      </c>
      <c r="V1470" t="s">
        <v>15</v>
      </c>
    </row>
    <row r="1471" spans="1:22" x14ac:dyDescent="0.25">
      <c r="A1471">
        <v>82</v>
      </c>
      <c r="B1471" t="s">
        <v>92</v>
      </c>
      <c r="C1471" t="s">
        <v>610</v>
      </c>
      <c r="E1471" t="s">
        <v>610</v>
      </c>
      <c r="L1471" t="s">
        <v>93</v>
      </c>
      <c r="M1471">
        <v>90</v>
      </c>
      <c r="N1471" t="s">
        <v>24</v>
      </c>
      <c r="Q1471">
        <v>1</v>
      </c>
      <c r="R1471" t="s">
        <v>11</v>
      </c>
      <c r="T1471">
        <v>10</v>
      </c>
      <c r="V1471" t="s">
        <v>15</v>
      </c>
    </row>
    <row r="1472" spans="1:22" x14ac:dyDescent="0.25">
      <c r="A1472">
        <v>82</v>
      </c>
      <c r="B1472" t="s">
        <v>92</v>
      </c>
      <c r="C1472" t="s">
        <v>610</v>
      </c>
      <c r="E1472" t="s">
        <v>610</v>
      </c>
      <c r="L1472" t="s">
        <v>93</v>
      </c>
      <c r="M1472">
        <v>100</v>
      </c>
      <c r="N1472" t="s">
        <v>141</v>
      </c>
      <c r="Q1472">
        <v>0.13300000000000001</v>
      </c>
      <c r="R1472" t="s">
        <v>14</v>
      </c>
      <c r="T1472">
        <v>10</v>
      </c>
      <c r="V1472" t="s">
        <v>15</v>
      </c>
    </row>
    <row r="1473" spans="1:22" x14ac:dyDescent="0.25">
      <c r="A1473">
        <v>82</v>
      </c>
      <c r="B1473" t="s">
        <v>92</v>
      </c>
      <c r="C1473" t="s">
        <v>610</v>
      </c>
      <c r="E1473" t="s">
        <v>610</v>
      </c>
      <c r="L1473" t="s">
        <v>93</v>
      </c>
      <c r="M1473">
        <v>110</v>
      </c>
      <c r="N1473" t="s">
        <v>140</v>
      </c>
      <c r="Q1473">
        <v>4</v>
      </c>
      <c r="R1473" t="s">
        <v>11</v>
      </c>
      <c r="T1473">
        <v>10</v>
      </c>
      <c r="V1473" t="s">
        <v>15</v>
      </c>
    </row>
    <row r="1474" spans="1:22" x14ac:dyDescent="0.25">
      <c r="A1474">
        <v>82</v>
      </c>
      <c r="B1474" t="s">
        <v>92</v>
      </c>
      <c r="C1474" t="s">
        <v>610</v>
      </c>
      <c r="E1474" t="s">
        <v>610</v>
      </c>
      <c r="L1474" t="s">
        <v>93</v>
      </c>
      <c r="M1474">
        <v>120</v>
      </c>
      <c r="N1474" t="s">
        <v>25</v>
      </c>
      <c r="Q1474">
        <v>1</v>
      </c>
      <c r="R1474" t="s">
        <v>11</v>
      </c>
      <c r="T1474">
        <v>10</v>
      </c>
      <c r="V1474" t="s">
        <v>15</v>
      </c>
    </row>
    <row r="1475" spans="1:22" x14ac:dyDescent="0.25">
      <c r="A1475">
        <v>82</v>
      </c>
      <c r="B1475" t="s">
        <v>92</v>
      </c>
      <c r="C1475" t="s">
        <v>610</v>
      </c>
      <c r="E1475" t="s">
        <v>610</v>
      </c>
      <c r="L1475" t="s">
        <v>93</v>
      </c>
      <c r="M1475">
        <v>130</v>
      </c>
      <c r="N1475" t="s">
        <v>26</v>
      </c>
      <c r="Q1475">
        <v>1</v>
      </c>
      <c r="R1475" t="s">
        <v>11</v>
      </c>
      <c r="T1475">
        <v>10</v>
      </c>
      <c r="V1475" t="s">
        <v>15</v>
      </c>
    </row>
    <row r="1476" spans="1:22" x14ac:dyDescent="0.25">
      <c r="A1476">
        <v>82</v>
      </c>
      <c r="B1476" t="s">
        <v>92</v>
      </c>
      <c r="C1476" t="s">
        <v>610</v>
      </c>
      <c r="E1476" t="s">
        <v>610</v>
      </c>
      <c r="L1476" t="s">
        <v>93</v>
      </c>
      <c r="M1476">
        <v>140</v>
      </c>
      <c r="N1476" t="s">
        <v>100</v>
      </c>
      <c r="Q1476">
        <v>0.98599999999999999</v>
      </c>
      <c r="R1476" t="s">
        <v>14</v>
      </c>
      <c r="T1476">
        <v>10</v>
      </c>
      <c r="V1476" t="s">
        <v>15</v>
      </c>
    </row>
    <row r="1477" spans="1:22" x14ac:dyDescent="0.25">
      <c r="A1477">
        <v>82</v>
      </c>
      <c r="B1477" t="s">
        <v>92</v>
      </c>
      <c r="C1477" t="s">
        <v>610</v>
      </c>
      <c r="E1477" t="s">
        <v>610</v>
      </c>
      <c r="L1477" t="s">
        <v>93</v>
      </c>
      <c r="M1477">
        <v>150</v>
      </c>
      <c r="N1477" t="s">
        <v>185</v>
      </c>
      <c r="Q1477">
        <v>1</v>
      </c>
      <c r="R1477" t="s">
        <v>11</v>
      </c>
      <c r="T1477">
        <v>10</v>
      </c>
      <c r="V1477" t="s">
        <v>18</v>
      </c>
    </row>
    <row r="1478" spans="1:22" x14ac:dyDescent="0.25">
      <c r="A1478">
        <v>82</v>
      </c>
      <c r="B1478" t="s">
        <v>92</v>
      </c>
      <c r="C1478" t="s">
        <v>610</v>
      </c>
      <c r="E1478" t="s">
        <v>610</v>
      </c>
      <c r="L1478" t="s">
        <v>93</v>
      </c>
      <c r="M1478">
        <v>160</v>
      </c>
      <c r="N1478" t="s">
        <v>186</v>
      </c>
      <c r="Q1478">
        <v>1</v>
      </c>
      <c r="R1478" t="s">
        <v>11</v>
      </c>
      <c r="T1478">
        <v>10</v>
      </c>
      <c r="V1478" t="s">
        <v>18</v>
      </c>
    </row>
    <row r="1479" spans="1:22" x14ac:dyDescent="0.25">
      <c r="A1479">
        <v>82</v>
      </c>
      <c r="B1479" t="s">
        <v>92</v>
      </c>
      <c r="C1479" t="s">
        <v>610</v>
      </c>
      <c r="E1479" t="s">
        <v>610</v>
      </c>
      <c r="L1479" t="s">
        <v>93</v>
      </c>
      <c r="M1479">
        <v>170</v>
      </c>
      <c r="N1479" t="s">
        <v>142</v>
      </c>
      <c r="Q1479">
        <v>7.0609999999999999</v>
      </c>
      <c r="R1479" t="s">
        <v>11</v>
      </c>
      <c r="T1479">
        <v>10</v>
      </c>
      <c r="V1479" t="s">
        <v>15</v>
      </c>
    </row>
    <row r="1480" spans="1:22" x14ac:dyDescent="0.25">
      <c r="A1480">
        <v>82</v>
      </c>
      <c r="B1480" t="s">
        <v>92</v>
      </c>
      <c r="C1480" t="s">
        <v>610</v>
      </c>
      <c r="E1480" t="s">
        <v>610</v>
      </c>
      <c r="L1480" t="s">
        <v>93</v>
      </c>
      <c r="M1480">
        <v>180</v>
      </c>
      <c r="N1480" t="s">
        <v>187</v>
      </c>
      <c r="Q1480">
        <v>1</v>
      </c>
      <c r="R1480" t="s">
        <v>11</v>
      </c>
      <c r="T1480">
        <v>10</v>
      </c>
      <c r="V1480" t="s">
        <v>18</v>
      </c>
    </row>
    <row r="1481" spans="1:22" x14ac:dyDescent="0.25">
      <c r="A1481">
        <v>83</v>
      </c>
      <c r="B1481" t="s">
        <v>92</v>
      </c>
      <c r="C1481" t="s">
        <v>612</v>
      </c>
      <c r="E1481" t="s">
        <v>612</v>
      </c>
      <c r="L1481" t="s">
        <v>93</v>
      </c>
      <c r="M1481">
        <v>10</v>
      </c>
      <c r="N1481" t="s">
        <v>189</v>
      </c>
      <c r="Q1481">
        <v>1</v>
      </c>
      <c r="R1481" t="s">
        <v>11</v>
      </c>
      <c r="T1481">
        <v>10</v>
      </c>
      <c r="V1481" t="s">
        <v>18</v>
      </c>
    </row>
    <row r="1482" spans="1:22" x14ac:dyDescent="0.25">
      <c r="A1482">
        <v>83</v>
      </c>
      <c r="B1482" t="s">
        <v>92</v>
      </c>
      <c r="C1482" t="s">
        <v>612</v>
      </c>
      <c r="E1482" t="s">
        <v>612</v>
      </c>
      <c r="L1482" t="s">
        <v>93</v>
      </c>
      <c r="M1482">
        <v>20</v>
      </c>
      <c r="N1482" t="s">
        <v>119</v>
      </c>
      <c r="Q1482">
        <v>4.6180000000000003</v>
      </c>
      <c r="R1482" t="s">
        <v>14</v>
      </c>
      <c r="T1482">
        <v>10</v>
      </c>
      <c r="V1482" t="s">
        <v>15</v>
      </c>
    </row>
    <row r="1483" spans="1:22" x14ac:dyDescent="0.25">
      <c r="A1483">
        <v>83</v>
      </c>
      <c r="B1483" t="s">
        <v>92</v>
      </c>
      <c r="C1483" t="s">
        <v>612</v>
      </c>
      <c r="E1483" t="s">
        <v>612</v>
      </c>
      <c r="L1483" t="s">
        <v>93</v>
      </c>
      <c r="M1483">
        <v>30</v>
      </c>
      <c r="N1483" t="s">
        <v>102</v>
      </c>
      <c r="Q1483">
        <v>1.222</v>
      </c>
      <c r="R1483" t="s">
        <v>103</v>
      </c>
      <c r="T1483">
        <v>10</v>
      </c>
      <c r="V1483" t="s">
        <v>15</v>
      </c>
    </row>
    <row r="1484" spans="1:22" x14ac:dyDescent="0.25">
      <c r="A1484">
        <v>83</v>
      </c>
      <c r="B1484" t="s">
        <v>92</v>
      </c>
      <c r="C1484" t="s">
        <v>612</v>
      </c>
      <c r="E1484" t="s">
        <v>612</v>
      </c>
      <c r="L1484" t="s">
        <v>93</v>
      </c>
      <c r="M1484">
        <v>40</v>
      </c>
      <c r="N1484" t="s">
        <v>597</v>
      </c>
      <c r="Q1484">
        <v>1.778</v>
      </c>
      <c r="R1484" t="s">
        <v>11</v>
      </c>
      <c r="T1484">
        <v>10</v>
      </c>
      <c r="V1484" t="s">
        <v>18</v>
      </c>
    </row>
    <row r="1485" spans="1:22" x14ac:dyDescent="0.25">
      <c r="A1485">
        <v>83</v>
      </c>
      <c r="B1485" t="s">
        <v>92</v>
      </c>
      <c r="C1485" t="s">
        <v>612</v>
      </c>
      <c r="E1485" t="s">
        <v>612</v>
      </c>
      <c r="L1485" t="s">
        <v>93</v>
      </c>
      <c r="M1485">
        <v>50</v>
      </c>
      <c r="N1485" t="s">
        <v>139</v>
      </c>
      <c r="Q1485">
        <v>1.778</v>
      </c>
      <c r="R1485" t="s">
        <v>17</v>
      </c>
      <c r="T1485">
        <v>10</v>
      </c>
      <c r="V1485" t="s">
        <v>18</v>
      </c>
    </row>
    <row r="1486" spans="1:22" x14ac:dyDescent="0.25">
      <c r="A1486">
        <v>83</v>
      </c>
      <c r="B1486" t="s">
        <v>92</v>
      </c>
      <c r="C1486" t="s">
        <v>612</v>
      </c>
      <c r="E1486" t="s">
        <v>612</v>
      </c>
      <c r="L1486" t="s">
        <v>93</v>
      </c>
      <c r="M1486">
        <v>60</v>
      </c>
      <c r="N1486" t="s">
        <v>613</v>
      </c>
      <c r="Q1486">
        <v>1</v>
      </c>
      <c r="R1486" t="s">
        <v>11</v>
      </c>
      <c r="T1486">
        <v>10</v>
      </c>
      <c r="V1486" t="s">
        <v>18</v>
      </c>
    </row>
    <row r="1487" spans="1:22" x14ac:dyDescent="0.25">
      <c r="A1487">
        <v>83</v>
      </c>
      <c r="B1487" t="s">
        <v>92</v>
      </c>
      <c r="C1487" t="s">
        <v>612</v>
      </c>
      <c r="E1487" t="s">
        <v>612</v>
      </c>
      <c r="L1487" t="s">
        <v>93</v>
      </c>
      <c r="M1487">
        <v>70</v>
      </c>
      <c r="N1487" t="s">
        <v>599</v>
      </c>
      <c r="Q1487">
        <v>22.097999999999999</v>
      </c>
      <c r="R1487" t="s">
        <v>17</v>
      </c>
      <c r="T1487">
        <v>10</v>
      </c>
      <c r="V1487" t="s">
        <v>15</v>
      </c>
    </row>
    <row r="1488" spans="1:22" x14ac:dyDescent="0.25">
      <c r="A1488">
        <v>83</v>
      </c>
      <c r="B1488" t="s">
        <v>92</v>
      </c>
      <c r="C1488" t="s">
        <v>612</v>
      </c>
      <c r="E1488" t="s">
        <v>612</v>
      </c>
      <c r="L1488" t="s">
        <v>93</v>
      </c>
      <c r="M1488">
        <v>80</v>
      </c>
      <c r="N1488" t="s">
        <v>20</v>
      </c>
      <c r="Q1488">
        <v>181.20400000000001</v>
      </c>
      <c r="R1488" t="s">
        <v>17</v>
      </c>
      <c r="T1488">
        <v>10</v>
      </c>
      <c r="V1488" t="s">
        <v>15</v>
      </c>
    </row>
    <row r="1489" spans="1:22" x14ac:dyDescent="0.25">
      <c r="A1489">
        <v>83</v>
      </c>
      <c r="B1489" t="s">
        <v>92</v>
      </c>
      <c r="C1489" t="s">
        <v>612</v>
      </c>
      <c r="E1489" t="s">
        <v>612</v>
      </c>
      <c r="L1489" t="s">
        <v>93</v>
      </c>
      <c r="M1489">
        <v>90</v>
      </c>
      <c r="N1489" t="s">
        <v>24</v>
      </c>
      <c r="Q1489">
        <v>1</v>
      </c>
      <c r="R1489" t="s">
        <v>11</v>
      </c>
      <c r="T1489">
        <v>10</v>
      </c>
      <c r="V1489" t="s">
        <v>15</v>
      </c>
    </row>
    <row r="1490" spans="1:22" x14ac:dyDescent="0.25">
      <c r="A1490">
        <v>83</v>
      </c>
      <c r="B1490" t="s">
        <v>92</v>
      </c>
      <c r="C1490" t="s">
        <v>612</v>
      </c>
      <c r="E1490" t="s">
        <v>612</v>
      </c>
      <c r="L1490" t="s">
        <v>93</v>
      </c>
      <c r="M1490">
        <v>100</v>
      </c>
      <c r="N1490" t="s">
        <v>141</v>
      </c>
      <c r="Q1490">
        <v>0.14299999999999999</v>
      </c>
      <c r="R1490" t="s">
        <v>14</v>
      </c>
      <c r="T1490">
        <v>10</v>
      </c>
      <c r="V1490" t="s">
        <v>15</v>
      </c>
    </row>
    <row r="1491" spans="1:22" x14ac:dyDescent="0.25">
      <c r="A1491">
        <v>83</v>
      </c>
      <c r="B1491" t="s">
        <v>92</v>
      </c>
      <c r="C1491" t="s">
        <v>612</v>
      </c>
      <c r="E1491" t="s">
        <v>612</v>
      </c>
      <c r="L1491" t="s">
        <v>93</v>
      </c>
      <c r="M1491">
        <v>110</v>
      </c>
      <c r="N1491" t="s">
        <v>140</v>
      </c>
      <c r="Q1491">
        <v>4</v>
      </c>
      <c r="R1491" t="s">
        <v>11</v>
      </c>
      <c r="T1491">
        <v>10</v>
      </c>
      <c r="V1491" t="s">
        <v>15</v>
      </c>
    </row>
    <row r="1492" spans="1:22" x14ac:dyDescent="0.25">
      <c r="A1492">
        <v>83</v>
      </c>
      <c r="B1492" t="s">
        <v>92</v>
      </c>
      <c r="C1492" t="s">
        <v>612</v>
      </c>
      <c r="E1492" t="s">
        <v>612</v>
      </c>
      <c r="L1492" t="s">
        <v>93</v>
      </c>
      <c r="M1492">
        <v>120</v>
      </c>
      <c r="N1492" t="s">
        <v>25</v>
      </c>
      <c r="Q1492">
        <v>1</v>
      </c>
      <c r="R1492" t="s">
        <v>11</v>
      </c>
      <c r="T1492">
        <v>10</v>
      </c>
      <c r="V1492" t="s">
        <v>15</v>
      </c>
    </row>
    <row r="1493" spans="1:22" x14ac:dyDescent="0.25">
      <c r="A1493">
        <v>83</v>
      </c>
      <c r="B1493" t="s">
        <v>92</v>
      </c>
      <c r="C1493" t="s">
        <v>612</v>
      </c>
      <c r="E1493" t="s">
        <v>612</v>
      </c>
      <c r="L1493" t="s">
        <v>93</v>
      </c>
      <c r="M1493">
        <v>130</v>
      </c>
      <c r="N1493" t="s">
        <v>26</v>
      </c>
      <c r="Q1493">
        <v>1</v>
      </c>
      <c r="R1493" t="s">
        <v>11</v>
      </c>
      <c r="T1493">
        <v>10</v>
      </c>
      <c r="V1493" t="s">
        <v>15</v>
      </c>
    </row>
    <row r="1494" spans="1:22" x14ac:dyDescent="0.25">
      <c r="A1494">
        <v>83</v>
      </c>
      <c r="B1494" t="s">
        <v>92</v>
      </c>
      <c r="C1494" t="s">
        <v>612</v>
      </c>
      <c r="E1494" t="s">
        <v>612</v>
      </c>
      <c r="L1494" t="s">
        <v>93</v>
      </c>
      <c r="M1494">
        <v>140</v>
      </c>
      <c r="N1494" t="s">
        <v>100</v>
      </c>
      <c r="Q1494">
        <v>1.0669999999999999</v>
      </c>
      <c r="R1494" t="s">
        <v>14</v>
      </c>
      <c r="T1494">
        <v>10</v>
      </c>
      <c r="V1494" t="s">
        <v>15</v>
      </c>
    </row>
    <row r="1495" spans="1:22" x14ac:dyDescent="0.25">
      <c r="A1495">
        <v>83</v>
      </c>
      <c r="B1495" t="s">
        <v>92</v>
      </c>
      <c r="C1495" t="s">
        <v>612</v>
      </c>
      <c r="E1495" t="s">
        <v>612</v>
      </c>
      <c r="L1495" t="s">
        <v>93</v>
      </c>
      <c r="M1495">
        <v>150</v>
      </c>
      <c r="N1495" t="s">
        <v>191</v>
      </c>
      <c r="Q1495">
        <v>1</v>
      </c>
      <c r="R1495" t="s">
        <v>11</v>
      </c>
      <c r="T1495">
        <v>10</v>
      </c>
      <c r="V1495" t="s">
        <v>18</v>
      </c>
    </row>
    <row r="1496" spans="1:22" x14ac:dyDescent="0.25">
      <c r="A1496">
        <v>83</v>
      </c>
      <c r="B1496" t="s">
        <v>92</v>
      </c>
      <c r="C1496" t="s">
        <v>612</v>
      </c>
      <c r="E1496" t="s">
        <v>612</v>
      </c>
      <c r="L1496" t="s">
        <v>93</v>
      </c>
      <c r="M1496">
        <v>160</v>
      </c>
      <c r="N1496" t="s">
        <v>192</v>
      </c>
      <c r="Q1496">
        <v>1</v>
      </c>
      <c r="R1496" t="s">
        <v>11</v>
      </c>
      <c r="T1496">
        <v>10</v>
      </c>
      <c r="V1496" t="s">
        <v>18</v>
      </c>
    </row>
    <row r="1497" spans="1:22" x14ac:dyDescent="0.25">
      <c r="A1497">
        <v>83</v>
      </c>
      <c r="B1497" t="s">
        <v>92</v>
      </c>
      <c r="C1497" t="s">
        <v>612</v>
      </c>
      <c r="E1497" t="s">
        <v>612</v>
      </c>
      <c r="L1497" t="s">
        <v>93</v>
      </c>
      <c r="M1497">
        <v>170</v>
      </c>
      <c r="N1497" t="s">
        <v>142</v>
      </c>
      <c r="Q1497">
        <v>7.3659999999999997</v>
      </c>
      <c r="R1497" t="s">
        <v>11</v>
      </c>
      <c r="T1497">
        <v>10</v>
      </c>
      <c r="V1497" t="s">
        <v>15</v>
      </c>
    </row>
    <row r="1498" spans="1:22" x14ac:dyDescent="0.25">
      <c r="A1498">
        <v>83</v>
      </c>
      <c r="B1498" t="s">
        <v>92</v>
      </c>
      <c r="C1498" t="s">
        <v>612</v>
      </c>
      <c r="E1498" t="s">
        <v>612</v>
      </c>
      <c r="L1498" t="s">
        <v>93</v>
      </c>
      <c r="M1498">
        <v>180</v>
      </c>
      <c r="N1498" t="s">
        <v>193</v>
      </c>
      <c r="Q1498">
        <v>1</v>
      </c>
      <c r="R1498" t="s">
        <v>11</v>
      </c>
      <c r="T1498">
        <v>10</v>
      </c>
      <c r="V1498" t="s">
        <v>18</v>
      </c>
    </row>
    <row r="1499" spans="1:22" x14ac:dyDescent="0.25">
      <c r="A1499">
        <v>84</v>
      </c>
      <c r="B1499" t="s">
        <v>92</v>
      </c>
      <c r="C1499" t="s">
        <v>614</v>
      </c>
      <c r="E1499" t="s">
        <v>614</v>
      </c>
      <c r="L1499" t="s">
        <v>93</v>
      </c>
      <c r="M1499">
        <v>10</v>
      </c>
      <c r="N1499" t="s">
        <v>195</v>
      </c>
      <c r="Q1499">
        <v>1</v>
      </c>
      <c r="R1499" t="s">
        <v>11</v>
      </c>
      <c r="T1499">
        <v>10</v>
      </c>
      <c r="V1499" t="s">
        <v>18</v>
      </c>
    </row>
    <row r="1500" spans="1:22" x14ac:dyDescent="0.25">
      <c r="A1500">
        <v>84</v>
      </c>
      <c r="B1500" t="s">
        <v>92</v>
      </c>
      <c r="C1500" t="s">
        <v>614</v>
      </c>
      <c r="E1500" t="s">
        <v>614</v>
      </c>
      <c r="L1500" t="s">
        <v>93</v>
      </c>
      <c r="M1500">
        <v>20</v>
      </c>
      <c r="N1500" t="s">
        <v>120</v>
      </c>
      <c r="Q1500">
        <v>2.3889999999999998</v>
      </c>
      <c r="R1500" t="s">
        <v>14</v>
      </c>
      <c r="T1500">
        <v>10</v>
      </c>
      <c r="V1500" t="s">
        <v>15</v>
      </c>
    </row>
    <row r="1501" spans="1:22" x14ac:dyDescent="0.25">
      <c r="A1501">
        <v>84</v>
      </c>
      <c r="B1501" t="s">
        <v>92</v>
      </c>
      <c r="C1501" t="s">
        <v>614</v>
      </c>
      <c r="E1501" t="s">
        <v>614</v>
      </c>
      <c r="L1501" t="s">
        <v>93</v>
      </c>
      <c r="M1501">
        <v>30</v>
      </c>
      <c r="N1501" t="s">
        <v>102</v>
      </c>
      <c r="Q1501">
        <v>0.59899999999999998</v>
      </c>
      <c r="R1501" t="s">
        <v>103</v>
      </c>
      <c r="T1501">
        <v>10</v>
      </c>
      <c r="V1501" t="s">
        <v>15</v>
      </c>
    </row>
    <row r="1502" spans="1:22" x14ac:dyDescent="0.25">
      <c r="A1502">
        <v>84</v>
      </c>
      <c r="B1502" t="s">
        <v>92</v>
      </c>
      <c r="C1502" t="s">
        <v>614</v>
      </c>
      <c r="E1502" t="s">
        <v>614</v>
      </c>
      <c r="L1502" t="s">
        <v>93</v>
      </c>
      <c r="M1502">
        <v>40</v>
      </c>
      <c r="N1502" t="s">
        <v>597</v>
      </c>
      <c r="Q1502">
        <v>0.86399999999999999</v>
      </c>
      <c r="R1502" t="s">
        <v>11</v>
      </c>
      <c r="T1502">
        <v>10</v>
      </c>
      <c r="V1502" t="s">
        <v>18</v>
      </c>
    </row>
    <row r="1503" spans="1:22" x14ac:dyDescent="0.25">
      <c r="A1503">
        <v>84</v>
      </c>
      <c r="B1503" t="s">
        <v>92</v>
      </c>
      <c r="C1503" t="s">
        <v>614</v>
      </c>
      <c r="E1503" t="s">
        <v>614</v>
      </c>
      <c r="L1503" t="s">
        <v>93</v>
      </c>
      <c r="M1503">
        <v>50</v>
      </c>
      <c r="N1503" t="s">
        <v>139</v>
      </c>
      <c r="Q1503">
        <v>0.86399999999999999</v>
      </c>
      <c r="R1503" t="s">
        <v>17</v>
      </c>
      <c r="T1503">
        <v>10</v>
      </c>
      <c r="V1503" t="s">
        <v>18</v>
      </c>
    </row>
    <row r="1504" spans="1:22" x14ac:dyDescent="0.25">
      <c r="A1504">
        <v>84</v>
      </c>
      <c r="B1504" t="s">
        <v>92</v>
      </c>
      <c r="C1504" t="s">
        <v>614</v>
      </c>
      <c r="E1504" t="s">
        <v>614</v>
      </c>
      <c r="L1504" t="s">
        <v>93</v>
      </c>
      <c r="M1504">
        <v>60</v>
      </c>
      <c r="N1504" t="s">
        <v>615</v>
      </c>
      <c r="Q1504">
        <v>1</v>
      </c>
      <c r="R1504" t="s">
        <v>11</v>
      </c>
      <c r="T1504">
        <v>10</v>
      </c>
      <c r="V1504" t="s">
        <v>18</v>
      </c>
    </row>
    <row r="1505" spans="1:22" x14ac:dyDescent="0.25">
      <c r="A1505">
        <v>84</v>
      </c>
      <c r="B1505" t="s">
        <v>92</v>
      </c>
      <c r="C1505" t="s">
        <v>614</v>
      </c>
      <c r="E1505" t="s">
        <v>614</v>
      </c>
      <c r="L1505" t="s">
        <v>93</v>
      </c>
      <c r="M1505">
        <v>70</v>
      </c>
      <c r="N1505" t="s">
        <v>599</v>
      </c>
      <c r="Q1505">
        <v>17.068999999999999</v>
      </c>
      <c r="R1505" t="s">
        <v>17</v>
      </c>
      <c r="T1505">
        <v>10</v>
      </c>
      <c r="V1505" t="s">
        <v>15</v>
      </c>
    </row>
    <row r="1506" spans="1:22" x14ac:dyDescent="0.25">
      <c r="A1506">
        <v>84</v>
      </c>
      <c r="B1506" t="s">
        <v>92</v>
      </c>
      <c r="C1506" t="s">
        <v>614</v>
      </c>
      <c r="E1506" t="s">
        <v>614</v>
      </c>
      <c r="L1506" t="s">
        <v>93</v>
      </c>
      <c r="M1506">
        <v>80</v>
      </c>
      <c r="N1506" t="s">
        <v>20</v>
      </c>
      <c r="Q1506">
        <v>139.964</v>
      </c>
      <c r="R1506" t="s">
        <v>17</v>
      </c>
      <c r="T1506">
        <v>10</v>
      </c>
      <c r="V1506" t="s">
        <v>15</v>
      </c>
    </row>
    <row r="1507" spans="1:22" x14ac:dyDescent="0.25">
      <c r="A1507">
        <v>84</v>
      </c>
      <c r="B1507" t="s">
        <v>92</v>
      </c>
      <c r="C1507" t="s">
        <v>614</v>
      </c>
      <c r="E1507" t="s">
        <v>614</v>
      </c>
      <c r="L1507" t="s">
        <v>93</v>
      </c>
      <c r="M1507">
        <v>90</v>
      </c>
      <c r="N1507" t="s">
        <v>24</v>
      </c>
      <c r="Q1507">
        <v>1</v>
      </c>
      <c r="R1507" t="s">
        <v>11</v>
      </c>
      <c r="T1507">
        <v>10</v>
      </c>
      <c r="V1507" t="s">
        <v>15</v>
      </c>
    </row>
    <row r="1508" spans="1:22" x14ac:dyDescent="0.25">
      <c r="A1508">
        <v>84</v>
      </c>
      <c r="B1508" t="s">
        <v>92</v>
      </c>
      <c r="C1508" t="s">
        <v>614</v>
      </c>
      <c r="E1508" t="s">
        <v>614</v>
      </c>
      <c r="L1508" t="s">
        <v>93</v>
      </c>
      <c r="M1508">
        <v>100</v>
      </c>
      <c r="N1508" t="s">
        <v>141</v>
      </c>
      <c r="Q1508">
        <v>8.1000000000000003E-2</v>
      </c>
      <c r="R1508" t="s">
        <v>14</v>
      </c>
      <c r="T1508">
        <v>10</v>
      </c>
      <c r="V1508" t="s">
        <v>15</v>
      </c>
    </row>
    <row r="1509" spans="1:22" x14ac:dyDescent="0.25">
      <c r="A1509">
        <v>84</v>
      </c>
      <c r="B1509" t="s">
        <v>92</v>
      </c>
      <c r="C1509" t="s">
        <v>614</v>
      </c>
      <c r="E1509" t="s">
        <v>614</v>
      </c>
      <c r="L1509" t="s">
        <v>93</v>
      </c>
      <c r="M1509">
        <v>110</v>
      </c>
      <c r="N1509" t="s">
        <v>140</v>
      </c>
      <c r="Q1509">
        <v>4</v>
      </c>
      <c r="R1509" t="s">
        <v>11</v>
      </c>
      <c r="T1509">
        <v>10</v>
      </c>
      <c r="V1509" t="s">
        <v>15</v>
      </c>
    </row>
    <row r="1510" spans="1:22" x14ac:dyDescent="0.25">
      <c r="A1510">
        <v>84</v>
      </c>
      <c r="B1510" t="s">
        <v>92</v>
      </c>
      <c r="C1510" t="s">
        <v>614</v>
      </c>
      <c r="E1510" t="s">
        <v>614</v>
      </c>
      <c r="L1510" t="s">
        <v>93</v>
      </c>
      <c r="M1510">
        <v>120</v>
      </c>
      <c r="N1510" t="s">
        <v>25</v>
      </c>
      <c r="Q1510">
        <v>1</v>
      </c>
      <c r="R1510" t="s">
        <v>11</v>
      </c>
      <c r="T1510">
        <v>10</v>
      </c>
      <c r="V1510" t="s">
        <v>15</v>
      </c>
    </row>
    <row r="1511" spans="1:22" x14ac:dyDescent="0.25">
      <c r="A1511">
        <v>84</v>
      </c>
      <c r="B1511" t="s">
        <v>92</v>
      </c>
      <c r="C1511" t="s">
        <v>614</v>
      </c>
      <c r="E1511" t="s">
        <v>614</v>
      </c>
      <c r="L1511" t="s">
        <v>93</v>
      </c>
      <c r="M1511">
        <v>130</v>
      </c>
      <c r="N1511" t="s">
        <v>26</v>
      </c>
      <c r="Q1511">
        <v>1</v>
      </c>
      <c r="R1511" t="s">
        <v>11</v>
      </c>
      <c r="T1511">
        <v>10</v>
      </c>
      <c r="V1511" t="s">
        <v>15</v>
      </c>
    </row>
    <row r="1512" spans="1:22" x14ac:dyDescent="0.25">
      <c r="A1512">
        <v>84</v>
      </c>
      <c r="B1512" t="s">
        <v>92</v>
      </c>
      <c r="C1512" t="s">
        <v>614</v>
      </c>
      <c r="E1512" t="s">
        <v>614</v>
      </c>
      <c r="L1512" t="s">
        <v>93</v>
      </c>
      <c r="M1512">
        <v>140</v>
      </c>
      <c r="N1512" t="s">
        <v>100</v>
      </c>
      <c r="Q1512">
        <v>0.58099999999999996</v>
      </c>
      <c r="R1512" t="s">
        <v>14</v>
      </c>
      <c r="T1512">
        <v>10</v>
      </c>
      <c r="V1512" t="s">
        <v>15</v>
      </c>
    </row>
    <row r="1513" spans="1:22" x14ac:dyDescent="0.25">
      <c r="A1513">
        <v>84</v>
      </c>
      <c r="B1513" t="s">
        <v>92</v>
      </c>
      <c r="C1513" t="s">
        <v>614</v>
      </c>
      <c r="E1513" t="s">
        <v>614</v>
      </c>
      <c r="L1513" t="s">
        <v>93</v>
      </c>
      <c r="M1513">
        <v>150</v>
      </c>
      <c r="N1513" t="s">
        <v>197</v>
      </c>
      <c r="Q1513">
        <v>1</v>
      </c>
      <c r="R1513" t="s">
        <v>11</v>
      </c>
      <c r="T1513">
        <v>10</v>
      </c>
      <c r="V1513" t="s">
        <v>18</v>
      </c>
    </row>
    <row r="1514" spans="1:22" x14ac:dyDescent="0.25">
      <c r="A1514">
        <v>84</v>
      </c>
      <c r="B1514" t="s">
        <v>92</v>
      </c>
      <c r="C1514" t="s">
        <v>614</v>
      </c>
      <c r="E1514" t="s">
        <v>614</v>
      </c>
      <c r="L1514" t="s">
        <v>93</v>
      </c>
      <c r="M1514">
        <v>160</v>
      </c>
      <c r="N1514" t="s">
        <v>198</v>
      </c>
      <c r="Q1514">
        <v>1</v>
      </c>
      <c r="R1514" t="s">
        <v>11</v>
      </c>
      <c r="T1514">
        <v>10</v>
      </c>
      <c r="V1514" t="s">
        <v>18</v>
      </c>
    </row>
    <row r="1515" spans="1:22" x14ac:dyDescent="0.25">
      <c r="A1515">
        <v>84</v>
      </c>
      <c r="B1515" t="s">
        <v>92</v>
      </c>
      <c r="C1515" t="s">
        <v>614</v>
      </c>
      <c r="E1515" t="s">
        <v>614</v>
      </c>
      <c r="L1515" t="s">
        <v>93</v>
      </c>
      <c r="M1515">
        <v>170</v>
      </c>
      <c r="N1515" t="s">
        <v>142</v>
      </c>
      <c r="Q1515">
        <v>5.69</v>
      </c>
      <c r="R1515" t="s">
        <v>11</v>
      </c>
      <c r="T1515">
        <v>10</v>
      </c>
      <c r="V1515" t="s">
        <v>15</v>
      </c>
    </row>
    <row r="1516" spans="1:22" x14ac:dyDescent="0.25">
      <c r="A1516">
        <v>84</v>
      </c>
      <c r="B1516" t="s">
        <v>92</v>
      </c>
      <c r="C1516" t="s">
        <v>614</v>
      </c>
      <c r="E1516" t="s">
        <v>614</v>
      </c>
      <c r="L1516" t="s">
        <v>93</v>
      </c>
      <c r="M1516">
        <v>180</v>
      </c>
      <c r="N1516" t="s">
        <v>199</v>
      </c>
      <c r="Q1516">
        <v>1</v>
      </c>
      <c r="R1516" t="s">
        <v>11</v>
      </c>
      <c r="T1516">
        <v>10</v>
      </c>
      <c r="V1516" t="s">
        <v>18</v>
      </c>
    </row>
    <row r="1517" spans="1:22" x14ac:dyDescent="0.25">
      <c r="A1517">
        <v>85</v>
      </c>
      <c r="B1517" t="s">
        <v>92</v>
      </c>
      <c r="C1517" t="s">
        <v>616</v>
      </c>
      <c r="E1517" t="s">
        <v>616</v>
      </c>
      <c r="L1517" t="s">
        <v>93</v>
      </c>
      <c r="M1517">
        <v>10</v>
      </c>
      <c r="N1517" t="s">
        <v>201</v>
      </c>
      <c r="Q1517">
        <v>1</v>
      </c>
      <c r="R1517" t="s">
        <v>11</v>
      </c>
      <c r="T1517">
        <v>10</v>
      </c>
      <c r="V1517" t="s">
        <v>18</v>
      </c>
    </row>
    <row r="1518" spans="1:22" x14ac:dyDescent="0.25">
      <c r="A1518">
        <v>85</v>
      </c>
      <c r="B1518" t="s">
        <v>92</v>
      </c>
      <c r="C1518" t="s">
        <v>616</v>
      </c>
      <c r="E1518" t="s">
        <v>616</v>
      </c>
      <c r="L1518" t="s">
        <v>93</v>
      </c>
      <c r="M1518">
        <v>20</v>
      </c>
      <c r="N1518" t="s">
        <v>121</v>
      </c>
      <c r="Q1518">
        <v>2.7930000000000001</v>
      </c>
      <c r="R1518" t="s">
        <v>14</v>
      </c>
      <c r="T1518">
        <v>10</v>
      </c>
      <c r="V1518" t="s">
        <v>15</v>
      </c>
    </row>
    <row r="1519" spans="1:22" x14ac:dyDescent="0.25">
      <c r="A1519">
        <v>85</v>
      </c>
      <c r="B1519" t="s">
        <v>92</v>
      </c>
      <c r="C1519" t="s">
        <v>616</v>
      </c>
      <c r="E1519" t="s">
        <v>616</v>
      </c>
      <c r="L1519" t="s">
        <v>93</v>
      </c>
      <c r="M1519">
        <v>30</v>
      </c>
      <c r="N1519" t="s">
        <v>102</v>
      </c>
      <c r="Q1519">
        <v>0.71199999999999997</v>
      </c>
      <c r="R1519" t="s">
        <v>103</v>
      </c>
      <c r="T1519">
        <v>10</v>
      </c>
      <c r="V1519" t="s">
        <v>15</v>
      </c>
    </row>
    <row r="1520" spans="1:22" x14ac:dyDescent="0.25">
      <c r="A1520">
        <v>85</v>
      </c>
      <c r="B1520" t="s">
        <v>92</v>
      </c>
      <c r="C1520" t="s">
        <v>616</v>
      </c>
      <c r="E1520" t="s">
        <v>616</v>
      </c>
      <c r="L1520" t="s">
        <v>93</v>
      </c>
      <c r="M1520">
        <v>40</v>
      </c>
      <c r="N1520" t="s">
        <v>597</v>
      </c>
      <c r="Q1520">
        <v>1.016</v>
      </c>
      <c r="R1520" t="s">
        <v>11</v>
      </c>
      <c r="T1520">
        <v>10</v>
      </c>
      <c r="V1520" t="s">
        <v>18</v>
      </c>
    </row>
    <row r="1521" spans="1:22" x14ac:dyDescent="0.25">
      <c r="A1521">
        <v>85</v>
      </c>
      <c r="B1521" t="s">
        <v>92</v>
      </c>
      <c r="C1521" t="s">
        <v>616</v>
      </c>
      <c r="E1521" t="s">
        <v>616</v>
      </c>
      <c r="L1521" t="s">
        <v>93</v>
      </c>
      <c r="M1521">
        <v>50</v>
      </c>
      <c r="N1521" t="s">
        <v>139</v>
      </c>
      <c r="Q1521">
        <v>1.016</v>
      </c>
      <c r="R1521" t="s">
        <v>17</v>
      </c>
      <c r="T1521">
        <v>10</v>
      </c>
      <c r="V1521" t="s">
        <v>18</v>
      </c>
    </row>
    <row r="1522" spans="1:22" x14ac:dyDescent="0.25">
      <c r="A1522">
        <v>85</v>
      </c>
      <c r="B1522" t="s">
        <v>92</v>
      </c>
      <c r="C1522" t="s">
        <v>616</v>
      </c>
      <c r="E1522" t="s">
        <v>616</v>
      </c>
      <c r="L1522" t="s">
        <v>93</v>
      </c>
      <c r="M1522">
        <v>60</v>
      </c>
      <c r="N1522" t="s">
        <v>617</v>
      </c>
      <c r="Q1522">
        <v>1</v>
      </c>
      <c r="R1522" t="s">
        <v>11</v>
      </c>
      <c r="T1522">
        <v>10</v>
      </c>
      <c r="V1522" t="s">
        <v>18</v>
      </c>
    </row>
    <row r="1523" spans="1:22" x14ac:dyDescent="0.25">
      <c r="A1523">
        <v>85</v>
      </c>
      <c r="B1523" t="s">
        <v>92</v>
      </c>
      <c r="C1523" t="s">
        <v>616</v>
      </c>
      <c r="E1523" t="s">
        <v>616</v>
      </c>
      <c r="L1523" t="s">
        <v>93</v>
      </c>
      <c r="M1523">
        <v>70</v>
      </c>
      <c r="N1523" t="s">
        <v>599</v>
      </c>
      <c r="Q1523">
        <v>17.983000000000001</v>
      </c>
      <c r="R1523" t="s">
        <v>17</v>
      </c>
      <c r="T1523">
        <v>10</v>
      </c>
      <c r="V1523" t="s">
        <v>15</v>
      </c>
    </row>
    <row r="1524" spans="1:22" x14ac:dyDescent="0.25">
      <c r="A1524">
        <v>85</v>
      </c>
      <c r="B1524" t="s">
        <v>92</v>
      </c>
      <c r="C1524" t="s">
        <v>616</v>
      </c>
      <c r="E1524" t="s">
        <v>616</v>
      </c>
      <c r="L1524" t="s">
        <v>93</v>
      </c>
      <c r="M1524">
        <v>80</v>
      </c>
      <c r="N1524" t="s">
        <v>20</v>
      </c>
      <c r="Q1524">
        <v>147.46199999999999</v>
      </c>
      <c r="R1524" t="s">
        <v>17</v>
      </c>
      <c r="T1524">
        <v>10</v>
      </c>
      <c r="V1524" t="s">
        <v>15</v>
      </c>
    </row>
    <row r="1525" spans="1:22" x14ac:dyDescent="0.25">
      <c r="A1525">
        <v>85</v>
      </c>
      <c r="B1525" t="s">
        <v>92</v>
      </c>
      <c r="C1525" t="s">
        <v>616</v>
      </c>
      <c r="E1525" t="s">
        <v>616</v>
      </c>
      <c r="L1525" t="s">
        <v>93</v>
      </c>
      <c r="M1525">
        <v>90</v>
      </c>
      <c r="N1525" t="s">
        <v>24</v>
      </c>
      <c r="Q1525">
        <v>1</v>
      </c>
      <c r="R1525" t="s">
        <v>11</v>
      </c>
      <c r="T1525">
        <v>10</v>
      </c>
      <c r="V1525" t="s">
        <v>15</v>
      </c>
    </row>
    <row r="1526" spans="1:22" x14ac:dyDescent="0.25">
      <c r="A1526">
        <v>85</v>
      </c>
      <c r="B1526" t="s">
        <v>92</v>
      </c>
      <c r="C1526" t="s">
        <v>616</v>
      </c>
      <c r="E1526" t="s">
        <v>616</v>
      </c>
      <c r="L1526" t="s">
        <v>93</v>
      </c>
      <c r="M1526">
        <v>100</v>
      </c>
      <c r="N1526" t="s">
        <v>141</v>
      </c>
      <c r="Q1526">
        <v>9.1999999999999998E-2</v>
      </c>
      <c r="R1526" t="s">
        <v>14</v>
      </c>
      <c r="T1526">
        <v>10</v>
      </c>
      <c r="V1526" t="s">
        <v>15</v>
      </c>
    </row>
    <row r="1527" spans="1:22" x14ac:dyDescent="0.25">
      <c r="A1527">
        <v>85</v>
      </c>
      <c r="B1527" t="s">
        <v>92</v>
      </c>
      <c r="C1527" t="s">
        <v>616</v>
      </c>
      <c r="E1527" t="s">
        <v>616</v>
      </c>
      <c r="L1527" t="s">
        <v>93</v>
      </c>
      <c r="M1527">
        <v>110</v>
      </c>
      <c r="N1527" t="s">
        <v>140</v>
      </c>
      <c r="Q1527">
        <v>4</v>
      </c>
      <c r="R1527" t="s">
        <v>11</v>
      </c>
      <c r="T1527">
        <v>10</v>
      </c>
      <c r="V1527" t="s">
        <v>15</v>
      </c>
    </row>
    <row r="1528" spans="1:22" x14ac:dyDescent="0.25">
      <c r="A1528">
        <v>85</v>
      </c>
      <c r="B1528" t="s">
        <v>92</v>
      </c>
      <c r="C1528" t="s">
        <v>616</v>
      </c>
      <c r="E1528" t="s">
        <v>616</v>
      </c>
      <c r="L1528" t="s">
        <v>93</v>
      </c>
      <c r="M1528">
        <v>120</v>
      </c>
      <c r="N1528" t="s">
        <v>25</v>
      </c>
      <c r="Q1528">
        <v>1</v>
      </c>
      <c r="R1528" t="s">
        <v>11</v>
      </c>
      <c r="T1528">
        <v>10</v>
      </c>
      <c r="V1528" t="s">
        <v>15</v>
      </c>
    </row>
    <row r="1529" spans="1:22" x14ac:dyDescent="0.25">
      <c r="A1529">
        <v>85</v>
      </c>
      <c r="B1529" t="s">
        <v>92</v>
      </c>
      <c r="C1529" t="s">
        <v>616</v>
      </c>
      <c r="E1529" t="s">
        <v>616</v>
      </c>
      <c r="L1529" t="s">
        <v>93</v>
      </c>
      <c r="M1529">
        <v>130</v>
      </c>
      <c r="N1529" t="s">
        <v>26</v>
      </c>
      <c r="Q1529">
        <v>1</v>
      </c>
      <c r="R1529" t="s">
        <v>11</v>
      </c>
      <c r="T1529">
        <v>10</v>
      </c>
      <c r="V1529" t="s">
        <v>15</v>
      </c>
    </row>
    <row r="1530" spans="1:22" x14ac:dyDescent="0.25">
      <c r="A1530">
        <v>85</v>
      </c>
      <c r="B1530" t="s">
        <v>92</v>
      </c>
      <c r="C1530" t="s">
        <v>616</v>
      </c>
      <c r="E1530" t="s">
        <v>616</v>
      </c>
      <c r="L1530" t="s">
        <v>93</v>
      </c>
      <c r="M1530">
        <v>140</v>
      </c>
      <c r="N1530" t="s">
        <v>100</v>
      </c>
      <c r="Q1530">
        <v>0.66200000000000003</v>
      </c>
      <c r="R1530" t="s">
        <v>14</v>
      </c>
      <c r="T1530">
        <v>10</v>
      </c>
      <c r="V1530" t="s">
        <v>15</v>
      </c>
    </row>
    <row r="1531" spans="1:22" x14ac:dyDescent="0.25">
      <c r="A1531">
        <v>85</v>
      </c>
      <c r="B1531" t="s">
        <v>92</v>
      </c>
      <c r="C1531" t="s">
        <v>616</v>
      </c>
      <c r="E1531" t="s">
        <v>616</v>
      </c>
      <c r="L1531" t="s">
        <v>93</v>
      </c>
      <c r="M1531">
        <v>150</v>
      </c>
      <c r="N1531" t="s">
        <v>203</v>
      </c>
      <c r="Q1531">
        <v>1</v>
      </c>
      <c r="R1531" t="s">
        <v>11</v>
      </c>
      <c r="T1531">
        <v>10</v>
      </c>
      <c r="V1531" t="s">
        <v>18</v>
      </c>
    </row>
    <row r="1532" spans="1:22" x14ac:dyDescent="0.25">
      <c r="A1532">
        <v>85</v>
      </c>
      <c r="B1532" t="s">
        <v>92</v>
      </c>
      <c r="C1532" t="s">
        <v>616</v>
      </c>
      <c r="E1532" t="s">
        <v>616</v>
      </c>
      <c r="L1532" t="s">
        <v>93</v>
      </c>
      <c r="M1532">
        <v>160</v>
      </c>
      <c r="N1532" t="s">
        <v>204</v>
      </c>
      <c r="Q1532">
        <v>1</v>
      </c>
      <c r="R1532" t="s">
        <v>11</v>
      </c>
      <c r="T1532">
        <v>10</v>
      </c>
      <c r="V1532" t="s">
        <v>18</v>
      </c>
    </row>
    <row r="1533" spans="1:22" x14ac:dyDescent="0.25">
      <c r="A1533">
        <v>85</v>
      </c>
      <c r="B1533" t="s">
        <v>92</v>
      </c>
      <c r="C1533" t="s">
        <v>616</v>
      </c>
      <c r="E1533" t="s">
        <v>616</v>
      </c>
      <c r="L1533" t="s">
        <v>93</v>
      </c>
      <c r="M1533">
        <v>170</v>
      </c>
      <c r="N1533" t="s">
        <v>142</v>
      </c>
      <c r="Q1533">
        <v>5.9939999999999998</v>
      </c>
      <c r="R1533" t="s">
        <v>11</v>
      </c>
      <c r="T1533">
        <v>10</v>
      </c>
      <c r="V1533" t="s">
        <v>15</v>
      </c>
    </row>
    <row r="1534" spans="1:22" x14ac:dyDescent="0.25">
      <c r="A1534">
        <v>85</v>
      </c>
      <c r="B1534" t="s">
        <v>92</v>
      </c>
      <c r="C1534" t="s">
        <v>616</v>
      </c>
      <c r="E1534" t="s">
        <v>616</v>
      </c>
      <c r="L1534" t="s">
        <v>93</v>
      </c>
      <c r="M1534">
        <v>180</v>
      </c>
      <c r="N1534" t="s">
        <v>205</v>
      </c>
      <c r="Q1534">
        <v>1</v>
      </c>
      <c r="R1534" t="s">
        <v>11</v>
      </c>
      <c r="T1534">
        <v>10</v>
      </c>
      <c r="V1534" t="s">
        <v>18</v>
      </c>
    </row>
    <row r="1535" spans="1:22" x14ac:dyDescent="0.25">
      <c r="A1535">
        <v>86</v>
      </c>
      <c r="B1535" t="s">
        <v>92</v>
      </c>
      <c r="C1535" t="s">
        <v>618</v>
      </c>
      <c r="E1535" t="s">
        <v>618</v>
      </c>
      <c r="L1535" t="s">
        <v>93</v>
      </c>
      <c r="M1535">
        <v>10</v>
      </c>
      <c r="N1535" t="s">
        <v>207</v>
      </c>
      <c r="Q1535">
        <v>1</v>
      </c>
      <c r="R1535" t="s">
        <v>11</v>
      </c>
      <c r="T1535">
        <v>10</v>
      </c>
      <c r="V1535" t="s">
        <v>18</v>
      </c>
    </row>
    <row r="1536" spans="1:22" x14ac:dyDescent="0.25">
      <c r="A1536">
        <v>86</v>
      </c>
      <c r="B1536" t="s">
        <v>92</v>
      </c>
      <c r="C1536" t="s">
        <v>618</v>
      </c>
      <c r="E1536" t="s">
        <v>618</v>
      </c>
      <c r="L1536" t="s">
        <v>93</v>
      </c>
      <c r="M1536">
        <v>20</v>
      </c>
      <c r="N1536" t="s">
        <v>122</v>
      </c>
      <c r="Q1536">
        <v>3.1960000000000002</v>
      </c>
      <c r="R1536" t="s">
        <v>14</v>
      </c>
      <c r="T1536">
        <v>10</v>
      </c>
      <c r="V1536" t="s">
        <v>15</v>
      </c>
    </row>
    <row r="1537" spans="1:22" x14ac:dyDescent="0.25">
      <c r="A1537">
        <v>86</v>
      </c>
      <c r="B1537" t="s">
        <v>92</v>
      </c>
      <c r="C1537" t="s">
        <v>618</v>
      </c>
      <c r="E1537" t="s">
        <v>618</v>
      </c>
      <c r="L1537" t="s">
        <v>93</v>
      </c>
      <c r="M1537">
        <v>30</v>
      </c>
      <c r="N1537" t="s">
        <v>102</v>
      </c>
      <c r="Q1537">
        <v>0.82399999999999995</v>
      </c>
      <c r="R1537" t="s">
        <v>103</v>
      </c>
      <c r="T1537">
        <v>10</v>
      </c>
      <c r="V1537" t="s">
        <v>15</v>
      </c>
    </row>
    <row r="1538" spans="1:22" x14ac:dyDescent="0.25">
      <c r="A1538">
        <v>86</v>
      </c>
      <c r="B1538" t="s">
        <v>92</v>
      </c>
      <c r="C1538" t="s">
        <v>618</v>
      </c>
      <c r="E1538" t="s">
        <v>618</v>
      </c>
      <c r="L1538" t="s">
        <v>93</v>
      </c>
      <c r="M1538">
        <v>40</v>
      </c>
      <c r="N1538" t="s">
        <v>597</v>
      </c>
      <c r="Q1538">
        <v>1.1679999999999999</v>
      </c>
      <c r="R1538" t="s">
        <v>11</v>
      </c>
      <c r="T1538">
        <v>10</v>
      </c>
      <c r="V1538" t="s">
        <v>18</v>
      </c>
    </row>
    <row r="1539" spans="1:22" x14ac:dyDescent="0.25">
      <c r="A1539">
        <v>86</v>
      </c>
      <c r="B1539" t="s">
        <v>92</v>
      </c>
      <c r="C1539" t="s">
        <v>618</v>
      </c>
      <c r="E1539" t="s">
        <v>618</v>
      </c>
      <c r="L1539" t="s">
        <v>93</v>
      </c>
      <c r="M1539">
        <v>50</v>
      </c>
      <c r="N1539" t="s">
        <v>139</v>
      </c>
      <c r="Q1539">
        <v>1.1679999999999999</v>
      </c>
      <c r="R1539" t="s">
        <v>17</v>
      </c>
      <c r="T1539">
        <v>10</v>
      </c>
      <c r="V1539" t="s">
        <v>18</v>
      </c>
    </row>
    <row r="1540" spans="1:22" x14ac:dyDescent="0.25">
      <c r="A1540">
        <v>86</v>
      </c>
      <c r="B1540" t="s">
        <v>92</v>
      </c>
      <c r="C1540" t="s">
        <v>618</v>
      </c>
      <c r="E1540" t="s">
        <v>618</v>
      </c>
      <c r="L1540" t="s">
        <v>93</v>
      </c>
      <c r="M1540">
        <v>60</v>
      </c>
      <c r="N1540" t="s">
        <v>619</v>
      </c>
      <c r="Q1540">
        <v>1</v>
      </c>
      <c r="R1540" t="s">
        <v>11</v>
      </c>
      <c r="T1540">
        <v>10</v>
      </c>
      <c r="V1540" t="s">
        <v>18</v>
      </c>
    </row>
    <row r="1541" spans="1:22" x14ac:dyDescent="0.25">
      <c r="A1541">
        <v>86</v>
      </c>
      <c r="B1541" t="s">
        <v>92</v>
      </c>
      <c r="C1541" t="s">
        <v>618</v>
      </c>
      <c r="E1541" t="s">
        <v>618</v>
      </c>
      <c r="L1541" t="s">
        <v>93</v>
      </c>
      <c r="M1541">
        <v>70</v>
      </c>
      <c r="N1541" t="s">
        <v>599</v>
      </c>
      <c r="Q1541">
        <v>18.898</v>
      </c>
      <c r="R1541" t="s">
        <v>17</v>
      </c>
      <c r="T1541">
        <v>10</v>
      </c>
      <c r="V1541" t="s">
        <v>15</v>
      </c>
    </row>
    <row r="1542" spans="1:22" x14ac:dyDescent="0.25">
      <c r="A1542">
        <v>86</v>
      </c>
      <c r="B1542" t="s">
        <v>92</v>
      </c>
      <c r="C1542" t="s">
        <v>618</v>
      </c>
      <c r="E1542" t="s">
        <v>618</v>
      </c>
      <c r="L1542" t="s">
        <v>93</v>
      </c>
      <c r="M1542">
        <v>80</v>
      </c>
      <c r="N1542" t="s">
        <v>20</v>
      </c>
      <c r="Q1542">
        <v>154.96</v>
      </c>
      <c r="R1542" t="s">
        <v>17</v>
      </c>
      <c r="T1542">
        <v>10</v>
      </c>
      <c r="V1542" t="s">
        <v>15</v>
      </c>
    </row>
    <row r="1543" spans="1:22" x14ac:dyDescent="0.25">
      <c r="A1543">
        <v>86</v>
      </c>
      <c r="B1543" t="s">
        <v>92</v>
      </c>
      <c r="C1543" t="s">
        <v>618</v>
      </c>
      <c r="E1543" t="s">
        <v>618</v>
      </c>
      <c r="L1543" t="s">
        <v>93</v>
      </c>
      <c r="M1543">
        <v>90</v>
      </c>
      <c r="N1543" t="s">
        <v>24</v>
      </c>
      <c r="Q1543">
        <v>1</v>
      </c>
      <c r="R1543" t="s">
        <v>11</v>
      </c>
      <c r="T1543">
        <v>10</v>
      </c>
      <c r="V1543" t="s">
        <v>15</v>
      </c>
    </row>
    <row r="1544" spans="1:22" x14ac:dyDescent="0.25">
      <c r="A1544">
        <v>86</v>
      </c>
      <c r="B1544" t="s">
        <v>92</v>
      </c>
      <c r="C1544" t="s">
        <v>618</v>
      </c>
      <c r="E1544" t="s">
        <v>618</v>
      </c>
      <c r="L1544" t="s">
        <v>93</v>
      </c>
      <c r="M1544">
        <v>100</v>
      </c>
      <c r="N1544" t="s">
        <v>141</v>
      </c>
      <c r="Q1544">
        <v>0.10199999999999999</v>
      </c>
      <c r="R1544" t="s">
        <v>14</v>
      </c>
      <c r="T1544">
        <v>10</v>
      </c>
      <c r="V1544" t="s">
        <v>15</v>
      </c>
    </row>
    <row r="1545" spans="1:22" x14ac:dyDescent="0.25">
      <c r="A1545">
        <v>86</v>
      </c>
      <c r="B1545" t="s">
        <v>92</v>
      </c>
      <c r="C1545" t="s">
        <v>618</v>
      </c>
      <c r="E1545" t="s">
        <v>618</v>
      </c>
      <c r="L1545" t="s">
        <v>93</v>
      </c>
      <c r="M1545">
        <v>110</v>
      </c>
      <c r="N1545" t="s">
        <v>140</v>
      </c>
      <c r="Q1545">
        <v>4</v>
      </c>
      <c r="R1545" t="s">
        <v>11</v>
      </c>
      <c r="T1545">
        <v>10</v>
      </c>
      <c r="V1545" t="s">
        <v>15</v>
      </c>
    </row>
    <row r="1546" spans="1:22" x14ac:dyDescent="0.25">
      <c r="A1546">
        <v>86</v>
      </c>
      <c r="B1546" t="s">
        <v>92</v>
      </c>
      <c r="C1546" t="s">
        <v>618</v>
      </c>
      <c r="E1546" t="s">
        <v>618</v>
      </c>
      <c r="L1546" t="s">
        <v>93</v>
      </c>
      <c r="M1546">
        <v>120</v>
      </c>
      <c r="N1546" t="s">
        <v>25</v>
      </c>
      <c r="Q1546">
        <v>1</v>
      </c>
      <c r="R1546" t="s">
        <v>11</v>
      </c>
      <c r="T1546">
        <v>10</v>
      </c>
      <c r="V1546" t="s">
        <v>15</v>
      </c>
    </row>
    <row r="1547" spans="1:22" x14ac:dyDescent="0.25">
      <c r="A1547">
        <v>86</v>
      </c>
      <c r="B1547" t="s">
        <v>92</v>
      </c>
      <c r="C1547" t="s">
        <v>618</v>
      </c>
      <c r="E1547" t="s">
        <v>618</v>
      </c>
      <c r="L1547" t="s">
        <v>93</v>
      </c>
      <c r="M1547">
        <v>130</v>
      </c>
      <c r="N1547" t="s">
        <v>26</v>
      </c>
      <c r="Q1547">
        <v>1</v>
      </c>
      <c r="R1547" t="s">
        <v>11</v>
      </c>
      <c r="T1547">
        <v>10</v>
      </c>
      <c r="V1547" t="s">
        <v>15</v>
      </c>
    </row>
    <row r="1548" spans="1:22" x14ac:dyDescent="0.25">
      <c r="A1548">
        <v>86</v>
      </c>
      <c r="B1548" t="s">
        <v>92</v>
      </c>
      <c r="C1548" t="s">
        <v>618</v>
      </c>
      <c r="E1548" t="s">
        <v>618</v>
      </c>
      <c r="L1548" t="s">
        <v>93</v>
      </c>
      <c r="M1548">
        <v>140</v>
      </c>
      <c r="N1548" t="s">
        <v>100</v>
      </c>
      <c r="Q1548">
        <v>0.74299999999999999</v>
      </c>
      <c r="R1548" t="s">
        <v>14</v>
      </c>
      <c r="T1548">
        <v>10</v>
      </c>
      <c r="V1548" t="s">
        <v>15</v>
      </c>
    </row>
    <row r="1549" spans="1:22" x14ac:dyDescent="0.25">
      <c r="A1549">
        <v>86</v>
      </c>
      <c r="B1549" t="s">
        <v>92</v>
      </c>
      <c r="C1549" t="s">
        <v>618</v>
      </c>
      <c r="E1549" t="s">
        <v>618</v>
      </c>
      <c r="L1549" t="s">
        <v>93</v>
      </c>
      <c r="M1549">
        <v>150</v>
      </c>
      <c r="N1549" t="s">
        <v>209</v>
      </c>
      <c r="Q1549">
        <v>1</v>
      </c>
      <c r="R1549" t="s">
        <v>11</v>
      </c>
      <c r="T1549">
        <v>10</v>
      </c>
      <c r="V1549" t="s">
        <v>18</v>
      </c>
    </row>
    <row r="1550" spans="1:22" x14ac:dyDescent="0.25">
      <c r="A1550">
        <v>86</v>
      </c>
      <c r="B1550" t="s">
        <v>92</v>
      </c>
      <c r="C1550" t="s">
        <v>618</v>
      </c>
      <c r="E1550" t="s">
        <v>618</v>
      </c>
      <c r="L1550" t="s">
        <v>93</v>
      </c>
      <c r="M1550">
        <v>160</v>
      </c>
      <c r="N1550" t="s">
        <v>210</v>
      </c>
      <c r="Q1550">
        <v>1</v>
      </c>
      <c r="R1550" t="s">
        <v>11</v>
      </c>
      <c r="T1550">
        <v>10</v>
      </c>
      <c r="V1550" t="s">
        <v>18</v>
      </c>
    </row>
    <row r="1551" spans="1:22" x14ac:dyDescent="0.25">
      <c r="A1551">
        <v>86</v>
      </c>
      <c r="B1551" t="s">
        <v>92</v>
      </c>
      <c r="C1551" t="s">
        <v>618</v>
      </c>
      <c r="E1551" t="s">
        <v>618</v>
      </c>
      <c r="L1551" t="s">
        <v>93</v>
      </c>
      <c r="M1551">
        <v>170</v>
      </c>
      <c r="N1551" t="s">
        <v>142</v>
      </c>
      <c r="Q1551">
        <v>6.2990000000000004</v>
      </c>
      <c r="R1551" t="s">
        <v>11</v>
      </c>
      <c r="T1551">
        <v>10</v>
      </c>
      <c r="V1551" t="s">
        <v>15</v>
      </c>
    </row>
    <row r="1552" spans="1:22" x14ac:dyDescent="0.25">
      <c r="A1552">
        <v>86</v>
      </c>
      <c r="B1552" t="s">
        <v>92</v>
      </c>
      <c r="C1552" t="s">
        <v>618</v>
      </c>
      <c r="E1552" t="s">
        <v>618</v>
      </c>
      <c r="L1552" t="s">
        <v>93</v>
      </c>
      <c r="M1552">
        <v>180</v>
      </c>
      <c r="N1552" t="s">
        <v>211</v>
      </c>
      <c r="Q1552">
        <v>1</v>
      </c>
      <c r="R1552" t="s">
        <v>11</v>
      </c>
      <c r="T1552">
        <v>10</v>
      </c>
      <c r="V1552" t="s">
        <v>18</v>
      </c>
    </row>
    <row r="1553" spans="1:22" x14ac:dyDescent="0.25">
      <c r="A1553">
        <v>87</v>
      </c>
      <c r="B1553" t="s">
        <v>92</v>
      </c>
      <c r="C1553" t="s">
        <v>620</v>
      </c>
      <c r="E1553" t="s">
        <v>620</v>
      </c>
      <c r="L1553" t="s">
        <v>93</v>
      </c>
      <c r="M1553">
        <v>10</v>
      </c>
      <c r="N1553" t="s">
        <v>213</v>
      </c>
      <c r="Q1553">
        <v>1</v>
      </c>
      <c r="R1553" t="s">
        <v>11</v>
      </c>
      <c r="T1553">
        <v>10</v>
      </c>
      <c r="V1553" t="s">
        <v>18</v>
      </c>
    </row>
    <row r="1554" spans="1:22" x14ac:dyDescent="0.25">
      <c r="A1554">
        <v>87</v>
      </c>
      <c r="B1554" t="s">
        <v>92</v>
      </c>
      <c r="C1554" t="s">
        <v>620</v>
      </c>
      <c r="E1554" t="s">
        <v>620</v>
      </c>
      <c r="L1554" t="s">
        <v>93</v>
      </c>
      <c r="M1554">
        <v>20</v>
      </c>
      <c r="N1554" t="s">
        <v>123</v>
      </c>
      <c r="Q1554">
        <v>4.0039999999999996</v>
      </c>
      <c r="R1554" t="s">
        <v>14</v>
      </c>
      <c r="T1554">
        <v>10</v>
      </c>
      <c r="V1554" t="s">
        <v>15</v>
      </c>
    </row>
    <row r="1555" spans="1:22" x14ac:dyDescent="0.25">
      <c r="A1555">
        <v>87</v>
      </c>
      <c r="B1555" t="s">
        <v>92</v>
      </c>
      <c r="C1555" t="s">
        <v>620</v>
      </c>
      <c r="E1555" t="s">
        <v>620</v>
      </c>
      <c r="L1555" t="s">
        <v>93</v>
      </c>
      <c r="M1555">
        <v>30</v>
      </c>
      <c r="N1555" t="s">
        <v>102</v>
      </c>
      <c r="Q1555">
        <v>0.93700000000000006</v>
      </c>
      <c r="R1555" t="s">
        <v>103</v>
      </c>
      <c r="T1555">
        <v>10</v>
      </c>
      <c r="V1555" t="s">
        <v>15</v>
      </c>
    </row>
    <row r="1556" spans="1:22" x14ac:dyDescent="0.25">
      <c r="A1556">
        <v>87</v>
      </c>
      <c r="B1556" t="s">
        <v>92</v>
      </c>
      <c r="C1556" t="s">
        <v>620</v>
      </c>
      <c r="E1556" t="s">
        <v>620</v>
      </c>
      <c r="L1556" t="s">
        <v>93</v>
      </c>
      <c r="M1556">
        <v>40</v>
      </c>
      <c r="N1556" t="s">
        <v>597</v>
      </c>
      <c r="Q1556">
        <v>1.321</v>
      </c>
      <c r="R1556" t="s">
        <v>11</v>
      </c>
      <c r="T1556">
        <v>10</v>
      </c>
      <c r="V1556" t="s">
        <v>18</v>
      </c>
    </row>
    <row r="1557" spans="1:22" x14ac:dyDescent="0.25">
      <c r="A1557">
        <v>87</v>
      </c>
      <c r="B1557" t="s">
        <v>92</v>
      </c>
      <c r="C1557" t="s">
        <v>620</v>
      </c>
      <c r="E1557" t="s">
        <v>620</v>
      </c>
      <c r="L1557" t="s">
        <v>93</v>
      </c>
      <c r="M1557">
        <v>50</v>
      </c>
      <c r="N1557" t="s">
        <v>139</v>
      </c>
      <c r="Q1557">
        <v>1.321</v>
      </c>
      <c r="R1557" t="s">
        <v>17</v>
      </c>
      <c r="T1557">
        <v>10</v>
      </c>
      <c r="V1557" t="s">
        <v>18</v>
      </c>
    </row>
    <row r="1558" spans="1:22" x14ac:dyDescent="0.25">
      <c r="A1558">
        <v>87</v>
      </c>
      <c r="B1558" t="s">
        <v>92</v>
      </c>
      <c r="C1558" t="s">
        <v>620</v>
      </c>
      <c r="E1558" t="s">
        <v>620</v>
      </c>
      <c r="L1558" t="s">
        <v>93</v>
      </c>
      <c r="M1558">
        <v>60</v>
      </c>
      <c r="N1558" t="s">
        <v>621</v>
      </c>
      <c r="Q1558">
        <v>1</v>
      </c>
      <c r="R1558" t="s">
        <v>11</v>
      </c>
      <c r="T1558">
        <v>10</v>
      </c>
      <c r="V1558" t="s">
        <v>18</v>
      </c>
    </row>
    <row r="1559" spans="1:22" x14ac:dyDescent="0.25">
      <c r="A1559">
        <v>87</v>
      </c>
      <c r="B1559" t="s">
        <v>92</v>
      </c>
      <c r="C1559" t="s">
        <v>620</v>
      </c>
      <c r="E1559" t="s">
        <v>620</v>
      </c>
      <c r="L1559" t="s">
        <v>93</v>
      </c>
      <c r="M1559">
        <v>70</v>
      </c>
      <c r="N1559" t="s">
        <v>599</v>
      </c>
      <c r="Q1559">
        <v>19.812000000000001</v>
      </c>
      <c r="R1559" t="s">
        <v>17</v>
      </c>
      <c r="T1559">
        <v>10</v>
      </c>
      <c r="V1559" t="s">
        <v>15</v>
      </c>
    </row>
    <row r="1560" spans="1:22" x14ac:dyDescent="0.25">
      <c r="A1560">
        <v>87</v>
      </c>
      <c r="B1560" t="s">
        <v>92</v>
      </c>
      <c r="C1560" t="s">
        <v>620</v>
      </c>
      <c r="E1560" t="s">
        <v>620</v>
      </c>
      <c r="L1560" t="s">
        <v>93</v>
      </c>
      <c r="M1560">
        <v>80</v>
      </c>
      <c r="N1560" t="s">
        <v>20</v>
      </c>
      <c r="Q1560">
        <v>162.458</v>
      </c>
      <c r="R1560" t="s">
        <v>17</v>
      </c>
      <c r="T1560">
        <v>10</v>
      </c>
      <c r="V1560" t="s">
        <v>15</v>
      </c>
    </row>
    <row r="1561" spans="1:22" x14ac:dyDescent="0.25">
      <c r="A1561">
        <v>87</v>
      </c>
      <c r="B1561" t="s">
        <v>92</v>
      </c>
      <c r="C1561" t="s">
        <v>620</v>
      </c>
      <c r="E1561" t="s">
        <v>620</v>
      </c>
      <c r="L1561" t="s">
        <v>93</v>
      </c>
      <c r="M1561">
        <v>90</v>
      </c>
      <c r="N1561" t="s">
        <v>24</v>
      </c>
      <c r="Q1561">
        <v>1</v>
      </c>
      <c r="R1561" t="s">
        <v>11</v>
      </c>
      <c r="T1561">
        <v>10</v>
      </c>
      <c r="V1561" t="s">
        <v>15</v>
      </c>
    </row>
    <row r="1562" spans="1:22" x14ac:dyDescent="0.25">
      <c r="A1562">
        <v>87</v>
      </c>
      <c r="B1562" t="s">
        <v>92</v>
      </c>
      <c r="C1562" t="s">
        <v>620</v>
      </c>
      <c r="E1562" t="s">
        <v>620</v>
      </c>
      <c r="L1562" t="s">
        <v>93</v>
      </c>
      <c r="M1562">
        <v>100</v>
      </c>
      <c r="N1562" t="s">
        <v>141</v>
      </c>
      <c r="Q1562">
        <v>0.112</v>
      </c>
      <c r="R1562" t="s">
        <v>14</v>
      </c>
      <c r="T1562">
        <v>10</v>
      </c>
      <c r="V1562" t="s">
        <v>15</v>
      </c>
    </row>
    <row r="1563" spans="1:22" x14ac:dyDescent="0.25">
      <c r="A1563">
        <v>87</v>
      </c>
      <c r="B1563" t="s">
        <v>92</v>
      </c>
      <c r="C1563" t="s">
        <v>620</v>
      </c>
      <c r="E1563" t="s">
        <v>620</v>
      </c>
      <c r="L1563" t="s">
        <v>93</v>
      </c>
      <c r="M1563">
        <v>110</v>
      </c>
      <c r="N1563" t="s">
        <v>140</v>
      </c>
      <c r="Q1563">
        <v>4</v>
      </c>
      <c r="R1563" t="s">
        <v>11</v>
      </c>
      <c r="T1563">
        <v>10</v>
      </c>
      <c r="V1563" t="s">
        <v>15</v>
      </c>
    </row>
    <row r="1564" spans="1:22" x14ac:dyDescent="0.25">
      <c r="A1564">
        <v>87</v>
      </c>
      <c r="B1564" t="s">
        <v>92</v>
      </c>
      <c r="C1564" t="s">
        <v>620</v>
      </c>
      <c r="E1564" t="s">
        <v>620</v>
      </c>
      <c r="L1564" t="s">
        <v>93</v>
      </c>
      <c r="M1564">
        <v>120</v>
      </c>
      <c r="N1564" t="s">
        <v>25</v>
      </c>
      <c r="Q1564">
        <v>1</v>
      </c>
      <c r="R1564" t="s">
        <v>11</v>
      </c>
      <c r="T1564">
        <v>10</v>
      </c>
      <c r="V1564" t="s">
        <v>15</v>
      </c>
    </row>
    <row r="1565" spans="1:22" x14ac:dyDescent="0.25">
      <c r="A1565">
        <v>87</v>
      </c>
      <c r="B1565" t="s">
        <v>92</v>
      </c>
      <c r="C1565" t="s">
        <v>620</v>
      </c>
      <c r="E1565" t="s">
        <v>620</v>
      </c>
      <c r="L1565" t="s">
        <v>93</v>
      </c>
      <c r="M1565">
        <v>130</v>
      </c>
      <c r="N1565" t="s">
        <v>26</v>
      </c>
      <c r="Q1565">
        <v>1</v>
      </c>
      <c r="R1565" t="s">
        <v>11</v>
      </c>
      <c r="T1565">
        <v>10</v>
      </c>
      <c r="V1565" t="s">
        <v>15</v>
      </c>
    </row>
    <row r="1566" spans="1:22" x14ac:dyDescent="0.25">
      <c r="A1566">
        <v>87</v>
      </c>
      <c r="B1566" t="s">
        <v>92</v>
      </c>
      <c r="C1566" t="s">
        <v>620</v>
      </c>
      <c r="E1566" t="s">
        <v>620</v>
      </c>
      <c r="L1566" t="s">
        <v>93</v>
      </c>
      <c r="M1566">
        <v>140</v>
      </c>
      <c r="N1566" t="s">
        <v>100</v>
      </c>
      <c r="Q1566">
        <v>0.82399999999999995</v>
      </c>
      <c r="R1566" t="s">
        <v>14</v>
      </c>
      <c r="T1566">
        <v>10</v>
      </c>
      <c r="V1566" t="s">
        <v>15</v>
      </c>
    </row>
    <row r="1567" spans="1:22" x14ac:dyDescent="0.25">
      <c r="A1567">
        <v>87</v>
      </c>
      <c r="B1567" t="s">
        <v>92</v>
      </c>
      <c r="C1567" t="s">
        <v>620</v>
      </c>
      <c r="E1567" t="s">
        <v>620</v>
      </c>
      <c r="L1567" t="s">
        <v>93</v>
      </c>
      <c r="M1567">
        <v>150</v>
      </c>
      <c r="N1567" t="s">
        <v>215</v>
      </c>
      <c r="Q1567">
        <v>1</v>
      </c>
      <c r="R1567" t="s">
        <v>11</v>
      </c>
      <c r="T1567">
        <v>10</v>
      </c>
      <c r="V1567" t="s">
        <v>18</v>
      </c>
    </row>
    <row r="1568" spans="1:22" x14ac:dyDescent="0.25">
      <c r="A1568">
        <v>87</v>
      </c>
      <c r="B1568" t="s">
        <v>92</v>
      </c>
      <c r="C1568" t="s">
        <v>620</v>
      </c>
      <c r="E1568" t="s">
        <v>620</v>
      </c>
      <c r="L1568" t="s">
        <v>93</v>
      </c>
      <c r="M1568">
        <v>160</v>
      </c>
      <c r="N1568" t="s">
        <v>216</v>
      </c>
      <c r="Q1568">
        <v>1</v>
      </c>
      <c r="R1568" t="s">
        <v>11</v>
      </c>
      <c r="T1568">
        <v>10</v>
      </c>
      <c r="V1568" t="s">
        <v>18</v>
      </c>
    </row>
    <row r="1569" spans="1:22" x14ac:dyDescent="0.25">
      <c r="A1569">
        <v>87</v>
      </c>
      <c r="B1569" t="s">
        <v>92</v>
      </c>
      <c r="C1569" t="s">
        <v>620</v>
      </c>
      <c r="E1569" t="s">
        <v>620</v>
      </c>
      <c r="L1569" t="s">
        <v>93</v>
      </c>
      <c r="M1569">
        <v>170</v>
      </c>
      <c r="N1569" t="s">
        <v>142</v>
      </c>
      <c r="Q1569">
        <v>6.6040000000000001</v>
      </c>
      <c r="R1569" t="s">
        <v>11</v>
      </c>
      <c r="T1569">
        <v>10</v>
      </c>
      <c r="V1569" t="s">
        <v>15</v>
      </c>
    </row>
    <row r="1570" spans="1:22" x14ac:dyDescent="0.25">
      <c r="A1570">
        <v>87</v>
      </c>
      <c r="B1570" t="s">
        <v>92</v>
      </c>
      <c r="C1570" t="s">
        <v>620</v>
      </c>
      <c r="E1570" t="s">
        <v>620</v>
      </c>
      <c r="L1570" t="s">
        <v>93</v>
      </c>
      <c r="M1570">
        <v>180</v>
      </c>
      <c r="N1570" t="s">
        <v>217</v>
      </c>
      <c r="Q1570">
        <v>1</v>
      </c>
      <c r="R1570" t="s">
        <v>11</v>
      </c>
      <c r="T1570">
        <v>10</v>
      </c>
      <c r="V1570" t="s">
        <v>18</v>
      </c>
    </row>
    <row r="1571" spans="1:22" x14ac:dyDescent="0.25">
      <c r="A1571">
        <v>88</v>
      </c>
      <c r="B1571" t="s">
        <v>92</v>
      </c>
      <c r="C1571" t="s">
        <v>622</v>
      </c>
      <c r="E1571" t="s">
        <v>622</v>
      </c>
      <c r="L1571" t="s">
        <v>93</v>
      </c>
      <c r="M1571">
        <v>10</v>
      </c>
      <c r="N1571" t="s">
        <v>219</v>
      </c>
      <c r="Q1571">
        <v>1</v>
      </c>
      <c r="R1571" t="s">
        <v>11</v>
      </c>
      <c r="T1571">
        <v>10</v>
      </c>
      <c r="V1571" t="s">
        <v>18</v>
      </c>
    </row>
    <row r="1572" spans="1:22" x14ac:dyDescent="0.25">
      <c r="A1572">
        <v>88</v>
      </c>
      <c r="B1572" t="s">
        <v>92</v>
      </c>
      <c r="C1572" t="s">
        <v>622</v>
      </c>
      <c r="E1572" t="s">
        <v>622</v>
      </c>
      <c r="L1572" t="s">
        <v>93</v>
      </c>
      <c r="M1572">
        <v>20</v>
      </c>
      <c r="N1572" t="s">
        <v>123</v>
      </c>
      <c r="Q1572">
        <v>4.0039999999999996</v>
      </c>
      <c r="R1572" t="s">
        <v>14</v>
      </c>
      <c r="T1572">
        <v>10</v>
      </c>
      <c r="V1572" t="s">
        <v>15</v>
      </c>
    </row>
    <row r="1573" spans="1:22" x14ac:dyDescent="0.25">
      <c r="A1573">
        <v>88</v>
      </c>
      <c r="B1573" t="s">
        <v>92</v>
      </c>
      <c r="C1573" t="s">
        <v>622</v>
      </c>
      <c r="E1573" t="s">
        <v>622</v>
      </c>
      <c r="L1573" t="s">
        <v>93</v>
      </c>
      <c r="M1573">
        <v>30</v>
      </c>
      <c r="N1573" t="s">
        <v>102</v>
      </c>
      <c r="Q1573">
        <v>0.99299999999999999</v>
      </c>
      <c r="R1573" t="s">
        <v>103</v>
      </c>
      <c r="T1573">
        <v>10</v>
      </c>
      <c r="V1573" t="s">
        <v>15</v>
      </c>
    </row>
    <row r="1574" spans="1:22" x14ac:dyDescent="0.25">
      <c r="A1574">
        <v>88</v>
      </c>
      <c r="B1574" t="s">
        <v>92</v>
      </c>
      <c r="C1574" t="s">
        <v>622</v>
      </c>
      <c r="E1574" t="s">
        <v>622</v>
      </c>
      <c r="L1574" t="s">
        <v>93</v>
      </c>
      <c r="M1574">
        <v>40</v>
      </c>
      <c r="N1574" t="s">
        <v>597</v>
      </c>
      <c r="Q1574">
        <v>1.397</v>
      </c>
      <c r="R1574" t="s">
        <v>11</v>
      </c>
      <c r="T1574">
        <v>10</v>
      </c>
      <c r="V1574" t="s">
        <v>18</v>
      </c>
    </row>
    <row r="1575" spans="1:22" x14ac:dyDescent="0.25">
      <c r="A1575">
        <v>88</v>
      </c>
      <c r="B1575" t="s">
        <v>92</v>
      </c>
      <c r="C1575" t="s">
        <v>622</v>
      </c>
      <c r="E1575" t="s">
        <v>622</v>
      </c>
      <c r="L1575" t="s">
        <v>93</v>
      </c>
      <c r="M1575">
        <v>50</v>
      </c>
      <c r="N1575" t="s">
        <v>139</v>
      </c>
      <c r="Q1575">
        <v>1.397</v>
      </c>
      <c r="R1575" t="s">
        <v>17</v>
      </c>
      <c r="T1575">
        <v>10</v>
      </c>
      <c r="V1575" t="s">
        <v>18</v>
      </c>
    </row>
    <row r="1576" spans="1:22" x14ac:dyDescent="0.25">
      <c r="A1576">
        <v>88</v>
      </c>
      <c r="B1576" t="s">
        <v>92</v>
      </c>
      <c r="C1576" t="s">
        <v>622</v>
      </c>
      <c r="E1576" t="s">
        <v>622</v>
      </c>
      <c r="L1576" t="s">
        <v>93</v>
      </c>
      <c r="M1576">
        <v>60</v>
      </c>
      <c r="N1576" t="s">
        <v>623</v>
      </c>
      <c r="Q1576">
        <v>1</v>
      </c>
      <c r="R1576" t="s">
        <v>11</v>
      </c>
      <c r="T1576">
        <v>10</v>
      </c>
      <c r="V1576" t="s">
        <v>18</v>
      </c>
    </row>
    <row r="1577" spans="1:22" x14ac:dyDescent="0.25">
      <c r="A1577">
        <v>88</v>
      </c>
      <c r="B1577" t="s">
        <v>92</v>
      </c>
      <c r="C1577" t="s">
        <v>622</v>
      </c>
      <c r="E1577" t="s">
        <v>622</v>
      </c>
      <c r="L1577" t="s">
        <v>93</v>
      </c>
      <c r="M1577">
        <v>70</v>
      </c>
      <c r="N1577" t="s">
        <v>599</v>
      </c>
      <c r="Q1577">
        <v>20.268999999999998</v>
      </c>
      <c r="R1577" t="s">
        <v>17</v>
      </c>
      <c r="T1577">
        <v>10</v>
      </c>
      <c r="V1577" t="s">
        <v>15</v>
      </c>
    </row>
    <row r="1578" spans="1:22" x14ac:dyDescent="0.25">
      <c r="A1578">
        <v>88</v>
      </c>
      <c r="B1578" t="s">
        <v>92</v>
      </c>
      <c r="C1578" t="s">
        <v>622</v>
      </c>
      <c r="E1578" t="s">
        <v>622</v>
      </c>
      <c r="L1578" t="s">
        <v>93</v>
      </c>
      <c r="M1578">
        <v>80</v>
      </c>
      <c r="N1578" t="s">
        <v>20</v>
      </c>
      <c r="Q1578">
        <v>166.20699999999999</v>
      </c>
      <c r="R1578" t="s">
        <v>17</v>
      </c>
      <c r="T1578">
        <v>10</v>
      </c>
      <c r="V1578" t="s">
        <v>15</v>
      </c>
    </row>
    <row r="1579" spans="1:22" x14ac:dyDescent="0.25">
      <c r="A1579">
        <v>88</v>
      </c>
      <c r="B1579" t="s">
        <v>92</v>
      </c>
      <c r="C1579" t="s">
        <v>622</v>
      </c>
      <c r="E1579" t="s">
        <v>622</v>
      </c>
      <c r="L1579" t="s">
        <v>93</v>
      </c>
      <c r="M1579">
        <v>90</v>
      </c>
      <c r="N1579" t="s">
        <v>24</v>
      </c>
      <c r="Q1579">
        <v>1</v>
      </c>
      <c r="R1579" t="s">
        <v>11</v>
      </c>
      <c r="T1579">
        <v>10</v>
      </c>
      <c r="V1579" t="s">
        <v>15</v>
      </c>
    </row>
    <row r="1580" spans="1:22" x14ac:dyDescent="0.25">
      <c r="A1580">
        <v>88</v>
      </c>
      <c r="B1580" t="s">
        <v>92</v>
      </c>
      <c r="C1580" t="s">
        <v>622</v>
      </c>
      <c r="E1580" t="s">
        <v>622</v>
      </c>
      <c r="L1580" t="s">
        <v>93</v>
      </c>
      <c r="M1580">
        <v>100</v>
      </c>
      <c r="N1580" t="s">
        <v>141</v>
      </c>
      <c r="Q1580">
        <v>0.11700000000000001</v>
      </c>
      <c r="R1580" t="s">
        <v>14</v>
      </c>
      <c r="T1580">
        <v>10</v>
      </c>
      <c r="V1580" t="s">
        <v>15</v>
      </c>
    </row>
    <row r="1581" spans="1:22" x14ac:dyDescent="0.25">
      <c r="A1581">
        <v>88</v>
      </c>
      <c r="B1581" t="s">
        <v>92</v>
      </c>
      <c r="C1581" t="s">
        <v>622</v>
      </c>
      <c r="E1581" t="s">
        <v>622</v>
      </c>
      <c r="L1581" t="s">
        <v>93</v>
      </c>
      <c r="M1581">
        <v>110</v>
      </c>
      <c r="N1581" t="s">
        <v>140</v>
      </c>
      <c r="Q1581">
        <v>4</v>
      </c>
      <c r="R1581" t="s">
        <v>11</v>
      </c>
      <c r="T1581">
        <v>10</v>
      </c>
      <c r="V1581" t="s">
        <v>15</v>
      </c>
    </row>
    <row r="1582" spans="1:22" x14ac:dyDescent="0.25">
      <c r="A1582">
        <v>88</v>
      </c>
      <c r="B1582" t="s">
        <v>92</v>
      </c>
      <c r="C1582" t="s">
        <v>622</v>
      </c>
      <c r="E1582" t="s">
        <v>622</v>
      </c>
      <c r="L1582" t="s">
        <v>93</v>
      </c>
      <c r="M1582">
        <v>120</v>
      </c>
      <c r="N1582" t="s">
        <v>25</v>
      </c>
      <c r="Q1582">
        <v>1</v>
      </c>
      <c r="R1582" t="s">
        <v>11</v>
      </c>
      <c r="T1582">
        <v>10</v>
      </c>
      <c r="V1582" t="s">
        <v>15</v>
      </c>
    </row>
    <row r="1583" spans="1:22" x14ac:dyDescent="0.25">
      <c r="A1583">
        <v>88</v>
      </c>
      <c r="B1583" t="s">
        <v>92</v>
      </c>
      <c r="C1583" t="s">
        <v>622</v>
      </c>
      <c r="E1583" t="s">
        <v>622</v>
      </c>
      <c r="L1583" t="s">
        <v>93</v>
      </c>
      <c r="M1583">
        <v>130</v>
      </c>
      <c r="N1583" t="s">
        <v>26</v>
      </c>
      <c r="Q1583">
        <v>1</v>
      </c>
      <c r="R1583" t="s">
        <v>11</v>
      </c>
      <c r="T1583">
        <v>10</v>
      </c>
      <c r="V1583" t="s">
        <v>15</v>
      </c>
    </row>
    <row r="1584" spans="1:22" x14ac:dyDescent="0.25">
      <c r="A1584">
        <v>88</v>
      </c>
      <c r="B1584" t="s">
        <v>92</v>
      </c>
      <c r="C1584" t="s">
        <v>622</v>
      </c>
      <c r="E1584" t="s">
        <v>622</v>
      </c>
      <c r="L1584" t="s">
        <v>93</v>
      </c>
      <c r="M1584">
        <v>140</v>
      </c>
      <c r="N1584" t="s">
        <v>100</v>
      </c>
      <c r="Q1584">
        <v>0.86499999999999999</v>
      </c>
      <c r="R1584" t="s">
        <v>14</v>
      </c>
      <c r="T1584">
        <v>10</v>
      </c>
      <c r="V1584" t="s">
        <v>15</v>
      </c>
    </row>
    <row r="1585" spans="1:22" x14ac:dyDescent="0.25">
      <c r="A1585">
        <v>88</v>
      </c>
      <c r="B1585" t="s">
        <v>92</v>
      </c>
      <c r="C1585" t="s">
        <v>622</v>
      </c>
      <c r="E1585" t="s">
        <v>622</v>
      </c>
      <c r="L1585" t="s">
        <v>93</v>
      </c>
      <c r="M1585">
        <v>150</v>
      </c>
      <c r="N1585" t="s">
        <v>221</v>
      </c>
      <c r="Q1585">
        <v>1</v>
      </c>
      <c r="R1585" t="s">
        <v>11</v>
      </c>
      <c r="T1585">
        <v>10</v>
      </c>
      <c r="V1585" t="s">
        <v>18</v>
      </c>
    </row>
    <row r="1586" spans="1:22" x14ac:dyDescent="0.25">
      <c r="A1586">
        <v>88</v>
      </c>
      <c r="B1586" t="s">
        <v>92</v>
      </c>
      <c r="C1586" t="s">
        <v>622</v>
      </c>
      <c r="E1586" t="s">
        <v>622</v>
      </c>
      <c r="L1586" t="s">
        <v>93</v>
      </c>
      <c r="M1586">
        <v>160</v>
      </c>
      <c r="N1586" t="s">
        <v>222</v>
      </c>
      <c r="Q1586">
        <v>1</v>
      </c>
      <c r="R1586" t="s">
        <v>11</v>
      </c>
      <c r="T1586">
        <v>10</v>
      </c>
      <c r="V1586" t="s">
        <v>18</v>
      </c>
    </row>
    <row r="1587" spans="1:22" x14ac:dyDescent="0.25">
      <c r="A1587">
        <v>88</v>
      </c>
      <c r="B1587" t="s">
        <v>92</v>
      </c>
      <c r="C1587" t="s">
        <v>622</v>
      </c>
      <c r="E1587" t="s">
        <v>622</v>
      </c>
      <c r="L1587" t="s">
        <v>93</v>
      </c>
      <c r="M1587">
        <v>170</v>
      </c>
      <c r="N1587" t="s">
        <v>142</v>
      </c>
      <c r="Q1587">
        <v>6.7560000000000002</v>
      </c>
      <c r="R1587" t="s">
        <v>11</v>
      </c>
      <c r="T1587">
        <v>10</v>
      </c>
      <c r="V1587" t="s">
        <v>15</v>
      </c>
    </row>
    <row r="1588" spans="1:22" x14ac:dyDescent="0.25">
      <c r="A1588">
        <v>88</v>
      </c>
      <c r="B1588" t="s">
        <v>92</v>
      </c>
      <c r="C1588" t="s">
        <v>622</v>
      </c>
      <c r="E1588" t="s">
        <v>622</v>
      </c>
      <c r="L1588" t="s">
        <v>93</v>
      </c>
      <c r="M1588">
        <v>180</v>
      </c>
      <c r="N1588" t="s">
        <v>223</v>
      </c>
      <c r="Q1588">
        <v>1</v>
      </c>
      <c r="R1588" t="s">
        <v>11</v>
      </c>
      <c r="T1588">
        <v>10</v>
      </c>
      <c r="V1588" t="s">
        <v>18</v>
      </c>
    </row>
    <row r="1589" spans="1:22" x14ac:dyDescent="0.25">
      <c r="A1589">
        <v>89</v>
      </c>
      <c r="B1589" t="s">
        <v>92</v>
      </c>
      <c r="C1589" t="s">
        <v>624</v>
      </c>
      <c r="E1589" t="s">
        <v>624</v>
      </c>
      <c r="L1589" t="s">
        <v>93</v>
      </c>
      <c r="M1589">
        <v>10</v>
      </c>
      <c r="N1589" t="s">
        <v>225</v>
      </c>
      <c r="Q1589">
        <v>1</v>
      </c>
      <c r="R1589" t="s">
        <v>11</v>
      </c>
      <c r="T1589">
        <v>10</v>
      </c>
      <c r="V1589" t="s">
        <v>18</v>
      </c>
    </row>
    <row r="1590" spans="1:22" x14ac:dyDescent="0.25">
      <c r="A1590">
        <v>89</v>
      </c>
      <c r="B1590" t="s">
        <v>92</v>
      </c>
      <c r="C1590" t="s">
        <v>624</v>
      </c>
      <c r="E1590" t="s">
        <v>624</v>
      </c>
      <c r="L1590" t="s">
        <v>93</v>
      </c>
      <c r="M1590">
        <v>20</v>
      </c>
      <c r="N1590" t="s">
        <v>123</v>
      </c>
      <c r="Q1590">
        <v>4.0039999999999996</v>
      </c>
      <c r="R1590" t="s">
        <v>14</v>
      </c>
      <c r="T1590">
        <v>10</v>
      </c>
      <c r="V1590" t="s">
        <v>15</v>
      </c>
    </row>
    <row r="1591" spans="1:22" x14ac:dyDescent="0.25">
      <c r="A1591">
        <v>89</v>
      </c>
      <c r="B1591" t="s">
        <v>92</v>
      </c>
      <c r="C1591" t="s">
        <v>624</v>
      </c>
      <c r="E1591" t="s">
        <v>624</v>
      </c>
      <c r="L1591" t="s">
        <v>93</v>
      </c>
      <c r="M1591">
        <v>30</v>
      </c>
      <c r="N1591" t="s">
        <v>102</v>
      </c>
      <c r="Q1591">
        <v>1.0489999999999999</v>
      </c>
      <c r="R1591" t="s">
        <v>103</v>
      </c>
      <c r="T1591">
        <v>10</v>
      </c>
      <c r="V1591" t="s">
        <v>15</v>
      </c>
    </row>
    <row r="1592" spans="1:22" x14ac:dyDescent="0.25">
      <c r="A1592">
        <v>89</v>
      </c>
      <c r="B1592" t="s">
        <v>92</v>
      </c>
      <c r="C1592" t="s">
        <v>624</v>
      </c>
      <c r="E1592" t="s">
        <v>624</v>
      </c>
      <c r="L1592" t="s">
        <v>93</v>
      </c>
      <c r="M1592">
        <v>40</v>
      </c>
      <c r="N1592" t="s">
        <v>597</v>
      </c>
      <c r="Q1592">
        <v>1.4730000000000001</v>
      </c>
      <c r="R1592" t="s">
        <v>11</v>
      </c>
      <c r="T1592">
        <v>10</v>
      </c>
      <c r="V1592" t="s">
        <v>18</v>
      </c>
    </row>
    <row r="1593" spans="1:22" x14ac:dyDescent="0.25">
      <c r="A1593">
        <v>89</v>
      </c>
      <c r="B1593" t="s">
        <v>92</v>
      </c>
      <c r="C1593" t="s">
        <v>624</v>
      </c>
      <c r="E1593" t="s">
        <v>624</v>
      </c>
      <c r="L1593" t="s">
        <v>93</v>
      </c>
      <c r="M1593">
        <v>50</v>
      </c>
      <c r="N1593" t="s">
        <v>139</v>
      </c>
      <c r="Q1593">
        <v>1.4730000000000001</v>
      </c>
      <c r="R1593" t="s">
        <v>17</v>
      </c>
      <c r="T1593">
        <v>10</v>
      </c>
      <c r="V1593" t="s">
        <v>18</v>
      </c>
    </row>
    <row r="1594" spans="1:22" x14ac:dyDescent="0.25">
      <c r="A1594">
        <v>89</v>
      </c>
      <c r="B1594" t="s">
        <v>92</v>
      </c>
      <c r="C1594" t="s">
        <v>624</v>
      </c>
      <c r="E1594" t="s">
        <v>624</v>
      </c>
      <c r="L1594" t="s">
        <v>93</v>
      </c>
      <c r="M1594">
        <v>60</v>
      </c>
      <c r="N1594" t="s">
        <v>625</v>
      </c>
      <c r="Q1594">
        <v>1</v>
      </c>
      <c r="R1594" t="s">
        <v>11</v>
      </c>
      <c r="T1594">
        <v>10</v>
      </c>
      <c r="V1594" t="s">
        <v>18</v>
      </c>
    </row>
    <row r="1595" spans="1:22" x14ac:dyDescent="0.25">
      <c r="A1595">
        <v>89</v>
      </c>
      <c r="B1595" t="s">
        <v>92</v>
      </c>
      <c r="C1595" t="s">
        <v>624</v>
      </c>
      <c r="E1595" t="s">
        <v>624</v>
      </c>
      <c r="L1595" t="s">
        <v>93</v>
      </c>
      <c r="M1595">
        <v>70</v>
      </c>
      <c r="N1595" t="s">
        <v>599</v>
      </c>
      <c r="Q1595">
        <v>20.725999999999999</v>
      </c>
      <c r="R1595" t="s">
        <v>17</v>
      </c>
      <c r="T1595">
        <v>10</v>
      </c>
      <c r="V1595" t="s">
        <v>15</v>
      </c>
    </row>
    <row r="1596" spans="1:22" x14ac:dyDescent="0.25">
      <c r="A1596">
        <v>89</v>
      </c>
      <c r="B1596" t="s">
        <v>92</v>
      </c>
      <c r="C1596" t="s">
        <v>624</v>
      </c>
      <c r="E1596" t="s">
        <v>624</v>
      </c>
      <c r="L1596" t="s">
        <v>93</v>
      </c>
      <c r="M1596">
        <v>80</v>
      </c>
      <c r="N1596" t="s">
        <v>20</v>
      </c>
      <c r="Q1596">
        <v>169.95599999999999</v>
      </c>
      <c r="R1596" t="s">
        <v>17</v>
      </c>
      <c r="T1596">
        <v>10</v>
      </c>
      <c r="V1596" t="s">
        <v>15</v>
      </c>
    </row>
    <row r="1597" spans="1:22" x14ac:dyDescent="0.25">
      <c r="A1597">
        <v>89</v>
      </c>
      <c r="B1597" t="s">
        <v>92</v>
      </c>
      <c r="C1597" t="s">
        <v>624</v>
      </c>
      <c r="E1597" t="s">
        <v>624</v>
      </c>
      <c r="L1597" t="s">
        <v>93</v>
      </c>
      <c r="M1597">
        <v>90</v>
      </c>
      <c r="N1597" t="s">
        <v>24</v>
      </c>
      <c r="Q1597">
        <v>1</v>
      </c>
      <c r="R1597" t="s">
        <v>11</v>
      </c>
      <c r="T1597">
        <v>10</v>
      </c>
      <c r="V1597" t="s">
        <v>15</v>
      </c>
    </row>
    <row r="1598" spans="1:22" x14ac:dyDescent="0.25">
      <c r="A1598">
        <v>89</v>
      </c>
      <c r="B1598" t="s">
        <v>92</v>
      </c>
      <c r="C1598" t="s">
        <v>624</v>
      </c>
      <c r="E1598" t="s">
        <v>624</v>
      </c>
      <c r="L1598" t="s">
        <v>93</v>
      </c>
      <c r="M1598">
        <v>100</v>
      </c>
      <c r="N1598" t="s">
        <v>141</v>
      </c>
      <c r="Q1598">
        <v>0.123</v>
      </c>
      <c r="R1598" t="s">
        <v>14</v>
      </c>
      <c r="T1598">
        <v>10</v>
      </c>
      <c r="V1598" t="s">
        <v>15</v>
      </c>
    </row>
    <row r="1599" spans="1:22" x14ac:dyDescent="0.25">
      <c r="A1599">
        <v>89</v>
      </c>
      <c r="B1599" t="s">
        <v>92</v>
      </c>
      <c r="C1599" t="s">
        <v>624</v>
      </c>
      <c r="E1599" t="s">
        <v>624</v>
      </c>
      <c r="L1599" t="s">
        <v>93</v>
      </c>
      <c r="M1599">
        <v>110</v>
      </c>
      <c r="N1599" t="s">
        <v>140</v>
      </c>
      <c r="Q1599">
        <v>4</v>
      </c>
      <c r="R1599" t="s">
        <v>11</v>
      </c>
      <c r="T1599">
        <v>10</v>
      </c>
      <c r="V1599" t="s">
        <v>15</v>
      </c>
    </row>
    <row r="1600" spans="1:22" x14ac:dyDescent="0.25">
      <c r="A1600">
        <v>89</v>
      </c>
      <c r="B1600" t="s">
        <v>92</v>
      </c>
      <c r="C1600" t="s">
        <v>624</v>
      </c>
      <c r="E1600" t="s">
        <v>624</v>
      </c>
      <c r="L1600" t="s">
        <v>93</v>
      </c>
      <c r="M1600">
        <v>120</v>
      </c>
      <c r="N1600" t="s">
        <v>25</v>
      </c>
      <c r="Q1600">
        <v>1</v>
      </c>
      <c r="R1600" t="s">
        <v>11</v>
      </c>
      <c r="T1600">
        <v>10</v>
      </c>
      <c r="V1600" t="s">
        <v>15</v>
      </c>
    </row>
    <row r="1601" spans="1:22" x14ac:dyDescent="0.25">
      <c r="A1601">
        <v>89</v>
      </c>
      <c r="B1601" t="s">
        <v>92</v>
      </c>
      <c r="C1601" t="s">
        <v>624</v>
      </c>
      <c r="E1601" t="s">
        <v>624</v>
      </c>
      <c r="L1601" t="s">
        <v>93</v>
      </c>
      <c r="M1601">
        <v>130</v>
      </c>
      <c r="N1601" t="s">
        <v>26</v>
      </c>
      <c r="Q1601">
        <v>1</v>
      </c>
      <c r="R1601" t="s">
        <v>11</v>
      </c>
      <c r="T1601">
        <v>10</v>
      </c>
      <c r="V1601" t="s">
        <v>15</v>
      </c>
    </row>
    <row r="1602" spans="1:22" x14ac:dyDescent="0.25">
      <c r="A1602">
        <v>89</v>
      </c>
      <c r="B1602" t="s">
        <v>92</v>
      </c>
      <c r="C1602" t="s">
        <v>624</v>
      </c>
      <c r="E1602" t="s">
        <v>624</v>
      </c>
      <c r="L1602" t="s">
        <v>93</v>
      </c>
      <c r="M1602">
        <v>140</v>
      </c>
      <c r="N1602" t="s">
        <v>100</v>
      </c>
      <c r="Q1602">
        <v>0.90500000000000003</v>
      </c>
      <c r="R1602" t="s">
        <v>14</v>
      </c>
      <c r="T1602">
        <v>10</v>
      </c>
      <c r="V1602" t="s">
        <v>15</v>
      </c>
    </row>
    <row r="1603" spans="1:22" x14ac:dyDescent="0.25">
      <c r="A1603">
        <v>89</v>
      </c>
      <c r="B1603" t="s">
        <v>92</v>
      </c>
      <c r="C1603" t="s">
        <v>624</v>
      </c>
      <c r="E1603" t="s">
        <v>624</v>
      </c>
      <c r="L1603" t="s">
        <v>93</v>
      </c>
      <c r="M1603">
        <v>150</v>
      </c>
      <c r="N1603" t="s">
        <v>227</v>
      </c>
      <c r="Q1603">
        <v>1</v>
      </c>
      <c r="R1603" t="s">
        <v>11</v>
      </c>
      <c r="T1603">
        <v>10</v>
      </c>
      <c r="V1603" t="s">
        <v>18</v>
      </c>
    </row>
    <row r="1604" spans="1:22" x14ac:dyDescent="0.25">
      <c r="A1604">
        <v>89</v>
      </c>
      <c r="B1604" t="s">
        <v>92</v>
      </c>
      <c r="C1604" t="s">
        <v>624</v>
      </c>
      <c r="E1604" t="s">
        <v>624</v>
      </c>
      <c r="L1604" t="s">
        <v>93</v>
      </c>
      <c r="M1604">
        <v>160</v>
      </c>
      <c r="N1604" t="s">
        <v>228</v>
      </c>
      <c r="Q1604">
        <v>1</v>
      </c>
      <c r="R1604" t="s">
        <v>11</v>
      </c>
      <c r="T1604">
        <v>10</v>
      </c>
      <c r="V1604" t="s">
        <v>18</v>
      </c>
    </row>
    <row r="1605" spans="1:22" x14ac:dyDescent="0.25">
      <c r="A1605">
        <v>89</v>
      </c>
      <c r="B1605" t="s">
        <v>92</v>
      </c>
      <c r="C1605" t="s">
        <v>624</v>
      </c>
      <c r="E1605" t="s">
        <v>624</v>
      </c>
      <c r="L1605" t="s">
        <v>93</v>
      </c>
      <c r="M1605">
        <v>170</v>
      </c>
      <c r="N1605" t="s">
        <v>142</v>
      </c>
      <c r="Q1605">
        <v>6.9089999999999998</v>
      </c>
      <c r="R1605" t="s">
        <v>11</v>
      </c>
      <c r="T1605">
        <v>10</v>
      </c>
      <c r="V1605" t="s">
        <v>15</v>
      </c>
    </row>
    <row r="1606" spans="1:22" x14ac:dyDescent="0.25">
      <c r="A1606">
        <v>89</v>
      </c>
      <c r="B1606" t="s">
        <v>92</v>
      </c>
      <c r="C1606" t="s">
        <v>624</v>
      </c>
      <c r="E1606" t="s">
        <v>624</v>
      </c>
      <c r="L1606" t="s">
        <v>93</v>
      </c>
      <c r="M1606">
        <v>180</v>
      </c>
      <c r="N1606" t="s">
        <v>229</v>
      </c>
      <c r="Q1606">
        <v>1</v>
      </c>
      <c r="R1606" t="s">
        <v>11</v>
      </c>
      <c r="T1606">
        <v>10</v>
      </c>
      <c r="V1606" t="s">
        <v>18</v>
      </c>
    </row>
    <row r="1607" spans="1:22" x14ac:dyDescent="0.25">
      <c r="A1607">
        <v>90</v>
      </c>
      <c r="B1607" t="s">
        <v>92</v>
      </c>
      <c r="C1607" t="s">
        <v>626</v>
      </c>
      <c r="E1607" t="s">
        <v>626</v>
      </c>
      <c r="L1607" t="s">
        <v>93</v>
      </c>
      <c r="M1607">
        <v>10</v>
      </c>
      <c r="N1607" t="s">
        <v>231</v>
      </c>
      <c r="Q1607">
        <v>1</v>
      </c>
      <c r="R1607" t="s">
        <v>11</v>
      </c>
      <c r="T1607">
        <v>10</v>
      </c>
      <c r="V1607" t="s">
        <v>18</v>
      </c>
    </row>
    <row r="1608" spans="1:22" x14ac:dyDescent="0.25">
      <c r="A1608">
        <v>90</v>
      </c>
      <c r="B1608" t="s">
        <v>92</v>
      </c>
      <c r="C1608" t="s">
        <v>626</v>
      </c>
      <c r="E1608" t="s">
        <v>626</v>
      </c>
      <c r="L1608" t="s">
        <v>93</v>
      </c>
      <c r="M1608">
        <v>20</v>
      </c>
      <c r="N1608" t="s">
        <v>124</v>
      </c>
      <c r="Q1608">
        <v>4.4080000000000004</v>
      </c>
      <c r="R1608" t="s">
        <v>14</v>
      </c>
      <c r="T1608">
        <v>10</v>
      </c>
      <c r="V1608" t="s">
        <v>15</v>
      </c>
    </row>
    <row r="1609" spans="1:22" x14ac:dyDescent="0.25">
      <c r="A1609">
        <v>90</v>
      </c>
      <c r="B1609" t="s">
        <v>92</v>
      </c>
      <c r="C1609" t="s">
        <v>626</v>
      </c>
      <c r="E1609" t="s">
        <v>626</v>
      </c>
      <c r="L1609" t="s">
        <v>93</v>
      </c>
      <c r="M1609">
        <v>30</v>
      </c>
      <c r="N1609" t="s">
        <v>102</v>
      </c>
      <c r="Q1609">
        <v>1.161</v>
      </c>
      <c r="R1609" t="s">
        <v>103</v>
      </c>
      <c r="T1609">
        <v>10</v>
      </c>
      <c r="V1609" t="s">
        <v>15</v>
      </c>
    </row>
    <row r="1610" spans="1:22" x14ac:dyDescent="0.25">
      <c r="A1610">
        <v>90</v>
      </c>
      <c r="B1610" t="s">
        <v>92</v>
      </c>
      <c r="C1610" t="s">
        <v>626</v>
      </c>
      <c r="E1610" t="s">
        <v>626</v>
      </c>
      <c r="L1610" t="s">
        <v>93</v>
      </c>
      <c r="M1610">
        <v>40</v>
      </c>
      <c r="N1610" t="s">
        <v>597</v>
      </c>
      <c r="Q1610">
        <v>1.6259999999999999</v>
      </c>
      <c r="R1610" t="s">
        <v>11</v>
      </c>
      <c r="T1610">
        <v>10</v>
      </c>
      <c r="V1610" t="s">
        <v>18</v>
      </c>
    </row>
    <row r="1611" spans="1:22" x14ac:dyDescent="0.25">
      <c r="A1611">
        <v>90</v>
      </c>
      <c r="B1611" t="s">
        <v>92</v>
      </c>
      <c r="C1611" t="s">
        <v>626</v>
      </c>
      <c r="E1611" t="s">
        <v>626</v>
      </c>
      <c r="L1611" t="s">
        <v>93</v>
      </c>
      <c r="M1611">
        <v>50</v>
      </c>
      <c r="N1611" t="s">
        <v>139</v>
      </c>
      <c r="Q1611">
        <v>1.6259999999999999</v>
      </c>
      <c r="R1611" t="s">
        <v>17</v>
      </c>
      <c r="T1611">
        <v>10</v>
      </c>
      <c r="V1611" t="s">
        <v>18</v>
      </c>
    </row>
    <row r="1612" spans="1:22" x14ac:dyDescent="0.25">
      <c r="A1612">
        <v>90</v>
      </c>
      <c r="B1612" t="s">
        <v>92</v>
      </c>
      <c r="C1612" t="s">
        <v>626</v>
      </c>
      <c r="E1612" t="s">
        <v>626</v>
      </c>
      <c r="L1612" t="s">
        <v>93</v>
      </c>
      <c r="M1612">
        <v>60</v>
      </c>
      <c r="N1612" t="s">
        <v>627</v>
      </c>
      <c r="Q1612">
        <v>1</v>
      </c>
      <c r="R1612" t="s">
        <v>11</v>
      </c>
      <c r="T1612">
        <v>10</v>
      </c>
      <c r="V1612" t="s">
        <v>18</v>
      </c>
    </row>
    <row r="1613" spans="1:22" x14ac:dyDescent="0.25">
      <c r="A1613">
        <v>90</v>
      </c>
      <c r="B1613" t="s">
        <v>92</v>
      </c>
      <c r="C1613" t="s">
        <v>626</v>
      </c>
      <c r="E1613" t="s">
        <v>626</v>
      </c>
      <c r="L1613" t="s">
        <v>93</v>
      </c>
      <c r="M1613">
        <v>70</v>
      </c>
      <c r="N1613" t="s">
        <v>599</v>
      </c>
      <c r="Q1613">
        <v>21.640999999999998</v>
      </c>
      <c r="R1613" t="s">
        <v>17</v>
      </c>
      <c r="T1613">
        <v>10</v>
      </c>
      <c r="V1613" t="s">
        <v>15</v>
      </c>
    </row>
    <row r="1614" spans="1:22" x14ac:dyDescent="0.25">
      <c r="A1614">
        <v>90</v>
      </c>
      <c r="B1614" t="s">
        <v>92</v>
      </c>
      <c r="C1614" t="s">
        <v>626</v>
      </c>
      <c r="E1614" t="s">
        <v>626</v>
      </c>
      <c r="L1614" t="s">
        <v>93</v>
      </c>
      <c r="M1614">
        <v>80</v>
      </c>
      <c r="N1614" t="s">
        <v>20</v>
      </c>
      <c r="Q1614">
        <v>177.45500000000001</v>
      </c>
      <c r="R1614" t="s">
        <v>17</v>
      </c>
      <c r="T1614">
        <v>10</v>
      </c>
      <c r="V1614" t="s">
        <v>15</v>
      </c>
    </row>
    <row r="1615" spans="1:22" x14ac:dyDescent="0.25">
      <c r="A1615">
        <v>90</v>
      </c>
      <c r="B1615" t="s">
        <v>92</v>
      </c>
      <c r="C1615" t="s">
        <v>626</v>
      </c>
      <c r="E1615" t="s">
        <v>626</v>
      </c>
      <c r="L1615" t="s">
        <v>93</v>
      </c>
      <c r="M1615">
        <v>90</v>
      </c>
      <c r="N1615" t="s">
        <v>24</v>
      </c>
      <c r="Q1615">
        <v>1</v>
      </c>
      <c r="R1615" t="s">
        <v>11</v>
      </c>
      <c r="T1615">
        <v>10</v>
      </c>
      <c r="V1615" t="s">
        <v>15</v>
      </c>
    </row>
    <row r="1616" spans="1:22" x14ac:dyDescent="0.25">
      <c r="A1616">
        <v>90</v>
      </c>
      <c r="B1616" t="s">
        <v>92</v>
      </c>
      <c r="C1616" t="s">
        <v>626</v>
      </c>
      <c r="E1616" t="s">
        <v>626</v>
      </c>
      <c r="L1616" t="s">
        <v>93</v>
      </c>
      <c r="M1616">
        <v>100</v>
      </c>
      <c r="N1616" t="s">
        <v>141</v>
      </c>
      <c r="Q1616">
        <v>0.13300000000000001</v>
      </c>
      <c r="R1616" t="s">
        <v>14</v>
      </c>
      <c r="T1616">
        <v>10</v>
      </c>
      <c r="V1616" t="s">
        <v>15</v>
      </c>
    </row>
    <row r="1617" spans="1:22" x14ac:dyDescent="0.25">
      <c r="A1617">
        <v>90</v>
      </c>
      <c r="B1617" t="s">
        <v>92</v>
      </c>
      <c r="C1617" t="s">
        <v>626</v>
      </c>
      <c r="E1617" t="s">
        <v>626</v>
      </c>
      <c r="L1617" t="s">
        <v>93</v>
      </c>
      <c r="M1617">
        <v>110</v>
      </c>
      <c r="N1617" t="s">
        <v>140</v>
      </c>
      <c r="Q1617">
        <v>4</v>
      </c>
      <c r="R1617" t="s">
        <v>11</v>
      </c>
      <c r="T1617">
        <v>10</v>
      </c>
      <c r="V1617" t="s">
        <v>15</v>
      </c>
    </row>
    <row r="1618" spans="1:22" x14ac:dyDescent="0.25">
      <c r="A1618">
        <v>90</v>
      </c>
      <c r="B1618" t="s">
        <v>92</v>
      </c>
      <c r="C1618" t="s">
        <v>626</v>
      </c>
      <c r="E1618" t="s">
        <v>626</v>
      </c>
      <c r="L1618" t="s">
        <v>93</v>
      </c>
      <c r="M1618">
        <v>120</v>
      </c>
      <c r="N1618" t="s">
        <v>25</v>
      </c>
      <c r="Q1618">
        <v>1</v>
      </c>
      <c r="R1618" t="s">
        <v>11</v>
      </c>
      <c r="T1618">
        <v>10</v>
      </c>
      <c r="V1618" t="s">
        <v>15</v>
      </c>
    </row>
    <row r="1619" spans="1:22" x14ac:dyDescent="0.25">
      <c r="A1619">
        <v>90</v>
      </c>
      <c r="B1619" t="s">
        <v>92</v>
      </c>
      <c r="C1619" t="s">
        <v>626</v>
      </c>
      <c r="E1619" t="s">
        <v>626</v>
      </c>
      <c r="L1619" t="s">
        <v>93</v>
      </c>
      <c r="M1619">
        <v>130</v>
      </c>
      <c r="N1619" t="s">
        <v>26</v>
      </c>
      <c r="Q1619">
        <v>1</v>
      </c>
      <c r="R1619" t="s">
        <v>11</v>
      </c>
      <c r="T1619">
        <v>10</v>
      </c>
      <c r="V1619" t="s">
        <v>15</v>
      </c>
    </row>
    <row r="1620" spans="1:22" x14ac:dyDescent="0.25">
      <c r="A1620">
        <v>90</v>
      </c>
      <c r="B1620" t="s">
        <v>92</v>
      </c>
      <c r="C1620" t="s">
        <v>626</v>
      </c>
      <c r="E1620" t="s">
        <v>626</v>
      </c>
      <c r="L1620" t="s">
        <v>93</v>
      </c>
      <c r="M1620">
        <v>140</v>
      </c>
      <c r="N1620" t="s">
        <v>100</v>
      </c>
      <c r="Q1620">
        <v>0.98599999999999999</v>
      </c>
      <c r="R1620" t="s">
        <v>14</v>
      </c>
      <c r="T1620">
        <v>10</v>
      </c>
      <c r="V1620" t="s">
        <v>15</v>
      </c>
    </row>
    <row r="1621" spans="1:22" x14ac:dyDescent="0.25">
      <c r="A1621">
        <v>90</v>
      </c>
      <c r="B1621" t="s">
        <v>92</v>
      </c>
      <c r="C1621" t="s">
        <v>626</v>
      </c>
      <c r="E1621" t="s">
        <v>626</v>
      </c>
      <c r="L1621" t="s">
        <v>93</v>
      </c>
      <c r="M1621">
        <v>150</v>
      </c>
      <c r="N1621" t="s">
        <v>233</v>
      </c>
      <c r="Q1621">
        <v>1</v>
      </c>
      <c r="R1621" t="s">
        <v>11</v>
      </c>
      <c r="T1621">
        <v>10</v>
      </c>
      <c r="V1621" t="s">
        <v>18</v>
      </c>
    </row>
    <row r="1622" spans="1:22" x14ac:dyDescent="0.25">
      <c r="A1622">
        <v>90</v>
      </c>
      <c r="B1622" t="s">
        <v>92</v>
      </c>
      <c r="C1622" t="s">
        <v>626</v>
      </c>
      <c r="E1622" t="s">
        <v>626</v>
      </c>
      <c r="L1622" t="s">
        <v>93</v>
      </c>
      <c r="M1622">
        <v>160</v>
      </c>
      <c r="N1622" t="s">
        <v>234</v>
      </c>
      <c r="Q1622">
        <v>1</v>
      </c>
      <c r="R1622" t="s">
        <v>11</v>
      </c>
      <c r="T1622">
        <v>10</v>
      </c>
      <c r="V1622" t="s">
        <v>18</v>
      </c>
    </row>
    <row r="1623" spans="1:22" x14ac:dyDescent="0.25">
      <c r="A1623">
        <v>90</v>
      </c>
      <c r="B1623" t="s">
        <v>92</v>
      </c>
      <c r="C1623" t="s">
        <v>626</v>
      </c>
      <c r="E1623" t="s">
        <v>626</v>
      </c>
      <c r="L1623" t="s">
        <v>93</v>
      </c>
      <c r="M1623">
        <v>170</v>
      </c>
      <c r="N1623" t="s">
        <v>142</v>
      </c>
      <c r="Q1623">
        <v>7.2140000000000004</v>
      </c>
      <c r="R1623" t="s">
        <v>11</v>
      </c>
      <c r="T1623">
        <v>10</v>
      </c>
      <c r="V1623" t="s">
        <v>15</v>
      </c>
    </row>
    <row r="1624" spans="1:22" x14ac:dyDescent="0.25">
      <c r="A1624">
        <v>90</v>
      </c>
      <c r="B1624" t="s">
        <v>92</v>
      </c>
      <c r="C1624" t="s">
        <v>626</v>
      </c>
      <c r="E1624" t="s">
        <v>626</v>
      </c>
      <c r="L1624" t="s">
        <v>93</v>
      </c>
      <c r="M1624">
        <v>180</v>
      </c>
      <c r="N1624" t="s">
        <v>235</v>
      </c>
      <c r="Q1624">
        <v>1</v>
      </c>
      <c r="R1624" t="s">
        <v>11</v>
      </c>
      <c r="T1624">
        <v>10</v>
      </c>
      <c r="V1624" t="s">
        <v>18</v>
      </c>
    </row>
    <row r="1625" spans="1:22" x14ac:dyDescent="0.25">
      <c r="A1625">
        <v>91</v>
      </c>
      <c r="B1625" t="s">
        <v>92</v>
      </c>
      <c r="C1625" t="s">
        <v>628</v>
      </c>
      <c r="E1625" t="s">
        <v>628</v>
      </c>
      <c r="L1625" t="s">
        <v>93</v>
      </c>
      <c r="M1625">
        <v>10</v>
      </c>
      <c r="N1625" t="s">
        <v>237</v>
      </c>
      <c r="Q1625">
        <v>1</v>
      </c>
      <c r="R1625" t="s">
        <v>11</v>
      </c>
      <c r="T1625">
        <v>10</v>
      </c>
      <c r="V1625" t="s">
        <v>18</v>
      </c>
    </row>
    <row r="1626" spans="1:22" x14ac:dyDescent="0.25">
      <c r="A1626">
        <v>91</v>
      </c>
      <c r="B1626" t="s">
        <v>92</v>
      </c>
      <c r="C1626" t="s">
        <v>628</v>
      </c>
      <c r="E1626" t="s">
        <v>628</v>
      </c>
      <c r="L1626" t="s">
        <v>93</v>
      </c>
      <c r="M1626">
        <v>20</v>
      </c>
      <c r="N1626" t="s">
        <v>125</v>
      </c>
      <c r="Q1626">
        <v>4.8109999999999999</v>
      </c>
      <c r="R1626" t="s">
        <v>14</v>
      </c>
      <c r="T1626">
        <v>10</v>
      </c>
      <c r="V1626" t="s">
        <v>15</v>
      </c>
    </row>
    <row r="1627" spans="1:22" x14ac:dyDescent="0.25">
      <c r="A1627">
        <v>91</v>
      </c>
      <c r="B1627" t="s">
        <v>92</v>
      </c>
      <c r="C1627" t="s">
        <v>628</v>
      </c>
      <c r="E1627" t="s">
        <v>628</v>
      </c>
      <c r="L1627" t="s">
        <v>93</v>
      </c>
      <c r="M1627">
        <v>30</v>
      </c>
      <c r="N1627" t="s">
        <v>102</v>
      </c>
      <c r="Q1627">
        <v>1.274</v>
      </c>
      <c r="R1627" t="s">
        <v>103</v>
      </c>
      <c r="T1627">
        <v>10</v>
      </c>
      <c r="V1627" t="s">
        <v>15</v>
      </c>
    </row>
    <row r="1628" spans="1:22" x14ac:dyDescent="0.25">
      <c r="A1628">
        <v>91</v>
      </c>
      <c r="B1628" t="s">
        <v>92</v>
      </c>
      <c r="C1628" t="s">
        <v>628</v>
      </c>
      <c r="E1628" t="s">
        <v>628</v>
      </c>
      <c r="L1628" t="s">
        <v>93</v>
      </c>
      <c r="M1628">
        <v>40</v>
      </c>
      <c r="N1628" t="s">
        <v>597</v>
      </c>
      <c r="Q1628">
        <v>1.778</v>
      </c>
      <c r="R1628" t="s">
        <v>11</v>
      </c>
      <c r="T1628">
        <v>10</v>
      </c>
      <c r="V1628" t="s">
        <v>18</v>
      </c>
    </row>
    <row r="1629" spans="1:22" x14ac:dyDescent="0.25">
      <c r="A1629">
        <v>91</v>
      </c>
      <c r="B1629" t="s">
        <v>92</v>
      </c>
      <c r="C1629" t="s">
        <v>628</v>
      </c>
      <c r="E1629" t="s">
        <v>628</v>
      </c>
      <c r="L1629" t="s">
        <v>93</v>
      </c>
      <c r="M1629">
        <v>50</v>
      </c>
      <c r="N1629" t="s">
        <v>139</v>
      </c>
      <c r="Q1629">
        <v>1.778</v>
      </c>
      <c r="R1629" t="s">
        <v>17</v>
      </c>
      <c r="T1629">
        <v>10</v>
      </c>
      <c r="V1629" t="s">
        <v>18</v>
      </c>
    </row>
    <row r="1630" spans="1:22" x14ac:dyDescent="0.25">
      <c r="A1630">
        <v>91</v>
      </c>
      <c r="B1630" t="s">
        <v>92</v>
      </c>
      <c r="C1630" t="s">
        <v>628</v>
      </c>
      <c r="E1630" t="s">
        <v>628</v>
      </c>
      <c r="L1630" t="s">
        <v>93</v>
      </c>
      <c r="M1630">
        <v>60</v>
      </c>
      <c r="N1630" t="s">
        <v>629</v>
      </c>
      <c r="Q1630">
        <v>1</v>
      </c>
      <c r="R1630" t="s">
        <v>11</v>
      </c>
      <c r="T1630">
        <v>10</v>
      </c>
      <c r="V1630" t="s">
        <v>18</v>
      </c>
    </row>
    <row r="1631" spans="1:22" x14ac:dyDescent="0.25">
      <c r="A1631">
        <v>91</v>
      </c>
      <c r="B1631" t="s">
        <v>92</v>
      </c>
      <c r="C1631" t="s">
        <v>628</v>
      </c>
      <c r="E1631" t="s">
        <v>628</v>
      </c>
      <c r="L1631" t="s">
        <v>93</v>
      </c>
      <c r="M1631">
        <v>70</v>
      </c>
      <c r="N1631" t="s">
        <v>599</v>
      </c>
      <c r="Q1631">
        <v>22.555</v>
      </c>
      <c r="R1631" t="s">
        <v>17</v>
      </c>
      <c r="T1631">
        <v>10</v>
      </c>
      <c r="V1631" t="s">
        <v>15</v>
      </c>
    </row>
    <row r="1632" spans="1:22" x14ac:dyDescent="0.25">
      <c r="A1632">
        <v>91</v>
      </c>
      <c r="B1632" t="s">
        <v>92</v>
      </c>
      <c r="C1632" t="s">
        <v>628</v>
      </c>
      <c r="E1632" t="s">
        <v>628</v>
      </c>
      <c r="L1632" t="s">
        <v>93</v>
      </c>
      <c r="M1632">
        <v>80</v>
      </c>
      <c r="N1632" t="s">
        <v>20</v>
      </c>
      <c r="Q1632">
        <v>184.953</v>
      </c>
      <c r="R1632" t="s">
        <v>17</v>
      </c>
      <c r="T1632">
        <v>10</v>
      </c>
      <c r="V1632" t="s">
        <v>15</v>
      </c>
    </row>
    <row r="1633" spans="1:22" x14ac:dyDescent="0.25">
      <c r="A1633">
        <v>91</v>
      </c>
      <c r="B1633" t="s">
        <v>92</v>
      </c>
      <c r="C1633" t="s">
        <v>628</v>
      </c>
      <c r="E1633" t="s">
        <v>628</v>
      </c>
      <c r="L1633" t="s">
        <v>93</v>
      </c>
      <c r="M1633">
        <v>90</v>
      </c>
      <c r="N1633" t="s">
        <v>24</v>
      </c>
      <c r="Q1633">
        <v>1</v>
      </c>
      <c r="R1633" t="s">
        <v>11</v>
      </c>
      <c r="T1633">
        <v>10</v>
      </c>
      <c r="V1633" t="s">
        <v>15</v>
      </c>
    </row>
    <row r="1634" spans="1:22" x14ac:dyDescent="0.25">
      <c r="A1634">
        <v>91</v>
      </c>
      <c r="B1634" t="s">
        <v>92</v>
      </c>
      <c r="C1634" t="s">
        <v>628</v>
      </c>
      <c r="E1634" t="s">
        <v>628</v>
      </c>
      <c r="L1634" t="s">
        <v>93</v>
      </c>
      <c r="M1634">
        <v>100</v>
      </c>
      <c r="N1634" t="s">
        <v>141</v>
      </c>
      <c r="Q1634">
        <v>0.14299999999999999</v>
      </c>
      <c r="R1634" t="s">
        <v>14</v>
      </c>
      <c r="T1634">
        <v>10</v>
      </c>
      <c r="V1634" t="s">
        <v>15</v>
      </c>
    </row>
    <row r="1635" spans="1:22" x14ac:dyDescent="0.25">
      <c r="A1635">
        <v>91</v>
      </c>
      <c r="B1635" t="s">
        <v>92</v>
      </c>
      <c r="C1635" t="s">
        <v>628</v>
      </c>
      <c r="E1635" t="s">
        <v>628</v>
      </c>
      <c r="L1635" t="s">
        <v>93</v>
      </c>
      <c r="M1635">
        <v>110</v>
      </c>
      <c r="N1635" t="s">
        <v>140</v>
      </c>
      <c r="Q1635">
        <v>4</v>
      </c>
      <c r="R1635" t="s">
        <v>11</v>
      </c>
      <c r="T1635">
        <v>10</v>
      </c>
      <c r="V1635" t="s">
        <v>15</v>
      </c>
    </row>
    <row r="1636" spans="1:22" x14ac:dyDescent="0.25">
      <c r="A1636">
        <v>91</v>
      </c>
      <c r="B1636" t="s">
        <v>92</v>
      </c>
      <c r="C1636" t="s">
        <v>628</v>
      </c>
      <c r="E1636" t="s">
        <v>628</v>
      </c>
      <c r="L1636" t="s">
        <v>93</v>
      </c>
      <c r="M1636">
        <v>120</v>
      </c>
      <c r="N1636" t="s">
        <v>25</v>
      </c>
      <c r="Q1636">
        <v>1</v>
      </c>
      <c r="R1636" t="s">
        <v>11</v>
      </c>
      <c r="T1636">
        <v>10</v>
      </c>
      <c r="V1636" t="s">
        <v>15</v>
      </c>
    </row>
    <row r="1637" spans="1:22" x14ac:dyDescent="0.25">
      <c r="A1637">
        <v>91</v>
      </c>
      <c r="B1637" t="s">
        <v>92</v>
      </c>
      <c r="C1637" t="s">
        <v>628</v>
      </c>
      <c r="E1637" t="s">
        <v>628</v>
      </c>
      <c r="L1637" t="s">
        <v>93</v>
      </c>
      <c r="M1637">
        <v>130</v>
      </c>
      <c r="N1637" t="s">
        <v>26</v>
      </c>
      <c r="Q1637">
        <v>1</v>
      </c>
      <c r="R1637" t="s">
        <v>11</v>
      </c>
      <c r="T1637">
        <v>10</v>
      </c>
      <c r="V1637" t="s">
        <v>15</v>
      </c>
    </row>
    <row r="1638" spans="1:22" x14ac:dyDescent="0.25">
      <c r="A1638">
        <v>91</v>
      </c>
      <c r="B1638" t="s">
        <v>92</v>
      </c>
      <c r="C1638" t="s">
        <v>628</v>
      </c>
      <c r="E1638" t="s">
        <v>628</v>
      </c>
      <c r="L1638" t="s">
        <v>93</v>
      </c>
      <c r="M1638">
        <v>140</v>
      </c>
      <c r="N1638" t="s">
        <v>100</v>
      </c>
      <c r="Q1638">
        <v>1.0669999999999999</v>
      </c>
      <c r="R1638" t="s">
        <v>14</v>
      </c>
      <c r="T1638">
        <v>10</v>
      </c>
      <c r="V1638" t="s">
        <v>15</v>
      </c>
    </row>
    <row r="1639" spans="1:22" x14ac:dyDescent="0.25">
      <c r="A1639">
        <v>91</v>
      </c>
      <c r="B1639" t="s">
        <v>92</v>
      </c>
      <c r="C1639" t="s">
        <v>628</v>
      </c>
      <c r="E1639" t="s">
        <v>628</v>
      </c>
      <c r="L1639" t="s">
        <v>93</v>
      </c>
      <c r="M1639">
        <v>150</v>
      </c>
      <c r="N1639" t="s">
        <v>239</v>
      </c>
      <c r="Q1639">
        <v>1</v>
      </c>
      <c r="R1639" t="s">
        <v>11</v>
      </c>
      <c r="T1639">
        <v>10</v>
      </c>
      <c r="V1639" t="s">
        <v>18</v>
      </c>
    </row>
    <row r="1640" spans="1:22" x14ac:dyDescent="0.25">
      <c r="A1640">
        <v>91</v>
      </c>
      <c r="B1640" t="s">
        <v>92</v>
      </c>
      <c r="C1640" t="s">
        <v>628</v>
      </c>
      <c r="E1640" t="s">
        <v>628</v>
      </c>
      <c r="L1640" t="s">
        <v>93</v>
      </c>
      <c r="M1640">
        <v>160</v>
      </c>
      <c r="N1640" t="s">
        <v>240</v>
      </c>
      <c r="Q1640">
        <v>1</v>
      </c>
      <c r="R1640" t="s">
        <v>11</v>
      </c>
      <c r="T1640">
        <v>10</v>
      </c>
      <c r="V1640" t="s">
        <v>18</v>
      </c>
    </row>
    <row r="1641" spans="1:22" x14ac:dyDescent="0.25">
      <c r="A1641">
        <v>91</v>
      </c>
      <c r="B1641" t="s">
        <v>92</v>
      </c>
      <c r="C1641" t="s">
        <v>628</v>
      </c>
      <c r="E1641" t="s">
        <v>628</v>
      </c>
      <c r="L1641" t="s">
        <v>93</v>
      </c>
      <c r="M1641">
        <v>170</v>
      </c>
      <c r="N1641" t="s">
        <v>142</v>
      </c>
      <c r="Q1641">
        <v>7.5179999999999998</v>
      </c>
      <c r="R1641" t="s">
        <v>11</v>
      </c>
      <c r="T1641">
        <v>10</v>
      </c>
      <c r="V1641" t="s">
        <v>15</v>
      </c>
    </row>
    <row r="1642" spans="1:22" x14ac:dyDescent="0.25">
      <c r="A1642">
        <v>91</v>
      </c>
      <c r="B1642" t="s">
        <v>92</v>
      </c>
      <c r="C1642" t="s">
        <v>628</v>
      </c>
      <c r="E1642" t="s">
        <v>628</v>
      </c>
      <c r="L1642" t="s">
        <v>93</v>
      </c>
      <c r="M1642">
        <v>180</v>
      </c>
      <c r="N1642" t="s">
        <v>241</v>
      </c>
      <c r="Q1642">
        <v>1</v>
      </c>
      <c r="R1642" t="s">
        <v>11</v>
      </c>
      <c r="T1642">
        <v>10</v>
      </c>
      <c r="V1642" t="s">
        <v>18</v>
      </c>
    </row>
    <row r="1643" spans="1:22" x14ac:dyDescent="0.25">
      <c r="A1643">
        <v>92</v>
      </c>
      <c r="B1643" t="s">
        <v>92</v>
      </c>
      <c r="C1643" t="s">
        <v>630</v>
      </c>
      <c r="E1643" t="s">
        <v>630</v>
      </c>
      <c r="L1643" t="s">
        <v>93</v>
      </c>
      <c r="M1643">
        <v>10</v>
      </c>
      <c r="N1643" t="s">
        <v>243</v>
      </c>
      <c r="Q1643">
        <v>1</v>
      </c>
      <c r="R1643" t="s">
        <v>11</v>
      </c>
      <c r="T1643">
        <v>10</v>
      </c>
      <c r="V1643" t="s">
        <v>18</v>
      </c>
    </row>
    <row r="1644" spans="1:22" x14ac:dyDescent="0.25">
      <c r="A1644">
        <v>92</v>
      </c>
      <c r="B1644" t="s">
        <v>92</v>
      </c>
      <c r="C1644" t="s">
        <v>630</v>
      </c>
      <c r="E1644" t="s">
        <v>630</v>
      </c>
      <c r="L1644" t="s">
        <v>93</v>
      </c>
      <c r="M1644">
        <v>20</v>
      </c>
      <c r="N1644" t="s">
        <v>126</v>
      </c>
      <c r="Q1644">
        <v>2.4849999999999999</v>
      </c>
      <c r="R1644" t="s">
        <v>14</v>
      </c>
      <c r="T1644">
        <v>10</v>
      </c>
      <c r="V1644" t="s">
        <v>15</v>
      </c>
    </row>
    <row r="1645" spans="1:22" x14ac:dyDescent="0.25">
      <c r="A1645">
        <v>92</v>
      </c>
      <c r="B1645" t="s">
        <v>92</v>
      </c>
      <c r="C1645" t="s">
        <v>630</v>
      </c>
      <c r="E1645" t="s">
        <v>630</v>
      </c>
      <c r="L1645" t="s">
        <v>93</v>
      </c>
      <c r="M1645">
        <v>30</v>
      </c>
      <c r="N1645" t="s">
        <v>102</v>
      </c>
      <c r="Q1645">
        <v>0.624</v>
      </c>
      <c r="R1645" t="s">
        <v>103</v>
      </c>
      <c r="T1645">
        <v>10</v>
      </c>
      <c r="V1645" t="s">
        <v>15</v>
      </c>
    </row>
    <row r="1646" spans="1:22" x14ac:dyDescent="0.25">
      <c r="A1646">
        <v>92</v>
      </c>
      <c r="B1646" t="s">
        <v>92</v>
      </c>
      <c r="C1646" t="s">
        <v>630</v>
      </c>
      <c r="E1646" t="s">
        <v>630</v>
      </c>
      <c r="L1646" t="s">
        <v>93</v>
      </c>
      <c r="M1646">
        <v>40</v>
      </c>
      <c r="N1646" t="s">
        <v>597</v>
      </c>
      <c r="Q1646">
        <v>0.86399999999999999</v>
      </c>
      <c r="R1646" t="s">
        <v>11</v>
      </c>
      <c r="T1646">
        <v>10</v>
      </c>
      <c r="V1646" t="s">
        <v>18</v>
      </c>
    </row>
    <row r="1647" spans="1:22" x14ac:dyDescent="0.25">
      <c r="A1647">
        <v>92</v>
      </c>
      <c r="B1647" t="s">
        <v>92</v>
      </c>
      <c r="C1647" t="s">
        <v>630</v>
      </c>
      <c r="E1647" t="s">
        <v>630</v>
      </c>
      <c r="L1647" t="s">
        <v>93</v>
      </c>
      <c r="M1647">
        <v>50</v>
      </c>
      <c r="N1647" t="s">
        <v>139</v>
      </c>
      <c r="Q1647">
        <v>0.86399999999999999</v>
      </c>
      <c r="R1647" t="s">
        <v>17</v>
      </c>
      <c r="T1647">
        <v>10</v>
      </c>
      <c r="V1647" t="s">
        <v>18</v>
      </c>
    </row>
    <row r="1648" spans="1:22" x14ac:dyDescent="0.25">
      <c r="A1648">
        <v>92</v>
      </c>
      <c r="B1648" t="s">
        <v>92</v>
      </c>
      <c r="C1648" t="s">
        <v>630</v>
      </c>
      <c r="E1648" t="s">
        <v>630</v>
      </c>
      <c r="L1648" t="s">
        <v>93</v>
      </c>
      <c r="M1648">
        <v>60</v>
      </c>
      <c r="N1648" t="s">
        <v>631</v>
      </c>
      <c r="Q1648">
        <v>1</v>
      </c>
      <c r="R1648" t="s">
        <v>11</v>
      </c>
      <c r="T1648">
        <v>10</v>
      </c>
      <c r="V1648" t="s">
        <v>18</v>
      </c>
    </row>
    <row r="1649" spans="1:22" x14ac:dyDescent="0.25">
      <c r="A1649">
        <v>92</v>
      </c>
      <c r="B1649" t="s">
        <v>92</v>
      </c>
      <c r="C1649" t="s">
        <v>630</v>
      </c>
      <c r="E1649" t="s">
        <v>630</v>
      </c>
      <c r="L1649" t="s">
        <v>93</v>
      </c>
      <c r="M1649">
        <v>70</v>
      </c>
      <c r="N1649" t="s">
        <v>599</v>
      </c>
      <c r="Q1649">
        <v>17.526</v>
      </c>
      <c r="R1649" t="s">
        <v>17</v>
      </c>
      <c r="T1649">
        <v>10</v>
      </c>
      <c r="V1649" t="s">
        <v>15</v>
      </c>
    </row>
    <row r="1650" spans="1:22" x14ac:dyDescent="0.25">
      <c r="A1650">
        <v>92</v>
      </c>
      <c r="B1650" t="s">
        <v>92</v>
      </c>
      <c r="C1650" t="s">
        <v>630</v>
      </c>
      <c r="E1650" t="s">
        <v>630</v>
      </c>
      <c r="L1650" t="s">
        <v>93</v>
      </c>
      <c r="M1650">
        <v>80</v>
      </c>
      <c r="N1650" t="s">
        <v>20</v>
      </c>
      <c r="Q1650">
        <v>143.71299999999999</v>
      </c>
      <c r="R1650" t="s">
        <v>17</v>
      </c>
      <c r="T1650">
        <v>10</v>
      </c>
      <c r="V1650" t="s">
        <v>15</v>
      </c>
    </row>
    <row r="1651" spans="1:22" x14ac:dyDescent="0.25">
      <c r="A1651">
        <v>92</v>
      </c>
      <c r="B1651" t="s">
        <v>92</v>
      </c>
      <c r="C1651" t="s">
        <v>630</v>
      </c>
      <c r="E1651" t="s">
        <v>630</v>
      </c>
      <c r="L1651" t="s">
        <v>93</v>
      </c>
      <c r="M1651">
        <v>90</v>
      </c>
      <c r="N1651" t="s">
        <v>24</v>
      </c>
      <c r="Q1651">
        <v>1</v>
      </c>
      <c r="R1651" t="s">
        <v>11</v>
      </c>
      <c r="T1651">
        <v>10</v>
      </c>
      <c r="V1651" t="s">
        <v>15</v>
      </c>
    </row>
    <row r="1652" spans="1:22" x14ac:dyDescent="0.25">
      <c r="A1652">
        <v>92</v>
      </c>
      <c r="B1652" t="s">
        <v>92</v>
      </c>
      <c r="C1652" t="s">
        <v>630</v>
      </c>
      <c r="E1652" t="s">
        <v>630</v>
      </c>
      <c r="L1652" t="s">
        <v>93</v>
      </c>
      <c r="M1652">
        <v>100</v>
      </c>
      <c r="N1652" t="s">
        <v>141</v>
      </c>
      <c r="Q1652">
        <v>8.1000000000000003E-2</v>
      </c>
      <c r="R1652" t="s">
        <v>14</v>
      </c>
      <c r="T1652">
        <v>10</v>
      </c>
      <c r="V1652" t="s">
        <v>15</v>
      </c>
    </row>
    <row r="1653" spans="1:22" x14ac:dyDescent="0.25">
      <c r="A1653">
        <v>92</v>
      </c>
      <c r="B1653" t="s">
        <v>92</v>
      </c>
      <c r="C1653" t="s">
        <v>630</v>
      </c>
      <c r="E1653" t="s">
        <v>630</v>
      </c>
      <c r="L1653" t="s">
        <v>93</v>
      </c>
      <c r="M1653">
        <v>110</v>
      </c>
      <c r="N1653" t="s">
        <v>140</v>
      </c>
      <c r="Q1653">
        <v>4</v>
      </c>
      <c r="R1653" t="s">
        <v>11</v>
      </c>
      <c r="T1653">
        <v>10</v>
      </c>
      <c r="V1653" t="s">
        <v>15</v>
      </c>
    </row>
    <row r="1654" spans="1:22" x14ac:dyDescent="0.25">
      <c r="A1654">
        <v>92</v>
      </c>
      <c r="B1654" t="s">
        <v>92</v>
      </c>
      <c r="C1654" t="s">
        <v>630</v>
      </c>
      <c r="E1654" t="s">
        <v>630</v>
      </c>
      <c r="L1654" t="s">
        <v>93</v>
      </c>
      <c r="M1654">
        <v>120</v>
      </c>
      <c r="N1654" t="s">
        <v>25</v>
      </c>
      <c r="Q1654">
        <v>1</v>
      </c>
      <c r="R1654" t="s">
        <v>11</v>
      </c>
      <c r="T1654">
        <v>10</v>
      </c>
      <c r="V1654" t="s">
        <v>15</v>
      </c>
    </row>
    <row r="1655" spans="1:22" x14ac:dyDescent="0.25">
      <c r="A1655">
        <v>92</v>
      </c>
      <c r="B1655" t="s">
        <v>92</v>
      </c>
      <c r="C1655" t="s">
        <v>630</v>
      </c>
      <c r="E1655" t="s">
        <v>630</v>
      </c>
      <c r="L1655" t="s">
        <v>93</v>
      </c>
      <c r="M1655">
        <v>130</v>
      </c>
      <c r="N1655" t="s">
        <v>26</v>
      </c>
      <c r="Q1655">
        <v>1</v>
      </c>
      <c r="R1655" t="s">
        <v>11</v>
      </c>
      <c r="T1655">
        <v>10</v>
      </c>
      <c r="V1655" t="s">
        <v>15</v>
      </c>
    </row>
    <row r="1656" spans="1:22" x14ac:dyDescent="0.25">
      <c r="A1656">
        <v>92</v>
      </c>
      <c r="B1656" t="s">
        <v>92</v>
      </c>
      <c r="C1656" t="s">
        <v>630</v>
      </c>
      <c r="E1656" t="s">
        <v>630</v>
      </c>
      <c r="L1656" t="s">
        <v>93</v>
      </c>
      <c r="M1656">
        <v>140</v>
      </c>
      <c r="N1656" t="s">
        <v>100</v>
      </c>
      <c r="Q1656">
        <v>1.1890000000000001</v>
      </c>
      <c r="R1656" t="s">
        <v>14</v>
      </c>
      <c r="T1656">
        <v>10</v>
      </c>
      <c r="V1656" t="s">
        <v>15</v>
      </c>
    </row>
    <row r="1657" spans="1:22" x14ac:dyDescent="0.25">
      <c r="A1657">
        <v>92</v>
      </c>
      <c r="B1657" t="s">
        <v>92</v>
      </c>
      <c r="C1657" t="s">
        <v>630</v>
      </c>
      <c r="E1657" t="s">
        <v>630</v>
      </c>
      <c r="L1657" t="s">
        <v>93</v>
      </c>
      <c r="M1657">
        <v>150</v>
      </c>
      <c r="N1657" t="s">
        <v>245</v>
      </c>
      <c r="Q1657">
        <v>1</v>
      </c>
      <c r="R1657" t="s">
        <v>11</v>
      </c>
      <c r="T1657">
        <v>10</v>
      </c>
      <c r="V1657" t="s">
        <v>18</v>
      </c>
    </row>
    <row r="1658" spans="1:22" x14ac:dyDescent="0.25">
      <c r="A1658">
        <v>92</v>
      </c>
      <c r="B1658" t="s">
        <v>92</v>
      </c>
      <c r="C1658" t="s">
        <v>630</v>
      </c>
      <c r="E1658" t="s">
        <v>630</v>
      </c>
      <c r="L1658" t="s">
        <v>93</v>
      </c>
      <c r="M1658">
        <v>160</v>
      </c>
      <c r="N1658" t="s">
        <v>246</v>
      </c>
      <c r="Q1658">
        <v>1</v>
      </c>
      <c r="R1658" t="s">
        <v>11</v>
      </c>
      <c r="T1658">
        <v>10</v>
      </c>
      <c r="V1658" t="s">
        <v>18</v>
      </c>
    </row>
    <row r="1659" spans="1:22" x14ac:dyDescent="0.25">
      <c r="A1659">
        <v>92</v>
      </c>
      <c r="B1659" t="s">
        <v>92</v>
      </c>
      <c r="C1659" t="s">
        <v>630</v>
      </c>
      <c r="E1659" t="s">
        <v>630</v>
      </c>
      <c r="L1659" t="s">
        <v>93</v>
      </c>
      <c r="M1659">
        <v>170</v>
      </c>
      <c r="N1659" t="s">
        <v>142</v>
      </c>
      <c r="Q1659">
        <v>5.8419999999999996</v>
      </c>
      <c r="R1659" t="s">
        <v>11</v>
      </c>
      <c r="T1659">
        <v>10</v>
      </c>
      <c r="V1659" t="s">
        <v>15</v>
      </c>
    </row>
    <row r="1660" spans="1:22" x14ac:dyDescent="0.25">
      <c r="A1660">
        <v>92</v>
      </c>
      <c r="B1660" t="s">
        <v>92</v>
      </c>
      <c r="C1660" t="s">
        <v>630</v>
      </c>
      <c r="E1660" t="s">
        <v>630</v>
      </c>
      <c r="L1660" t="s">
        <v>93</v>
      </c>
      <c r="M1660">
        <v>180</v>
      </c>
      <c r="N1660" t="s">
        <v>247</v>
      </c>
      <c r="Q1660">
        <v>1</v>
      </c>
      <c r="R1660" t="s">
        <v>11</v>
      </c>
      <c r="T1660">
        <v>10</v>
      </c>
      <c r="V1660" t="s">
        <v>18</v>
      </c>
    </row>
    <row r="1661" spans="1:22" x14ac:dyDescent="0.25">
      <c r="A1661">
        <v>93</v>
      </c>
      <c r="B1661" t="s">
        <v>92</v>
      </c>
      <c r="C1661" t="s">
        <v>632</v>
      </c>
      <c r="E1661" t="s">
        <v>632</v>
      </c>
      <c r="L1661" t="s">
        <v>93</v>
      </c>
      <c r="M1661">
        <v>10</v>
      </c>
      <c r="N1661" t="s">
        <v>249</v>
      </c>
      <c r="Q1661">
        <v>1</v>
      </c>
      <c r="R1661" t="s">
        <v>11</v>
      </c>
      <c r="T1661">
        <v>10</v>
      </c>
      <c r="V1661" t="s">
        <v>18</v>
      </c>
    </row>
    <row r="1662" spans="1:22" x14ac:dyDescent="0.25">
      <c r="A1662">
        <v>93</v>
      </c>
      <c r="B1662" t="s">
        <v>92</v>
      </c>
      <c r="C1662" t="s">
        <v>632</v>
      </c>
      <c r="E1662" t="s">
        <v>632</v>
      </c>
      <c r="L1662" t="s">
        <v>93</v>
      </c>
      <c r="M1662">
        <v>20</v>
      </c>
      <c r="N1662" t="s">
        <v>127</v>
      </c>
      <c r="Q1662">
        <v>2.9049999999999998</v>
      </c>
      <c r="R1662" t="s">
        <v>14</v>
      </c>
      <c r="T1662">
        <v>10</v>
      </c>
      <c r="V1662" t="s">
        <v>15</v>
      </c>
    </row>
    <row r="1663" spans="1:22" x14ac:dyDescent="0.25">
      <c r="A1663">
        <v>93</v>
      </c>
      <c r="B1663" t="s">
        <v>92</v>
      </c>
      <c r="C1663" t="s">
        <v>632</v>
      </c>
      <c r="E1663" t="s">
        <v>632</v>
      </c>
      <c r="L1663" t="s">
        <v>93</v>
      </c>
      <c r="M1663">
        <v>30</v>
      </c>
      <c r="N1663" t="s">
        <v>102</v>
      </c>
      <c r="Q1663">
        <v>0.74099999999999999</v>
      </c>
      <c r="R1663" t="s">
        <v>103</v>
      </c>
      <c r="T1663">
        <v>10</v>
      </c>
      <c r="V1663" t="s">
        <v>15</v>
      </c>
    </row>
    <row r="1664" spans="1:22" x14ac:dyDescent="0.25">
      <c r="A1664">
        <v>93</v>
      </c>
      <c r="B1664" t="s">
        <v>92</v>
      </c>
      <c r="C1664" t="s">
        <v>632</v>
      </c>
      <c r="E1664" t="s">
        <v>632</v>
      </c>
      <c r="L1664" t="s">
        <v>93</v>
      </c>
      <c r="M1664">
        <v>40</v>
      </c>
      <c r="N1664" t="s">
        <v>597</v>
      </c>
      <c r="Q1664">
        <v>1.016</v>
      </c>
      <c r="R1664" t="s">
        <v>11</v>
      </c>
      <c r="T1664">
        <v>10</v>
      </c>
      <c r="V1664" t="s">
        <v>18</v>
      </c>
    </row>
    <row r="1665" spans="1:22" x14ac:dyDescent="0.25">
      <c r="A1665">
        <v>93</v>
      </c>
      <c r="B1665" t="s">
        <v>92</v>
      </c>
      <c r="C1665" t="s">
        <v>632</v>
      </c>
      <c r="E1665" t="s">
        <v>632</v>
      </c>
      <c r="L1665" t="s">
        <v>93</v>
      </c>
      <c r="M1665">
        <v>50</v>
      </c>
      <c r="N1665" t="s">
        <v>139</v>
      </c>
      <c r="Q1665">
        <v>1.016</v>
      </c>
      <c r="R1665" t="s">
        <v>17</v>
      </c>
      <c r="T1665">
        <v>10</v>
      </c>
      <c r="V1665" t="s">
        <v>18</v>
      </c>
    </row>
    <row r="1666" spans="1:22" x14ac:dyDescent="0.25">
      <c r="A1666">
        <v>93</v>
      </c>
      <c r="B1666" t="s">
        <v>92</v>
      </c>
      <c r="C1666" t="s">
        <v>632</v>
      </c>
      <c r="E1666" t="s">
        <v>632</v>
      </c>
      <c r="L1666" t="s">
        <v>93</v>
      </c>
      <c r="M1666">
        <v>60</v>
      </c>
      <c r="N1666" t="s">
        <v>633</v>
      </c>
      <c r="Q1666">
        <v>1</v>
      </c>
      <c r="R1666" t="s">
        <v>11</v>
      </c>
      <c r="T1666">
        <v>10</v>
      </c>
      <c r="V1666" t="s">
        <v>18</v>
      </c>
    </row>
    <row r="1667" spans="1:22" x14ac:dyDescent="0.25">
      <c r="A1667">
        <v>93</v>
      </c>
      <c r="B1667" t="s">
        <v>92</v>
      </c>
      <c r="C1667" t="s">
        <v>632</v>
      </c>
      <c r="E1667" t="s">
        <v>632</v>
      </c>
      <c r="L1667" t="s">
        <v>93</v>
      </c>
      <c r="M1667">
        <v>70</v>
      </c>
      <c r="N1667" t="s">
        <v>599</v>
      </c>
      <c r="Q1667">
        <v>18.440000000000001</v>
      </c>
      <c r="R1667" t="s">
        <v>17</v>
      </c>
      <c r="T1667">
        <v>10</v>
      </c>
      <c r="V1667" t="s">
        <v>15</v>
      </c>
    </row>
    <row r="1668" spans="1:22" x14ac:dyDescent="0.25">
      <c r="A1668">
        <v>93</v>
      </c>
      <c r="B1668" t="s">
        <v>92</v>
      </c>
      <c r="C1668" t="s">
        <v>632</v>
      </c>
      <c r="E1668" t="s">
        <v>632</v>
      </c>
      <c r="L1668" t="s">
        <v>93</v>
      </c>
      <c r="M1668">
        <v>80</v>
      </c>
      <c r="N1668" t="s">
        <v>20</v>
      </c>
      <c r="Q1668">
        <v>151.21100000000001</v>
      </c>
      <c r="R1668" t="s">
        <v>17</v>
      </c>
      <c r="T1668">
        <v>10</v>
      </c>
      <c r="V1668" t="s">
        <v>15</v>
      </c>
    </row>
    <row r="1669" spans="1:22" x14ac:dyDescent="0.25">
      <c r="A1669">
        <v>93</v>
      </c>
      <c r="B1669" t="s">
        <v>92</v>
      </c>
      <c r="C1669" t="s">
        <v>632</v>
      </c>
      <c r="E1669" t="s">
        <v>632</v>
      </c>
      <c r="L1669" t="s">
        <v>93</v>
      </c>
      <c r="M1669">
        <v>90</v>
      </c>
      <c r="N1669" t="s">
        <v>24</v>
      </c>
      <c r="Q1669">
        <v>1</v>
      </c>
      <c r="R1669" t="s">
        <v>11</v>
      </c>
      <c r="T1669">
        <v>10</v>
      </c>
      <c r="V1669" t="s">
        <v>15</v>
      </c>
    </row>
    <row r="1670" spans="1:22" x14ac:dyDescent="0.25">
      <c r="A1670">
        <v>93</v>
      </c>
      <c r="B1670" t="s">
        <v>92</v>
      </c>
      <c r="C1670" t="s">
        <v>632</v>
      </c>
      <c r="E1670" t="s">
        <v>632</v>
      </c>
      <c r="L1670" t="s">
        <v>93</v>
      </c>
      <c r="M1670">
        <v>100</v>
      </c>
      <c r="N1670" t="s">
        <v>141</v>
      </c>
      <c r="Q1670">
        <v>9.1999999999999998E-2</v>
      </c>
      <c r="R1670" t="s">
        <v>14</v>
      </c>
      <c r="T1670">
        <v>10</v>
      </c>
      <c r="V1670" t="s">
        <v>15</v>
      </c>
    </row>
    <row r="1671" spans="1:22" x14ac:dyDescent="0.25">
      <c r="A1671">
        <v>93</v>
      </c>
      <c r="B1671" t="s">
        <v>92</v>
      </c>
      <c r="C1671" t="s">
        <v>632</v>
      </c>
      <c r="E1671" t="s">
        <v>632</v>
      </c>
      <c r="L1671" t="s">
        <v>93</v>
      </c>
      <c r="M1671">
        <v>110</v>
      </c>
      <c r="N1671" t="s">
        <v>140</v>
      </c>
      <c r="Q1671">
        <v>4</v>
      </c>
      <c r="R1671" t="s">
        <v>11</v>
      </c>
      <c r="T1671">
        <v>10</v>
      </c>
      <c r="V1671" t="s">
        <v>15</v>
      </c>
    </row>
    <row r="1672" spans="1:22" x14ac:dyDescent="0.25">
      <c r="A1672">
        <v>93</v>
      </c>
      <c r="B1672" t="s">
        <v>92</v>
      </c>
      <c r="C1672" t="s">
        <v>632</v>
      </c>
      <c r="E1672" t="s">
        <v>632</v>
      </c>
      <c r="L1672" t="s">
        <v>93</v>
      </c>
      <c r="M1672">
        <v>120</v>
      </c>
      <c r="N1672" t="s">
        <v>25</v>
      </c>
      <c r="Q1672">
        <v>1</v>
      </c>
      <c r="R1672" t="s">
        <v>11</v>
      </c>
      <c r="T1672">
        <v>10</v>
      </c>
      <c r="V1672" t="s">
        <v>15</v>
      </c>
    </row>
    <row r="1673" spans="1:22" x14ac:dyDescent="0.25">
      <c r="A1673">
        <v>93</v>
      </c>
      <c r="B1673" t="s">
        <v>92</v>
      </c>
      <c r="C1673" t="s">
        <v>632</v>
      </c>
      <c r="E1673" t="s">
        <v>632</v>
      </c>
      <c r="L1673" t="s">
        <v>93</v>
      </c>
      <c r="M1673">
        <v>130</v>
      </c>
      <c r="N1673" t="s">
        <v>26</v>
      </c>
      <c r="Q1673">
        <v>1</v>
      </c>
      <c r="R1673" t="s">
        <v>11</v>
      </c>
      <c r="T1673">
        <v>10</v>
      </c>
      <c r="V1673" t="s">
        <v>15</v>
      </c>
    </row>
    <row r="1674" spans="1:22" x14ac:dyDescent="0.25">
      <c r="A1674">
        <v>93</v>
      </c>
      <c r="B1674" t="s">
        <v>92</v>
      </c>
      <c r="C1674" t="s">
        <v>632</v>
      </c>
      <c r="E1674" t="s">
        <v>632</v>
      </c>
      <c r="L1674" t="s">
        <v>93</v>
      </c>
      <c r="M1674">
        <v>140</v>
      </c>
      <c r="N1674" t="s">
        <v>100</v>
      </c>
      <c r="Q1674">
        <v>1.1890000000000001</v>
      </c>
      <c r="R1674" t="s">
        <v>14</v>
      </c>
      <c r="T1674">
        <v>10</v>
      </c>
      <c r="V1674" t="s">
        <v>15</v>
      </c>
    </row>
    <row r="1675" spans="1:22" x14ac:dyDescent="0.25">
      <c r="A1675">
        <v>93</v>
      </c>
      <c r="B1675" t="s">
        <v>92</v>
      </c>
      <c r="C1675" t="s">
        <v>632</v>
      </c>
      <c r="E1675" t="s">
        <v>632</v>
      </c>
      <c r="L1675" t="s">
        <v>93</v>
      </c>
      <c r="M1675">
        <v>150</v>
      </c>
      <c r="N1675" t="s">
        <v>251</v>
      </c>
      <c r="Q1675">
        <v>1</v>
      </c>
      <c r="R1675" t="s">
        <v>11</v>
      </c>
      <c r="T1675">
        <v>10</v>
      </c>
      <c r="V1675" t="s">
        <v>18</v>
      </c>
    </row>
    <row r="1676" spans="1:22" x14ac:dyDescent="0.25">
      <c r="A1676">
        <v>93</v>
      </c>
      <c r="B1676" t="s">
        <v>92</v>
      </c>
      <c r="C1676" t="s">
        <v>632</v>
      </c>
      <c r="E1676" t="s">
        <v>632</v>
      </c>
      <c r="L1676" t="s">
        <v>93</v>
      </c>
      <c r="M1676">
        <v>160</v>
      </c>
      <c r="N1676" t="s">
        <v>252</v>
      </c>
      <c r="Q1676">
        <v>1</v>
      </c>
      <c r="R1676" t="s">
        <v>11</v>
      </c>
      <c r="T1676">
        <v>10</v>
      </c>
      <c r="V1676" t="s">
        <v>18</v>
      </c>
    </row>
    <row r="1677" spans="1:22" x14ac:dyDescent="0.25">
      <c r="A1677">
        <v>93</v>
      </c>
      <c r="B1677" t="s">
        <v>92</v>
      </c>
      <c r="C1677" t="s">
        <v>632</v>
      </c>
      <c r="E1677" t="s">
        <v>632</v>
      </c>
      <c r="L1677" t="s">
        <v>93</v>
      </c>
      <c r="M1677">
        <v>170</v>
      </c>
      <c r="N1677" t="s">
        <v>142</v>
      </c>
      <c r="Q1677">
        <v>6.1470000000000002</v>
      </c>
      <c r="R1677" t="s">
        <v>11</v>
      </c>
      <c r="T1677">
        <v>10</v>
      </c>
      <c r="V1677" t="s">
        <v>15</v>
      </c>
    </row>
    <row r="1678" spans="1:22" x14ac:dyDescent="0.25">
      <c r="A1678">
        <v>93</v>
      </c>
      <c r="B1678" t="s">
        <v>92</v>
      </c>
      <c r="C1678" t="s">
        <v>632</v>
      </c>
      <c r="E1678" t="s">
        <v>632</v>
      </c>
      <c r="L1678" t="s">
        <v>93</v>
      </c>
      <c r="M1678">
        <v>180</v>
      </c>
      <c r="N1678" t="s">
        <v>253</v>
      </c>
      <c r="Q1678">
        <v>1</v>
      </c>
      <c r="R1678" t="s">
        <v>11</v>
      </c>
      <c r="T1678">
        <v>10</v>
      </c>
      <c r="V1678" t="s">
        <v>18</v>
      </c>
    </row>
    <row r="1679" spans="1:22" x14ac:dyDescent="0.25">
      <c r="A1679">
        <v>94</v>
      </c>
      <c r="B1679" t="s">
        <v>92</v>
      </c>
      <c r="C1679" t="s">
        <v>634</v>
      </c>
      <c r="E1679" t="s">
        <v>634</v>
      </c>
      <c r="L1679" t="s">
        <v>93</v>
      </c>
      <c r="M1679">
        <v>10</v>
      </c>
      <c r="N1679" t="s">
        <v>255</v>
      </c>
      <c r="Q1679">
        <v>1</v>
      </c>
      <c r="R1679" t="s">
        <v>11</v>
      </c>
      <c r="T1679">
        <v>10</v>
      </c>
      <c r="V1679" t="s">
        <v>18</v>
      </c>
    </row>
    <row r="1680" spans="1:22" x14ac:dyDescent="0.25">
      <c r="A1680">
        <v>94</v>
      </c>
      <c r="B1680" t="s">
        <v>92</v>
      </c>
      <c r="C1680" t="s">
        <v>634</v>
      </c>
      <c r="E1680" t="s">
        <v>634</v>
      </c>
      <c r="L1680" t="s">
        <v>93</v>
      </c>
      <c r="M1680">
        <v>20</v>
      </c>
      <c r="N1680" t="s">
        <v>128</v>
      </c>
      <c r="Q1680">
        <v>3.3250000000000002</v>
      </c>
      <c r="R1680" t="s">
        <v>14</v>
      </c>
      <c r="T1680">
        <v>10</v>
      </c>
      <c r="V1680" t="s">
        <v>15</v>
      </c>
    </row>
    <row r="1681" spans="1:22" x14ac:dyDescent="0.25">
      <c r="A1681">
        <v>94</v>
      </c>
      <c r="B1681" t="s">
        <v>92</v>
      </c>
      <c r="C1681" t="s">
        <v>634</v>
      </c>
      <c r="E1681" t="s">
        <v>634</v>
      </c>
      <c r="L1681" t="s">
        <v>93</v>
      </c>
      <c r="M1681">
        <v>30</v>
      </c>
      <c r="N1681" t="s">
        <v>102</v>
      </c>
      <c r="Q1681">
        <v>0.85799999999999998</v>
      </c>
      <c r="R1681" t="s">
        <v>103</v>
      </c>
      <c r="T1681">
        <v>10</v>
      </c>
      <c r="V1681" t="s">
        <v>15</v>
      </c>
    </row>
    <row r="1682" spans="1:22" x14ac:dyDescent="0.25">
      <c r="A1682">
        <v>94</v>
      </c>
      <c r="B1682" t="s">
        <v>92</v>
      </c>
      <c r="C1682" t="s">
        <v>634</v>
      </c>
      <c r="E1682" t="s">
        <v>634</v>
      </c>
      <c r="L1682" t="s">
        <v>93</v>
      </c>
      <c r="M1682">
        <v>40</v>
      </c>
      <c r="N1682" t="s">
        <v>597</v>
      </c>
      <c r="Q1682">
        <v>1.1679999999999999</v>
      </c>
      <c r="R1682" t="s">
        <v>11</v>
      </c>
      <c r="T1682">
        <v>10</v>
      </c>
      <c r="V1682" t="s">
        <v>18</v>
      </c>
    </row>
    <row r="1683" spans="1:22" x14ac:dyDescent="0.25">
      <c r="A1683">
        <v>94</v>
      </c>
      <c r="B1683" t="s">
        <v>92</v>
      </c>
      <c r="C1683" t="s">
        <v>634</v>
      </c>
      <c r="E1683" t="s">
        <v>634</v>
      </c>
      <c r="L1683" t="s">
        <v>93</v>
      </c>
      <c r="M1683">
        <v>50</v>
      </c>
      <c r="N1683" t="s">
        <v>139</v>
      </c>
      <c r="Q1683">
        <v>1.1679999999999999</v>
      </c>
      <c r="R1683" t="s">
        <v>17</v>
      </c>
      <c r="T1683">
        <v>10</v>
      </c>
      <c r="V1683" t="s">
        <v>18</v>
      </c>
    </row>
    <row r="1684" spans="1:22" x14ac:dyDescent="0.25">
      <c r="A1684">
        <v>94</v>
      </c>
      <c r="B1684" t="s">
        <v>92</v>
      </c>
      <c r="C1684" t="s">
        <v>634</v>
      </c>
      <c r="E1684" t="s">
        <v>634</v>
      </c>
      <c r="L1684" t="s">
        <v>93</v>
      </c>
      <c r="M1684">
        <v>60</v>
      </c>
      <c r="N1684" t="s">
        <v>635</v>
      </c>
      <c r="Q1684">
        <v>1</v>
      </c>
      <c r="R1684" t="s">
        <v>11</v>
      </c>
      <c r="T1684">
        <v>10</v>
      </c>
      <c r="V1684" t="s">
        <v>18</v>
      </c>
    </row>
    <row r="1685" spans="1:22" x14ac:dyDescent="0.25">
      <c r="A1685">
        <v>94</v>
      </c>
      <c r="B1685" t="s">
        <v>92</v>
      </c>
      <c r="C1685" t="s">
        <v>634</v>
      </c>
      <c r="E1685" t="s">
        <v>634</v>
      </c>
      <c r="L1685" t="s">
        <v>93</v>
      </c>
      <c r="M1685">
        <v>70</v>
      </c>
      <c r="N1685" t="s">
        <v>599</v>
      </c>
      <c r="Q1685">
        <v>19.355</v>
      </c>
      <c r="R1685" t="s">
        <v>17</v>
      </c>
      <c r="T1685">
        <v>10</v>
      </c>
      <c r="V1685" t="s">
        <v>15</v>
      </c>
    </row>
    <row r="1686" spans="1:22" x14ac:dyDescent="0.25">
      <c r="A1686">
        <v>94</v>
      </c>
      <c r="B1686" t="s">
        <v>92</v>
      </c>
      <c r="C1686" t="s">
        <v>634</v>
      </c>
      <c r="E1686" t="s">
        <v>634</v>
      </c>
      <c r="L1686" t="s">
        <v>93</v>
      </c>
      <c r="M1686">
        <v>80</v>
      </c>
      <c r="N1686" t="s">
        <v>20</v>
      </c>
      <c r="Q1686">
        <v>158.709</v>
      </c>
      <c r="R1686" t="s">
        <v>17</v>
      </c>
      <c r="T1686">
        <v>10</v>
      </c>
      <c r="V1686" t="s">
        <v>15</v>
      </c>
    </row>
    <row r="1687" spans="1:22" x14ac:dyDescent="0.25">
      <c r="A1687">
        <v>94</v>
      </c>
      <c r="B1687" t="s">
        <v>92</v>
      </c>
      <c r="C1687" t="s">
        <v>634</v>
      </c>
      <c r="E1687" t="s">
        <v>634</v>
      </c>
      <c r="L1687" t="s">
        <v>93</v>
      </c>
      <c r="M1687">
        <v>90</v>
      </c>
      <c r="N1687" t="s">
        <v>24</v>
      </c>
      <c r="Q1687">
        <v>1</v>
      </c>
      <c r="R1687" t="s">
        <v>11</v>
      </c>
      <c r="T1687">
        <v>10</v>
      </c>
      <c r="V1687" t="s">
        <v>15</v>
      </c>
    </row>
    <row r="1688" spans="1:22" x14ac:dyDescent="0.25">
      <c r="A1688">
        <v>94</v>
      </c>
      <c r="B1688" t="s">
        <v>92</v>
      </c>
      <c r="C1688" t="s">
        <v>634</v>
      </c>
      <c r="E1688" t="s">
        <v>634</v>
      </c>
      <c r="L1688" t="s">
        <v>93</v>
      </c>
      <c r="M1688">
        <v>100</v>
      </c>
      <c r="N1688" t="s">
        <v>141</v>
      </c>
      <c r="Q1688">
        <v>0.10199999999999999</v>
      </c>
      <c r="R1688" t="s">
        <v>14</v>
      </c>
      <c r="T1688">
        <v>10</v>
      </c>
      <c r="V1688" t="s">
        <v>15</v>
      </c>
    </row>
    <row r="1689" spans="1:22" x14ac:dyDescent="0.25">
      <c r="A1689">
        <v>94</v>
      </c>
      <c r="B1689" t="s">
        <v>92</v>
      </c>
      <c r="C1689" t="s">
        <v>634</v>
      </c>
      <c r="E1689" t="s">
        <v>634</v>
      </c>
      <c r="L1689" t="s">
        <v>93</v>
      </c>
      <c r="M1689">
        <v>110</v>
      </c>
      <c r="N1689" t="s">
        <v>140</v>
      </c>
      <c r="Q1689">
        <v>4</v>
      </c>
      <c r="R1689" t="s">
        <v>11</v>
      </c>
      <c r="T1689">
        <v>10</v>
      </c>
      <c r="V1689" t="s">
        <v>15</v>
      </c>
    </row>
    <row r="1690" spans="1:22" x14ac:dyDescent="0.25">
      <c r="A1690">
        <v>94</v>
      </c>
      <c r="B1690" t="s">
        <v>92</v>
      </c>
      <c r="C1690" t="s">
        <v>634</v>
      </c>
      <c r="E1690" t="s">
        <v>634</v>
      </c>
      <c r="L1690" t="s">
        <v>93</v>
      </c>
      <c r="M1690">
        <v>120</v>
      </c>
      <c r="N1690" t="s">
        <v>25</v>
      </c>
      <c r="Q1690">
        <v>1</v>
      </c>
      <c r="R1690" t="s">
        <v>11</v>
      </c>
      <c r="T1690">
        <v>10</v>
      </c>
      <c r="V1690" t="s">
        <v>15</v>
      </c>
    </row>
    <row r="1691" spans="1:22" x14ac:dyDescent="0.25">
      <c r="A1691">
        <v>94</v>
      </c>
      <c r="B1691" t="s">
        <v>92</v>
      </c>
      <c r="C1691" t="s">
        <v>634</v>
      </c>
      <c r="E1691" t="s">
        <v>634</v>
      </c>
      <c r="L1691" t="s">
        <v>93</v>
      </c>
      <c r="M1691">
        <v>130</v>
      </c>
      <c r="N1691" t="s">
        <v>26</v>
      </c>
      <c r="Q1691">
        <v>1</v>
      </c>
      <c r="R1691" t="s">
        <v>11</v>
      </c>
      <c r="T1691">
        <v>10</v>
      </c>
      <c r="V1691" t="s">
        <v>15</v>
      </c>
    </row>
    <row r="1692" spans="1:22" x14ac:dyDescent="0.25">
      <c r="A1692">
        <v>94</v>
      </c>
      <c r="B1692" t="s">
        <v>92</v>
      </c>
      <c r="C1692" t="s">
        <v>634</v>
      </c>
      <c r="E1692" t="s">
        <v>634</v>
      </c>
      <c r="L1692" t="s">
        <v>93</v>
      </c>
      <c r="M1692">
        <v>140</v>
      </c>
      <c r="N1692" t="s">
        <v>100</v>
      </c>
      <c r="Q1692">
        <v>1.1890000000000001</v>
      </c>
      <c r="R1692" t="s">
        <v>14</v>
      </c>
      <c r="T1692">
        <v>10</v>
      </c>
      <c r="V1692" t="s">
        <v>15</v>
      </c>
    </row>
    <row r="1693" spans="1:22" x14ac:dyDescent="0.25">
      <c r="A1693">
        <v>94</v>
      </c>
      <c r="B1693" t="s">
        <v>92</v>
      </c>
      <c r="C1693" t="s">
        <v>634</v>
      </c>
      <c r="E1693" t="s">
        <v>634</v>
      </c>
      <c r="L1693" t="s">
        <v>93</v>
      </c>
      <c r="M1693">
        <v>150</v>
      </c>
      <c r="N1693" t="s">
        <v>257</v>
      </c>
      <c r="Q1693">
        <v>1</v>
      </c>
      <c r="R1693" t="s">
        <v>11</v>
      </c>
      <c r="T1693">
        <v>10</v>
      </c>
      <c r="V1693" t="s">
        <v>18</v>
      </c>
    </row>
    <row r="1694" spans="1:22" x14ac:dyDescent="0.25">
      <c r="A1694">
        <v>94</v>
      </c>
      <c r="B1694" t="s">
        <v>92</v>
      </c>
      <c r="C1694" t="s">
        <v>634</v>
      </c>
      <c r="E1694" t="s">
        <v>634</v>
      </c>
      <c r="L1694" t="s">
        <v>93</v>
      </c>
      <c r="M1694">
        <v>160</v>
      </c>
      <c r="N1694" t="s">
        <v>258</v>
      </c>
      <c r="Q1694">
        <v>1</v>
      </c>
      <c r="R1694" t="s">
        <v>11</v>
      </c>
      <c r="T1694">
        <v>10</v>
      </c>
      <c r="V1694" t="s">
        <v>18</v>
      </c>
    </row>
    <row r="1695" spans="1:22" x14ac:dyDescent="0.25">
      <c r="A1695">
        <v>94</v>
      </c>
      <c r="B1695" t="s">
        <v>92</v>
      </c>
      <c r="C1695" t="s">
        <v>634</v>
      </c>
      <c r="E1695" t="s">
        <v>634</v>
      </c>
      <c r="L1695" t="s">
        <v>93</v>
      </c>
      <c r="M1695">
        <v>170</v>
      </c>
      <c r="N1695" t="s">
        <v>142</v>
      </c>
      <c r="Q1695">
        <v>6.452</v>
      </c>
      <c r="R1695" t="s">
        <v>11</v>
      </c>
      <c r="T1695">
        <v>10</v>
      </c>
      <c r="V1695" t="s">
        <v>15</v>
      </c>
    </row>
    <row r="1696" spans="1:22" x14ac:dyDescent="0.25">
      <c r="A1696">
        <v>94</v>
      </c>
      <c r="B1696" t="s">
        <v>92</v>
      </c>
      <c r="C1696" t="s">
        <v>634</v>
      </c>
      <c r="E1696" t="s">
        <v>634</v>
      </c>
      <c r="L1696" t="s">
        <v>93</v>
      </c>
      <c r="M1696">
        <v>180</v>
      </c>
      <c r="N1696" t="s">
        <v>259</v>
      </c>
      <c r="Q1696">
        <v>1</v>
      </c>
      <c r="R1696" t="s">
        <v>11</v>
      </c>
      <c r="T1696">
        <v>10</v>
      </c>
      <c r="V1696" t="s">
        <v>18</v>
      </c>
    </row>
    <row r="1697" spans="1:22" x14ac:dyDescent="0.25">
      <c r="A1697">
        <v>95</v>
      </c>
      <c r="B1697" t="s">
        <v>92</v>
      </c>
      <c r="C1697" t="s">
        <v>636</v>
      </c>
      <c r="E1697" t="s">
        <v>636</v>
      </c>
      <c r="L1697" t="s">
        <v>93</v>
      </c>
      <c r="M1697">
        <v>10</v>
      </c>
      <c r="N1697" t="s">
        <v>261</v>
      </c>
      <c r="Q1697">
        <v>1</v>
      </c>
      <c r="R1697" t="s">
        <v>11</v>
      </c>
      <c r="T1697">
        <v>10</v>
      </c>
      <c r="V1697" t="s">
        <v>18</v>
      </c>
    </row>
    <row r="1698" spans="1:22" x14ac:dyDescent="0.25">
      <c r="A1698">
        <v>95</v>
      </c>
      <c r="B1698" t="s">
        <v>92</v>
      </c>
      <c r="C1698" t="s">
        <v>636</v>
      </c>
      <c r="E1698" t="s">
        <v>636</v>
      </c>
      <c r="L1698" t="s">
        <v>93</v>
      </c>
      <c r="M1698">
        <v>20</v>
      </c>
      <c r="N1698" t="s">
        <v>129</v>
      </c>
      <c r="Q1698">
        <v>4.165</v>
      </c>
      <c r="R1698" t="s">
        <v>14</v>
      </c>
      <c r="T1698">
        <v>10</v>
      </c>
      <c r="V1698" t="s">
        <v>15</v>
      </c>
    </row>
    <row r="1699" spans="1:22" x14ac:dyDescent="0.25">
      <c r="A1699">
        <v>95</v>
      </c>
      <c r="B1699" t="s">
        <v>92</v>
      </c>
      <c r="C1699" t="s">
        <v>636</v>
      </c>
      <c r="E1699" t="s">
        <v>636</v>
      </c>
      <c r="L1699" t="s">
        <v>93</v>
      </c>
      <c r="M1699">
        <v>30</v>
      </c>
      <c r="N1699" t="s">
        <v>102</v>
      </c>
      <c r="Q1699">
        <v>0.97499999999999998</v>
      </c>
      <c r="R1699" t="s">
        <v>103</v>
      </c>
      <c r="T1699">
        <v>10</v>
      </c>
      <c r="V1699" t="s">
        <v>15</v>
      </c>
    </row>
    <row r="1700" spans="1:22" x14ac:dyDescent="0.25">
      <c r="A1700">
        <v>95</v>
      </c>
      <c r="B1700" t="s">
        <v>92</v>
      </c>
      <c r="C1700" t="s">
        <v>636</v>
      </c>
      <c r="E1700" t="s">
        <v>636</v>
      </c>
      <c r="L1700" t="s">
        <v>93</v>
      </c>
      <c r="M1700">
        <v>40</v>
      </c>
      <c r="N1700" t="s">
        <v>597</v>
      </c>
      <c r="Q1700">
        <v>1.321</v>
      </c>
      <c r="R1700" t="s">
        <v>11</v>
      </c>
      <c r="T1700">
        <v>10</v>
      </c>
      <c r="V1700" t="s">
        <v>18</v>
      </c>
    </row>
    <row r="1701" spans="1:22" x14ac:dyDescent="0.25">
      <c r="A1701">
        <v>95</v>
      </c>
      <c r="B1701" t="s">
        <v>92</v>
      </c>
      <c r="C1701" t="s">
        <v>636</v>
      </c>
      <c r="E1701" t="s">
        <v>636</v>
      </c>
      <c r="L1701" t="s">
        <v>93</v>
      </c>
      <c r="M1701">
        <v>50</v>
      </c>
      <c r="N1701" t="s">
        <v>139</v>
      </c>
      <c r="Q1701">
        <v>1.321</v>
      </c>
      <c r="R1701" t="s">
        <v>17</v>
      </c>
      <c r="T1701">
        <v>10</v>
      </c>
      <c r="V1701" t="s">
        <v>18</v>
      </c>
    </row>
    <row r="1702" spans="1:22" x14ac:dyDescent="0.25">
      <c r="A1702">
        <v>95</v>
      </c>
      <c r="B1702" t="s">
        <v>92</v>
      </c>
      <c r="C1702" t="s">
        <v>636</v>
      </c>
      <c r="E1702" t="s">
        <v>636</v>
      </c>
      <c r="L1702" t="s">
        <v>93</v>
      </c>
      <c r="M1702">
        <v>60</v>
      </c>
      <c r="N1702" t="s">
        <v>637</v>
      </c>
      <c r="Q1702">
        <v>1</v>
      </c>
      <c r="R1702" t="s">
        <v>11</v>
      </c>
      <c r="T1702">
        <v>10</v>
      </c>
      <c r="V1702" t="s">
        <v>18</v>
      </c>
    </row>
    <row r="1703" spans="1:22" x14ac:dyDescent="0.25">
      <c r="A1703">
        <v>95</v>
      </c>
      <c r="B1703" t="s">
        <v>92</v>
      </c>
      <c r="C1703" t="s">
        <v>636</v>
      </c>
      <c r="E1703" t="s">
        <v>636</v>
      </c>
      <c r="L1703" t="s">
        <v>93</v>
      </c>
      <c r="M1703">
        <v>70</v>
      </c>
      <c r="N1703" t="s">
        <v>599</v>
      </c>
      <c r="Q1703">
        <v>20.268999999999998</v>
      </c>
      <c r="R1703" t="s">
        <v>17</v>
      </c>
      <c r="T1703">
        <v>10</v>
      </c>
      <c r="V1703" t="s">
        <v>15</v>
      </c>
    </row>
    <row r="1704" spans="1:22" x14ac:dyDescent="0.25">
      <c r="A1704">
        <v>95</v>
      </c>
      <c r="B1704" t="s">
        <v>92</v>
      </c>
      <c r="C1704" t="s">
        <v>636</v>
      </c>
      <c r="E1704" t="s">
        <v>636</v>
      </c>
      <c r="L1704" t="s">
        <v>93</v>
      </c>
      <c r="M1704">
        <v>80</v>
      </c>
      <c r="N1704" t="s">
        <v>20</v>
      </c>
      <c r="Q1704">
        <v>166.20699999999999</v>
      </c>
      <c r="R1704" t="s">
        <v>17</v>
      </c>
      <c r="T1704">
        <v>10</v>
      </c>
      <c r="V1704" t="s">
        <v>15</v>
      </c>
    </row>
    <row r="1705" spans="1:22" x14ac:dyDescent="0.25">
      <c r="A1705">
        <v>95</v>
      </c>
      <c r="B1705" t="s">
        <v>92</v>
      </c>
      <c r="C1705" t="s">
        <v>636</v>
      </c>
      <c r="E1705" t="s">
        <v>636</v>
      </c>
      <c r="L1705" t="s">
        <v>93</v>
      </c>
      <c r="M1705">
        <v>90</v>
      </c>
      <c r="N1705" t="s">
        <v>24</v>
      </c>
      <c r="Q1705">
        <v>1</v>
      </c>
      <c r="R1705" t="s">
        <v>11</v>
      </c>
      <c r="T1705">
        <v>10</v>
      </c>
      <c r="V1705" t="s">
        <v>15</v>
      </c>
    </row>
    <row r="1706" spans="1:22" x14ac:dyDescent="0.25">
      <c r="A1706">
        <v>95</v>
      </c>
      <c r="B1706" t="s">
        <v>92</v>
      </c>
      <c r="C1706" t="s">
        <v>636</v>
      </c>
      <c r="E1706" t="s">
        <v>636</v>
      </c>
      <c r="L1706" t="s">
        <v>93</v>
      </c>
      <c r="M1706">
        <v>100</v>
      </c>
      <c r="N1706" t="s">
        <v>141</v>
      </c>
      <c r="Q1706">
        <v>0.112</v>
      </c>
      <c r="R1706" t="s">
        <v>14</v>
      </c>
      <c r="T1706">
        <v>10</v>
      </c>
      <c r="V1706" t="s">
        <v>15</v>
      </c>
    </row>
    <row r="1707" spans="1:22" x14ac:dyDescent="0.25">
      <c r="A1707">
        <v>95</v>
      </c>
      <c r="B1707" t="s">
        <v>92</v>
      </c>
      <c r="C1707" t="s">
        <v>636</v>
      </c>
      <c r="E1707" t="s">
        <v>636</v>
      </c>
      <c r="L1707" t="s">
        <v>93</v>
      </c>
      <c r="M1707">
        <v>110</v>
      </c>
      <c r="N1707" t="s">
        <v>140</v>
      </c>
      <c r="Q1707">
        <v>4</v>
      </c>
      <c r="R1707" t="s">
        <v>11</v>
      </c>
      <c r="T1707">
        <v>10</v>
      </c>
      <c r="V1707" t="s">
        <v>15</v>
      </c>
    </row>
    <row r="1708" spans="1:22" x14ac:dyDescent="0.25">
      <c r="A1708">
        <v>95</v>
      </c>
      <c r="B1708" t="s">
        <v>92</v>
      </c>
      <c r="C1708" t="s">
        <v>636</v>
      </c>
      <c r="E1708" t="s">
        <v>636</v>
      </c>
      <c r="L1708" t="s">
        <v>93</v>
      </c>
      <c r="M1708">
        <v>120</v>
      </c>
      <c r="N1708" t="s">
        <v>25</v>
      </c>
      <c r="Q1708">
        <v>1</v>
      </c>
      <c r="R1708" t="s">
        <v>11</v>
      </c>
      <c r="T1708">
        <v>10</v>
      </c>
      <c r="V1708" t="s">
        <v>15</v>
      </c>
    </row>
    <row r="1709" spans="1:22" x14ac:dyDescent="0.25">
      <c r="A1709">
        <v>95</v>
      </c>
      <c r="B1709" t="s">
        <v>92</v>
      </c>
      <c r="C1709" t="s">
        <v>636</v>
      </c>
      <c r="E1709" t="s">
        <v>636</v>
      </c>
      <c r="L1709" t="s">
        <v>93</v>
      </c>
      <c r="M1709">
        <v>130</v>
      </c>
      <c r="N1709" t="s">
        <v>26</v>
      </c>
      <c r="Q1709">
        <v>1</v>
      </c>
      <c r="R1709" t="s">
        <v>11</v>
      </c>
      <c r="T1709">
        <v>10</v>
      </c>
      <c r="V1709" t="s">
        <v>15</v>
      </c>
    </row>
    <row r="1710" spans="1:22" x14ac:dyDescent="0.25">
      <c r="A1710">
        <v>95</v>
      </c>
      <c r="B1710" t="s">
        <v>92</v>
      </c>
      <c r="C1710" t="s">
        <v>636</v>
      </c>
      <c r="E1710" t="s">
        <v>636</v>
      </c>
      <c r="L1710" t="s">
        <v>93</v>
      </c>
      <c r="M1710">
        <v>140</v>
      </c>
      <c r="N1710" t="s">
        <v>100</v>
      </c>
      <c r="Q1710">
        <v>1.1890000000000001</v>
      </c>
      <c r="R1710" t="s">
        <v>14</v>
      </c>
      <c r="T1710">
        <v>10</v>
      </c>
      <c r="V1710" t="s">
        <v>15</v>
      </c>
    </row>
    <row r="1711" spans="1:22" x14ac:dyDescent="0.25">
      <c r="A1711">
        <v>95</v>
      </c>
      <c r="B1711" t="s">
        <v>92</v>
      </c>
      <c r="C1711" t="s">
        <v>636</v>
      </c>
      <c r="E1711" t="s">
        <v>636</v>
      </c>
      <c r="L1711" t="s">
        <v>93</v>
      </c>
      <c r="M1711">
        <v>150</v>
      </c>
      <c r="N1711" t="s">
        <v>263</v>
      </c>
      <c r="Q1711">
        <v>1</v>
      </c>
      <c r="R1711" t="s">
        <v>11</v>
      </c>
      <c r="T1711">
        <v>10</v>
      </c>
      <c r="V1711" t="s">
        <v>18</v>
      </c>
    </row>
    <row r="1712" spans="1:22" x14ac:dyDescent="0.25">
      <c r="A1712">
        <v>95</v>
      </c>
      <c r="B1712" t="s">
        <v>92</v>
      </c>
      <c r="C1712" t="s">
        <v>636</v>
      </c>
      <c r="E1712" t="s">
        <v>636</v>
      </c>
      <c r="L1712" t="s">
        <v>93</v>
      </c>
      <c r="M1712">
        <v>160</v>
      </c>
      <c r="N1712" t="s">
        <v>264</v>
      </c>
      <c r="Q1712">
        <v>1</v>
      </c>
      <c r="R1712" t="s">
        <v>11</v>
      </c>
      <c r="T1712">
        <v>10</v>
      </c>
      <c r="V1712" t="s">
        <v>18</v>
      </c>
    </row>
    <row r="1713" spans="1:22" x14ac:dyDescent="0.25">
      <c r="A1713">
        <v>95</v>
      </c>
      <c r="B1713" t="s">
        <v>92</v>
      </c>
      <c r="C1713" t="s">
        <v>636</v>
      </c>
      <c r="E1713" t="s">
        <v>636</v>
      </c>
      <c r="L1713" t="s">
        <v>93</v>
      </c>
      <c r="M1713">
        <v>170</v>
      </c>
      <c r="N1713" t="s">
        <v>142</v>
      </c>
      <c r="Q1713">
        <v>6.7560000000000002</v>
      </c>
      <c r="R1713" t="s">
        <v>11</v>
      </c>
      <c r="T1713">
        <v>10</v>
      </c>
      <c r="V1713" t="s">
        <v>15</v>
      </c>
    </row>
    <row r="1714" spans="1:22" x14ac:dyDescent="0.25">
      <c r="A1714">
        <v>95</v>
      </c>
      <c r="B1714" t="s">
        <v>92</v>
      </c>
      <c r="C1714" t="s">
        <v>636</v>
      </c>
      <c r="E1714" t="s">
        <v>636</v>
      </c>
      <c r="L1714" t="s">
        <v>93</v>
      </c>
      <c r="M1714">
        <v>180</v>
      </c>
      <c r="N1714" t="s">
        <v>265</v>
      </c>
      <c r="Q1714">
        <v>1</v>
      </c>
      <c r="R1714" t="s">
        <v>11</v>
      </c>
      <c r="T1714">
        <v>10</v>
      </c>
      <c r="V1714" t="s">
        <v>18</v>
      </c>
    </row>
    <row r="1715" spans="1:22" x14ac:dyDescent="0.25">
      <c r="A1715">
        <v>96</v>
      </c>
      <c r="B1715" t="s">
        <v>92</v>
      </c>
      <c r="C1715" t="s">
        <v>638</v>
      </c>
      <c r="E1715" t="s">
        <v>638</v>
      </c>
      <c r="L1715" t="s">
        <v>93</v>
      </c>
      <c r="M1715">
        <v>10</v>
      </c>
      <c r="N1715" t="s">
        <v>267</v>
      </c>
      <c r="Q1715">
        <v>1</v>
      </c>
      <c r="R1715" t="s">
        <v>11</v>
      </c>
      <c r="T1715">
        <v>10</v>
      </c>
      <c r="V1715" t="s">
        <v>18</v>
      </c>
    </row>
    <row r="1716" spans="1:22" x14ac:dyDescent="0.25">
      <c r="A1716">
        <v>96</v>
      </c>
      <c r="B1716" t="s">
        <v>92</v>
      </c>
      <c r="C1716" t="s">
        <v>638</v>
      </c>
      <c r="E1716" t="s">
        <v>638</v>
      </c>
      <c r="L1716" t="s">
        <v>93</v>
      </c>
      <c r="M1716">
        <v>20</v>
      </c>
      <c r="N1716" t="s">
        <v>129</v>
      </c>
      <c r="Q1716">
        <v>4.165</v>
      </c>
      <c r="R1716" t="s">
        <v>14</v>
      </c>
      <c r="T1716">
        <v>10</v>
      </c>
      <c r="V1716" t="s">
        <v>15</v>
      </c>
    </row>
    <row r="1717" spans="1:22" x14ac:dyDescent="0.25">
      <c r="A1717">
        <v>96</v>
      </c>
      <c r="B1717" t="s">
        <v>92</v>
      </c>
      <c r="C1717" t="s">
        <v>638</v>
      </c>
      <c r="E1717" t="s">
        <v>638</v>
      </c>
      <c r="L1717" t="s">
        <v>93</v>
      </c>
      <c r="M1717">
        <v>30</v>
      </c>
      <c r="N1717" t="s">
        <v>102</v>
      </c>
      <c r="Q1717">
        <v>1.0329999999999999</v>
      </c>
      <c r="R1717" t="s">
        <v>103</v>
      </c>
      <c r="T1717">
        <v>10</v>
      </c>
      <c r="V1717" t="s">
        <v>15</v>
      </c>
    </row>
    <row r="1718" spans="1:22" x14ac:dyDescent="0.25">
      <c r="A1718">
        <v>96</v>
      </c>
      <c r="B1718" t="s">
        <v>92</v>
      </c>
      <c r="C1718" t="s">
        <v>638</v>
      </c>
      <c r="E1718" t="s">
        <v>638</v>
      </c>
      <c r="L1718" t="s">
        <v>93</v>
      </c>
      <c r="M1718">
        <v>40</v>
      </c>
      <c r="N1718" t="s">
        <v>597</v>
      </c>
      <c r="Q1718">
        <v>1.397</v>
      </c>
      <c r="R1718" t="s">
        <v>11</v>
      </c>
      <c r="T1718">
        <v>10</v>
      </c>
      <c r="V1718" t="s">
        <v>18</v>
      </c>
    </row>
    <row r="1719" spans="1:22" x14ac:dyDescent="0.25">
      <c r="A1719">
        <v>96</v>
      </c>
      <c r="B1719" t="s">
        <v>92</v>
      </c>
      <c r="C1719" t="s">
        <v>638</v>
      </c>
      <c r="E1719" t="s">
        <v>638</v>
      </c>
      <c r="L1719" t="s">
        <v>93</v>
      </c>
      <c r="M1719">
        <v>50</v>
      </c>
      <c r="N1719" t="s">
        <v>139</v>
      </c>
      <c r="Q1719">
        <v>1.397</v>
      </c>
      <c r="R1719" t="s">
        <v>17</v>
      </c>
      <c r="T1719">
        <v>10</v>
      </c>
      <c r="V1719" t="s">
        <v>18</v>
      </c>
    </row>
    <row r="1720" spans="1:22" x14ac:dyDescent="0.25">
      <c r="A1720">
        <v>96</v>
      </c>
      <c r="B1720" t="s">
        <v>92</v>
      </c>
      <c r="C1720" t="s">
        <v>638</v>
      </c>
      <c r="E1720" t="s">
        <v>638</v>
      </c>
      <c r="L1720" t="s">
        <v>93</v>
      </c>
      <c r="M1720">
        <v>60</v>
      </c>
      <c r="N1720" t="s">
        <v>639</v>
      </c>
      <c r="Q1720">
        <v>1</v>
      </c>
      <c r="R1720" t="s">
        <v>11</v>
      </c>
      <c r="T1720">
        <v>10</v>
      </c>
      <c r="V1720" t="s">
        <v>18</v>
      </c>
    </row>
    <row r="1721" spans="1:22" x14ac:dyDescent="0.25">
      <c r="A1721">
        <v>96</v>
      </c>
      <c r="B1721" t="s">
        <v>92</v>
      </c>
      <c r="C1721" t="s">
        <v>638</v>
      </c>
      <c r="E1721" t="s">
        <v>638</v>
      </c>
      <c r="L1721" t="s">
        <v>93</v>
      </c>
      <c r="M1721">
        <v>70</v>
      </c>
      <c r="N1721" t="s">
        <v>599</v>
      </c>
      <c r="Q1721">
        <v>20.725999999999999</v>
      </c>
      <c r="R1721" t="s">
        <v>17</v>
      </c>
      <c r="T1721">
        <v>10</v>
      </c>
      <c r="V1721" t="s">
        <v>15</v>
      </c>
    </row>
    <row r="1722" spans="1:22" x14ac:dyDescent="0.25">
      <c r="A1722">
        <v>96</v>
      </c>
      <c r="B1722" t="s">
        <v>92</v>
      </c>
      <c r="C1722" t="s">
        <v>638</v>
      </c>
      <c r="E1722" t="s">
        <v>638</v>
      </c>
      <c r="L1722" t="s">
        <v>93</v>
      </c>
      <c r="M1722">
        <v>80</v>
      </c>
      <c r="N1722" t="s">
        <v>20</v>
      </c>
      <c r="Q1722">
        <v>169.95599999999999</v>
      </c>
      <c r="R1722" t="s">
        <v>17</v>
      </c>
      <c r="T1722">
        <v>10</v>
      </c>
      <c r="V1722" t="s">
        <v>15</v>
      </c>
    </row>
    <row r="1723" spans="1:22" x14ac:dyDescent="0.25">
      <c r="A1723">
        <v>96</v>
      </c>
      <c r="B1723" t="s">
        <v>92</v>
      </c>
      <c r="C1723" t="s">
        <v>638</v>
      </c>
      <c r="E1723" t="s">
        <v>638</v>
      </c>
      <c r="L1723" t="s">
        <v>93</v>
      </c>
      <c r="M1723">
        <v>90</v>
      </c>
      <c r="N1723" t="s">
        <v>24</v>
      </c>
      <c r="Q1723">
        <v>1</v>
      </c>
      <c r="R1723" t="s">
        <v>11</v>
      </c>
      <c r="T1723">
        <v>10</v>
      </c>
      <c r="V1723" t="s">
        <v>15</v>
      </c>
    </row>
    <row r="1724" spans="1:22" x14ac:dyDescent="0.25">
      <c r="A1724">
        <v>96</v>
      </c>
      <c r="B1724" t="s">
        <v>92</v>
      </c>
      <c r="C1724" t="s">
        <v>638</v>
      </c>
      <c r="E1724" t="s">
        <v>638</v>
      </c>
      <c r="L1724" t="s">
        <v>93</v>
      </c>
      <c r="M1724">
        <v>100</v>
      </c>
      <c r="N1724" t="s">
        <v>141</v>
      </c>
      <c r="Q1724">
        <v>0.11700000000000001</v>
      </c>
      <c r="R1724" t="s">
        <v>14</v>
      </c>
      <c r="T1724">
        <v>10</v>
      </c>
      <c r="V1724" t="s">
        <v>15</v>
      </c>
    </row>
    <row r="1725" spans="1:22" x14ac:dyDescent="0.25">
      <c r="A1725">
        <v>96</v>
      </c>
      <c r="B1725" t="s">
        <v>92</v>
      </c>
      <c r="C1725" t="s">
        <v>638</v>
      </c>
      <c r="E1725" t="s">
        <v>638</v>
      </c>
      <c r="L1725" t="s">
        <v>93</v>
      </c>
      <c r="M1725">
        <v>110</v>
      </c>
      <c r="N1725" t="s">
        <v>140</v>
      </c>
      <c r="Q1725">
        <v>4</v>
      </c>
      <c r="R1725" t="s">
        <v>11</v>
      </c>
      <c r="T1725">
        <v>10</v>
      </c>
      <c r="V1725" t="s">
        <v>15</v>
      </c>
    </row>
    <row r="1726" spans="1:22" x14ac:dyDescent="0.25">
      <c r="A1726">
        <v>96</v>
      </c>
      <c r="B1726" t="s">
        <v>92</v>
      </c>
      <c r="C1726" t="s">
        <v>638</v>
      </c>
      <c r="E1726" t="s">
        <v>638</v>
      </c>
      <c r="L1726" t="s">
        <v>93</v>
      </c>
      <c r="M1726">
        <v>120</v>
      </c>
      <c r="N1726" t="s">
        <v>25</v>
      </c>
      <c r="Q1726">
        <v>1</v>
      </c>
      <c r="R1726" t="s">
        <v>11</v>
      </c>
      <c r="T1726">
        <v>10</v>
      </c>
      <c r="V1726" t="s">
        <v>15</v>
      </c>
    </row>
    <row r="1727" spans="1:22" x14ac:dyDescent="0.25">
      <c r="A1727">
        <v>96</v>
      </c>
      <c r="B1727" t="s">
        <v>92</v>
      </c>
      <c r="C1727" t="s">
        <v>638</v>
      </c>
      <c r="E1727" t="s">
        <v>638</v>
      </c>
      <c r="L1727" t="s">
        <v>93</v>
      </c>
      <c r="M1727">
        <v>130</v>
      </c>
      <c r="N1727" t="s">
        <v>26</v>
      </c>
      <c r="Q1727">
        <v>1</v>
      </c>
      <c r="R1727" t="s">
        <v>11</v>
      </c>
      <c r="T1727">
        <v>10</v>
      </c>
      <c r="V1727" t="s">
        <v>15</v>
      </c>
    </row>
    <row r="1728" spans="1:22" x14ac:dyDescent="0.25">
      <c r="A1728">
        <v>96</v>
      </c>
      <c r="B1728" t="s">
        <v>92</v>
      </c>
      <c r="C1728" t="s">
        <v>638</v>
      </c>
      <c r="E1728" t="s">
        <v>638</v>
      </c>
      <c r="L1728" t="s">
        <v>93</v>
      </c>
      <c r="M1728">
        <v>140</v>
      </c>
      <c r="N1728" t="s">
        <v>100</v>
      </c>
      <c r="Q1728">
        <v>1.1890000000000001</v>
      </c>
      <c r="R1728" t="s">
        <v>14</v>
      </c>
      <c r="T1728">
        <v>10</v>
      </c>
      <c r="V1728" t="s">
        <v>15</v>
      </c>
    </row>
    <row r="1729" spans="1:22" x14ac:dyDescent="0.25">
      <c r="A1729">
        <v>96</v>
      </c>
      <c r="B1729" t="s">
        <v>92</v>
      </c>
      <c r="C1729" t="s">
        <v>638</v>
      </c>
      <c r="E1729" t="s">
        <v>638</v>
      </c>
      <c r="L1729" t="s">
        <v>93</v>
      </c>
      <c r="M1729">
        <v>150</v>
      </c>
      <c r="N1729" t="s">
        <v>269</v>
      </c>
      <c r="Q1729">
        <v>1</v>
      </c>
      <c r="R1729" t="s">
        <v>11</v>
      </c>
      <c r="T1729">
        <v>10</v>
      </c>
      <c r="V1729" t="s">
        <v>18</v>
      </c>
    </row>
    <row r="1730" spans="1:22" x14ac:dyDescent="0.25">
      <c r="A1730">
        <v>96</v>
      </c>
      <c r="B1730" t="s">
        <v>92</v>
      </c>
      <c r="C1730" t="s">
        <v>638</v>
      </c>
      <c r="E1730" t="s">
        <v>638</v>
      </c>
      <c r="L1730" t="s">
        <v>93</v>
      </c>
      <c r="M1730">
        <v>160</v>
      </c>
      <c r="N1730" t="s">
        <v>270</v>
      </c>
      <c r="Q1730">
        <v>1</v>
      </c>
      <c r="R1730" t="s">
        <v>11</v>
      </c>
      <c r="T1730">
        <v>10</v>
      </c>
      <c r="V1730" t="s">
        <v>18</v>
      </c>
    </row>
    <row r="1731" spans="1:22" x14ac:dyDescent="0.25">
      <c r="A1731">
        <v>96</v>
      </c>
      <c r="B1731" t="s">
        <v>92</v>
      </c>
      <c r="C1731" t="s">
        <v>638</v>
      </c>
      <c r="E1731" t="s">
        <v>638</v>
      </c>
      <c r="L1731" t="s">
        <v>93</v>
      </c>
      <c r="M1731">
        <v>170</v>
      </c>
      <c r="N1731" t="s">
        <v>142</v>
      </c>
      <c r="Q1731">
        <v>6.9089999999999998</v>
      </c>
      <c r="R1731" t="s">
        <v>11</v>
      </c>
      <c r="T1731">
        <v>10</v>
      </c>
      <c r="V1731" t="s">
        <v>15</v>
      </c>
    </row>
    <row r="1732" spans="1:22" x14ac:dyDescent="0.25">
      <c r="A1732">
        <v>96</v>
      </c>
      <c r="B1732" t="s">
        <v>92</v>
      </c>
      <c r="C1732" t="s">
        <v>638</v>
      </c>
      <c r="E1732" t="s">
        <v>638</v>
      </c>
      <c r="L1732" t="s">
        <v>93</v>
      </c>
      <c r="M1732">
        <v>180</v>
      </c>
      <c r="N1732" t="s">
        <v>271</v>
      </c>
      <c r="Q1732">
        <v>1</v>
      </c>
      <c r="R1732" t="s">
        <v>11</v>
      </c>
      <c r="T1732">
        <v>10</v>
      </c>
      <c r="V1732" t="s">
        <v>18</v>
      </c>
    </row>
    <row r="1733" spans="1:22" x14ac:dyDescent="0.25">
      <c r="A1733">
        <v>97</v>
      </c>
      <c r="B1733" t="s">
        <v>92</v>
      </c>
      <c r="C1733" t="s">
        <v>640</v>
      </c>
      <c r="E1733" t="s">
        <v>640</v>
      </c>
      <c r="L1733" t="s">
        <v>93</v>
      </c>
      <c r="M1733">
        <v>10</v>
      </c>
      <c r="N1733" t="s">
        <v>273</v>
      </c>
      <c r="Q1733">
        <v>1</v>
      </c>
      <c r="R1733" t="s">
        <v>11</v>
      </c>
      <c r="T1733">
        <v>10</v>
      </c>
      <c r="V1733" t="s">
        <v>18</v>
      </c>
    </row>
    <row r="1734" spans="1:22" x14ac:dyDescent="0.25">
      <c r="A1734">
        <v>97</v>
      </c>
      <c r="B1734" t="s">
        <v>92</v>
      </c>
      <c r="C1734" t="s">
        <v>640</v>
      </c>
      <c r="E1734" t="s">
        <v>640</v>
      </c>
      <c r="L1734" t="s">
        <v>93</v>
      </c>
      <c r="M1734">
        <v>20</v>
      </c>
      <c r="N1734" t="s">
        <v>129</v>
      </c>
      <c r="Q1734">
        <v>4.165</v>
      </c>
      <c r="R1734" t="s">
        <v>14</v>
      </c>
      <c r="T1734">
        <v>10</v>
      </c>
      <c r="V1734" t="s">
        <v>15</v>
      </c>
    </row>
    <row r="1735" spans="1:22" x14ac:dyDescent="0.25">
      <c r="A1735">
        <v>97</v>
      </c>
      <c r="B1735" t="s">
        <v>92</v>
      </c>
      <c r="C1735" t="s">
        <v>640</v>
      </c>
      <c r="E1735" t="s">
        <v>640</v>
      </c>
      <c r="L1735" t="s">
        <v>93</v>
      </c>
      <c r="M1735">
        <v>30</v>
      </c>
      <c r="N1735" t="s">
        <v>102</v>
      </c>
      <c r="Q1735">
        <v>1.091</v>
      </c>
      <c r="R1735" t="s">
        <v>103</v>
      </c>
      <c r="T1735">
        <v>10</v>
      </c>
      <c r="V1735" t="s">
        <v>15</v>
      </c>
    </row>
    <row r="1736" spans="1:22" x14ac:dyDescent="0.25">
      <c r="A1736">
        <v>97</v>
      </c>
      <c r="B1736" t="s">
        <v>92</v>
      </c>
      <c r="C1736" t="s">
        <v>640</v>
      </c>
      <c r="E1736" t="s">
        <v>640</v>
      </c>
      <c r="L1736" t="s">
        <v>93</v>
      </c>
      <c r="M1736">
        <v>40</v>
      </c>
      <c r="N1736" t="s">
        <v>597</v>
      </c>
      <c r="Q1736">
        <v>1.4730000000000001</v>
      </c>
      <c r="R1736" t="s">
        <v>11</v>
      </c>
      <c r="T1736">
        <v>10</v>
      </c>
      <c r="V1736" t="s">
        <v>18</v>
      </c>
    </row>
    <row r="1737" spans="1:22" x14ac:dyDescent="0.25">
      <c r="A1737">
        <v>97</v>
      </c>
      <c r="B1737" t="s">
        <v>92</v>
      </c>
      <c r="C1737" t="s">
        <v>640</v>
      </c>
      <c r="E1737" t="s">
        <v>640</v>
      </c>
      <c r="L1737" t="s">
        <v>93</v>
      </c>
      <c r="M1737">
        <v>50</v>
      </c>
      <c r="N1737" t="s">
        <v>139</v>
      </c>
      <c r="Q1737">
        <v>1.4730000000000001</v>
      </c>
      <c r="R1737" t="s">
        <v>17</v>
      </c>
      <c r="T1737">
        <v>10</v>
      </c>
      <c r="V1737" t="s">
        <v>18</v>
      </c>
    </row>
    <row r="1738" spans="1:22" x14ac:dyDescent="0.25">
      <c r="A1738">
        <v>97</v>
      </c>
      <c r="B1738" t="s">
        <v>92</v>
      </c>
      <c r="C1738" t="s">
        <v>640</v>
      </c>
      <c r="E1738" t="s">
        <v>640</v>
      </c>
      <c r="L1738" t="s">
        <v>93</v>
      </c>
      <c r="M1738">
        <v>60</v>
      </c>
      <c r="N1738" t="s">
        <v>641</v>
      </c>
      <c r="Q1738">
        <v>1</v>
      </c>
      <c r="R1738" t="s">
        <v>11</v>
      </c>
      <c r="T1738">
        <v>10</v>
      </c>
      <c r="V1738" t="s">
        <v>18</v>
      </c>
    </row>
    <row r="1739" spans="1:22" x14ac:dyDescent="0.25">
      <c r="A1739">
        <v>97</v>
      </c>
      <c r="B1739" t="s">
        <v>92</v>
      </c>
      <c r="C1739" t="s">
        <v>640</v>
      </c>
      <c r="E1739" t="s">
        <v>640</v>
      </c>
      <c r="L1739" t="s">
        <v>93</v>
      </c>
      <c r="M1739">
        <v>70</v>
      </c>
      <c r="N1739" t="s">
        <v>599</v>
      </c>
      <c r="Q1739">
        <v>21.184000000000001</v>
      </c>
      <c r="R1739" t="s">
        <v>17</v>
      </c>
      <c r="T1739">
        <v>10</v>
      </c>
      <c r="V1739" t="s">
        <v>15</v>
      </c>
    </row>
    <row r="1740" spans="1:22" x14ac:dyDescent="0.25">
      <c r="A1740">
        <v>97</v>
      </c>
      <c r="B1740" t="s">
        <v>92</v>
      </c>
      <c r="C1740" t="s">
        <v>640</v>
      </c>
      <c r="E1740" t="s">
        <v>640</v>
      </c>
      <c r="L1740" t="s">
        <v>93</v>
      </c>
      <c r="M1740">
        <v>80</v>
      </c>
      <c r="N1740" t="s">
        <v>20</v>
      </c>
      <c r="Q1740">
        <v>173.70599999999999</v>
      </c>
      <c r="R1740" t="s">
        <v>17</v>
      </c>
      <c r="T1740">
        <v>10</v>
      </c>
      <c r="V1740" t="s">
        <v>15</v>
      </c>
    </row>
    <row r="1741" spans="1:22" x14ac:dyDescent="0.25">
      <c r="A1741">
        <v>97</v>
      </c>
      <c r="B1741" t="s">
        <v>92</v>
      </c>
      <c r="C1741" t="s">
        <v>640</v>
      </c>
      <c r="E1741" t="s">
        <v>640</v>
      </c>
      <c r="L1741" t="s">
        <v>93</v>
      </c>
      <c r="M1741">
        <v>90</v>
      </c>
      <c r="N1741" t="s">
        <v>24</v>
      </c>
      <c r="Q1741">
        <v>1</v>
      </c>
      <c r="R1741" t="s">
        <v>11</v>
      </c>
      <c r="T1741">
        <v>10</v>
      </c>
      <c r="V1741" t="s">
        <v>15</v>
      </c>
    </row>
    <row r="1742" spans="1:22" x14ac:dyDescent="0.25">
      <c r="A1742">
        <v>97</v>
      </c>
      <c r="B1742" t="s">
        <v>92</v>
      </c>
      <c r="C1742" t="s">
        <v>640</v>
      </c>
      <c r="E1742" t="s">
        <v>640</v>
      </c>
      <c r="L1742" t="s">
        <v>93</v>
      </c>
      <c r="M1742">
        <v>100</v>
      </c>
      <c r="N1742" t="s">
        <v>141</v>
      </c>
      <c r="Q1742">
        <v>0.123</v>
      </c>
      <c r="R1742" t="s">
        <v>14</v>
      </c>
      <c r="T1742">
        <v>10</v>
      </c>
      <c r="V1742" t="s">
        <v>15</v>
      </c>
    </row>
    <row r="1743" spans="1:22" x14ac:dyDescent="0.25">
      <c r="A1743">
        <v>97</v>
      </c>
      <c r="B1743" t="s">
        <v>92</v>
      </c>
      <c r="C1743" t="s">
        <v>640</v>
      </c>
      <c r="E1743" t="s">
        <v>640</v>
      </c>
      <c r="L1743" t="s">
        <v>93</v>
      </c>
      <c r="M1743">
        <v>110</v>
      </c>
      <c r="N1743" t="s">
        <v>140</v>
      </c>
      <c r="Q1743">
        <v>4</v>
      </c>
      <c r="R1743" t="s">
        <v>11</v>
      </c>
      <c r="T1743">
        <v>10</v>
      </c>
      <c r="V1743" t="s">
        <v>15</v>
      </c>
    </row>
    <row r="1744" spans="1:22" x14ac:dyDescent="0.25">
      <c r="A1744">
        <v>97</v>
      </c>
      <c r="B1744" t="s">
        <v>92</v>
      </c>
      <c r="C1744" t="s">
        <v>640</v>
      </c>
      <c r="E1744" t="s">
        <v>640</v>
      </c>
      <c r="L1744" t="s">
        <v>93</v>
      </c>
      <c r="M1744">
        <v>120</v>
      </c>
      <c r="N1744" t="s">
        <v>25</v>
      </c>
      <c r="Q1744">
        <v>1</v>
      </c>
      <c r="R1744" t="s">
        <v>11</v>
      </c>
      <c r="T1744">
        <v>10</v>
      </c>
      <c r="V1744" t="s">
        <v>15</v>
      </c>
    </row>
    <row r="1745" spans="1:22" x14ac:dyDescent="0.25">
      <c r="A1745">
        <v>97</v>
      </c>
      <c r="B1745" t="s">
        <v>92</v>
      </c>
      <c r="C1745" t="s">
        <v>640</v>
      </c>
      <c r="E1745" t="s">
        <v>640</v>
      </c>
      <c r="L1745" t="s">
        <v>93</v>
      </c>
      <c r="M1745">
        <v>130</v>
      </c>
      <c r="N1745" t="s">
        <v>26</v>
      </c>
      <c r="Q1745">
        <v>1</v>
      </c>
      <c r="R1745" t="s">
        <v>11</v>
      </c>
      <c r="T1745">
        <v>10</v>
      </c>
      <c r="V1745" t="s">
        <v>15</v>
      </c>
    </row>
    <row r="1746" spans="1:22" x14ac:dyDescent="0.25">
      <c r="A1746">
        <v>97</v>
      </c>
      <c r="B1746" t="s">
        <v>92</v>
      </c>
      <c r="C1746" t="s">
        <v>640</v>
      </c>
      <c r="E1746" t="s">
        <v>640</v>
      </c>
      <c r="L1746" t="s">
        <v>93</v>
      </c>
      <c r="M1746">
        <v>140</v>
      </c>
      <c r="N1746" t="s">
        <v>100</v>
      </c>
      <c r="Q1746">
        <v>1.1890000000000001</v>
      </c>
      <c r="R1746" t="s">
        <v>14</v>
      </c>
      <c r="T1746">
        <v>10</v>
      </c>
      <c r="V1746" t="s">
        <v>15</v>
      </c>
    </row>
    <row r="1747" spans="1:22" x14ac:dyDescent="0.25">
      <c r="A1747">
        <v>97</v>
      </c>
      <c r="B1747" t="s">
        <v>92</v>
      </c>
      <c r="C1747" t="s">
        <v>640</v>
      </c>
      <c r="E1747" t="s">
        <v>640</v>
      </c>
      <c r="L1747" t="s">
        <v>93</v>
      </c>
      <c r="M1747">
        <v>150</v>
      </c>
      <c r="N1747" t="s">
        <v>275</v>
      </c>
      <c r="Q1747">
        <v>1</v>
      </c>
      <c r="R1747" t="s">
        <v>11</v>
      </c>
      <c r="T1747">
        <v>10</v>
      </c>
      <c r="V1747" t="s">
        <v>18</v>
      </c>
    </row>
    <row r="1748" spans="1:22" x14ac:dyDescent="0.25">
      <c r="A1748">
        <v>97</v>
      </c>
      <c r="B1748" t="s">
        <v>92</v>
      </c>
      <c r="C1748" t="s">
        <v>640</v>
      </c>
      <c r="E1748" t="s">
        <v>640</v>
      </c>
      <c r="L1748" t="s">
        <v>93</v>
      </c>
      <c r="M1748">
        <v>160</v>
      </c>
      <c r="N1748" t="s">
        <v>276</v>
      </c>
      <c r="Q1748">
        <v>1</v>
      </c>
      <c r="R1748" t="s">
        <v>11</v>
      </c>
      <c r="T1748">
        <v>10</v>
      </c>
      <c r="V1748" t="s">
        <v>18</v>
      </c>
    </row>
    <row r="1749" spans="1:22" x14ac:dyDescent="0.25">
      <c r="A1749">
        <v>97</v>
      </c>
      <c r="B1749" t="s">
        <v>92</v>
      </c>
      <c r="C1749" t="s">
        <v>640</v>
      </c>
      <c r="E1749" t="s">
        <v>640</v>
      </c>
      <c r="L1749" t="s">
        <v>93</v>
      </c>
      <c r="M1749">
        <v>170</v>
      </c>
      <c r="N1749" t="s">
        <v>142</v>
      </c>
      <c r="Q1749">
        <v>7.0609999999999999</v>
      </c>
      <c r="R1749" t="s">
        <v>11</v>
      </c>
      <c r="T1749">
        <v>10</v>
      </c>
      <c r="V1749" t="s">
        <v>15</v>
      </c>
    </row>
    <row r="1750" spans="1:22" x14ac:dyDescent="0.25">
      <c r="A1750">
        <v>97</v>
      </c>
      <c r="B1750" t="s">
        <v>92</v>
      </c>
      <c r="C1750" t="s">
        <v>640</v>
      </c>
      <c r="E1750" t="s">
        <v>640</v>
      </c>
      <c r="L1750" t="s">
        <v>93</v>
      </c>
      <c r="M1750">
        <v>180</v>
      </c>
      <c r="N1750" t="s">
        <v>277</v>
      </c>
      <c r="Q1750">
        <v>1</v>
      </c>
      <c r="R1750" t="s">
        <v>11</v>
      </c>
      <c r="T1750">
        <v>10</v>
      </c>
      <c r="V1750" t="s">
        <v>18</v>
      </c>
    </row>
    <row r="1751" spans="1:22" x14ac:dyDescent="0.25">
      <c r="A1751">
        <v>98</v>
      </c>
      <c r="B1751" t="s">
        <v>92</v>
      </c>
      <c r="C1751" t="s">
        <v>642</v>
      </c>
      <c r="E1751" t="s">
        <v>642</v>
      </c>
      <c r="L1751" t="s">
        <v>93</v>
      </c>
      <c r="M1751">
        <v>10</v>
      </c>
      <c r="N1751" t="s">
        <v>279</v>
      </c>
      <c r="Q1751">
        <v>1</v>
      </c>
      <c r="R1751" t="s">
        <v>11</v>
      </c>
      <c r="T1751">
        <v>10</v>
      </c>
      <c r="V1751" t="s">
        <v>18</v>
      </c>
    </row>
    <row r="1752" spans="1:22" x14ac:dyDescent="0.25">
      <c r="A1752">
        <v>98</v>
      </c>
      <c r="B1752" t="s">
        <v>92</v>
      </c>
      <c r="C1752" t="s">
        <v>642</v>
      </c>
      <c r="E1752" t="s">
        <v>642</v>
      </c>
      <c r="L1752" t="s">
        <v>93</v>
      </c>
      <c r="M1752">
        <v>20</v>
      </c>
      <c r="N1752" t="s">
        <v>130</v>
      </c>
      <c r="Q1752">
        <v>4.585</v>
      </c>
      <c r="R1752" t="s">
        <v>14</v>
      </c>
      <c r="T1752">
        <v>10</v>
      </c>
      <c r="V1752" t="s">
        <v>15</v>
      </c>
    </row>
    <row r="1753" spans="1:22" x14ac:dyDescent="0.25">
      <c r="A1753">
        <v>98</v>
      </c>
      <c r="B1753" t="s">
        <v>92</v>
      </c>
      <c r="C1753" t="s">
        <v>642</v>
      </c>
      <c r="E1753" t="s">
        <v>642</v>
      </c>
      <c r="L1753" t="s">
        <v>93</v>
      </c>
      <c r="M1753">
        <v>30</v>
      </c>
      <c r="N1753" t="s">
        <v>102</v>
      </c>
      <c r="Q1753">
        <v>1.208</v>
      </c>
      <c r="R1753" t="s">
        <v>103</v>
      </c>
      <c r="T1753">
        <v>10</v>
      </c>
      <c r="V1753" t="s">
        <v>15</v>
      </c>
    </row>
    <row r="1754" spans="1:22" x14ac:dyDescent="0.25">
      <c r="A1754">
        <v>98</v>
      </c>
      <c r="B1754" t="s">
        <v>92</v>
      </c>
      <c r="C1754" t="s">
        <v>642</v>
      </c>
      <c r="E1754" t="s">
        <v>642</v>
      </c>
      <c r="L1754" t="s">
        <v>93</v>
      </c>
      <c r="M1754">
        <v>40</v>
      </c>
      <c r="N1754" t="s">
        <v>597</v>
      </c>
      <c r="Q1754">
        <v>1.6259999999999999</v>
      </c>
      <c r="R1754" t="s">
        <v>11</v>
      </c>
      <c r="T1754">
        <v>10</v>
      </c>
      <c r="V1754" t="s">
        <v>18</v>
      </c>
    </row>
    <row r="1755" spans="1:22" x14ac:dyDescent="0.25">
      <c r="A1755">
        <v>98</v>
      </c>
      <c r="B1755" t="s">
        <v>92</v>
      </c>
      <c r="C1755" t="s">
        <v>642</v>
      </c>
      <c r="E1755" t="s">
        <v>642</v>
      </c>
      <c r="L1755" t="s">
        <v>93</v>
      </c>
      <c r="M1755">
        <v>50</v>
      </c>
      <c r="N1755" t="s">
        <v>139</v>
      </c>
      <c r="Q1755">
        <v>1.6259999999999999</v>
      </c>
      <c r="R1755" t="s">
        <v>17</v>
      </c>
      <c r="T1755">
        <v>10</v>
      </c>
      <c r="V1755" t="s">
        <v>18</v>
      </c>
    </row>
    <row r="1756" spans="1:22" x14ac:dyDescent="0.25">
      <c r="A1756">
        <v>98</v>
      </c>
      <c r="B1756" t="s">
        <v>92</v>
      </c>
      <c r="C1756" t="s">
        <v>642</v>
      </c>
      <c r="E1756" t="s">
        <v>642</v>
      </c>
      <c r="L1756" t="s">
        <v>93</v>
      </c>
      <c r="M1756">
        <v>60</v>
      </c>
      <c r="N1756" t="s">
        <v>643</v>
      </c>
      <c r="Q1756">
        <v>1</v>
      </c>
      <c r="R1756" t="s">
        <v>11</v>
      </c>
      <c r="T1756">
        <v>10</v>
      </c>
      <c r="V1756" t="s">
        <v>18</v>
      </c>
    </row>
    <row r="1757" spans="1:22" x14ac:dyDescent="0.25">
      <c r="A1757">
        <v>98</v>
      </c>
      <c r="B1757" t="s">
        <v>92</v>
      </c>
      <c r="C1757" t="s">
        <v>642</v>
      </c>
      <c r="E1757" t="s">
        <v>642</v>
      </c>
      <c r="L1757" t="s">
        <v>93</v>
      </c>
      <c r="M1757">
        <v>70</v>
      </c>
      <c r="N1757" t="s">
        <v>599</v>
      </c>
      <c r="Q1757">
        <v>22.097999999999999</v>
      </c>
      <c r="R1757" t="s">
        <v>17</v>
      </c>
      <c r="T1757">
        <v>10</v>
      </c>
      <c r="V1757" t="s">
        <v>15</v>
      </c>
    </row>
    <row r="1758" spans="1:22" x14ac:dyDescent="0.25">
      <c r="A1758">
        <v>98</v>
      </c>
      <c r="B1758" t="s">
        <v>92</v>
      </c>
      <c r="C1758" t="s">
        <v>642</v>
      </c>
      <c r="E1758" t="s">
        <v>642</v>
      </c>
      <c r="L1758" t="s">
        <v>93</v>
      </c>
      <c r="M1758">
        <v>80</v>
      </c>
      <c r="N1758" t="s">
        <v>20</v>
      </c>
      <c r="Q1758">
        <v>181.20400000000001</v>
      </c>
      <c r="R1758" t="s">
        <v>17</v>
      </c>
      <c r="T1758">
        <v>10</v>
      </c>
      <c r="V1758" t="s">
        <v>15</v>
      </c>
    </row>
    <row r="1759" spans="1:22" x14ac:dyDescent="0.25">
      <c r="A1759">
        <v>98</v>
      </c>
      <c r="B1759" t="s">
        <v>92</v>
      </c>
      <c r="C1759" t="s">
        <v>642</v>
      </c>
      <c r="E1759" t="s">
        <v>642</v>
      </c>
      <c r="L1759" t="s">
        <v>93</v>
      </c>
      <c r="M1759">
        <v>90</v>
      </c>
      <c r="N1759" t="s">
        <v>24</v>
      </c>
      <c r="Q1759">
        <v>1</v>
      </c>
      <c r="R1759" t="s">
        <v>11</v>
      </c>
      <c r="T1759">
        <v>10</v>
      </c>
      <c r="V1759" t="s">
        <v>15</v>
      </c>
    </row>
    <row r="1760" spans="1:22" x14ac:dyDescent="0.25">
      <c r="A1760">
        <v>98</v>
      </c>
      <c r="B1760" t="s">
        <v>92</v>
      </c>
      <c r="C1760" t="s">
        <v>642</v>
      </c>
      <c r="E1760" t="s">
        <v>642</v>
      </c>
      <c r="L1760" t="s">
        <v>93</v>
      </c>
      <c r="M1760">
        <v>100</v>
      </c>
      <c r="N1760" t="s">
        <v>141</v>
      </c>
      <c r="Q1760">
        <v>0.13300000000000001</v>
      </c>
      <c r="R1760" t="s">
        <v>14</v>
      </c>
      <c r="T1760">
        <v>10</v>
      </c>
      <c r="V1760" t="s">
        <v>15</v>
      </c>
    </row>
    <row r="1761" spans="1:22" x14ac:dyDescent="0.25">
      <c r="A1761">
        <v>98</v>
      </c>
      <c r="B1761" t="s">
        <v>92</v>
      </c>
      <c r="C1761" t="s">
        <v>642</v>
      </c>
      <c r="E1761" t="s">
        <v>642</v>
      </c>
      <c r="L1761" t="s">
        <v>93</v>
      </c>
      <c r="M1761">
        <v>110</v>
      </c>
      <c r="N1761" t="s">
        <v>140</v>
      </c>
      <c r="Q1761">
        <v>4</v>
      </c>
      <c r="R1761" t="s">
        <v>11</v>
      </c>
      <c r="T1761">
        <v>10</v>
      </c>
      <c r="V1761" t="s">
        <v>15</v>
      </c>
    </row>
    <row r="1762" spans="1:22" x14ac:dyDescent="0.25">
      <c r="A1762">
        <v>98</v>
      </c>
      <c r="B1762" t="s">
        <v>92</v>
      </c>
      <c r="C1762" t="s">
        <v>642</v>
      </c>
      <c r="E1762" t="s">
        <v>642</v>
      </c>
      <c r="L1762" t="s">
        <v>93</v>
      </c>
      <c r="M1762">
        <v>120</v>
      </c>
      <c r="N1762" t="s">
        <v>25</v>
      </c>
      <c r="Q1762">
        <v>1</v>
      </c>
      <c r="R1762" t="s">
        <v>11</v>
      </c>
      <c r="T1762">
        <v>10</v>
      </c>
      <c r="V1762" t="s">
        <v>15</v>
      </c>
    </row>
    <row r="1763" spans="1:22" x14ac:dyDescent="0.25">
      <c r="A1763">
        <v>98</v>
      </c>
      <c r="B1763" t="s">
        <v>92</v>
      </c>
      <c r="C1763" t="s">
        <v>642</v>
      </c>
      <c r="E1763" t="s">
        <v>642</v>
      </c>
      <c r="L1763" t="s">
        <v>93</v>
      </c>
      <c r="M1763">
        <v>130</v>
      </c>
      <c r="N1763" t="s">
        <v>26</v>
      </c>
      <c r="Q1763">
        <v>1</v>
      </c>
      <c r="R1763" t="s">
        <v>11</v>
      </c>
      <c r="T1763">
        <v>10</v>
      </c>
      <c r="V1763" t="s">
        <v>15</v>
      </c>
    </row>
    <row r="1764" spans="1:22" x14ac:dyDescent="0.25">
      <c r="A1764">
        <v>98</v>
      </c>
      <c r="B1764" t="s">
        <v>92</v>
      </c>
      <c r="C1764" t="s">
        <v>642</v>
      </c>
      <c r="E1764" t="s">
        <v>642</v>
      </c>
      <c r="L1764" t="s">
        <v>93</v>
      </c>
      <c r="M1764">
        <v>140</v>
      </c>
      <c r="N1764" t="s">
        <v>100</v>
      </c>
      <c r="Q1764">
        <v>1.1890000000000001</v>
      </c>
      <c r="R1764" t="s">
        <v>14</v>
      </c>
      <c r="T1764">
        <v>10</v>
      </c>
      <c r="V1764" t="s">
        <v>15</v>
      </c>
    </row>
    <row r="1765" spans="1:22" x14ac:dyDescent="0.25">
      <c r="A1765">
        <v>98</v>
      </c>
      <c r="B1765" t="s">
        <v>92</v>
      </c>
      <c r="C1765" t="s">
        <v>642</v>
      </c>
      <c r="E1765" t="s">
        <v>642</v>
      </c>
      <c r="L1765" t="s">
        <v>93</v>
      </c>
      <c r="M1765">
        <v>150</v>
      </c>
      <c r="N1765" t="s">
        <v>281</v>
      </c>
      <c r="Q1765">
        <v>1</v>
      </c>
      <c r="R1765" t="s">
        <v>11</v>
      </c>
      <c r="T1765">
        <v>10</v>
      </c>
      <c r="V1765" t="s">
        <v>18</v>
      </c>
    </row>
    <row r="1766" spans="1:22" x14ac:dyDescent="0.25">
      <c r="A1766">
        <v>98</v>
      </c>
      <c r="B1766" t="s">
        <v>92</v>
      </c>
      <c r="C1766" t="s">
        <v>642</v>
      </c>
      <c r="E1766" t="s">
        <v>642</v>
      </c>
      <c r="L1766" t="s">
        <v>93</v>
      </c>
      <c r="M1766">
        <v>160</v>
      </c>
      <c r="N1766" t="s">
        <v>282</v>
      </c>
      <c r="Q1766">
        <v>1</v>
      </c>
      <c r="R1766" t="s">
        <v>11</v>
      </c>
      <c r="T1766">
        <v>10</v>
      </c>
      <c r="V1766" t="s">
        <v>18</v>
      </c>
    </row>
    <row r="1767" spans="1:22" x14ac:dyDescent="0.25">
      <c r="A1767">
        <v>98</v>
      </c>
      <c r="B1767" t="s">
        <v>92</v>
      </c>
      <c r="C1767" t="s">
        <v>642</v>
      </c>
      <c r="E1767" t="s">
        <v>642</v>
      </c>
      <c r="L1767" t="s">
        <v>93</v>
      </c>
      <c r="M1767">
        <v>170</v>
      </c>
      <c r="N1767" t="s">
        <v>142</v>
      </c>
      <c r="Q1767">
        <v>7.3659999999999997</v>
      </c>
      <c r="R1767" t="s">
        <v>11</v>
      </c>
      <c r="T1767">
        <v>10</v>
      </c>
      <c r="V1767" t="s">
        <v>15</v>
      </c>
    </row>
    <row r="1768" spans="1:22" x14ac:dyDescent="0.25">
      <c r="A1768">
        <v>98</v>
      </c>
      <c r="B1768" t="s">
        <v>92</v>
      </c>
      <c r="C1768" t="s">
        <v>642</v>
      </c>
      <c r="E1768" t="s">
        <v>642</v>
      </c>
      <c r="L1768" t="s">
        <v>93</v>
      </c>
      <c r="M1768">
        <v>180</v>
      </c>
      <c r="N1768" t="s">
        <v>283</v>
      </c>
      <c r="Q1768">
        <v>1</v>
      </c>
      <c r="R1768" t="s">
        <v>11</v>
      </c>
      <c r="T1768">
        <v>10</v>
      </c>
      <c r="V1768" t="s">
        <v>18</v>
      </c>
    </row>
    <row r="1769" spans="1:22" x14ac:dyDescent="0.25">
      <c r="A1769">
        <v>99</v>
      </c>
      <c r="B1769" t="s">
        <v>92</v>
      </c>
      <c r="C1769" t="s">
        <v>644</v>
      </c>
      <c r="E1769" t="s">
        <v>644</v>
      </c>
      <c r="L1769" t="s">
        <v>93</v>
      </c>
      <c r="M1769">
        <v>10</v>
      </c>
      <c r="N1769" t="s">
        <v>285</v>
      </c>
      <c r="Q1769">
        <v>1</v>
      </c>
      <c r="R1769" t="s">
        <v>11</v>
      </c>
      <c r="T1769">
        <v>10</v>
      </c>
      <c r="V1769" t="s">
        <v>18</v>
      </c>
    </row>
    <row r="1770" spans="1:22" x14ac:dyDescent="0.25">
      <c r="A1770">
        <v>99</v>
      </c>
      <c r="B1770" t="s">
        <v>92</v>
      </c>
      <c r="C1770" t="s">
        <v>644</v>
      </c>
      <c r="E1770" t="s">
        <v>644</v>
      </c>
      <c r="L1770" t="s">
        <v>93</v>
      </c>
      <c r="M1770">
        <v>20</v>
      </c>
      <c r="N1770" t="s">
        <v>131</v>
      </c>
      <c r="Q1770">
        <v>5.0049999999999999</v>
      </c>
      <c r="R1770" t="s">
        <v>14</v>
      </c>
      <c r="T1770">
        <v>10</v>
      </c>
      <c r="V1770" t="s">
        <v>15</v>
      </c>
    </row>
    <row r="1771" spans="1:22" x14ac:dyDescent="0.25">
      <c r="A1771">
        <v>99</v>
      </c>
      <c r="B1771" t="s">
        <v>92</v>
      </c>
      <c r="C1771" t="s">
        <v>644</v>
      </c>
      <c r="E1771" t="s">
        <v>644</v>
      </c>
      <c r="L1771" t="s">
        <v>93</v>
      </c>
      <c r="M1771">
        <v>30</v>
      </c>
      <c r="N1771" t="s">
        <v>102</v>
      </c>
      <c r="Q1771">
        <v>1.325</v>
      </c>
      <c r="R1771" t="s">
        <v>103</v>
      </c>
      <c r="T1771">
        <v>10</v>
      </c>
      <c r="V1771" t="s">
        <v>15</v>
      </c>
    </row>
    <row r="1772" spans="1:22" x14ac:dyDescent="0.25">
      <c r="A1772">
        <v>99</v>
      </c>
      <c r="B1772" t="s">
        <v>92</v>
      </c>
      <c r="C1772" t="s">
        <v>644</v>
      </c>
      <c r="E1772" t="s">
        <v>644</v>
      </c>
      <c r="L1772" t="s">
        <v>93</v>
      </c>
      <c r="M1772">
        <v>40</v>
      </c>
      <c r="N1772" t="s">
        <v>597</v>
      </c>
      <c r="Q1772">
        <v>1.778</v>
      </c>
      <c r="R1772" t="s">
        <v>11</v>
      </c>
      <c r="T1772">
        <v>10</v>
      </c>
      <c r="V1772" t="s">
        <v>18</v>
      </c>
    </row>
    <row r="1773" spans="1:22" x14ac:dyDescent="0.25">
      <c r="A1773">
        <v>99</v>
      </c>
      <c r="B1773" t="s">
        <v>92</v>
      </c>
      <c r="C1773" t="s">
        <v>644</v>
      </c>
      <c r="E1773" t="s">
        <v>644</v>
      </c>
      <c r="L1773" t="s">
        <v>93</v>
      </c>
      <c r="M1773">
        <v>50</v>
      </c>
      <c r="N1773" t="s">
        <v>139</v>
      </c>
      <c r="Q1773">
        <v>1.778</v>
      </c>
      <c r="R1773" t="s">
        <v>17</v>
      </c>
      <c r="T1773">
        <v>10</v>
      </c>
      <c r="V1773" t="s">
        <v>18</v>
      </c>
    </row>
    <row r="1774" spans="1:22" x14ac:dyDescent="0.25">
      <c r="A1774">
        <v>99</v>
      </c>
      <c r="B1774" t="s">
        <v>92</v>
      </c>
      <c r="C1774" t="s">
        <v>644</v>
      </c>
      <c r="E1774" t="s">
        <v>644</v>
      </c>
      <c r="L1774" t="s">
        <v>93</v>
      </c>
      <c r="M1774">
        <v>60</v>
      </c>
      <c r="N1774" t="s">
        <v>645</v>
      </c>
      <c r="Q1774">
        <v>1</v>
      </c>
      <c r="R1774" t="s">
        <v>11</v>
      </c>
      <c r="T1774">
        <v>10</v>
      </c>
      <c r="V1774" t="s">
        <v>18</v>
      </c>
    </row>
    <row r="1775" spans="1:22" x14ac:dyDescent="0.25">
      <c r="A1775">
        <v>99</v>
      </c>
      <c r="B1775" t="s">
        <v>92</v>
      </c>
      <c r="C1775" t="s">
        <v>644</v>
      </c>
      <c r="E1775" t="s">
        <v>644</v>
      </c>
      <c r="L1775" t="s">
        <v>93</v>
      </c>
      <c r="M1775">
        <v>70</v>
      </c>
      <c r="N1775" t="s">
        <v>599</v>
      </c>
      <c r="Q1775">
        <v>23.012</v>
      </c>
      <c r="R1775" t="s">
        <v>17</v>
      </c>
      <c r="T1775">
        <v>10</v>
      </c>
      <c r="V1775" t="s">
        <v>15</v>
      </c>
    </row>
    <row r="1776" spans="1:22" x14ac:dyDescent="0.25">
      <c r="A1776">
        <v>99</v>
      </c>
      <c r="B1776" t="s">
        <v>92</v>
      </c>
      <c r="C1776" t="s">
        <v>644</v>
      </c>
      <c r="E1776" t="s">
        <v>644</v>
      </c>
      <c r="L1776" t="s">
        <v>93</v>
      </c>
      <c r="M1776">
        <v>80</v>
      </c>
      <c r="N1776" t="s">
        <v>20</v>
      </c>
      <c r="Q1776">
        <v>188.702</v>
      </c>
      <c r="R1776" t="s">
        <v>17</v>
      </c>
      <c r="T1776">
        <v>10</v>
      </c>
      <c r="V1776" t="s">
        <v>15</v>
      </c>
    </row>
    <row r="1777" spans="1:22" x14ac:dyDescent="0.25">
      <c r="A1777">
        <v>99</v>
      </c>
      <c r="B1777" t="s">
        <v>92</v>
      </c>
      <c r="C1777" t="s">
        <v>644</v>
      </c>
      <c r="E1777" t="s">
        <v>644</v>
      </c>
      <c r="L1777" t="s">
        <v>93</v>
      </c>
      <c r="M1777">
        <v>90</v>
      </c>
      <c r="N1777" t="s">
        <v>24</v>
      </c>
      <c r="Q1777">
        <v>1</v>
      </c>
      <c r="R1777" t="s">
        <v>11</v>
      </c>
      <c r="T1777">
        <v>10</v>
      </c>
      <c r="V1777" t="s">
        <v>15</v>
      </c>
    </row>
    <row r="1778" spans="1:22" x14ac:dyDescent="0.25">
      <c r="A1778">
        <v>99</v>
      </c>
      <c r="B1778" t="s">
        <v>92</v>
      </c>
      <c r="C1778" t="s">
        <v>644</v>
      </c>
      <c r="E1778" t="s">
        <v>644</v>
      </c>
      <c r="L1778" t="s">
        <v>93</v>
      </c>
      <c r="M1778">
        <v>100</v>
      </c>
      <c r="N1778" t="s">
        <v>141</v>
      </c>
      <c r="Q1778">
        <v>0.14299999999999999</v>
      </c>
      <c r="R1778" t="s">
        <v>14</v>
      </c>
      <c r="T1778">
        <v>10</v>
      </c>
      <c r="V1778" t="s">
        <v>15</v>
      </c>
    </row>
    <row r="1779" spans="1:22" x14ac:dyDescent="0.25">
      <c r="A1779">
        <v>99</v>
      </c>
      <c r="B1779" t="s">
        <v>92</v>
      </c>
      <c r="C1779" t="s">
        <v>644</v>
      </c>
      <c r="E1779" t="s">
        <v>644</v>
      </c>
      <c r="L1779" t="s">
        <v>93</v>
      </c>
      <c r="M1779">
        <v>110</v>
      </c>
      <c r="N1779" t="s">
        <v>140</v>
      </c>
      <c r="Q1779">
        <v>4</v>
      </c>
      <c r="R1779" t="s">
        <v>11</v>
      </c>
      <c r="T1779">
        <v>10</v>
      </c>
      <c r="V1779" t="s">
        <v>15</v>
      </c>
    </row>
    <row r="1780" spans="1:22" x14ac:dyDescent="0.25">
      <c r="A1780">
        <v>99</v>
      </c>
      <c r="B1780" t="s">
        <v>92</v>
      </c>
      <c r="C1780" t="s">
        <v>644</v>
      </c>
      <c r="E1780" t="s">
        <v>644</v>
      </c>
      <c r="L1780" t="s">
        <v>93</v>
      </c>
      <c r="M1780">
        <v>120</v>
      </c>
      <c r="N1780" t="s">
        <v>25</v>
      </c>
      <c r="Q1780">
        <v>1</v>
      </c>
      <c r="R1780" t="s">
        <v>11</v>
      </c>
      <c r="T1780">
        <v>10</v>
      </c>
      <c r="V1780" t="s">
        <v>15</v>
      </c>
    </row>
    <row r="1781" spans="1:22" x14ac:dyDescent="0.25">
      <c r="A1781">
        <v>99</v>
      </c>
      <c r="B1781" t="s">
        <v>92</v>
      </c>
      <c r="C1781" t="s">
        <v>644</v>
      </c>
      <c r="E1781" t="s">
        <v>644</v>
      </c>
      <c r="L1781" t="s">
        <v>93</v>
      </c>
      <c r="M1781">
        <v>130</v>
      </c>
      <c r="N1781" t="s">
        <v>26</v>
      </c>
      <c r="Q1781">
        <v>1</v>
      </c>
      <c r="R1781" t="s">
        <v>11</v>
      </c>
      <c r="T1781">
        <v>10</v>
      </c>
      <c r="V1781" t="s">
        <v>15</v>
      </c>
    </row>
    <row r="1782" spans="1:22" x14ac:dyDescent="0.25">
      <c r="A1782">
        <v>99</v>
      </c>
      <c r="B1782" t="s">
        <v>92</v>
      </c>
      <c r="C1782" t="s">
        <v>644</v>
      </c>
      <c r="E1782" t="s">
        <v>644</v>
      </c>
      <c r="L1782" t="s">
        <v>93</v>
      </c>
      <c r="M1782">
        <v>140</v>
      </c>
      <c r="N1782" t="s">
        <v>100</v>
      </c>
      <c r="Q1782">
        <v>1.1890000000000001</v>
      </c>
      <c r="R1782" t="s">
        <v>14</v>
      </c>
      <c r="T1782">
        <v>10</v>
      </c>
      <c r="V1782" t="s">
        <v>15</v>
      </c>
    </row>
    <row r="1783" spans="1:22" x14ac:dyDescent="0.25">
      <c r="A1783">
        <v>99</v>
      </c>
      <c r="B1783" t="s">
        <v>92</v>
      </c>
      <c r="C1783" t="s">
        <v>644</v>
      </c>
      <c r="E1783" t="s">
        <v>644</v>
      </c>
      <c r="L1783" t="s">
        <v>93</v>
      </c>
      <c r="M1783">
        <v>150</v>
      </c>
      <c r="N1783" t="s">
        <v>287</v>
      </c>
      <c r="Q1783">
        <v>1</v>
      </c>
      <c r="R1783" t="s">
        <v>11</v>
      </c>
      <c r="T1783">
        <v>10</v>
      </c>
      <c r="V1783" t="s">
        <v>18</v>
      </c>
    </row>
    <row r="1784" spans="1:22" x14ac:dyDescent="0.25">
      <c r="A1784">
        <v>99</v>
      </c>
      <c r="B1784" t="s">
        <v>92</v>
      </c>
      <c r="C1784" t="s">
        <v>644</v>
      </c>
      <c r="E1784" t="s">
        <v>644</v>
      </c>
      <c r="L1784" t="s">
        <v>93</v>
      </c>
      <c r="M1784">
        <v>160</v>
      </c>
      <c r="N1784" t="s">
        <v>288</v>
      </c>
      <c r="Q1784">
        <v>1</v>
      </c>
      <c r="R1784" t="s">
        <v>11</v>
      </c>
      <c r="T1784">
        <v>10</v>
      </c>
      <c r="V1784" t="s">
        <v>18</v>
      </c>
    </row>
    <row r="1785" spans="1:22" x14ac:dyDescent="0.25">
      <c r="A1785">
        <v>99</v>
      </c>
      <c r="B1785" t="s">
        <v>92</v>
      </c>
      <c r="C1785" t="s">
        <v>644</v>
      </c>
      <c r="E1785" t="s">
        <v>644</v>
      </c>
      <c r="L1785" t="s">
        <v>93</v>
      </c>
      <c r="M1785">
        <v>170</v>
      </c>
      <c r="N1785" t="s">
        <v>142</v>
      </c>
      <c r="Q1785">
        <v>7.6710000000000003</v>
      </c>
      <c r="R1785" t="s">
        <v>11</v>
      </c>
      <c r="T1785">
        <v>10</v>
      </c>
      <c r="V1785" t="s">
        <v>15</v>
      </c>
    </row>
    <row r="1786" spans="1:22" x14ac:dyDescent="0.25">
      <c r="A1786">
        <v>99</v>
      </c>
      <c r="B1786" t="s">
        <v>92</v>
      </c>
      <c r="C1786" t="s">
        <v>644</v>
      </c>
      <c r="E1786" t="s">
        <v>644</v>
      </c>
      <c r="L1786" t="s">
        <v>93</v>
      </c>
      <c r="M1786">
        <v>180</v>
      </c>
      <c r="N1786" t="s">
        <v>289</v>
      </c>
      <c r="Q1786">
        <v>1</v>
      </c>
      <c r="R1786" t="s">
        <v>11</v>
      </c>
      <c r="T1786">
        <v>10</v>
      </c>
      <c r="V1786" t="s">
        <v>18</v>
      </c>
    </row>
    <row r="1787" spans="1:22" x14ac:dyDescent="0.25">
      <c r="A1787">
        <v>100</v>
      </c>
      <c r="B1787" t="s">
        <v>92</v>
      </c>
      <c r="C1787" t="s">
        <v>646</v>
      </c>
      <c r="E1787" t="s">
        <v>646</v>
      </c>
      <c r="L1787" t="s">
        <v>93</v>
      </c>
      <c r="M1787">
        <v>10</v>
      </c>
      <c r="N1787" t="s">
        <v>291</v>
      </c>
      <c r="Q1787">
        <v>1</v>
      </c>
      <c r="R1787" t="s">
        <v>11</v>
      </c>
      <c r="T1787">
        <v>10</v>
      </c>
      <c r="V1787" t="s">
        <v>18</v>
      </c>
    </row>
    <row r="1788" spans="1:22" x14ac:dyDescent="0.25">
      <c r="A1788">
        <v>100</v>
      </c>
      <c r="B1788" t="s">
        <v>92</v>
      </c>
      <c r="C1788" t="s">
        <v>646</v>
      </c>
      <c r="E1788" t="s">
        <v>646</v>
      </c>
      <c r="L1788" t="s">
        <v>93</v>
      </c>
      <c r="M1788">
        <v>20</v>
      </c>
      <c r="N1788" t="s">
        <v>132</v>
      </c>
      <c r="Q1788">
        <v>2.5489999999999999</v>
      </c>
      <c r="R1788" t="s">
        <v>14</v>
      </c>
      <c r="T1788">
        <v>10</v>
      </c>
      <c r="V1788" t="s">
        <v>15</v>
      </c>
    </row>
    <row r="1789" spans="1:22" x14ac:dyDescent="0.25">
      <c r="A1789">
        <v>100</v>
      </c>
      <c r="B1789" t="s">
        <v>92</v>
      </c>
      <c r="C1789" t="s">
        <v>646</v>
      </c>
      <c r="E1789" t="s">
        <v>646</v>
      </c>
      <c r="L1789" t="s">
        <v>93</v>
      </c>
      <c r="M1789">
        <v>30</v>
      </c>
      <c r="N1789" t="s">
        <v>102</v>
      </c>
      <c r="Q1789">
        <v>0.64</v>
      </c>
      <c r="R1789" t="s">
        <v>103</v>
      </c>
      <c r="T1789">
        <v>10</v>
      </c>
      <c r="V1789" t="s">
        <v>15</v>
      </c>
    </row>
    <row r="1790" spans="1:22" x14ac:dyDescent="0.25">
      <c r="A1790">
        <v>100</v>
      </c>
      <c r="B1790" t="s">
        <v>92</v>
      </c>
      <c r="C1790" t="s">
        <v>646</v>
      </c>
      <c r="E1790" t="s">
        <v>646</v>
      </c>
      <c r="L1790" t="s">
        <v>93</v>
      </c>
      <c r="M1790">
        <v>40</v>
      </c>
      <c r="N1790" t="s">
        <v>597</v>
      </c>
      <c r="Q1790">
        <v>2.0569999999999999</v>
      </c>
      <c r="R1790" t="s">
        <v>11</v>
      </c>
      <c r="T1790">
        <v>10</v>
      </c>
      <c r="V1790" t="s">
        <v>18</v>
      </c>
    </row>
    <row r="1791" spans="1:22" x14ac:dyDescent="0.25">
      <c r="A1791">
        <v>100</v>
      </c>
      <c r="B1791" t="s">
        <v>92</v>
      </c>
      <c r="C1791" t="s">
        <v>646</v>
      </c>
      <c r="E1791" t="s">
        <v>646</v>
      </c>
      <c r="L1791" t="s">
        <v>93</v>
      </c>
      <c r="M1791">
        <v>50</v>
      </c>
      <c r="N1791" t="s">
        <v>139</v>
      </c>
      <c r="Q1791">
        <v>2.0569999999999999</v>
      </c>
      <c r="R1791" t="s">
        <v>17</v>
      </c>
      <c r="T1791">
        <v>10</v>
      </c>
      <c r="V1791" t="s">
        <v>18</v>
      </c>
    </row>
    <row r="1792" spans="1:22" x14ac:dyDescent="0.25">
      <c r="A1792">
        <v>100</v>
      </c>
      <c r="B1792" t="s">
        <v>92</v>
      </c>
      <c r="C1792" t="s">
        <v>646</v>
      </c>
      <c r="E1792" t="s">
        <v>646</v>
      </c>
      <c r="L1792" t="s">
        <v>93</v>
      </c>
      <c r="M1792">
        <v>60</v>
      </c>
      <c r="N1792" t="s">
        <v>647</v>
      </c>
      <c r="Q1792">
        <v>1</v>
      </c>
      <c r="R1792" t="s">
        <v>11</v>
      </c>
      <c r="T1792">
        <v>10</v>
      </c>
      <c r="V1792" t="s">
        <v>18</v>
      </c>
    </row>
    <row r="1793" spans="1:22" x14ac:dyDescent="0.25">
      <c r="A1793">
        <v>100</v>
      </c>
      <c r="B1793" t="s">
        <v>92</v>
      </c>
      <c r="C1793" t="s">
        <v>646</v>
      </c>
      <c r="E1793" t="s">
        <v>646</v>
      </c>
      <c r="L1793" t="s">
        <v>93</v>
      </c>
      <c r="M1793">
        <v>70</v>
      </c>
      <c r="N1793" t="s">
        <v>599</v>
      </c>
      <c r="Q1793">
        <v>17.831</v>
      </c>
      <c r="R1793" t="s">
        <v>17</v>
      </c>
      <c r="T1793">
        <v>10</v>
      </c>
      <c r="V1793" t="s">
        <v>15</v>
      </c>
    </row>
    <row r="1794" spans="1:22" x14ac:dyDescent="0.25">
      <c r="A1794">
        <v>100</v>
      </c>
      <c r="B1794" t="s">
        <v>92</v>
      </c>
      <c r="C1794" t="s">
        <v>646</v>
      </c>
      <c r="E1794" t="s">
        <v>646</v>
      </c>
      <c r="L1794" t="s">
        <v>93</v>
      </c>
      <c r="M1794">
        <v>80</v>
      </c>
      <c r="N1794" t="s">
        <v>20</v>
      </c>
      <c r="Q1794">
        <v>146.21299999999999</v>
      </c>
      <c r="R1794" t="s">
        <v>17</v>
      </c>
      <c r="T1794">
        <v>10</v>
      </c>
      <c r="V1794" t="s">
        <v>15</v>
      </c>
    </row>
    <row r="1795" spans="1:22" x14ac:dyDescent="0.25">
      <c r="A1795">
        <v>100</v>
      </c>
      <c r="B1795" t="s">
        <v>92</v>
      </c>
      <c r="C1795" t="s">
        <v>646</v>
      </c>
      <c r="E1795" t="s">
        <v>646</v>
      </c>
      <c r="L1795" t="s">
        <v>93</v>
      </c>
      <c r="M1795">
        <v>90</v>
      </c>
      <c r="N1795" t="s">
        <v>24</v>
      </c>
      <c r="Q1795">
        <v>1</v>
      </c>
      <c r="R1795" t="s">
        <v>11</v>
      </c>
      <c r="T1795">
        <v>10</v>
      </c>
      <c r="V1795" t="s">
        <v>15</v>
      </c>
    </row>
    <row r="1796" spans="1:22" x14ac:dyDescent="0.25">
      <c r="A1796">
        <v>100</v>
      </c>
      <c r="B1796" t="s">
        <v>92</v>
      </c>
      <c r="C1796" t="s">
        <v>646</v>
      </c>
      <c r="E1796" t="s">
        <v>646</v>
      </c>
      <c r="L1796" t="s">
        <v>93</v>
      </c>
      <c r="M1796">
        <v>100</v>
      </c>
      <c r="N1796" t="s">
        <v>141</v>
      </c>
      <c r="Q1796">
        <v>8.1000000000000003E-2</v>
      </c>
      <c r="R1796" t="s">
        <v>14</v>
      </c>
      <c r="T1796">
        <v>10</v>
      </c>
      <c r="V1796" t="s">
        <v>15</v>
      </c>
    </row>
    <row r="1797" spans="1:22" x14ac:dyDescent="0.25">
      <c r="A1797">
        <v>100</v>
      </c>
      <c r="B1797" t="s">
        <v>92</v>
      </c>
      <c r="C1797" t="s">
        <v>646</v>
      </c>
      <c r="E1797" t="s">
        <v>646</v>
      </c>
      <c r="L1797" t="s">
        <v>93</v>
      </c>
      <c r="M1797">
        <v>110</v>
      </c>
      <c r="N1797" t="s">
        <v>140</v>
      </c>
      <c r="Q1797">
        <v>4</v>
      </c>
      <c r="R1797" t="s">
        <v>11</v>
      </c>
      <c r="T1797">
        <v>10</v>
      </c>
      <c r="V1797" t="s">
        <v>15</v>
      </c>
    </row>
    <row r="1798" spans="1:22" x14ac:dyDescent="0.25">
      <c r="A1798">
        <v>100</v>
      </c>
      <c r="B1798" t="s">
        <v>92</v>
      </c>
      <c r="C1798" t="s">
        <v>646</v>
      </c>
      <c r="E1798" t="s">
        <v>646</v>
      </c>
      <c r="L1798" t="s">
        <v>93</v>
      </c>
      <c r="M1798">
        <v>120</v>
      </c>
      <c r="N1798" t="s">
        <v>25</v>
      </c>
      <c r="Q1798">
        <v>1</v>
      </c>
      <c r="R1798" t="s">
        <v>11</v>
      </c>
      <c r="T1798">
        <v>10</v>
      </c>
      <c r="V1798" t="s">
        <v>15</v>
      </c>
    </row>
    <row r="1799" spans="1:22" x14ac:dyDescent="0.25">
      <c r="A1799">
        <v>100</v>
      </c>
      <c r="B1799" t="s">
        <v>92</v>
      </c>
      <c r="C1799" t="s">
        <v>646</v>
      </c>
      <c r="E1799" t="s">
        <v>646</v>
      </c>
      <c r="L1799" t="s">
        <v>93</v>
      </c>
      <c r="M1799">
        <v>130</v>
      </c>
      <c r="N1799" t="s">
        <v>26</v>
      </c>
      <c r="Q1799">
        <v>1</v>
      </c>
      <c r="R1799" t="s">
        <v>11</v>
      </c>
      <c r="T1799">
        <v>10</v>
      </c>
      <c r="V1799" t="s">
        <v>15</v>
      </c>
    </row>
    <row r="1800" spans="1:22" x14ac:dyDescent="0.25">
      <c r="A1800">
        <v>100</v>
      </c>
      <c r="B1800" t="s">
        <v>92</v>
      </c>
      <c r="C1800" t="s">
        <v>646</v>
      </c>
      <c r="E1800" t="s">
        <v>646</v>
      </c>
      <c r="L1800" t="s">
        <v>93</v>
      </c>
      <c r="M1800">
        <v>140</v>
      </c>
      <c r="N1800" t="s">
        <v>100</v>
      </c>
      <c r="Q1800">
        <v>1.216</v>
      </c>
      <c r="R1800" t="s">
        <v>14</v>
      </c>
      <c r="T1800">
        <v>10</v>
      </c>
      <c r="V1800" t="s">
        <v>15</v>
      </c>
    </row>
    <row r="1801" spans="1:22" x14ac:dyDescent="0.25">
      <c r="A1801">
        <v>100</v>
      </c>
      <c r="B1801" t="s">
        <v>92</v>
      </c>
      <c r="C1801" t="s">
        <v>646</v>
      </c>
      <c r="E1801" t="s">
        <v>646</v>
      </c>
      <c r="L1801" t="s">
        <v>93</v>
      </c>
      <c r="M1801">
        <v>150</v>
      </c>
      <c r="N1801" t="s">
        <v>293</v>
      </c>
      <c r="Q1801">
        <v>1</v>
      </c>
      <c r="R1801" t="s">
        <v>11</v>
      </c>
      <c r="T1801">
        <v>10</v>
      </c>
      <c r="V1801" t="s">
        <v>18</v>
      </c>
    </row>
    <row r="1802" spans="1:22" x14ac:dyDescent="0.25">
      <c r="A1802">
        <v>100</v>
      </c>
      <c r="B1802" t="s">
        <v>92</v>
      </c>
      <c r="C1802" t="s">
        <v>646</v>
      </c>
      <c r="E1802" t="s">
        <v>646</v>
      </c>
      <c r="L1802" t="s">
        <v>93</v>
      </c>
      <c r="M1802">
        <v>160</v>
      </c>
      <c r="N1802" t="s">
        <v>294</v>
      </c>
      <c r="Q1802">
        <v>1</v>
      </c>
      <c r="R1802" t="s">
        <v>11</v>
      </c>
      <c r="T1802">
        <v>10</v>
      </c>
      <c r="V1802" t="s">
        <v>18</v>
      </c>
    </row>
    <row r="1803" spans="1:22" x14ac:dyDescent="0.25">
      <c r="A1803">
        <v>100</v>
      </c>
      <c r="B1803" t="s">
        <v>92</v>
      </c>
      <c r="C1803" t="s">
        <v>646</v>
      </c>
      <c r="E1803" t="s">
        <v>646</v>
      </c>
      <c r="L1803" t="s">
        <v>93</v>
      </c>
      <c r="M1803">
        <v>170</v>
      </c>
      <c r="N1803" t="s">
        <v>142</v>
      </c>
      <c r="Q1803">
        <v>5.944</v>
      </c>
      <c r="R1803" t="s">
        <v>11</v>
      </c>
      <c r="T1803">
        <v>10</v>
      </c>
      <c r="V1803" t="s">
        <v>15</v>
      </c>
    </row>
    <row r="1804" spans="1:22" x14ac:dyDescent="0.25">
      <c r="A1804">
        <v>100</v>
      </c>
      <c r="B1804" t="s">
        <v>92</v>
      </c>
      <c r="C1804" t="s">
        <v>646</v>
      </c>
      <c r="E1804" t="s">
        <v>646</v>
      </c>
      <c r="L1804" t="s">
        <v>93</v>
      </c>
      <c r="M1804">
        <v>180</v>
      </c>
      <c r="N1804" t="s">
        <v>295</v>
      </c>
      <c r="Q1804">
        <v>1</v>
      </c>
      <c r="R1804" t="s">
        <v>11</v>
      </c>
      <c r="T1804">
        <v>10</v>
      </c>
      <c r="V1804" t="s">
        <v>18</v>
      </c>
    </row>
    <row r="1805" spans="1:22" x14ac:dyDescent="0.25">
      <c r="A1805">
        <v>101</v>
      </c>
      <c r="B1805" t="s">
        <v>92</v>
      </c>
      <c r="C1805" t="s">
        <v>648</v>
      </c>
      <c r="E1805" t="s">
        <v>648</v>
      </c>
      <c r="L1805" t="s">
        <v>93</v>
      </c>
      <c r="M1805">
        <v>10</v>
      </c>
      <c r="N1805" t="s">
        <v>297</v>
      </c>
      <c r="Q1805">
        <v>1</v>
      </c>
      <c r="R1805" t="s">
        <v>11</v>
      </c>
      <c r="T1805">
        <v>10</v>
      </c>
      <c r="V1805" t="s">
        <v>18</v>
      </c>
    </row>
    <row r="1806" spans="1:22" x14ac:dyDescent="0.25">
      <c r="A1806">
        <v>101</v>
      </c>
      <c r="B1806" t="s">
        <v>92</v>
      </c>
      <c r="C1806" t="s">
        <v>648</v>
      </c>
      <c r="E1806" t="s">
        <v>648</v>
      </c>
      <c r="L1806" t="s">
        <v>93</v>
      </c>
      <c r="M1806">
        <v>20</v>
      </c>
      <c r="N1806" t="s">
        <v>132</v>
      </c>
      <c r="Q1806">
        <v>2.98</v>
      </c>
      <c r="R1806" t="s">
        <v>14</v>
      </c>
      <c r="T1806">
        <v>10</v>
      </c>
      <c r="V1806" t="s">
        <v>15</v>
      </c>
    </row>
    <row r="1807" spans="1:22" x14ac:dyDescent="0.25">
      <c r="A1807">
        <v>101</v>
      </c>
      <c r="B1807" t="s">
        <v>92</v>
      </c>
      <c r="C1807" t="s">
        <v>648</v>
      </c>
      <c r="E1807" t="s">
        <v>648</v>
      </c>
      <c r="L1807" t="s">
        <v>93</v>
      </c>
      <c r="M1807">
        <v>30</v>
      </c>
      <c r="N1807" t="s">
        <v>102</v>
      </c>
      <c r="Q1807">
        <v>0.76</v>
      </c>
      <c r="R1807" t="s">
        <v>103</v>
      </c>
      <c r="T1807">
        <v>10</v>
      </c>
      <c r="V1807" t="s">
        <v>15</v>
      </c>
    </row>
    <row r="1808" spans="1:22" x14ac:dyDescent="0.25">
      <c r="A1808">
        <v>101</v>
      </c>
      <c r="B1808" t="s">
        <v>92</v>
      </c>
      <c r="C1808" t="s">
        <v>648</v>
      </c>
      <c r="E1808" t="s">
        <v>648</v>
      </c>
      <c r="L1808" t="s">
        <v>93</v>
      </c>
      <c r="M1808">
        <v>40</v>
      </c>
      <c r="N1808" t="s">
        <v>597</v>
      </c>
      <c r="Q1808">
        <v>2.0569999999999999</v>
      </c>
      <c r="R1808" t="s">
        <v>11</v>
      </c>
      <c r="T1808">
        <v>10</v>
      </c>
      <c r="V1808" t="s">
        <v>18</v>
      </c>
    </row>
    <row r="1809" spans="1:22" x14ac:dyDescent="0.25">
      <c r="A1809">
        <v>101</v>
      </c>
      <c r="B1809" t="s">
        <v>92</v>
      </c>
      <c r="C1809" t="s">
        <v>648</v>
      </c>
      <c r="E1809" t="s">
        <v>648</v>
      </c>
      <c r="L1809" t="s">
        <v>93</v>
      </c>
      <c r="M1809">
        <v>50</v>
      </c>
      <c r="N1809" t="s">
        <v>139</v>
      </c>
      <c r="Q1809">
        <v>2.0569999999999999</v>
      </c>
      <c r="R1809" t="s">
        <v>17</v>
      </c>
      <c r="T1809">
        <v>10</v>
      </c>
      <c r="V1809" t="s">
        <v>18</v>
      </c>
    </row>
    <row r="1810" spans="1:22" x14ac:dyDescent="0.25">
      <c r="A1810">
        <v>101</v>
      </c>
      <c r="B1810" t="s">
        <v>92</v>
      </c>
      <c r="C1810" t="s">
        <v>648</v>
      </c>
      <c r="E1810" t="s">
        <v>648</v>
      </c>
      <c r="L1810" t="s">
        <v>93</v>
      </c>
      <c r="M1810">
        <v>60</v>
      </c>
      <c r="N1810" t="s">
        <v>649</v>
      </c>
      <c r="Q1810">
        <v>1</v>
      </c>
      <c r="R1810" t="s">
        <v>11</v>
      </c>
      <c r="T1810">
        <v>10</v>
      </c>
      <c r="V1810" t="s">
        <v>18</v>
      </c>
    </row>
    <row r="1811" spans="1:22" x14ac:dyDescent="0.25">
      <c r="A1811">
        <v>101</v>
      </c>
      <c r="B1811" t="s">
        <v>92</v>
      </c>
      <c r="C1811" t="s">
        <v>648</v>
      </c>
      <c r="E1811" t="s">
        <v>648</v>
      </c>
      <c r="L1811" t="s">
        <v>93</v>
      </c>
      <c r="M1811">
        <v>70</v>
      </c>
      <c r="N1811" t="s">
        <v>599</v>
      </c>
      <c r="Q1811">
        <v>18.745000000000001</v>
      </c>
      <c r="R1811" t="s">
        <v>17</v>
      </c>
      <c r="T1811">
        <v>10</v>
      </c>
      <c r="V1811" t="s">
        <v>15</v>
      </c>
    </row>
    <row r="1812" spans="1:22" x14ac:dyDescent="0.25">
      <c r="A1812">
        <v>101</v>
      </c>
      <c r="B1812" t="s">
        <v>92</v>
      </c>
      <c r="C1812" t="s">
        <v>648</v>
      </c>
      <c r="E1812" t="s">
        <v>648</v>
      </c>
      <c r="L1812" t="s">
        <v>93</v>
      </c>
      <c r="M1812">
        <v>80</v>
      </c>
      <c r="N1812" t="s">
        <v>20</v>
      </c>
      <c r="Q1812">
        <v>153.71100000000001</v>
      </c>
      <c r="R1812" t="s">
        <v>17</v>
      </c>
      <c r="T1812">
        <v>10</v>
      </c>
      <c r="V1812" t="s">
        <v>15</v>
      </c>
    </row>
    <row r="1813" spans="1:22" x14ac:dyDescent="0.25">
      <c r="A1813">
        <v>101</v>
      </c>
      <c r="B1813" t="s">
        <v>92</v>
      </c>
      <c r="C1813" t="s">
        <v>648</v>
      </c>
      <c r="E1813" t="s">
        <v>648</v>
      </c>
      <c r="L1813" t="s">
        <v>93</v>
      </c>
      <c r="M1813">
        <v>90</v>
      </c>
      <c r="N1813" t="s">
        <v>24</v>
      </c>
      <c r="Q1813">
        <v>1</v>
      </c>
      <c r="R1813" t="s">
        <v>11</v>
      </c>
      <c r="T1813">
        <v>10</v>
      </c>
      <c r="V1813" t="s">
        <v>15</v>
      </c>
    </row>
    <row r="1814" spans="1:22" x14ac:dyDescent="0.25">
      <c r="A1814">
        <v>101</v>
      </c>
      <c r="B1814" t="s">
        <v>92</v>
      </c>
      <c r="C1814" t="s">
        <v>648</v>
      </c>
      <c r="E1814" t="s">
        <v>648</v>
      </c>
      <c r="L1814" t="s">
        <v>93</v>
      </c>
      <c r="M1814">
        <v>100</v>
      </c>
      <c r="N1814" t="s">
        <v>141</v>
      </c>
      <c r="Q1814">
        <v>9.1999999999999998E-2</v>
      </c>
      <c r="R1814" t="s">
        <v>14</v>
      </c>
      <c r="T1814">
        <v>10</v>
      </c>
      <c r="V1814" t="s">
        <v>15</v>
      </c>
    </row>
    <row r="1815" spans="1:22" x14ac:dyDescent="0.25">
      <c r="A1815">
        <v>101</v>
      </c>
      <c r="B1815" t="s">
        <v>92</v>
      </c>
      <c r="C1815" t="s">
        <v>648</v>
      </c>
      <c r="E1815" t="s">
        <v>648</v>
      </c>
      <c r="L1815" t="s">
        <v>93</v>
      </c>
      <c r="M1815">
        <v>110</v>
      </c>
      <c r="N1815" t="s">
        <v>140</v>
      </c>
      <c r="Q1815">
        <v>4</v>
      </c>
      <c r="R1815" t="s">
        <v>11</v>
      </c>
      <c r="T1815">
        <v>10</v>
      </c>
      <c r="V1815" t="s">
        <v>15</v>
      </c>
    </row>
    <row r="1816" spans="1:22" x14ac:dyDescent="0.25">
      <c r="A1816">
        <v>101</v>
      </c>
      <c r="B1816" t="s">
        <v>92</v>
      </c>
      <c r="C1816" t="s">
        <v>648</v>
      </c>
      <c r="E1816" t="s">
        <v>648</v>
      </c>
      <c r="L1816" t="s">
        <v>93</v>
      </c>
      <c r="M1816">
        <v>120</v>
      </c>
      <c r="N1816" t="s">
        <v>25</v>
      </c>
      <c r="Q1816">
        <v>1</v>
      </c>
      <c r="R1816" t="s">
        <v>11</v>
      </c>
      <c r="T1816">
        <v>10</v>
      </c>
      <c r="V1816" t="s">
        <v>15</v>
      </c>
    </row>
    <row r="1817" spans="1:22" x14ac:dyDescent="0.25">
      <c r="A1817">
        <v>101</v>
      </c>
      <c r="B1817" t="s">
        <v>92</v>
      </c>
      <c r="C1817" t="s">
        <v>648</v>
      </c>
      <c r="E1817" t="s">
        <v>648</v>
      </c>
      <c r="L1817" t="s">
        <v>93</v>
      </c>
      <c r="M1817">
        <v>130</v>
      </c>
      <c r="N1817" t="s">
        <v>26</v>
      </c>
      <c r="Q1817">
        <v>1</v>
      </c>
      <c r="R1817" t="s">
        <v>11</v>
      </c>
      <c r="T1817">
        <v>10</v>
      </c>
      <c r="V1817" t="s">
        <v>15</v>
      </c>
    </row>
    <row r="1818" spans="1:22" x14ac:dyDescent="0.25">
      <c r="A1818">
        <v>101</v>
      </c>
      <c r="B1818" t="s">
        <v>92</v>
      </c>
      <c r="C1818" t="s">
        <v>648</v>
      </c>
      <c r="E1818" t="s">
        <v>648</v>
      </c>
      <c r="L1818" t="s">
        <v>93</v>
      </c>
      <c r="M1818">
        <v>140</v>
      </c>
      <c r="N1818" t="s">
        <v>100</v>
      </c>
      <c r="Q1818">
        <v>1.216</v>
      </c>
      <c r="R1818" t="s">
        <v>14</v>
      </c>
      <c r="T1818">
        <v>10</v>
      </c>
      <c r="V1818" t="s">
        <v>15</v>
      </c>
    </row>
    <row r="1819" spans="1:22" x14ac:dyDescent="0.25">
      <c r="A1819">
        <v>101</v>
      </c>
      <c r="B1819" t="s">
        <v>92</v>
      </c>
      <c r="C1819" t="s">
        <v>648</v>
      </c>
      <c r="E1819" t="s">
        <v>648</v>
      </c>
      <c r="L1819" t="s">
        <v>93</v>
      </c>
      <c r="M1819">
        <v>150</v>
      </c>
      <c r="N1819" t="s">
        <v>299</v>
      </c>
      <c r="Q1819">
        <v>1</v>
      </c>
      <c r="R1819" t="s">
        <v>11</v>
      </c>
      <c r="T1819">
        <v>10</v>
      </c>
      <c r="V1819" t="s">
        <v>18</v>
      </c>
    </row>
    <row r="1820" spans="1:22" x14ac:dyDescent="0.25">
      <c r="A1820">
        <v>101</v>
      </c>
      <c r="B1820" t="s">
        <v>92</v>
      </c>
      <c r="C1820" t="s">
        <v>648</v>
      </c>
      <c r="E1820" t="s">
        <v>648</v>
      </c>
      <c r="L1820" t="s">
        <v>93</v>
      </c>
      <c r="M1820">
        <v>160</v>
      </c>
      <c r="N1820" t="s">
        <v>300</v>
      </c>
      <c r="Q1820">
        <v>1</v>
      </c>
      <c r="R1820" t="s">
        <v>11</v>
      </c>
      <c r="T1820">
        <v>10</v>
      </c>
      <c r="V1820" t="s">
        <v>18</v>
      </c>
    </row>
    <row r="1821" spans="1:22" x14ac:dyDescent="0.25">
      <c r="A1821">
        <v>101</v>
      </c>
      <c r="B1821" t="s">
        <v>92</v>
      </c>
      <c r="C1821" t="s">
        <v>648</v>
      </c>
      <c r="E1821" t="s">
        <v>648</v>
      </c>
      <c r="L1821" t="s">
        <v>93</v>
      </c>
      <c r="M1821">
        <v>170</v>
      </c>
      <c r="N1821" t="s">
        <v>142</v>
      </c>
      <c r="Q1821">
        <v>6.2480000000000002</v>
      </c>
      <c r="R1821" t="s">
        <v>11</v>
      </c>
      <c r="T1821">
        <v>10</v>
      </c>
      <c r="V1821" t="s">
        <v>15</v>
      </c>
    </row>
    <row r="1822" spans="1:22" x14ac:dyDescent="0.25">
      <c r="A1822">
        <v>101</v>
      </c>
      <c r="B1822" t="s">
        <v>92</v>
      </c>
      <c r="C1822" t="s">
        <v>648</v>
      </c>
      <c r="E1822" t="s">
        <v>648</v>
      </c>
      <c r="L1822" t="s">
        <v>93</v>
      </c>
      <c r="M1822">
        <v>180</v>
      </c>
      <c r="N1822" t="s">
        <v>301</v>
      </c>
      <c r="Q1822">
        <v>1</v>
      </c>
      <c r="R1822" t="s">
        <v>11</v>
      </c>
      <c r="T1822">
        <v>10</v>
      </c>
      <c r="V1822" t="s">
        <v>18</v>
      </c>
    </row>
    <row r="1823" spans="1:22" x14ac:dyDescent="0.25">
      <c r="A1823">
        <v>102</v>
      </c>
      <c r="B1823" t="s">
        <v>92</v>
      </c>
      <c r="C1823" t="s">
        <v>650</v>
      </c>
      <c r="E1823" t="s">
        <v>650</v>
      </c>
      <c r="L1823" t="s">
        <v>93</v>
      </c>
      <c r="M1823">
        <v>10</v>
      </c>
      <c r="N1823" t="s">
        <v>303</v>
      </c>
      <c r="Q1823">
        <v>1</v>
      </c>
      <c r="R1823" t="s">
        <v>11</v>
      </c>
      <c r="T1823">
        <v>10</v>
      </c>
      <c r="V1823" t="s">
        <v>18</v>
      </c>
    </row>
    <row r="1824" spans="1:22" x14ac:dyDescent="0.25">
      <c r="A1824">
        <v>102</v>
      </c>
      <c r="B1824" t="s">
        <v>92</v>
      </c>
      <c r="C1824" t="s">
        <v>650</v>
      </c>
      <c r="E1824" t="s">
        <v>650</v>
      </c>
      <c r="L1824" t="s">
        <v>93</v>
      </c>
      <c r="M1824">
        <v>20</v>
      </c>
      <c r="N1824" t="s">
        <v>132</v>
      </c>
      <c r="Q1824">
        <v>3.411</v>
      </c>
      <c r="R1824" t="s">
        <v>14</v>
      </c>
      <c r="T1824">
        <v>10</v>
      </c>
      <c r="V1824" t="s">
        <v>15</v>
      </c>
    </row>
    <row r="1825" spans="1:22" x14ac:dyDescent="0.25">
      <c r="A1825">
        <v>102</v>
      </c>
      <c r="B1825" t="s">
        <v>92</v>
      </c>
      <c r="C1825" t="s">
        <v>650</v>
      </c>
      <c r="E1825" t="s">
        <v>650</v>
      </c>
      <c r="L1825" t="s">
        <v>93</v>
      </c>
      <c r="M1825">
        <v>30</v>
      </c>
      <c r="N1825" t="s">
        <v>102</v>
      </c>
      <c r="Q1825">
        <v>0.88</v>
      </c>
      <c r="R1825" t="s">
        <v>103</v>
      </c>
      <c r="T1825">
        <v>10</v>
      </c>
      <c r="V1825" t="s">
        <v>15</v>
      </c>
    </row>
    <row r="1826" spans="1:22" x14ac:dyDescent="0.25">
      <c r="A1826">
        <v>102</v>
      </c>
      <c r="B1826" t="s">
        <v>92</v>
      </c>
      <c r="C1826" t="s">
        <v>650</v>
      </c>
      <c r="E1826" t="s">
        <v>650</v>
      </c>
      <c r="L1826" t="s">
        <v>93</v>
      </c>
      <c r="M1826">
        <v>40</v>
      </c>
      <c r="N1826" t="s">
        <v>597</v>
      </c>
      <c r="Q1826">
        <v>2.0569999999999999</v>
      </c>
      <c r="R1826" t="s">
        <v>11</v>
      </c>
      <c r="T1826">
        <v>10</v>
      </c>
      <c r="V1826" t="s">
        <v>18</v>
      </c>
    </row>
    <row r="1827" spans="1:22" x14ac:dyDescent="0.25">
      <c r="A1827">
        <v>102</v>
      </c>
      <c r="B1827" t="s">
        <v>92</v>
      </c>
      <c r="C1827" t="s">
        <v>650</v>
      </c>
      <c r="E1827" t="s">
        <v>650</v>
      </c>
      <c r="L1827" t="s">
        <v>93</v>
      </c>
      <c r="M1827">
        <v>50</v>
      </c>
      <c r="N1827" t="s">
        <v>139</v>
      </c>
      <c r="Q1827">
        <v>2.0569999999999999</v>
      </c>
      <c r="R1827" t="s">
        <v>17</v>
      </c>
      <c r="T1827">
        <v>10</v>
      </c>
      <c r="V1827" t="s">
        <v>18</v>
      </c>
    </row>
    <row r="1828" spans="1:22" x14ac:dyDescent="0.25">
      <c r="A1828">
        <v>102</v>
      </c>
      <c r="B1828" t="s">
        <v>92</v>
      </c>
      <c r="C1828" t="s">
        <v>650</v>
      </c>
      <c r="E1828" t="s">
        <v>650</v>
      </c>
      <c r="L1828" t="s">
        <v>93</v>
      </c>
      <c r="M1828">
        <v>60</v>
      </c>
      <c r="N1828" t="s">
        <v>651</v>
      </c>
      <c r="Q1828">
        <v>1</v>
      </c>
      <c r="R1828" t="s">
        <v>11</v>
      </c>
      <c r="T1828">
        <v>10</v>
      </c>
      <c r="V1828" t="s">
        <v>18</v>
      </c>
    </row>
    <row r="1829" spans="1:22" x14ac:dyDescent="0.25">
      <c r="A1829">
        <v>102</v>
      </c>
      <c r="B1829" t="s">
        <v>92</v>
      </c>
      <c r="C1829" t="s">
        <v>650</v>
      </c>
      <c r="E1829" t="s">
        <v>650</v>
      </c>
      <c r="L1829" t="s">
        <v>93</v>
      </c>
      <c r="M1829">
        <v>70</v>
      </c>
      <c r="N1829" t="s">
        <v>599</v>
      </c>
      <c r="Q1829">
        <v>19.66</v>
      </c>
      <c r="R1829" t="s">
        <v>17</v>
      </c>
      <c r="T1829">
        <v>10</v>
      </c>
      <c r="V1829" t="s">
        <v>15</v>
      </c>
    </row>
    <row r="1830" spans="1:22" x14ac:dyDescent="0.25">
      <c r="A1830">
        <v>102</v>
      </c>
      <c r="B1830" t="s">
        <v>92</v>
      </c>
      <c r="C1830" t="s">
        <v>650</v>
      </c>
      <c r="E1830" t="s">
        <v>650</v>
      </c>
      <c r="L1830" t="s">
        <v>93</v>
      </c>
      <c r="M1830">
        <v>80</v>
      </c>
      <c r="N1830" t="s">
        <v>20</v>
      </c>
      <c r="Q1830">
        <v>161.209</v>
      </c>
      <c r="R1830" t="s">
        <v>17</v>
      </c>
      <c r="T1830">
        <v>10</v>
      </c>
      <c r="V1830" t="s">
        <v>15</v>
      </c>
    </row>
    <row r="1831" spans="1:22" x14ac:dyDescent="0.25">
      <c r="A1831">
        <v>102</v>
      </c>
      <c r="B1831" t="s">
        <v>92</v>
      </c>
      <c r="C1831" t="s">
        <v>650</v>
      </c>
      <c r="E1831" t="s">
        <v>650</v>
      </c>
      <c r="L1831" t="s">
        <v>93</v>
      </c>
      <c r="M1831">
        <v>90</v>
      </c>
      <c r="N1831" t="s">
        <v>24</v>
      </c>
      <c r="Q1831">
        <v>1</v>
      </c>
      <c r="R1831" t="s">
        <v>11</v>
      </c>
      <c r="T1831">
        <v>10</v>
      </c>
      <c r="V1831" t="s">
        <v>15</v>
      </c>
    </row>
    <row r="1832" spans="1:22" x14ac:dyDescent="0.25">
      <c r="A1832">
        <v>102</v>
      </c>
      <c r="B1832" t="s">
        <v>92</v>
      </c>
      <c r="C1832" t="s">
        <v>650</v>
      </c>
      <c r="E1832" t="s">
        <v>650</v>
      </c>
      <c r="L1832" t="s">
        <v>93</v>
      </c>
      <c r="M1832">
        <v>100</v>
      </c>
      <c r="N1832" t="s">
        <v>141</v>
      </c>
      <c r="Q1832">
        <v>0.10199999999999999</v>
      </c>
      <c r="R1832" t="s">
        <v>14</v>
      </c>
      <c r="T1832">
        <v>10</v>
      </c>
      <c r="V1832" t="s">
        <v>15</v>
      </c>
    </row>
    <row r="1833" spans="1:22" x14ac:dyDescent="0.25">
      <c r="A1833">
        <v>102</v>
      </c>
      <c r="B1833" t="s">
        <v>92</v>
      </c>
      <c r="C1833" t="s">
        <v>650</v>
      </c>
      <c r="E1833" t="s">
        <v>650</v>
      </c>
      <c r="L1833" t="s">
        <v>93</v>
      </c>
      <c r="M1833">
        <v>110</v>
      </c>
      <c r="N1833" t="s">
        <v>140</v>
      </c>
      <c r="Q1833">
        <v>4</v>
      </c>
      <c r="R1833" t="s">
        <v>11</v>
      </c>
      <c r="T1833">
        <v>10</v>
      </c>
      <c r="V1833" t="s">
        <v>15</v>
      </c>
    </row>
    <row r="1834" spans="1:22" x14ac:dyDescent="0.25">
      <c r="A1834">
        <v>102</v>
      </c>
      <c r="B1834" t="s">
        <v>92</v>
      </c>
      <c r="C1834" t="s">
        <v>650</v>
      </c>
      <c r="E1834" t="s">
        <v>650</v>
      </c>
      <c r="L1834" t="s">
        <v>93</v>
      </c>
      <c r="M1834">
        <v>120</v>
      </c>
      <c r="N1834" t="s">
        <v>25</v>
      </c>
      <c r="Q1834">
        <v>1</v>
      </c>
      <c r="R1834" t="s">
        <v>11</v>
      </c>
      <c r="T1834">
        <v>10</v>
      </c>
      <c r="V1834" t="s">
        <v>15</v>
      </c>
    </row>
    <row r="1835" spans="1:22" x14ac:dyDescent="0.25">
      <c r="A1835">
        <v>102</v>
      </c>
      <c r="B1835" t="s">
        <v>92</v>
      </c>
      <c r="C1835" t="s">
        <v>650</v>
      </c>
      <c r="E1835" t="s">
        <v>650</v>
      </c>
      <c r="L1835" t="s">
        <v>93</v>
      </c>
      <c r="M1835">
        <v>130</v>
      </c>
      <c r="N1835" t="s">
        <v>26</v>
      </c>
      <c r="Q1835">
        <v>1</v>
      </c>
      <c r="R1835" t="s">
        <v>11</v>
      </c>
      <c r="T1835">
        <v>10</v>
      </c>
      <c r="V1835" t="s">
        <v>15</v>
      </c>
    </row>
    <row r="1836" spans="1:22" x14ac:dyDescent="0.25">
      <c r="A1836">
        <v>102</v>
      </c>
      <c r="B1836" t="s">
        <v>92</v>
      </c>
      <c r="C1836" t="s">
        <v>650</v>
      </c>
      <c r="E1836" t="s">
        <v>650</v>
      </c>
      <c r="L1836" t="s">
        <v>93</v>
      </c>
      <c r="M1836">
        <v>140</v>
      </c>
      <c r="N1836" t="s">
        <v>100</v>
      </c>
      <c r="Q1836">
        <v>1.216</v>
      </c>
      <c r="R1836" t="s">
        <v>14</v>
      </c>
      <c r="T1836">
        <v>10</v>
      </c>
      <c r="V1836" t="s">
        <v>15</v>
      </c>
    </row>
    <row r="1837" spans="1:22" x14ac:dyDescent="0.25">
      <c r="A1837">
        <v>102</v>
      </c>
      <c r="B1837" t="s">
        <v>92</v>
      </c>
      <c r="C1837" t="s">
        <v>650</v>
      </c>
      <c r="E1837" t="s">
        <v>650</v>
      </c>
      <c r="L1837" t="s">
        <v>93</v>
      </c>
      <c r="M1837">
        <v>150</v>
      </c>
      <c r="N1837" t="s">
        <v>305</v>
      </c>
      <c r="Q1837">
        <v>1</v>
      </c>
      <c r="R1837" t="s">
        <v>11</v>
      </c>
      <c r="T1837">
        <v>10</v>
      </c>
      <c r="V1837" t="s">
        <v>18</v>
      </c>
    </row>
    <row r="1838" spans="1:22" x14ac:dyDescent="0.25">
      <c r="A1838">
        <v>102</v>
      </c>
      <c r="B1838" t="s">
        <v>92</v>
      </c>
      <c r="C1838" t="s">
        <v>650</v>
      </c>
      <c r="E1838" t="s">
        <v>650</v>
      </c>
      <c r="L1838" t="s">
        <v>93</v>
      </c>
      <c r="M1838">
        <v>160</v>
      </c>
      <c r="N1838" t="s">
        <v>306</v>
      </c>
      <c r="Q1838">
        <v>1</v>
      </c>
      <c r="R1838" t="s">
        <v>11</v>
      </c>
      <c r="T1838">
        <v>10</v>
      </c>
      <c r="V1838" t="s">
        <v>18</v>
      </c>
    </row>
    <row r="1839" spans="1:22" x14ac:dyDescent="0.25">
      <c r="A1839">
        <v>102</v>
      </c>
      <c r="B1839" t="s">
        <v>92</v>
      </c>
      <c r="C1839" t="s">
        <v>650</v>
      </c>
      <c r="E1839" t="s">
        <v>650</v>
      </c>
      <c r="L1839" t="s">
        <v>93</v>
      </c>
      <c r="M1839">
        <v>170</v>
      </c>
      <c r="N1839" t="s">
        <v>142</v>
      </c>
      <c r="Q1839">
        <v>6.5529999999999999</v>
      </c>
      <c r="R1839" t="s">
        <v>11</v>
      </c>
      <c r="T1839">
        <v>10</v>
      </c>
      <c r="V1839" t="s">
        <v>15</v>
      </c>
    </row>
    <row r="1840" spans="1:22" x14ac:dyDescent="0.25">
      <c r="A1840">
        <v>102</v>
      </c>
      <c r="B1840" t="s">
        <v>92</v>
      </c>
      <c r="C1840" t="s">
        <v>650</v>
      </c>
      <c r="E1840" t="s">
        <v>650</v>
      </c>
      <c r="L1840" t="s">
        <v>93</v>
      </c>
      <c r="M1840">
        <v>180</v>
      </c>
      <c r="N1840" t="s">
        <v>307</v>
      </c>
      <c r="Q1840">
        <v>1</v>
      </c>
      <c r="R1840" t="s">
        <v>11</v>
      </c>
      <c r="T1840">
        <v>10</v>
      </c>
      <c r="V1840" t="s">
        <v>18</v>
      </c>
    </row>
    <row r="1841" spans="1:22" x14ac:dyDescent="0.25">
      <c r="A1841">
        <v>103</v>
      </c>
      <c r="B1841" t="s">
        <v>92</v>
      </c>
      <c r="C1841" t="s">
        <v>652</v>
      </c>
      <c r="E1841" t="s">
        <v>652</v>
      </c>
      <c r="L1841" t="s">
        <v>93</v>
      </c>
      <c r="M1841">
        <v>10</v>
      </c>
      <c r="N1841" t="s">
        <v>309</v>
      </c>
      <c r="Q1841">
        <v>1</v>
      </c>
      <c r="R1841" t="s">
        <v>11</v>
      </c>
      <c r="T1841">
        <v>10</v>
      </c>
      <c r="V1841" t="s">
        <v>18</v>
      </c>
    </row>
    <row r="1842" spans="1:22" x14ac:dyDescent="0.25">
      <c r="A1842">
        <v>103</v>
      </c>
      <c r="B1842" t="s">
        <v>92</v>
      </c>
      <c r="C1842" t="s">
        <v>652</v>
      </c>
      <c r="E1842" t="s">
        <v>652</v>
      </c>
      <c r="L1842" t="s">
        <v>93</v>
      </c>
      <c r="M1842">
        <v>20</v>
      </c>
      <c r="N1842" t="s">
        <v>132</v>
      </c>
      <c r="Q1842">
        <v>4.2720000000000002</v>
      </c>
      <c r="R1842" t="s">
        <v>14</v>
      </c>
      <c r="T1842">
        <v>10</v>
      </c>
      <c r="V1842" t="s">
        <v>15</v>
      </c>
    </row>
    <row r="1843" spans="1:22" x14ac:dyDescent="0.25">
      <c r="A1843">
        <v>103</v>
      </c>
      <c r="B1843" t="s">
        <v>92</v>
      </c>
      <c r="C1843" t="s">
        <v>652</v>
      </c>
      <c r="E1843" t="s">
        <v>652</v>
      </c>
      <c r="L1843" t="s">
        <v>93</v>
      </c>
      <c r="M1843">
        <v>30</v>
      </c>
      <c r="N1843" t="s">
        <v>102</v>
      </c>
      <c r="Q1843">
        <v>1</v>
      </c>
      <c r="R1843" t="s">
        <v>103</v>
      </c>
      <c r="T1843">
        <v>10</v>
      </c>
      <c r="V1843" t="s">
        <v>15</v>
      </c>
    </row>
    <row r="1844" spans="1:22" x14ac:dyDescent="0.25">
      <c r="A1844">
        <v>103</v>
      </c>
      <c r="B1844" t="s">
        <v>92</v>
      </c>
      <c r="C1844" t="s">
        <v>652</v>
      </c>
      <c r="E1844" t="s">
        <v>652</v>
      </c>
      <c r="L1844" t="s">
        <v>93</v>
      </c>
      <c r="M1844">
        <v>40</v>
      </c>
      <c r="N1844" t="s">
        <v>597</v>
      </c>
      <c r="Q1844">
        <v>2.0569999999999999</v>
      </c>
      <c r="R1844" t="s">
        <v>11</v>
      </c>
      <c r="T1844">
        <v>10</v>
      </c>
      <c r="V1844" t="s">
        <v>18</v>
      </c>
    </row>
    <row r="1845" spans="1:22" x14ac:dyDescent="0.25">
      <c r="A1845">
        <v>103</v>
      </c>
      <c r="B1845" t="s">
        <v>92</v>
      </c>
      <c r="C1845" t="s">
        <v>652</v>
      </c>
      <c r="E1845" t="s">
        <v>652</v>
      </c>
      <c r="L1845" t="s">
        <v>93</v>
      </c>
      <c r="M1845">
        <v>50</v>
      </c>
      <c r="N1845" t="s">
        <v>139</v>
      </c>
      <c r="Q1845">
        <v>2.0569999999999999</v>
      </c>
      <c r="R1845" t="s">
        <v>17</v>
      </c>
      <c r="T1845">
        <v>10</v>
      </c>
      <c r="V1845" t="s">
        <v>18</v>
      </c>
    </row>
    <row r="1846" spans="1:22" x14ac:dyDescent="0.25">
      <c r="A1846">
        <v>103</v>
      </c>
      <c r="B1846" t="s">
        <v>92</v>
      </c>
      <c r="C1846" t="s">
        <v>652</v>
      </c>
      <c r="E1846" t="s">
        <v>652</v>
      </c>
      <c r="L1846" t="s">
        <v>93</v>
      </c>
      <c r="M1846">
        <v>60</v>
      </c>
      <c r="N1846" t="s">
        <v>653</v>
      </c>
      <c r="Q1846">
        <v>1</v>
      </c>
      <c r="R1846" t="s">
        <v>11</v>
      </c>
      <c r="T1846">
        <v>10</v>
      </c>
      <c r="V1846" t="s">
        <v>18</v>
      </c>
    </row>
    <row r="1847" spans="1:22" x14ac:dyDescent="0.25">
      <c r="A1847">
        <v>103</v>
      </c>
      <c r="B1847" t="s">
        <v>92</v>
      </c>
      <c r="C1847" t="s">
        <v>652</v>
      </c>
      <c r="E1847" t="s">
        <v>652</v>
      </c>
      <c r="L1847" t="s">
        <v>93</v>
      </c>
      <c r="M1847">
        <v>70</v>
      </c>
      <c r="N1847" t="s">
        <v>599</v>
      </c>
      <c r="Q1847">
        <v>20.574000000000002</v>
      </c>
      <c r="R1847" t="s">
        <v>17</v>
      </c>
      <c r="T1847">
        <v>10</v>
      </c>
      <c r="V1847" t="s">
        <v>15</v>
      </c>
    </row>
    <row r="1848" spans="1:22" x14ac:dyDescent="0.25">
      <c r="A1848">
        <v>103</v>
      </c>
      <c r="B1848" t="s">
        <v>92</v>
      </c>
      <c r="C1848" t="s">
        <v>652</v>
      </c>
      <c r="E1848" t="s">
        <v>652</v>
      </c>
      <c r="L1848" t="s">
        <v>93</v>
      </c>
      <c r="M1848">
        <v>80</v>
      </c>
      <c r="N1848" t="s">
        <v>20</v>
      </c>
      <c r="Q1848">
        <v>168.70699999999999</v>
      </c>
      <c r="R1848" t="s">
        <v>17</v>
      </c>
      <c r="T1848">
        <v>10</v>
      </c>
      <c r="V1848" t="s">
        <v>15</v>
      </c>
    </row>
    <row r="1849" spans="1:22" x14ac:dyDescent="0.25">
      <c r="A1849">
        <v>103</v>
      </c>
      <c r="B1849" t="s">
        <v>92</v>
      </c>
      <c r="C1849" t="s">
        <v>652</v>
      </c>
      <c r="E1849" t="s">
        <v>652</v>
      </c>
      <c r="L1849" t="s">
        <v>93</v>
      </c>
      <c r="M1849">
        <v>90</v>
      </c>
      <c r="N1849" t="s">
        <v>24</v>
      </c>
      <c r="Q1849">
        <v>1</v>
      </c>
      <c r="R1849" t="s">
        <v>11</v>
      </c>
      <c r="T1849">
        <v>10</v>
      </c>
      <c r="V1849" t="s">
        <v>15</v>
      </c>
    </row>
    <row r="1850" spans="1:22" x14ac:dyDescent="0.25">
      <c r="A1850">
        <v>103</v>
      </c>
      <c r="B1850" t="s">
        <v>92</v>
      </c>
      <c r="C1850" t="s">
        <v>652</v>
      </c>
      <c r="E1850" t="s">
        <v>652</v>
      </c>
      <c r="L1850" t="s">
        <v>93</v>
      </c>
      <c r="M1850">
        <v>100</v>
      </c>
      <c r="N1850" t="s">
        <v>141</v>
      </c>
      <c r="Q1850">
        <v>0.112</v>
      </c>
      <c r="R1850" t="s">
        <v>14</v>
      </c>
      <c r="T1850">
        <v>10</v>
      </c>
      <c r="V1850" t="s">
        <v>15</v>
      </c>
    </row>
    <row r="1851" spans="1:22" x14ac:dyDescent="0.25">
      <c r="A1851">
        <v>103</v>
      </c>
      <c r="B1851" t="s">
        <v>92</v>
      </c>
      <c r="C1851" t="s">
        <v>652</v>
      </c>
      <c r="E1851" t="s">
        <v>652</v>
      </c>
      <c r="L1851" t="s">
        <v>93</v>
      </c>
      <c r="M1851">
        <v>110</v>
      </c>
      <c r="N1851" t="s">
        <v>140</v>
      </c>
      <c r="Q1851">
        <v>4</v>
      </c>
      <c r="R1851" t="s">
        <v>11</v>
      </c>
      <c r="T1851">
        <v>10</v>
      </c>
      <c r="V1851" t="s">
        <v>15</v>
      </c>
    </row>
    <row r="1852" spans="1:22" x14ac:dyDescent="0.25">
      <c r="A1852">
        <v>103</v>
      </c>
      <c r="B1852" t="s">
        <v>92</v>
      </c>
      <c r="C1852" t="s">
        <v>652</v>
      </c>
      <c r="E1852" t="s">
        <v>652</v>
      </c>
      <c r="L1852" t="s">
        <v>93</v>
      </c>
      <c r="M1852">
        <v>120</v>
      </c>
      <c r="N1852" t="s">
        <v>25</v>
      </c>
      <c r="Q1852">
        <v>1</v>
      </c>
      <c r="R1852" t="s">
        <v>11</v>
      </c>
      <c r="T1852">
        <v>10</v>
      </c>
      <c r="V1852" t="s">
        <v>15</v>
      </c>
    </row>
    <row r="1853" spans="1:22" x14ac:dyDescent="0.25">
      <c r="A1853">
        <v>103</v>
      </c>
      <c r="B1853" t="s">
        <v>92</v>
      </c>
      <c r="C1853" t="s">
        <v>652</v>
      </c>
      <c r="E1853" t="s">
        <v>652</v>
      </c>
      <c r="L1853" t="s">
        <v>93</v>
      </c>
      <c r="M1853">
        <v>130</v>
      </c>
      <c r="N1853" t="s">
        <v>26</v>
      </c>
      <c r="Q1853">
        <v>1</v>
      </c>
      <c r="R1853" t="s">
        <v>11</v>
      </c>
      <c r="T1853">
        <v>10</v>
      </c>
      <c r="V1853" t="s">
        <v>15</v>
      </c>
    </row>
    <row r="1854" spans="1:22" x14ac:dyDescent="0.25">
      <c r="A1854">
        <v>103</v>
      </c>
      <c r="B1854" t="s">
        <v>92</v>
      </c>
      <c r="C1854" t="s">
        <v>652</v>
      </c>
      <c r="E1854" t="s">
        <v>652</v>
      </c>
      <c r="L1854" t="s">
        <v>93</v>
      </c>
      <c r="M1854">
        <v>140</v>
      </c>
      <c r="N1854" t="s">
        <v>100</v>
      </c>
      <c r="Q1854">
        <v>1.216</v>
      </c>
      <c r="R1854" t="s">
        <v>14</v>
      </c>
      <c r="T1854">
        <v>10</v>
      </c>
      <c r="V1854" t="s">
        <v>15</v>
      </c>
    </row>
    <row r="1855" spans="1:22" x14ac:dyDescent="0.25">
      <c r="A1855">
        <v>103</v>
      </c>
      <c r="B1855" t="s">
        <v>92</v>
      </c>
      <c r="C1855" t="s">
        <v>652</v>
      </c>
      <c r="E1855" t="s">
        <v>652</v>
      </c>
      <c r="L1855" t="s">
        <v>93</v>
      </c>
      <c r="M1855">
        <v>150</v>
      </c>
      <c r="N1855" t="s">
        <v>311</v>
      </c>
      <c r="Q1855">
        <v>1</v>
      </c>
      <c r="R1855" t="s">
        <v>11</v>
      </c>
      <c r="T1855">
        <v>10</v>
      </c>
      <c r="V1855" t="s">
        <v>18</v>
      </c>
    </row>
    <row r="1856" spans="1:22" x14ac:dyDescent="0.25">
      <c r="A1856">
        <v>103</v>
      </c>
      <c r="B1856" t="s">
        <v>92</v>
      </c>
      <c r="C1856" t="s">
        <v>652</v>
      </c>
      <c r="E1856" t="s">
        <v>652</v>
      </c>
      <c r="L1856" t="s">
        <v>93</v>
      </c>
      <c r="M1856">
        <v>160</v>
      </c>
      <c r="N1856" t="s">
        <v>312</v>
      </c>
      <c r="Q1856">
        <v>1</v>
      </c>
      <c r="R1856" t="s">
        <v>11</v>
      </c>
      <c r="T1856">
        <v>10</v>
      </c>
      <c r="V1856" t="s">
        <v>18</v>
      </c>
    </row>
    <row r="1857" spans="1:22" x14ac:dyDescent="0.25">
      <c r="A1857">
        <v>103</v>
      </c>
      <c r="B1857" t="s">
        <v>92</v>
      </c>
      <c r="C1857" t="s">
        <v>652</v>
      </c>
      <c r="E1857" t="s">
        <v>652</v>
      </c>
      <c r="L1857" t="s">
        <v>93</v>
      </c>
      <c r="M1857">
        <v>170</v>
      </c>
      <c r="N1857" t="s">
        <v>142</v>
      </c>
      <c r="Q1857">
        <v>6.8579999999999997</v>
      </c>
      <c r="R1857" t="s">
        <v>11</v>
      </c>
      <c r="T1857">
        <v>10</v>
      </c>
      <c r="V1857" t="s">
        <v>15</v>
      </c>
    </row>
    <row r="1858" spans="1:22" x14ac:dyDescent="0.25">
      <c r="A1858">
        <v>103</v>
      </c>
      <c r="B1858" t="s">
        <v>92</v>
      </c>
      <c r="C1858" t="s">
        <v>652</v>
      </c>
      <c r="E1858" t="s">
        <v>652</v>
      </c>
      <c r="L1858" t="s">
        <v>93</v>
      </c>
      <c r="M1858">
        <v>180</v>
      </c>
      <c r="N1858" t="s">
        <v>313</v>
      </c>
      <c r="Q1858">
        <v>1</v>
      </c>
      <c r="R1858" t="s">
        <v>11</v>
      </c>
      <c r="T1858">
        <v>10</v>
      </c>
      <c r="V1858" t="s">
        <v>18</v>
      </c>
    </row>
    <row r="1859" spans="1:22" x14ac:dyDescent="0.25">
      <c r="A1859">
        <v>104</v>
      </c>
      <c r="B1859" t="s">
        <v>92</v>
      </c>
      <c r="C1859" t="s">
        <v>654</v>
      </c>
      <c r="E1859" t="s">
        <v>654</v>
      </c>
      <c r="L1859" t="s">
        <v>93</v>
      </c>
      <c r="M1859">
        <v>10</v>
      </c>
      <c r="N1859" t="s">
        <v>315</v>
      </c>
      <c r="Q1859">
        <v>1</v>
      </c>
      <c r="R1859" t="s">
        <v>11</v>
      </c>
      <c r="T1859">
        <v>10</v>
      </c>
      <c r="V1859" t="s">
        <v>18</v>
      </c>
    </row>
    <row r="1860" spans="1:22" x14ac:dyDescent="0.25">
      <c r="A1860">
        <v>104</v>
      </c>
      <c r="B1860" t="s">
        <v>92</v>
      </c>
      <c r="C1860" t="s">
        <v>654</v>
      </c>
      <c r="E1860" t="s">
        <v>654</v>
      </c>
      <c r="L1860" t="s">
        <v>93</v>
      </c>
      <c r="M1860">
        <v>20</v>
      </c>
      <c r="N1860" t="s">
        <v>132</v>
      </c>
      <c r="Q1860">
        <v>4.2720000000000002</v>
      </c>
      <c r="R1860" t="s">
        <v>14</v>
      </c>
      <c r="T1860">
        <v>10</v>
      </c>
      <c r="V1860" t="s">
        <v>15</v>
      </c>
    </row>
    <row r="1861" spans="1:22" x14ac:dyDescent="0.25">
      <c r="A1861">
        <v>104</v>
      </c>
      <c r="B1861" t="s">
        <v>92</v>
      </c>
      <c r="C1861" t="s">
        <v>654</v>
      </c>
      <c r="E1861" t="s">
        <v>654</v>
      </c>
      <c r="L1861" t="s">
        <v>93</v>
      </c>
      <c r="M1861">
        <v>30</v>
      </c>
      <c r="N1861" t="s">
        <v>102</v>
      </c>
      <c r="Q1861">
        <v>1.06</v>
      </c>
      <c r="R1861" t="s">
        <v>103</v>
      </c>
      <c r="T1861">
        <v>10</v>
      </c>
      <c r="V1861" t="s">
        <v>15</v>
      </c>
    </row>
    <row r="1862" spans="1:22" x14ac:dyDescent="0.25">
      <c r="A1862">
        <v>104</v>
      </c>
      <c r="B1862" t="s">
        <v>92</v>
      </c>
      <c r="C1862" t="s">
        <v>654</v>
      </c>
      <c r="E1862" t="s">
        <v>654</v>
      </c>
      <c r="L1862" t="s">
        <v>93</v>
      </c>
      <c r="M1862">
        <v>40</v>
      </c>
      <c r="N1862" t="s">
        <v>597</v>
      </c>
      <c r="Q1862">
        <v>2.0569999999999999</v>
      </c>
      <c r="R1862" t="s">
        <v>11</v>
      </c>
      <c r="T1862">
        <v>10</v>
      </c>
      <c r="V1862" t="s">
        <v>18</v>
      </c>
    </row>
    <row r="1863" spans="1:22" x14ac:dyDescent="0.25">
      <c r="A1863">
        <v>104</v>
      </c>
      <c r="B1863" t="s">
        <v>92</v>
      </c>
      <c r="C1863" t="s">
        <v>654</v>
      </c>
      <c r="E1863" t="s">
        <v>654</v>
      </c>
      <c r="L1863" t="s">
        <v>93</v>
      </c>
      <c r="M1863">
        <v>50</v>
      </c>
      <c r="N1863" t="s">
        <v>139</v>
      </c>
      <c r="Q1863">
        <v>2.0569999999999999</v>
      </c>
      <c r="R1863" t="s">
        <v>17</v>
      </c>
      <c r="T1863">
        <v>10</v>
      </c>
      <c r="V1863" t="s">
        <v>18</v>
      </c>
    </row>
    <row r="1864" spans="1:22" x14ac:dyDescent="0.25">
      <c r="A1864">
        <v>104</v>
      </c>
      <c r="B1864" t="s">
        <v>92</v>
      </c>
      <c r="C1864" t="s">
        <v>654</v>
      </c>
      <c r="E1864" t="s">
        <v>654</v>
      </c>
      <c r="L1864" t="s">
        <v>93</v>
      </c>
      <c r="M1864">
        <v>60</v>
      </c>
      <c r="N1864" t="s">
        <v>655</v>
      </c>
      <c r="Q1864">
        <v>1</v>
      </c>
      <c r="R1864" t="s">
        <v>11</v>
      </c>
      <c r="T1864">
        <v>10</v>
      </c>
      <c r="V1864" t="s">
        <v>18</v>
      </c>
    </row>
    <row r="1865" spans="1:22" x14ac:dyDescent="0.25">
      <c r="A1865">
        <v>104</v>
      </c>
      <c r="B1865" t="s">
        <v>92</v>
      </c>
      <c r="C1865" t="s">
        <v>654</v>
      </c>
      <c r="E1865" t="s">
        <v>654</v>
      </c>
      <c r="L1865" t="s">
        <v>93</v>
      </c>
      <c r="M1865">
        <v>70</v>
      </c>
      <c r="N1865" t="s">
        <v>599</v>
      </c>
      <c r="Q1865">
        <v>21.030999999999999</v>
      </c>
      <c r="R1865" t="s">
        <v>17</v>
      </c>
      <c r="T1865">
        <v>10</v>
      </c>
      <c r="V1865" t="s">
        <v>15</v>
      </c>
    </row>
    <row r="1866" spans="1:22" x14ac:dyDescent="0.25">
      <c r="A1866">
        <v>104</v>
      </c>
      <c r="B1866" t="s">
        <v>92</v>
      </c>
      <c r="C1866" t="s">
        <v>654</v>
      </c>
      <c r="E1866" t="s">
        <v>654</v>
      </c>
      <c r="L1866" t="s">
        <v>93</v>
      </c>
      <c r="M1866">
        <v>80</v>
      </c>
      <c r="N1866" t="s">
        <v>20</v>
      </c>
      <c r="Q1866">
        <v>172.45599999999999</v>
      </c>
      <c r="R1866" t="s">
        <v>17</v>
      </c>
      <c r="T1866">
        <v>10</v>
      </c>
      <c r="V1866" t="s">
        <v>15</v>
      </c>
    </row>
    <row r="1867" spans="1:22" x14ac:dyDescent="0.25">
      <c r="A1867">
        <v>104</v>
      </c>
      <c r="B1867" t="s">
        <v>92</v>
      </c>
      <c r="C1867" t="s">
        <v>654</v>
      </c>
      <c r="E1867" t="s">
        <v>654</v>
      </c>
      <c r="L1867" t="s">
        <v>93</v>
      </c>
      <c r="M1867">
        <v>90</v>
      </c>
      <c r="N1867" t="s">
        <v>24</v>
      </c>
      <c r="Q1867">
        <v>1</v>
      </c>
      <c r="R1867" t="s">
        <v>11</v>
      </c>
      <c r="T1867">
        <v>10</v>
      </c>
      <c r="V1867" t="s">
        <v>15</v>
      </c>
    </row>
    <row r="1868" spans="1:22" x14ac:dyDescent="0.25">
      <c r="A1868">
        <v>104</v>
      </c>
      <c r="B1868" t="s">
        <v>92</v>
      </c>
      <c r="C1868" t="s">
        <v>654</v>
      </c>
      <c r="E1868" t="s">
        <v>654</v>
      </c>
      <c r="L1868" t="s">
        <v>93</v>
      </c>
      <c r="M1868">
        <v>100</v>
      </c>
      <c r="N1868" t="s">
        <v>141</v>
      </c>
      <c r="Q1868">
        <v>0.11700000000000001</v>
      </c>
      <c r="R1868" t="s">
        <v>14</v>
      </c>
      <c r="T1868">
        <v>10</v>
      </c>
      <c r="V1868" t="s">
        <v>15</v>
      </c>
    </row>
    <row r="1869" spans="1:22" x14ac:dyDescent="0.25">
      <c r="A1869">
        <v>104</v>
      </c>
      <c r="B1869" t="s">
        <v>92</v>
      </c>
      <c r="C1869" t="s">
        <v>654</v>
      </c>
      <c r="E1869" t="s">
        <v>654</v>
      </c>
      <c r="L1869" t="s">
        <v>93</v>
      </c>
      <c r="M1869">
        <v>110</v>
      </c>
      <c r="N1869" t="s">
        <v>140</v>
      </c>
      <c r="Q1869">
        <v>4</v>
      </c>
      <c r="R1869" t="s">
        <v>11</v>
      </c>
      <c r="T1869">
        <v>10</v>
      </c>
      <c r="V1869" t="s">
        <v>15</v>
      </c>
    </row>
    <row r="1870" spans="1:22" x14ac:dyDescent="0.25">
      <c r="A1870">
        <v>104</v>
      </c>
      <c r="B1870" t="s">
        <v>92</v>
      </c>
      <c r="C1870" t="s">
        <v>654</v>
      </c>
      <c r="E1870" t="s">
        <v>654</v>
      </c>
      <c r="L1870" t="s">
        <v>93</v>
      </c>
      <c r="M1870">
        <v>120</v>
      </c>
      <c r="N1870" t="s">
        <v>25</v>
      </c>
      <c r="Q1870">
        <v>1</v>
      </c>
      <c r="R1870" t="s">
        <v>11</v>
      </c>
      <c r="T1870">
        <v>10</v>
      </c>
      <c r="V1870" t="s">
        <v>15</v>
      </c>
    </row>
    <row r="1871" spans="1:22" x14ac:dyDescent="0.25">
      <c r="A1871">
        <v>104</v>
      </c>
      <c r="B1871" t="s">
        <v>92</v>
      </c>
      <c r="C1871" t="s">
        <v>654</v>
      </c>
      <c r="E1871" t="s">
        <v>654</v>
      </c>
      <c r="L1871" t="s">
        <v>93</v>
      </c>
      <c r="M1871">
        <v>130</v>
      </c>
      <c r="N1871" t="s">
        <v>26</v>
      </c>
      <c r="Q1871">
        <v>1</v>
      </c>
      <c r="R1871" t="s">
        <v>11</v>
      </c>
      <c r="T1871">
        <v>10</v>
      </c>
      <c r="V1871" t="s">
        <v>15</v>
      </c>
    </row>
    <row r="1872" spans="1:22" x14ac:dyDescent="0.25">
      <c r="A1872">
        <v>104</v>
      </c>
      <c r="B1872" t="s">
        <v>92</v>
      </c>
      <c r="C1872" t="s">
        <v>654</v>
      </c>
      <c r="E1872" t="s">
        <v>654</v>
      </c>
      <c r="L1872" t="s">
        <v>93</v>
      </c>
      <c r="M1872">
        <v>140</v>
      </c>
      <c r="N1872" t="s">
        <v>100</v>
      </c>
      <c r="Q1872">
        <v>1.216</v>
      </c>
      <c r="R1872" t="s">
        <v>14</v>
      </c>
      <c r="T1872">
        <v>10</v>
      </c>
      <c r="V1872" t="s">
        <v>15</v>
      </c>
    </row>
    <row r="1873" spans="1:22" x14ac:dyDescent="0.25">
      <c r="A1873">
        <v>104</v>
      </c>
      <c r="B1873" t="s">
        <v>92</v>
      </c>
      <c r="C1873" t="s">
        <v>654</v>
      </c>
      <c r="E1873" t="s">
        <v>654</v>
      </c>
      <c r="L1873" t="s">
        <v>93</v>
      </c>
      <c r="M1873">
        <v>150</v>
      </c>
      <c r="N1873" t="s">
        <v>317</v>
      </c>
      <c r="Q1873">
        <v>1</v>
      </c>
      <c r="R1873" t="s">
        <v>11</v>
      </c>
      <c r="T1873">
        <v>10</v>
      </c>
      <c r="V1873" t="s">
        <v>18</v>
      </c>
    </row>
    <row r="1874" spans="1:22" x14ac:dyDescent="0.25">
      <c r="A1874">
        <v>104</v>
      </c>
      <c r="B1874" t="s">
        <v>92</v>
      </c>
      <c r="C1874" t="s">
        <v>654</v>
      </c>
      <c r="E1874" t="s">
        <v>654</v>
      </c>
      <c r="L1874" t="s">
        <v>93</v>
      </c>
      <c r="M1874">
        <v>160</v>
      </c>
      <c r="N1874" t="s">
        <v>318</v>
      </c>
      <c r="Q1874">
        <v>1</v>
      </c>
      <c r="R1874" t="s">
        <v>11</v>
      </c>
      <c r="T1874">
        <v>10</v>
      </c>
      <c r="V1874" t="s">
        <v>18</v>
      </c>
    </row>
    <row r="1875" spans="1:22" x14ac:dyDescent="0.25">
      <c r="A1875">
        <v>104</v>
      </c>
      <c r="B1875" t="s">
        <v>92</v>
      </c>
      <c r="C1875" t="s">
        <v>654</v>
      </c>
      <c r="E1875" t="s">
        <v>654</v>
      </c>
      <c r="L1875" t="s">
        <v>93</v>
      </c>
      <c r="M1875">
        <v>170</v>
      </c>
      <c r="N1875" t="s">
        <v>142</v>
      </c>
      <c r="Q1875">
        <v>7.01</v>
      </c>
      <c r="R1875" t="s">
        <v>11</v>
      </c>
      <c r="T1875">
        <v>10</v>
      </c>
      <c r="V1875" t="s">
        <v>15</v>
      </c>
    </row>
    <row r="1876" spans="1:22" x14ac:dyDescent="0.25">
      <c r="A1876">
        <v>104</v>
      </c>
      <c r="B1876" t="s">
        <v>92</v>
      </c>
      <c r="C1876" t="s">
        <v>654</v>
      </c>
      <c r="E1876" t="s">
        <v>654</v>
      </c>
      <c r="L1876" t="s">
        <v>93</v>
      </c>
      <c r="M1876">
        <v>180</v>
      </c>
      <c r="N1876" t="s">
        <v>319</v>
      </c>
      <c r="Q1876">
        <v>1</v>
      </c>
      <c r="R1876" t="s">
        <v>11</v>
      </c>
      <c r="T1876">
        <v>10</v>
      </c>
      <c r="V1876" t="s">
        <v>18</v>
      </c>
    </row>
    <row r="1877" spans="1:22" x14ac:dyDescent="0.25">
      <c r="A1877">
        <v>105</v>
      </c>
      <c r="B1877" t="s">
        <v>92</v>
      </c>
      <c r="C1877" t="s">
        <v>656</v>
      </c>
      <c r="E1877" t="s">
        <v>656</v>
      </c>
      <c r="L1877" t="s">
        <v>93</v>
      </c>
      <c r="M1877">
        <v>10</v>
      </c>
      <c r="N1877" t="s">
        <v>321</v>
      </c>
      <c r="Q1877">
        <v>1</v>
      </c>
      <c r="R1877" t="s">
        <v>11</v>
      </c>
      <c r="T1877">
        <v>10</v>
      </c>
      <c r="V1877" t="s">
        <v>18</v>
      </c>
    </row>
    <row r="1878" spans="1:22" x14ac:dyDescent="0.25">
      <c r="A1878">
        <v>105</v>
      </c>
      <c r="B1878" t="s">
        <v>92</v>
      </c>
      <c r="C1878" t="s">
        <v>656</v>
      </c>
      <c r="E1878" t="s">
        <v>656</v>
      </c>
      <c r="L1878" t="s">
        <v>93</v>
      </c>
      <c r="M1878">
        <v>20</v>
      </c>
      <c r="N1878" t="s">
        <v>132</v>
      </c>
      <c r="Q1878">
        <v>4.2720000000000002</v>
      </c>
      <c r="R1878" t="s">
        <v>14</v>
      </c>
      <c r="T1878">
        <v>10</v>
      </c>
      <c r="V1878" t="s">
        <v>15</v>
      </c>
    </row>
    <row r="1879" spans="1:22" x14ac:dyDescent="0.25">
      <c r="A1879">
        <v>105</v>
      </c>
      <c r="B1879" t="s">
        <v>92</v>
      </c>
      <c r="C1879" t="s">
        <v>656</v>
      </c>
      <c r="E1879" t="s">
        <v>656</v>
      </c>
      <c r="L1879" t="s">
        <v>93</v>
      </c>
      <c r="M1879">
        <v>30</v>
      </c>
      <c r="N1879" t="s">
        <v>102</v>
      </c>
      <c r="Q1879">
        <v>1.1200000000000001</v>
      </c>
      <c r="R1879" t="s">
        <v>103</v>
      </c>
      <c r="T1879">
        <v>10</v>
      </c>
      <c r="V1879" t="s">
        <v>15</v>
      </c>
    </row>
    <row r="1880" spans="1:22" x14ac:dyDescent="0.25">
      <c r="A1880">
        <v>105</v>
      </c>
      <c r="B1880" t="s">
        <v>92</v>
      </c>
      <c r="C1880" t="s">
        <v>656</v>
      </c>
      <c r="E1880" t="s">
        <v>656</v>
      </c>
      <c r="L1880" t="s">
        <v>93</v>
      </c>
      <c r="M1880">
        <v>40</v>
      </c>
      <c r="N1880" t="s">
        <v>597</v>
      </c>
      <c r="Q1880">
        <v>2.0569999999999999</v>
      </c>
      <c r="R1880" t="s">
        <v>11</v>
      </c>
      <c r="T1880">
        <v>10</v>
      </c>
      <c r="V1880" t="s">
        <v>18</v>
      </c>
    </row>
    <row r="1881" spans="1:22" x14ac:dyDescent="0.25">
      <c r="A1881">
        <v>105</v>
      </c>
      <c r="B1881" t="s">
        <v>92</v>
      </c>
      <c r="C1881" t="s">
        <v>656</v>
      </c>
      <c r="E1881" t="s">
        <v>656</v>
      </c>
      <c r="L1881" t="s">
        <v>93</v>
      </c>
      <c r="M1881">
        <v>50</v>
      </c>
      <c r="N1881" t="s">
        <v>139</v>
      </c>
      <c r="Q1881">
        <v>2.0569999999999999</v>
      </c>
      <c r="R1881" t="s">
        <v>17</v>
      </c>
      <c r="T1881">
        <v>10</v>
      </c>
      <c r="V1881" t="s">
        <v>18</v>
      </c>
    </row>
    <row r="1882" spans="1:22" x14ac:dyDescent="0.25">
      <c r="A1882">
        <v>105</v>
      </c>
      <c r="B1882" t="s">
        <v>92</v>
      </c>
      <c r="C1882" t="s">
        <v>656</v>
      </c>
      <c r="E1882" t="s">
        <v>656</v>
      </c>
      <c r="L1882" t="s">
        <v>93</v>
      </c>
      <c r="M1882">
        <v>60</v>
      </c>
      <c r="N1882" t="s">
        <v>657</v>
      </c>
      <c r="Q1882">
        <v>1</v>
      </c>
      <c r="R1882" t="s">
        <v>11</v>
      </c>
      <c r="T1882">
        <v>10</v>
      </c>
      <c r="V1882" t="s">
        <v>18</v>
      </c>
    </row>
    <row r="1883" spans="1:22" x14ac:dyDescent="0.25">
      <c r="A1883">
        <v>105</v>
      </c>
      <c r="B1883" t="s">
        <v>92</v>
      </c>
      <c r="C1883" t="s">
        <v>656</v>
      </c>
      <c r="E1883" t="s">
        <v>656</v>
      </c>
      <c r="L1883" t="s">
        <v>93</v>
      </c>
      <c r="M1883">
        <v>70</v>
      </c>
      <c r="N1883" t="s">
        <v>599</v>
      </c>
      <c r="Q1883">
        <v>21.488</v>
      </c>
      <c r="R1883" t="s">
        <v>17</v>
      </c>
      <c r="T1883">
        <v>10</v>
      </c>
      <c r="V1883" t="s">
        <v>15</v>
      </c>
    </row>
    <row r="1884" spans="1:22" x14ac:dyDescent="0.25">
      <c r="A1884">
        <v>105</v>
      </c>
      <c r="B1884" t="s">
        <v>92</v>
      </c>
      <c r="C1884" t="s">
        <v>656</v>
      </c>
      <c r="E1884" t="s">
        <v>656</v>
      </c>
      <c r="L1884" t="s">
        <v>93</v>
      </c>
      <c r="M1884">
        <v>80</v>
      </c>
      <c r="N1884" t="s">
        <v>20</v>
      </c>
      <c r="Q1884">
        <v>176.20500000000001</v>
      </c>
      <c r="R1884" t="s">
        <v>17</v>
      </c>
      <c r="T1884">
        <v>10</v>
      </c>
      <c r="V1884" t="s">
        <v>15</v>
      </c>
    </row>
    <row r="1885" spans="1:22" x14ac:dyDescent="0.25">
      <c r="A1885">
        <v>105</v>
      </c>
      <c r="B1885" t="s">
        <v>92</v>
      </c>
      <c r="C1885" t="s">
        <v>656</v>
      </c>
      <c r="E1885" t="s">
        <v>656</v>
      </c>
      <c r="L1885" t="s">
        <v>93</v>
      </c>
      <c r="M1885">
        <v>90</v>
      </c>
      <c r="N1885" t="s">
        <v>24</v>
      </c>
      <c r="Q1885">
        <v>1</v>
      </c>
      <c r="R1885" t="s">
        <v>11</v>
      </c>
      <c r="T1885">
        <v>10</v>
      </c>
      <c r="V1885" t="s">
        <v>15</v>
      </c>
    </row>
    <row r="1886" spans="1:22" x14ac:dyDescent="0.25">
      <c r="A1886">
        <v>105</v>
      </c>
      <c r="B1886" t="s">
        <v>92</v>
      </c>
      <c r="C1886" t="s">
        <v>656</v>
      </c>
      <c r="E1886" t="s">
        <v>656</v>
      </c>
      <c r="L1886" t="s">
        <v>93</v>
      </c>
      <c r="M1886">
        <v>100</v>
      </c>
      <c r="N1886" t="s">
        <v>141</v>
      </c>
      <c r="Q1886">
        <v>0.123</v>
      </c>
      <c r="R1886" t="s">
        <v>14</v>
      </c>
      <c r="T1886">
        <v>10</v>
      </c>
      <c r="V1886" t="s">
        <v>15</v>
      </c>
    </row>
    <row r="1887" spans="1:22" x14ac:dyDescent="0.25">
      <c r="A1887">
        <v>105</v>
      </c>
      <c r="B1887" t="s">
        <v>92</v>
      </c>
      <c r="C1887" t="s">
        <v>656</v>
      </c>
      <c r="E1887" t="s">
        <v>656</v>
      </c>
      <c r="L1887" t="s">
        <v>93</v>
      </c>
      <c r="M1887">
        <v>110</v>
      </c>
      <c r="N1887" t="s">
        <v>140</v>
      </c>
      <c r="Q1887">
        <v>4</v>
      </c>
      <c r="R1887" t="s">
        <v>11</v>
      </c>
      <c r="T1887">
        <v>10</v>
      </c>
      <c r="V1887" t="s">
        <v>15</v>
      </c>
    </row>
    <row r="1888" spans="1:22" x14ac:dyDescent="0.25">
      <c r="A1888">
        <v>105</v>
      </c>
      <c r="B1888" t="s">
        <v>92</v>
      </c>
      <c r="C1888" t="s">
        <v>656</v>
      </c>
      <c r="E1888" t="s">
        <v>656</v>
      </c>
      <c r="L1888" t="s">
        <v>93</v>
      </c>
      <c r="M1888">
        <v>120</v>
      </c>
      <c r="N1888" t="s">
        <v>25</v>
      </c>
      <c r="Q1888">
        <v>1</v>
      </c>
      <c r="R1888" t="s">
        <v>11</v>
      </c>
      <c r="T1888">
        <v>10</v>
      </c>
      <c r="V1888" t="s">
        <v>15</v>
      </c>
    </row>
    <row r="1889" spans="1:22" x14ac:dyDescent="0.25">
      <c r="A1889">
        <v>105</v>
      </c>
      <c r="B1889" t="s">
        <v>92</v>
      </c>
      <c r="C1889" t="s">
        <v>656</v>
      </c>
      <c r="E1889" t="s">
        <v>656</v>
      </c>
      <c r="L1889" t="s">
        <v>93</v>
      </c>
      <c r="M1889">
        <v>130</v>
      </c>
      <c r="N1889" t="s">
        <v>26</v>
      </c>
      <c r="Q1889">
        <v>1</v>
      </c>
      <c r="R1889" t="s">
        <v>11</v>
      </c>
      <c r="T1889">
        <v>10</v>
      </c>
      <c r="V1889" t="s">
        <v>15</v>
      </c>
    </row>
    <row r="1890" spans="1:22" x14ac:dyDescent="0.25">
      <c r="A1890">
        <v>105</v>
      </c>
      <c r="B1890" t="s">
        <v>92</v>
      </c>
      <c r="C1890" t="s">
        <v>656</v>
      </c>
      <c r="E1890" t="s">
        <v>656</v>
      </c>
      <c r="L1890" t="s">
        <v>93</v>
      </c>
      <c r="M1890">
        <v>140</v>
      </c>
      <c r="N1890" t="s">
        <v>100</v>
      </c>
      <c r="Q1890">
        <v>1.216</v>
      </c>
      <c r="R1890" t="s">
        <v>14</v>
      </c>
      <c r="T1890">
        <v>10</v>
      </c>
      <c r="V1890" t="s">
        <v>15</v>
      </c>
    </row>
    <row r="1891" spans="1:22" x14ac:dyDescent="0.25">
      <c r="A1891">
        <v>105</v>
      </c>
      <c r="B1891" t="s">
        <v>92</v>
      </c>
      <c r="C1891" t="s">
        <v>656</v>
      </c>
      <c r="E1891" t="s">
        <v>656</v>
      </c>
      <c r="L1891" t="s">
        <v>93</v>
      </c>
      <c r="M1891">
        <v>150</v>
      </c>
      <c r="N1891" t="s">
        <v>323</v>
      </c>
      <c r="Q1891">
        <v>1</v>
      </c>
      <c r="R1891" t="s">
        <v>11</v>
      </c>
      <c r="T1891">
        <v>10</v>
      </c>
      <c r="V1891" t="s">
        <v>18</v>
      </c>
    </row>
    <row r="1892" spans="1:22" x14ac:dyDescent="0.25">
      <c r="A1892">
        <v>105</v>
      </c>
      <c r="B1892" t="s">
        <v>92</v>
      </c>
      <c r="C1892" t="s">
        <v>656</v>
      </c>
      <c r="E1892" t="s">
        <v>656</v>
      </c>
      <c r="L1892" t="s">
        <v>93</v>
      </c>
      <c r="M1892">
        <v>160</v>
      </c>
      <c r="N1892" t="s">
        <v>324</v>
      </c>
      <c r="Q1892">
        <v>1</v>
      </c>
      <c r="R1892" t="s">
        <v>11</v>
      </c>
      <c r="T1892">
        <v>10</v>
      </c>
      <c r="V1892" t="s">
        <v>18</v>
      </c>
    </row>
    <row r="1893" spans="1:22" x14ac:dyDescent="0.25">
      <c r="A1893">
        <v>105</v>
      </c>
      <c r="B1893" t="s">
        <v>92</v>
      </c>
      <c r="C1893" t="s">
        <v>656</v>
      </c>
      <c r="E1893" t="s">
        <v>656</v>
      </c>
      <c r="L1893" t="s">
        <v>93</v>
      </c>
      <c r="M1893">
        <v>170</v>
      </c>
      <c r="N1893" t="s">
        <v>142</v>
      </c>
      <c r="Q1893">
        <v>7.1630000000000003</v>
      </c>
      <c r="R1893" t="s">
        <v>11</v>
      </c>
      <c r="T1893">
        <v>10</v>
      </c>
      <c r="V1893" t="s">
        <v>15</v>
      </c>
    </row>
    <row r="1894" spans="1:22" x14ac:dyDescent="0.25">
      <c r="A1894">
        <v>105</v>
      </c>
      <c r="B1894" t="s">
        <v>92</v>
      </c>
      <c r="C1894" t="s">
        <v>656</v>
      </c>
      <c r="E1894" t="s">
        <v>656</v>
      </c>
      <c r="L1894" t="s">
        <v>93</v>
      </c>
      <c r="M1894">
        <v>180</v>
      </c>
      <c r="N1894" t="s">
        <v>325</v>
      </c>
      <c r="Q1894">
        <v>1</v>
      </c>
      <c r="R1894" t="s">
        <v>11</v>
      </c>
      <c r="T1894">
        <v>10</v>
      </c>
      <c r="V1894" t="s">
        <v>18</v>
      </c>
    </row>
    <row r="1895" spans="1:22" x14ac:dyDescent="0.25">
      <c r="A1895">
        <v>106</v>
      </c>
      <c r="B1895" t="s">
        <v>92</v>
      </c>
      <c r="C1895" t="s">
        <v>658</v>
      </c>
      <c r="E1895" t="s">
        <v>658</v>
      </c>
      <c r="L1895" t="s">
        <v>93</v>
      </c>
      <c r="M1895">
        <v>10</v>
      </c>
      <c r="N1895" t="s">
        <v>327</v>
      </c>
      <c r="Q1895">
        <v>1</v>
      </c>
      <c r="R1895" t="s">
        <v>11</v>
      </c>
      <c r="T1895">
        <v>10</v>
      </c>
      <c r="V1895" t="s">
        <v>18</v>
      </c>
    </row>
    <row r="1896" spans="1:22" x14ac:dyDescent="0.25">
      <c r="A1896">
        <v>106</v>
      </c>
      <c r="B1896" t="s">
        <v>92</v>
      </c>
      <c r="C1896" t="s">
        <v>658</v>
      </c>
      <c r="E1896" t="s">
        <v>658</v>
      </c>
      <c r="L1896" t="s">
        <v>93</v>
      </c>
      <c r="M1896">
        <v>20</v>
      </c>
      <c r="N1896" t="s">
        <v>132</v>
      </c>
      <c r="Q1896">
        <v>4.7030000000000003</v>
      </c>
      <c r="R1896" t="s">
        <v>14</v>
      </c>
      <c r="T1896">
        <v>10</v>
      </c>
      <c r="V1896" t="s">
        <v>15</v>
      </c>
    </row>
    <row r="1897" spans="1:22" x14ac:dyDescent="0.25">
      <c r="A1897">
        <v>106</v>
      </c>
      <c r="B1897" t="s">
        <v>92</v>
      </c>
      <c r="C1897" t="s">
        <v>658</v>
      </c>
      <c r="E1897" t="s">
        <v>658</v>
      </c>
      <c r="L1897" t="s">
        <v>93</v>
      </c>
      <c r="M1897">
        <v>30</v>
      </c>
      <c r="N1897" t="s">
        <v>102</v>
      </c>
      <c r="Q1897">
        <v>1.24</v>
      </c>
      <c r="R1897" t="s">
        <v>103</v>
      </c>
      <c r="T1897">
        <v>10</v>
      </c>
      <c r="V1897" t="s">
        <v>15</v>
      </c>
    </row>
    <row r="1898" spans="1:22" x14ac:dyDescent="0.25">
      <c r="A1898">
        <v>106</v>
      </c>
      <c r="B1898" t="s">
        <v>92</v>
      </c>
      <c r="C1898" t="s">
        <v>658</v>
      </c>
      <c r="E1898" t="s">
        <v>658</v>
      </c>
      <c r="L1898" t="s">
        <v>93</v>
      </c>
      <c r="M1898">
        <v>40</v>
      </c>
      <c r="N1898" t="s">
        <v>597</v>
      </c>
      <c r="Q1898">
        <v>2.0569999999999999</v>
      </c>
      <c r="R1898" t="s">
        <v>11</v>
      </c>
      <c r="T1898">
        <v>10</v>
      </c>
      <c r="V1898" t="s">
        <v>18</v>
      </c>
    </row>
    <row r="1899" spans="1:22" x14ac:dyDescent="0.25">
      <c r="A1899">
        <v>106</v>
      </c>
      <c r="B1899" t="s">
        <v>92</v>
      </c>
      <c r="C1899" t="s">
        <v>658</v>
      </c>
      <c r="E1899" t="s">
        <v>658</v>
      </c>
      <c r="L1899" t="s">
        <v>93</v>
      </c>
      <c r="M1899">
        <v>50</v>
      </c>
      <c r="N1899" t="s">
        <v>139</v>
      </c>
      <c r="Q1899">
        <v>2.0569999999999999</v>
      </c>
      <c r="R1899" t="s">
        <v>17</v>
      </c>
      <c r="T1899">
        <v>10</v>
      </c>
      <c r="V1899" t="s">
        <v>18</v>
      </c>
    </row>
    <row r="1900" spans="1:22" x14ac:dyDescent="0.25">
      <c r="A1900">
        <v>106</v>
      </c>
      <c r="B1900" t="s">
        <v>92</v>
      </c>
      <c r="C1900" t="s">
        <v>658</v>
      </c>
      <c r="E1900" t="s">
        <v>658</v>
      </c>
      <c r="L1900" t="s">
        <v>93</v>
      </c>
      <c r="M1900">
        <v>60</v>
      </c>
      <c r="N1900" t="s">
        <v>659</v>
      </c>
      <c r="Q1900">
        <v>1</v>
      </c>
      <c r="R1900" t="s">
        <v>11</v>
      </c>
      <c r="T1900">
        <v>10</v>
      </c>
      <c r="V1900" t="s">
        <v>18</v>
      </c>
    </row>
    <row r="1901" spans="1:22" x14ac:dyDescent="0.25">
      <c r="A1901">
        <v>106</v>
      </c>
      <c r="B1901" t="s">
        <v>92</v>
      </c>
      <c r="C1901" t="s">
        <v>658</v>
      </c>
      <c r="E1901" t="s">
        <v>658</v>
      </c>
      <c r="L1901" t="s">
        <v>93</v>
      </c>
      <c r="M1901">
        <v>70</v>
      </c>
      <c r="N1901" t="s">
        <v>599</v>
      </c>
      <c r="Q1901">
        <v>22.402999999999999</v>
      </c>
      <c r="R1901" t="s">
        <v>17</v>
      </c>
      <c r="T1901">
        <v>10</v>
      </c>
      <c r="V1901" t="s">
        <v>15</v>
      </c>
    </row>
    <row r="1902" spans="1:22" x14ac:dyDescent="0.25">
      <c r="A1902">
        <v>106</v>
      </c>
      <c r="B1902" t="s">
        <v>92</v>
      </c>
      <c r="C1902" t="s">
        <v>658</v>
      </c>
      <c r="E1902" t="s">
        <v>658</v>
      </c>
      <c r="L1902" t="s">
        <v>93</v>
      </c>
      <c r="M1902">
        <v>80</v>
      </c>
      <c r="N1902" t="s">
        <v>20</v>
      </c>
      <c r="Q1902">
        <v>183.703</v>
      </c>
      <c r="R1902" t="s">
        <v>17</v>
      </c>
      <c r="T1902">
        <v>10</v>
      </c>
      <c r="V1902" t="s">
        <v>15</v>
      </c>
    </row>
    <row r="1903" spans="1:22" x14ac:dyDescent="0.25">
      <c r="A1903">
        <v>106</v>
      </c>
      <c r="B1903" t="s">
        <v>92</v>
      </c>
      <c r="C1903" t="s">
        <v>658</v>
      </c>
      <c r="E1903" t="s">
        <v>658</v>
      </c>
      <c r="L1903" t="s">
        <v>93</v>
      </c>
      <c r="M1903">
        <v>90</v>
      </c>
      <c r="N1903" t="s">
        <v>24</v>
      </c>
      <c r="Q1903">
        <v>1</v>
      </c>
      <c r="R1903" t="s">
        <v>11</v>
      </c>
      <c r="T1903">
        <v>10</v>
      </c>
      <c r="V1903" t="s">
        <v>15</v>
      </c>
    </row>
    <row r="1904" spans="1:22" x14ac:dyDescent="0.25">
      <c r="A1904">
        <v>106</v>
      </c>
      <c r="B1904" t="s">
        <v>92</v>
      </c>
      <c r="C1904" t="s">
        <v>658</v>
      </c>
      <c r="E1904" t="s">
        <v>658</v>
      </c>
      <c r="L1904" t="s">
        <v>93</v>
      </c>
      <c r="M1904">
        <v>100</v>
      </c>
      <c r="N1904" t="s">
        <v>141</v>
      </c>
      <c r="Q1904">
        <v>0.13300000000000001</v>
      </c>
      <c r="R1904" t="s">
        <v>14</v>
      </c>
      <c r="T1904">
        <v>10</v>
      </c>
      <c r="V1904" t="s">
        <v>15</v>
      </c>
    </row>
    <row r="1905" spans="1:22" x14ac:dyDescent="0.25">
      <c r="A1905">
        <v>106</v>
      </c>
      <c r="B1905" t="s">
        <v>92</v>
      </c>
      <c r="C1905" t="s">
        <v>658</v>
      </c>
      <c r="E1905" t="s">
        <v>658</v>
      </c>
      <c r="L1905" t="s">
        <v>93</v>
      </c>
      <c r="M1905">
        <v>110</v>
      </c>
      <c r="N1905" t="s">
        <v>140</v>
      </c>
      <c r="Q1905">
        <v>4</v>
      </c>
      <c r="R1905" t="s">
        <v>11</v>
      </c>
      <c r="T1905">
        <v>10</v>
      </c>
      <c r="V1905" t="s">
        <v>15</v>
      </c>
    </row>
    <row r="1906" spans="1:22" x14ac:dyDescent="0.25">
      <c r="A1906">
        <v>106</v>
      </c>
      <c r="B1906" t="s">
        <v>92</v>
      </c>
      <c r="C1906" t="s">
        <v>658</v>
      </c>
      <c r="E1906" t="s">
        <v>658</v>
      </c>
      <c r="L1906" t="s">
        <v>93</v>
      </c>
      <c r="M1906">
        <v>120</v>
      </c>
      <c r="N1906" t="s">
        <v>25</v>
      </c>
      <c r="Q1906">
        <v>1</v>
      </c>
      <c r="R1906" t="s">
        <v>11</v>
      </c>
      <c r="T1906">
        <v>10</v>
      </c>
      <c r="V1906" t="s">
        <v>15</v>
      </c>
    </row>
    <row r="1907" spans="1:22" x14ac:dyDescent="0.25">
      <c r="A1907">
        <v>106</v>
      </c>
      <c r="B1907" t="s">
        <v>92</v>
      </c>
      <c r="C1907" t="s">
        <v>658</v>
      </c>
      <c r="E1907" t="s">
        <v>658</v>
      </c>
      <c r="L1907" t="s">
        <v>93</v>
      </c>
      <c r="M1907">
        <v>130</v>
      </c>
      <c r="N1907" t="s">
        <v>26</v>
      </c>
      <c r="Q1907">
        <v>1</v>
      </c>
      <c r="R1907" t="s">
        <v>11</v>
      </c>
      <c r="T1907">
        <v>10</v>
      </c>
      <c r="V1907" t="s">
        <v>15</v>
      </c>
    </row>
    <row r="1908" spans="1:22" x14ac:dyDescent="0.25">
      <c r="A1908">
        <v>106</v>
      </c>
      <c r="B1908" t="s">
        <v>92</v>
      </c>
      <c r="C1908" t="s">
        <v>658</v>
      </c>
      <c r="E1908" t="s">
        <v>658</v>
      </c>
      <c r="L1908" t="s">
        <v>93</v>
      </c>
      <c r="M1908">
        <v>140</v>
      </c>
      <c r="N1908" t="s">
        <v>100</v>
      </c>
      <c r="Q1908">
        <v>1.216</v>
      </c>
      <c r="R1908" t="s">
        <v>14</v>
      </c>
      <c r="T1908">
        <v>10</v>
      </c>
      <c r="V1908" t="s">
        <v>15</v>
      </c>
    </row>
    <row r="1909" spans="1:22" x14ac:dyDescent="0.25">
      <c r="A1909">
        <v>106</v>
      </c>
      <c r="B1909" t="s">
        <v>92</v>
      </c>
      <c r="C1909" t="s">
        <v>658</v>
      </c>
      <c r="E1909" t="s">
        <v>658</v>
      </c>
      <c r="L1909" t="s">
        <v>93</v>
      </c>
      <c r="M1909">
        <v>150</v>
      </c>
      <c r="N1909" t="s">
        <v>329</v>
      </c>
      <c r="Q1909">
        <v>1</v>
      </c>
      <c r="R1909" t="s">
        <v>11</v>
      </c>
      <c r="T1909">
        <v>10</v>
      </c>
      <c r="V1909" t="s">
        <v>18</v>
      </c>
    </row>
    <row r="1910" spans="1:22" x14ac:dyDescent="0.25">
      <c r="A1910">
        <v>106</v>
      </c>
      <c r="B1910" t="s">
        <v>92</v>
      </c>
      <c r="C1910" t="s">
        <v>658</v>
      </c>
      <c r="E1910" t="s">
        <v>658</v>
      </c>
      <c r="L1910" t="s">
        <v>93</v>
      </c>
      <c r="M1910">
        <v>160</v>
      </c>
      <c r="N1910" t="s">
        <v>330</v>
      </c>
      <c r="Q1910">
        <v>1</v>
      </c>
      <c r="R1910" t="s">
        <v>11</v>
      </c>
      <c r="T1910">
        <v>10</v>
      </c>
      <c r="V1910" t="s">
        <v>18</v>
      </c>
    </row>
    <row r="1911" spans="1:22" x14ac:dyDescent="0.25">
      <c r="A1911">
        <v>106</v>
      </c>
      <c r="B1911" t="s">
        <v>92</v>
      </c>
      <c r="C1911" t="s">
        <v>658</v>
      </c>
      <c r="E1911" t="s">
        <v>658</v>
      </c>
      <c r="L1911" t="s">
        <v>93</v>
      </c>
      <c r="M1911">
        <v>170</v>
      </c>
      <c r="N1911" t="s">
        <v>142</v>
      </c>
      <c r="Q1911">
        <v>7.468</v>
      </c>
      <c r="R1911" t="s">
        <v>11</v>
      </c>
      <c r="T1911">
        <v>10</v>
      </c>
      <c r="V1911" t="s">
        <v>15</v>
      </c>
    </row>
    <row r="1912" spans="1:22" x14ac:dyDescent="0.25">
      <c r="A1912">
        <v>106</v>
      </c>
      <c r="B1912" t="s">
        <v>92</v>
      </c>
      <c r="C1912" t="s">
        <v>658</v>
      </c>
      <c r="E1912" t="s">
        <v>658</v>
      </c>
      <c r="L1912" t="s">
        <v>93</v>
      </c>
      <c r="M1912">
        <v>180</v>
      </c>
      <c r="N1912" t="s">
        <v>331</v>
      </c>
      <c r="Q1912">
        <v>1</v>
      </c>
      <c r="R1912" t="s">
        <v>11</v>
      </c>
      <c r="T1912">
        <v>10</v>
      </c>
      <c r="V1912" t="s">
        <v>18</v>
      </c>
    </row>
    <row r="1913" spans="1:22" x14ac:dyDescent="0.25">
      <c r="A1913">
        <v>107</v>
      </c>
      <c r="B1913" t="s">
        <v>92</v>
      </c>
      <c r="C1913" t="s">
        <v>660</v>
      </c>
      <c r="E1913" t="s">
        <v>660</v>
      </c>
      <c r="L1913" t="s">
        <v>93</v>
      </c>
      <c r="M1913">
        <v>10</v>
      </c>
      <c r="N1913" t="s">
        <v>333</v>
      </c>
      <c r="Q1913">
        <v>1</v>
      </c>
      <c r="R1913" t="s">
        <v>11</v>
      </c>
      <c r="T1913">
        <v>10</v>
      </c>
      <c r="V1913" t="s">
        <v>18</v>
      </c>
    </row>
    <row r="1914" spans="1:22" x14ac:dyDescent="0.25">
      <c r="A1914">
        <v>107</v>
      </c>
      <c r="B1914" t="s">
        <v>92</v>
      </c>
      <c r="C1914" t="s">
        <v>660</v>
      </c>
      <c r="E1914" t="s">
        <v>660</v>
      </c>
      <c r="L1914" t="s">
        <v>93</v>
      </c>
      <c r="M1914">
        <v>20</v>
      </c>
      <c r="N1914" t="s">
        <v>132</v>
      </c>
      <c r="Q1914">
        <v>5.1340000000000003</v>
      </c>
      <c r="R1914" t="s">
        <v>14</v>
      </c>
      <c r="T1914">
        <v>10</v>
      </c>
      <c r="V1914" t="s">
        <v>15</v>
      </c>
    </row>
    <row r="1915" spans="1:22" x14ac:dyDescent="0.25">
      <c r="A1915">
        <v>107</v>
      </c>
      <c r="B1915" t="s">
        <v>92</v>
      </c>
      <c r="C1915" t="s">
        <v>660</v>
      </c>
      <c r="E1915" t="s">
        <v>660</v>
      </c>
      <c r="L1915" t="s">
        <v>93</v>
      </c>
      <c r="M1915">
        <v>30</v>
      </c>
      <c r="N1915" t="s">
        <v>102</v>
      </c>
      <c r="Q1915">
        <v>1.36</v>
      </c>
      <c r="R1915" t="s">
        <v>103</v>
      </c>
      <c r="T1915">
        <v>10</v>
      </c>
      <c r="V1915" t="s">
        <v>15</v>
      </c>
    </row>
    <row r="1916" spans="1:22" x14ac:dyDescent="0.25">
      <c r="A1916">
        <v>107</v>
      </c>
      <c r="B1916" t="s">
        <v>92</v>
      </c>
      <c r="C1916" t="s">
        <v>660</v>
      </c>
      <c r="E1916" t="s">
        <v>660</v>
      </c>
      <c r="L1916" t="s">
        <v>93</v>
      </c>
      <c r="M1916">
        <v>40</v>
      </c>
      <c r="N1916" t="s">
        <v>597</v>
      </c>
      <c r="Q1916">
        <v>2.0569999999999999</v>
      </c>
      <c r="R1916" t="s">
        <v>11</v>
      </c>
      <c r="T1916">
        <v>10</v>
      </c>
      <c r="V1916" t="s">
        <v>18</v>
      </c>
    </row>
    <row r="1917" spans="1:22" x14ac:dyDescent="0.25">
      <c r="A1917">
        <v>107</v>
      </c>
      <c r="B1917" t="s">
        <v>92</v>
      </c>
      <c r="C1917" t="s">
        <v>660</v>
      </c>
      <c r="E1917" t="s">
        <v>660</v>
      </c>
      <c r="L1917" t="s">
        <v>93</v>
      </c>
      <c r="M1917">
        <v>50</v>
      </c>
      <c r="N1917" t="s">
        <v>139</v>
      </c>
      <c r="Q1917">
        <v>2.0569999999999999</v>
      </c>
      <c r="R1917" t="s">
        <v>17</v>
      </c>
      <c r="T1917">
        <v>10</v>
      </c>
      <c r="V1917" t="s">
        <v>18</v>
      </c>
    </row>
    <row r="1918" spans="1:22" x14ac:dyDescent="0.25">
      <c r="A1918">
        <v>107</v>
      </c>
      <c r="B1918" t="s">
        <v>92</v>
      </c>
      <c r="C1918" t="s">
        <v>660</v>
      </c>
      <c r="E1918" t="s">
        <v>660</v>
      </c>
      <c r="L1918" t="s">
        <v>93</v>
      </c>
      <c r="M1918">
        <v>60</v>
      </c>
      <c r="N1918" t="s">
        <v>661</v>
      </c>
      <c r="Q1918">
        <v>1</v>
      </c>
      <c r="R1918" t="s">
        <v>11</v>
      </c>
      <c r="T1918">
        <v>10</v>
      </c>
      <c r="V1918" t="s">
        <v>18</v>
      </c>
    </row>
    <row r="1919" spans="1:22" x14ac:dyDescent="0.25">
      <c r="A1919">
        <v>107</v>
      </c>
      <c r="B1919" t="s">
        <v>92</v>
      </c>
      <c r="C1919" t="s">
        <v>660</v>
      </c>
      <c r="E1919" t="s">
        <v>660</v>
      </c>
      <c r="L1919" t="s">
        <v>93</v>
      </c>
      <c r="M1919">
        <v>70</v>
      </c>
      <c r="N1919" t="s">
        <v>599</v>
      </c>
      <c r="Q1919">
        <v>23.317</v>
      </c>
      <c r="R1919" t="s">
        <v>17</v>
      </c>
      <c r="T1919">
        <v>10</v>
      </c>
      <c r="V1919" t="s">
        <v>15</v>
      </c>
    </row>
    <row r="1920" spans="1:22" x14ac:dyDescent="0.25">
      <c r="A1920">
        <v>107</v>
      </c>
      <c r="B1920" t="s">
        <v>92</v>
      </c>
      <c r="C1920" t="s">
        <v>660</v>
      </c>
      <c r="E1920" t="s">
        <v>660</v>
      </c>
      <c r="L1920" t="s">
        <v>93</v>
      </c>
      <c r="M1920">
        <v>80</v>
      </c>
      <c r="N1920" t="s">
        <v>20</v>
      </c>
      <c r="Q1920">
        <v>191.20099999999999</v>
      </c>
      <c r="R1920" t="s">
        <v>17</v>
      </c>
      <c r="T1920">
        <v>10</v>
      </c>
      <c r="V1920" t="s">
        <v>15</v>
      </c>
    </row>
    <row r="1921" spans="1:22" x14ac:dyDescent="0.25">
      <c r="A1921">
        <v>107</v>
      </c>
      <c r="B1921" t="s">
        <v>92</v>
      </c>
      <c r="C1921" t="s">
        <v>660</v>
      </c>
      <c r="E1921" t="s">
        <v>660</v>
      </c>
      <c r="L1921" t="s">
        <v>93</v>
      </c>
      <c r="M1921">
        <v>90</v>
      </c>
      <c r="N1921" t="s">
        <v>24</v>
      </c>
      <c r="Q1921">
        <v>1</v>
      </c>
      <c r="R1921" t="s">
        <v>11</v>
      </c>
      <c r="T1921">
        <v>10</v>
      </c>
      <c r="V1921" t="s">
        <v>15</v>
      </c>
    </row>
    <row r="1922" spans="1:22" x14ac:dyDescent="0.25">
      <c r="A1922">
        <v>107</v>
      </c>
      <c r="B1922" t="s">
        <v>92</v>
      </c>
      <c r="C1922" t="s">
        <v>660</v>
      </c>
      <c r="E1922" t="s">
        <v>660</v>
      </c>
      <c r="L1922" t="s">
        <v>93</v>
      </c>
      <c r="M1922">
        <v>100</v>
      </c>
      <c r="N1922" t="s">
        <v>141</v>
      </c>
      <c r="Q1922">
        <v>0.14299999999999999</v>
      </c>
      <c r="R1922" t="s">
        <v>14</v>
      </c>
      <c r="T1922">
        <v>10</v>
      </c>
      <c r="V1922" t="s">
        <v>15</v>
      </c>
    </row>
    <row r="1923" spans="1:22" x14ac:dyDescent="0.25">
      <c r="A1923">
        <v>107</v>
      </c>
      <c r="B1923" t="s">
        <v>92</v>
      </c>
      <c r="C1923" t="s">
        <v>660</v>
      </c>
      <c r="E1923" t="s">
        <v>660</v>
      </c>
      <c r="L1923" t="s">
        <v>93</v>
      </c>
      <c r="M1923">
        <v>110</v>
      </c>
      <c r="N1923" t="s">
        <v>140</v>
      </c>
      <c r="Q1923">
        <v>4</v>
      </c>
      <c r="R1923" t="s">
        <v>11</v>
      </c>
      <c r="T1923">
        <v>10</v>
      </c>
      <c r="V1923" t="s">
        <v>15</v>
      </c>
    </row>
    <row r="1924" spans="1:22" x14ac:dyDescent="0.25">
      <c r="A1924">
        <v>107</v>
      </c>
      <c r="B1924" t="s">
        <v>92</v>
      </c>
      <c r="C1924" t="s">
        <v>660</v>
      </c>
      <c r="E1924" t="s">
        <v>660</v>
      </c>
      <c r="L1924" t="s">
        <v>93</v>
      </c>
      <c r="M1924">
        <v>120</v>
      </c>
      <c r="N1924" t="s">
        <v>25</v>
      </c>
      <c r="Q1924">
        <v>1</v>
      </c>
      <c r="R1924" t="s">
        <v>11</v>
      </c>
      <c r="T1924">
        <v>10</v>
      </c>
      <c r="V1924" t="s">
        <v>15</v>
      </c>
    </row>
    <row r="1925" spans="1:22" x14ac:dyDescent="0.25">
      <c r="A1925">
        <v>107</v>
      </c>
      <c r="B1925" t="s">
        <v>92</v>
      </c>
      <c r="C1925" t="s">
        <v>660</v>
      </c>
      <c r="E1925" t="s">
        <v>660</v>
      </c>
      <c r="L1925" t="s">
        <v>93</v>
      </c>
      <c r="M1925">
        <v>130</v>
      </c>
      <c r="N1925" t="s">
        <v>26</v>
      </c>
      <c r="Q1925">
        <v>1</v>
      </c>
      <c r="R1925" t="s">
        <v>11</v>
      </c>
      <c r="T1925">
        <v>10</v>
      </c>
      <c r="V1925" t="s">
        <v>15</v>
      </c>
    </row>
    <row r="1926" spans="1:22" x14ac:dyDescent="0.25">
      <c r="A1926">
        <v>107</v>
      </c>
      <c r="B1926" t="s">
        <v>92</v>
      </c>
      <c r="C1926" t="s">
        <v>660</v>
      </c>
      <c r="E1926" t="s">
        <v>660</v>
      </c>
      <c r="L1926" t="s">
        <v>93</v>
      </c>
      <c r="M1926">
        <v>140</v>
      </c>
      <c r="N1926" t="s">
        <v>100</v>
      </c>
      <c r="Q1926">
        <v>1.216</v>
      </c>
      <c r="R1926" t="s">
        <v>14</v>
      </c>
      <c r="T1926">
        <v>10</v>
      </c>
      <c r="V1926" t="s">
        <v>15</v>
      </c>
    </row>
    <row r="1927" spans="1:22" x14ac:dyDescent="0.25">
      <c r="A1927">
        <v>107</v>
      </c>
      <c r="B1927" t="s">
        <v>92</v>
      </c>
      <c r="C1927" t="s">
        <v>660</v>
      </c>
      <c r="E1927" t="s">
        <v>660</v>
      </c>
      <c r="L1927" t="s">
        <v>93</v>
      </c>
      <c r="M1927">
        <v>150</v>
      </c>
      <c r="N1927" t="s">
        <v>335</v>
      </c>
      <c r="Q1927">
        <v>1</v>
      </c>
      <c r="R1927" t="s">
        <v>11</v>
      </c>
      <c r="T1927">
        <v>10</v>
      </c>
      <c r="V1927" t="s">
        <v>18</v>
      </c>
    </row>
    <row r="1928" spans="1:22" x14ac:dyDescent="0.25">
      <c r="A1928">
        <v>107</v>
      </c>
      <c r="B1928" t="s">
        <v>92</v>
      </c>
      <c r="C1928" t="s">
        <v>660</v>
      </c>
      <c r="E1928" t="s">
        <v>660</v>
      </c>
      <c r="L1928" t="s">
        <v>93</v>
      </c>
      <c r="M1928">
        <v>160</v>
      </c>
      <c r="N1928" t="s">
        <v>336</v>
      </c>
      <c r="Q1928">
        <v>1</v>
      </c>
      <c r="R1928" t="s">
        <v>11</v>
      </c>
      <c r="T1928">
        <v>10</v>
      </c>
      <c r="V1928" t="s">
        <v>18</v>
      </c>
    </row>
    <row r="1929" spans="1:22" x14ac:dyDescent="0.25">
      <c r="A1929">
        <v>107</v>
      </c>
      <c r="B1929" t="s">
        <v>92</v>
      </c>
      <c r="C1929" t="s">
        <v>660</v>
      </c>
      <c r="E1929" t="s">
        <v>660</v>
      </c>
      <c r="L1929" t="s">
        <v>93</v>
      </c>
      <c r="M1929">
        <v>170</v>
      </c>
      <c r="N1929" t="s">
        <v>142</v>
      </c>
      <c r="Q1929">
        <v>7.7720000000000002</v>
      </c>
      <c r="R1929" t="s">
        <v>11</v>
      </c>
      <c r="T1929">
        <v>10</v>
      </c>
      <c r="V1929" t="s">
        <v>15</v>
      </c>
    </row>
    <row r="1930" spans="1:22" x14ac:dyDescent="0.25">
      <c r="A1930">
        <v>107</v>
      </c>
      <c r="B1930" t="s">
        <v>92</v>
      </c>
      <c r="C1930" t="s">
        <v>660</v>
      </c>
      <c r="E1930" t="s">
        <v>660</v>
      </c>
      <c r="L1930" t="s">
        <v>93</v>
      </c>
      <c r="M1930">
        <v>180</v>
      </c>
      <c r="N1930" t="s">
        <v>337</v>
      </c>
      <c r="Q1930">
        <v>1</v>
      </c>
      <c r="R1930" t="s">
        <v>11</v>
      </c>
      <c r="T1930">
        <v>10</v>
      </c>
      <c r="V1930" t="s">
        <v>18</v>
      </c>
    </row>
    <row r="1931" spans="1:22" x14ac:dyDescent="0.25">
      <c r="A1931">
        <v>108</v>
      </c>
      <c r="B1931" t="s">
        <v>92</v>
      </c>
      <c r="C1931" t="s">
        <v>662</v>
      </c>
      <c r="E1931" t="s">
        <v>662</v>
      </c>
      <c r="L1931" t="s">
        <v>93</v>
      </c>
      <c r="M1931">
        <v>10</v>
      </c>
      <c r="N1931" t="s">
        <v>339</v>
      </c>
      <c r="Q1931">
        <v>1</v>
      </c>
      <c r="R1931" t="s">
        <v>11</v>
      </c>
      <c r="T1931">
        <v>10</v>
      </c>
      <c r="V1931" t="s">
        <v>18</v>
      </c>
    </row>
    <row r="1932" spans="1:22" x14ac:dyDescent="0.25">
      <c r="A1932">
        <v>108</v>
      </c>
      <c r="B1932" t="s">
        <v>92</v>
      </c>
      <c r="C1932" t="s">
        <v>662</v>
      </c>
      <c r="E1932" t="s">
        <v>662</v>
      </c>
      <c r="L1932" t="s">
        <v>93</v>
      </c>
      <c r="M1932">
        <v>20</v>
      </c>
      <c r="N1932" t="s">
        <v>132</v>
      </c>
      <c r="Q1932">
        <v>2.677</v>
      </c>
      <c r="R1932" t="s">
        <v>14</v>
      </c>
      <c r="T1932">
        <v>10</v>
      </c>
      <c r="V1932" t="s">
        <v>15</v>
      </c>
    </row>
    <row r="1933" spans="1:22" x14ac:dyDescent="0.25">
      <c r="A1933">
        <v>108</v>
      </c>
      <c r="B1933" t="s">
        <v>92</v>
      </c>
      <c r="C1933" t="s">
        <v>662</v>
      </c>
      <c r="E1933" t="s">
        <v>662</v>
      </c>
      <c r="L1933" t="s">
        <v>93</v>
      </c>
      <c r="M1933">
        <v>30</v>
      </c>
      <c r="N1933" t="s">
        <v>102</v>
      </c>
      <c r="Q1933">
        <v>0.67200000000000004</v>
      </c>
      <c r="R1933" t="s">
        <v>103</v>
      </c>
      <c r="T1933">
        <v>10</v>
      </c>
      <c r="V1933" t="s">
        <v>15</v>
      </c>
    </row>
    <row r="1934" spans="1:22" x14ac:dyDescent="0.25">
      <c r="A1934">
        <v>108</v>
      </c>
      <c r="B1934" t="s">
        <v>92</v>
      </c>
      <c r="C1934" t="s">
        <v>662</v>
      </c>
      <c r="E1934" t="s">
        <v>662</v>
      </c>
      <c r="L1934" t="s">
        <v>93</v>
      </c>
      <c r="M1934">
        <v>40</v>
      </c>
      <c r="N1934" t="s">
        <v>597</v>
      </c>
      <c r="Q1934">
        <v>2.1589999999999998</v>
      </c>
      <c r="R1934" t="s">
        <v>11</v>
      </c>
      <c r="T1934">
        <v>10</v>
      </c>
      <c r="V1934" t="s">
        <v>18</v>
      </c>
    </row>
    <row r="1935" spans="1:22" x14ac:dyDescent="0.25">
      <c r="A1935">
        <v>108</v>
      </c>
      <c r="B1935" t="s">
        <v>92</v>
      </c>
      <c r="C1935" t="s">
        <v>662</v>
      </c>
      <c r="E1935" t="s">
        <v>662</v>
      </c>
      <c r="L1935" t="s">
        <v>93</v>
      </c>
      <c r="M1935">
        <v>50</v>
      </c>
      <c r="N1935" t="s">
        <v>139</v>
      </c>
      <c r="Q1935">
        <v>2.1589999999999998</v>
      </c>
      <c r="R1935" t="s">
        <v>17</v>
      </c>
      <c r="T1935">
        <v>10</v>
      </c>
      <c r="V1935" t="s">
        <v>18</v>
      </c>
    </row>
    <row r="1936" spans="1:22" x14ac:dyDescent="0.25">
      <c r="A1936">
        <v>108</v>
      </c>
      <c r="B1936" t="s">
        <v>92</v>
      </c>
      <c r="C1936" t="s">
        <v>662</v>
      </c>
      <c r="E1936" t="s">
        <v>662</v>
      </c>
      <c r="L1936" t="s">
        <v>93</v>
      </c>
      <c r="M1936">
        <v>60</v>
      </c>
      <c r="N1936" t="s">
        <v>663</v>
      </c>
      <c r="Q1936">
        <v>1</v>
      </c>
      <c r="R1936" t="s">
        <v>11</v>
      </c>
      <c r="T1936">
        <v>10</v>
      </c>
      <c r="V1936" t="s">
        <v>18</v>
      </c>
    </row>
    <row r="1937" spans="1:22" x14ac:dyDescent="0.25">
      <c r="A1937">
        <v>108</v>
      </c>
      <c r="B1937" t="s">
        <v>92</v>
      </c>
      <c r="C1937" t="s">
        <v>662</v>
      </c>
      <c r="E1937" t="s">
        <v>662</v>
      </c>
      <c r="L1937" t="s">
        <v>93</v>
      </c>
      <c r="M1937">
        <v>70</v>
      </c>
      <c r="N1937" t="s">
        <v>599</v>
      </c>
      <c r="Q1937">
        <v>18.440000000000001</v>
      </c>
      <c r="R1937" t="s">
        <v>17</v>
      </c>
      <c r="T1937">
        <v>10</v>
      </c>
      <c r="V1937" t="s">
        <v>15</v>
      </c>
    </row>
    <row r="1938" spans="1:22" x14ac:dyDescent="0.25">
      <c r="A1938">
        <v>108</v>
      </c>
      <c r="B1938" t="s">
        <v>92</v>
      </c>
      <c r="C1938" t="s">
        <v>662</v>
      </c>
      <c r="E1938" t="s">
        <v>662</v>
      </c>
      <c r="L1938" t="s">
        <v>93</v>
      </c>
      <c r="M1938">
        <v>80</v>
      </c>
      <c r="N1938" t="s">
        <v>20</v>
      </c>
      <c r="Q1938">
        <v>151.21100000000001</v>
      </c>
      <c r="R1938" t="s">
        <v>17</v>
      </c>
      <c r="T1938">
        <v>10</v>
      </c>
      <c r="V1938" t="s">
        <v>15</v>
      </c>
    </row>
    <row r="1939" spans="1:22" x14ac:dyDescent="0.25">
      <c r="A1939">
        <v>108</v>
      </c>
      <c r="B1939" t="s">
        <v>92</v>
      </c>
      <c r="C1939" t="s">
        <v>662</v>
      </c>
      <c r="E1939" t="s">
        <v>662</v>
      </c>
      <c r="L1939" t="s">
        <v>93</v>
      </c>
      <c r="M1939">
        <v>90</v>
      </c>
      <c r="N1939" t="s">
        <v>24</v>
      </c>
      <c r="Q1939">
        <v>1</v>
      </c>
      <c r="R1939" t="s">
        <v>11</v>
      </c>
      <c r="T1939">
        <v>10</v>
      </c>
      <c r="V1939" t="s">
        <v>15</v>
      </c>
    </row>
    <row r="1940" spans="1:22" x14ac:dyDescent="0.25">
      <c r="A1940">
        <v>108</v>
      </c>
      <c r="B1940" t="s">
        <v>92</v>
      </c>
      <c r="C1940" t="s">
        <v>662</v>
      </c>
      <c r="E1940" t="s">
        <v>662</v>
      </c>
      <c r="L1940" t="s">
        <v>93</v>
      </c>
      <c r="M1940">
        <v>100</v>
      </c>
      <c r="N1940" t="s">
        <v>141</v>
      </c>
      <c r="Q1940">
        <v>8.1000000000000003E-2</v>
      </c>
      <c r="R1940" t="s">
        <v>14</v>
      </c>
      <c r="T1940">
        <v>10</v>
      </c>
      <c r="V1940" t="s">
        <v>15</v>
      </c>
    </row>
    <row r="1941" spans="1:22" x14ac:dyDescent="0.25">
      <c r="A1941">
        <v>108</v>
      </c>
      <c r="B1941" t="s">
        <v>92</v>
      </c>
      <c r="C1941" t="s">
        <v>662</v>
      </c>
      <c r="E1941" t="s">
        <v>662</v>
      </c>
      <c r="L1941" t="s">
        <v>93</v>
      </c>
      <c r="M1941">
        <v>110</v>
      </c>
      <c r="N1941" t="s">
        <v>140</v>
      </c>
      <c r="Q1941">
        <v>4</v>
      </c>
      <c r="R1941" t="s">
        <v>11</v>
      </c>
      <c r="T1941">
        <v>10</v>
      </c>
      <c r="V1941" t="s">
        <v>15</v>
      </c>
    </row>
    <row r="1942" spans="1:22" x14ac:dyDescent="0.25">
      <c r="A1942">
        <v>108</v>
      </c>
      <c r="B1942" t="s">
        <v>92</v>
      </c>
      <c r="C1942" t="s">
        <v>662</v>
      </c>
      <c r="E1942" t="s">
        <v>662</v>
      </c>
      <c r="L1942" t="s">
        <v>93</v>
      </c>
      <c r="M1942">
        <v>120</v>
      </c>
      <c r="N1942" t="s">
        <v>25</v>
      </c>
      <c r="Q1942">
        <v>1</v>
      </c>
      <c r="R1942" t="s">
        <v>11</v>
      </c>
      <c r="T1942">
        <v>10</v>
      </c>
      <c r="V1942" t="s">
        <v>15</v>
      </c>
    </row>
    <row r="1943" spans="1:22" x14ac:dyDescent="0.25">
      <c r="A1943">
        <v>108</v>
      </c>
      <c r="B1943" t="s">
        <v>92</v>
      </c>
      <c r="C1943" t="s">
        <v>662</v>
      </c>
      <c r="E1943" t="s">
        <v>662</v>
      </c>
      <c r="L1943" t="s">
        <v>93</v>
      </c>
      <c r="M1943">
        <v>130</v>
      </c>
      <c r="N1943" t="s">
        <v>26</v>
      </c>
      <c r="Q1943">
        <v>1</v>
      </c>
      <c r="R1943" t="s">
        <v>11</v>
      </c>
      <c r="T1943">
        <v>10</v>
      </c>
      <c r="V1943" t="s">
        <v>15</v>
      </c>
    </row>
    <row r="1944" spans="1:22" x14ac:dyDescent="0.25">
      <c r="A1944">
        <v>108</v>
      </c>
      <c r="B1944" t="s">
        <v>92</v>
      </c>
      <c r="C1944" t="s">
        <v>662</v>
      </c>
      <c r="E1944" t="s">
        <v>662</v>
      </c>
      <c r="L1944" t="s">
        <v>93</v>
      </c>
      <c r="M1944">
        <v>140</v>
      </c>
      <c r="N1944" t="s">
        <v>100</v>
      </c>
      <c r="Q1944">
        <v>1.27</v>
      </c>
      <c r="R1944" t="s">
        <v>14</v>
      </c>
      <c r="T1944">
        <v>10</v>
      </c>
      <c r="V1944" t="s">
        <v>15</v>
      </c>
    </row>
    <row r="1945" spans="1:22" x14ac:dyDescent="0.25">
      <c r="A1945">
        <v>108</v>
      </c>
      <c r="B1945" t="s">
        <v>92</v>
      </c>
      <c r="C1945" t="s">
        <v>662</v>
      </c>
      <c r="E1945" t="s">
        <v>662</v>
      </c>
      <c r="L1945" t="s">
        <v>93</v>
      </c>
      <c r="M1945">
        <v>150</v>
      </c>
      <c r="N1945" t="s">
        <v>341</v>
      </c>
      <c r="Q1945">
        <v>1</v>
      </c>
      <c r="R1945" t="s">
        <v>11</v>
      </c>
      <c r="T1945">
        <v>10</v>
      </c>
      <c r="V1945" t="s">
        <v>18</v>
      </c>
    </row>
    <row r="1946" spans="1:22" x14ac:dyDescent="0.25">
      <c r="A1946">
        <v>108</v>
      </c>
      <c r="B1946" t="s">
        <v>92</v>
      </c>
      <c r="C1946" t="s">
        <v>662</v>
      </c>
      <c r="E1946" t="s">
        <v>662</v>
      </c>
      <c r="L1946" t="s">
        <v>93</v>
      </c>
      <c r="M1946">
        <v>160</v>
      </c>
      <c r="N1946" t="s">
        <v>342</v>
      </c>
      <c r="Q1946">
        <v>1</v>
      </c>
      <c r="R1946" t="s">
        <v>11</v>
      </c>
      <c r="T1946">
        <v>10</v>
      </c>
      <c r="V1946" t="s">
        <v>18</v>
      </c>
    </row>
    <row r="1947" spans="1:22" x14ac:dyDescent="0.25">
      <c r="A1947">
        <v>108</v>
      </c>
      <c r="B1947" t="s">
        <v>92</v>
      </c>
      <c r="C1947" t="s">
        <v>662</v>
      </c>
      <c r="E1947" t="s">
        <v>662</v>
      </c>
      <c r="L1947" t="s">
        <v>93</v>
      </c>
      <c r="M1947">
        <v>170</v>
      </c>
      <c r="N1947" t="s">
        <v>142</v>
      </c>
      <c r="Q1947">
        <v>6.1470000000000002</v>
      </c>
      <c r="R1947" t="s">
        <v>11</v>
      </c>
      <c r="T1947">
        <v>10</v>
      </c>
      <c r="V1947" t="s">
        <v>15</v>
      </c>
    </row>
    <row r="1948" spans="1:22" x14ac:dyDescent="0.25">
      <c r="A1948">
        <v>108</v>
      </c>
      <c r="B1948" t="s">
        <v>92</v>
      </c>
      <c r="C1948" t="s">
        <v>662</v>
      </c>
      <c r="E1948" t="s">
        <v>662</v>
      </c>
      <c r="L1948" t="s">
        <v>93</v>
      </c>
      <c r="M1948">
        <v>180</v>
      </c>
      <c r="N1948" t="s">
        <v>343</v>
      </c>
      <c r="Q1948">
        <v>1</v>
      </c>
      <c r="R1948" t="s">
        <v>11</v>
      </c>
      <c r="T1948">
        <v>10</v>
      </c>
      <c r="V1948" t="s">
        <v>18</v>
      </c>
    </row>
    <row r="1949" spans="1:22" x14ac:dyDescent="0.25">
      <c r="A1949">
        <v>109</v>
      </c>
      <c r="B1949" t="s">
        <v>92</v>
      </c>
      <c r="C1949" t="s">
        <v>664</v>
      </c>
      <c r="E1949" t="s">
        <v>664</v>
      </c>
      <c r="L1949" t="s">
        <v>93</v>
      </c>
      <c r="M1949">
        <v>10</v>
      </c>
      <c r="N1949" t="s">
        <v>345</v>
      </c>
      <c r="Q1949">
        <v>1</v>
      </c>
      <c r="R1949" t="s">
        <v>11</v>
      </c>
      <c r="T1949">
        <v>10</v>
      </c>
      <c r="V1949" t="s">
        <v>18</v>
      </c>
    </row>
    <row r="1950" spans="1:22" x14ac:dyDescent="0.25">
      <c r="A1950">
        <v>109</v>
      </c>
      <c r="B1950" t="s">
        <v>92</v>
      </c>
      <c r="C1950" t="s">
        <v>664</v>
      </c>
      <c r="E1950" t="s">
        <v>664</v>
      </c>
      <c r="L1950" t="s">
        <v>93</v>
      </c>
      <c r="M1950">
        <v>20</v>
      </c>
      <c r="N1950" t="s">
        <v>132</v>
      </c>
      <c r="Q1950">
        <v>3.13</v>
      </c>
      <c r="R1950" t="s">
        <v>14</v>
      </c>
      <c r="T1950">
        <v>10</v>
      </c>
      <c r="V1950" t="s">
        <v>15</v>
      </c>
    </row>
    <row r="1951" spans="1:22" x14ac:dyDescent="0.25">
      <c r="A1951">
        <v>109</v>
      </c>
      <c r="B1951" t="s">
        <v>92</v>
      </c>
      <c r="C1951" t="s">
        <v>664</v>
      </c>
      <c r="E1951" t="s">
        <v>664</v>
      </c>
      <c r="L1951" t="s">
        <v>93</v>
      </c>
      <c r="M1951">
        <v>30</v>
      </c>
      <c r="N1951" t="s">
        <v>102</v>
      </c>
      <c r="Q1951">
        <v>0.79800000000000004</v>
      </c>
      <c r="R1951" t="s">
        <v>103</v>
      </c>
      <c r="T1951">
        <v>10</v>
      </c>
      <c r="V1951" t="s">
        <v>15</v>
      </c>
    </row>
    <row r="1952" spans="1:22" x14ac:dyDescent="0.25">
      <c r="A1952">
        <v>109</v>
      </c>
      <c r="B1952" t="s">
        <v>92</v>
      </c>
      <c r="C1952" t="s">
        <v>664</v>
      </c>
      <c r="E1952" t="s">
        <v>664</v>
      </c>
      <c r="L1952" t="s">
        <v>93</v>
      </c>
      <c r="M1952">
        <v>40</v>
      </c>
      <c r="N1952" t="s">
        <v>597</v>
      </c>
      <c r="Q1952">
        <v>2.1589999999999998</v>
      </c>
      <c r="R1952" t="s">
        <v>11</v>
      </c>
      <c r="T1952">
        <v>10</v>
      </c>
      <c r="V1952" t="s">
        <v>18</v>
      </c>
    </row>
    <row r="1953" spans="1:22" x14ac:dyDescent="0.25">
      <c r="A1953">
        <v>109</v>
      </c>
      <c r="B1953" t="s">
        <v>92</v>
      </c>
      <c r="C1953" t="s">
        <v>664</v>
      </c>
      <c r="E1953" t="s">
        <v>664</v>
      </c>
      <c r="L1953" t="s">
        <v>93</v>
      </c>
      <c r="M1953">
        <v>50</v>
      </c>
      <c r="N1953" t="s">
        <v>139</v>
      </c>
      <c r="Q1953">
        <v>2.1589999999999998</v>
      </c>
      <c r="R1953" t="s">
        <v>17</v>
      </c>
      <c r="T1953">
        <v>10</v>
      </c>
      <c r="V1953" t="s">
        <v>18</v>
      </c>
    </row>
    <row r="1954" spans="1:22" x14ac:dyDescent="0.25">
      <c r="A1954">
        <v>109</v>
      </c>
      <c r="B1954" t="s">
        <v>92</v>
      </c>
      <c r="C1954" t="s">
        <v>664</v>
      </c>
      <c r="E1954" t="s">
        <v>664</v>
      </c>
      <c r="L1954" t="s">
        <v>93</v>
      </c>
      <c r="M1954">
        <v>60</v>
      </c>
      <c r="N1954" t="s">
        <v>665</v>
      </c>
      <c r="Q1954">
        <v>1</v>
      </c>
      <c r="R1954" t="s">
        <v>11</v>
      </c>
      <c r="T1954">
        <v>10</v>
      </c>
      <c r="V1954" t="s">
        <v>18</v>
      </c>
    </row>
    <row r="1955" spans="1:22" x14ac:dyDescent="0.25">
      <c r="A1955">
        <v>109</v>
      </c>
      <c r="B1955" t="s">
        <v>92</v>
      </c>
      <c r="C1955" t="s">
        <v>664</v>
      </c>
      <c r="E1955" t="s">
        <v>664</v>
      </c>
      <c r="L1955" t="s">
        <v>93</v>
      </c>
      <c r="M1955">
        <v>70</v>
      </c>
      <c r="N1955" t="s">
        <v>599</v>
      </c>
      <c r="Q1955">
        <v>19.355</v>
      </c>
      <c r="R1955" t="s">
        <v>17</v>
      </c>
      <c r="T1955">
        <v>10</v>
      </c>
      <c r="V1955" t="s">
        <v>15</v>
      </c>
    </row>
    <row r="1956" spans="1:22" x14ac:dyDescent="0.25">
      <c r="A1956">
        <v>109</v>
      </c>
      <c r="B1956" t="s">
        <v>92</v>
      </c>
      <c r="C1956" t="s">
        <v>664</v>
      </c>
      <c r="E1956" t="s">
        <v>664</v>
      </c>
      <c r="L1956" t="s">
        <v>93</v>
      </c>
      <c r="M1956">
        <v>80</v>
      </c>
      <c r="N1956" t="s">
        <v>20</v>
      </c>
      <c r="Q1956">
        <v>158.709</v>
      </c>
      <c r="R1956" t="s">
        <v>17</v>
      </c>
      <c r="T1956">
        <v>10</v>
      </c>
      <c r="V1956" t="s">
        <v>15</v>
      </c>
    </row>
    <row r="1957" spans="1:22" x14ac:dyDescent="0.25">
      <c r="A1957">
        <v>109</v>
      </c>
      <c r="B1957" t="s">
        <v>92</v>
      </c>
      <c r="C1957" t="s">
        <v>664</v>
      </c>
      <c r="E1957" t="s">
        <v>664</v>
      </c>
      <c r="L1957" t="s">
        <v>93</v>
      </c>
      <c r="M1957">
        <v>90</v>
      </c>
      <c r="N1957" t="s">
        <v>24</v>
      </c>
      <c r="Q1957">
        <v>1</v>
      </c>
      <c r="R1957" t="s">
        <v>11</v>
      </c>
      <c r="T1957">
        <v>10</v>
      </c>
      <c r="V1957" t="s">
        <v>15</v>
      </c>
    </row>
    <row r="1958" spans="1:22" x14ac:dyDescent="0.25">
      <c r="A1958">
        <v>109</v>
      </c>
      <c r="B1958" t="s">
        <v>92</v>
      </c>
      <c r="C1958" t="s">
        <v>664</v>
      </c>
      <c r="E1958" t="s">
        <v>664</v>
      </c>
      <c r="L1958" t="s">
        <v>93</v>
      </c>
      <c r="M1958">
        <v>100</v>
      </c>
      <c r="N1958" t="s">
        <v>141</v>
      </c>
      <c r="Q1958">
        <v>9.1999999999999998E-2</v>
      </c>
      <c r="R1958" t="s">
        <v>14</v>
      </c>
      <c r="T1958">
        <v>10</v>
      </c>
      <c r="V1958" t="s">
        <v>15</v>
      </c>
    </row>
    <row r="1959" spans="1:22" x14ac:dyDescent="0.25">
      <c r="A1959">
        <v>109</v>
      </c>
      <c r="B1959" t="s">
        <v>92</v>
      </c>
      <c r="C1959" t="s">
        <v>664</v>
      </c>
      <c r="E1959" t="s">
        <v>664</v>
      </c>
      <c r="L1959" t="s">
        <v>93</v>
      </c>
      <c r="M1959">
        <v>110</v>
      </c>
      <c r="N1959" t="s">
        <v>140</v>
      </c>
      <c r="Q1959">
        <v>4</v>
      </c>
      <c r="R1959" t="s">
        <v>11</v>
      </c>
      <c r="T1959">
        <v>10</v>
      </c>
      <c r="V1959" t="s">
        <v>15</v>
      </c>
    </row>
    <row r="1960" spans="1:22" x14ac:dyDescent="0.25">
      <c r="A1960">
        <v>109</v>
      </c>
      <c r="B1960" t="s">
        <v>92</v>
      </c>
      <c r="C1960" t="s">
        <v>664</v>
      </c>
      <c r="E1960" t="s">
        <v>664</v>
      </c>
      <c r="L1960" t="s">
        <v>93</v>
      </c>
      <c r="M1960">
        <v>120</v>
      </c>
      <c r="N1960" t="s">
        <v>25</v>
      </c>
      <c r="Q1960">
        <v>1</v>
      </c>
      <c r="R1960" t="s">
        <v>11</v>
      </c>
      <c r="T1960">
        <v>10</v>
      </c>
      <c r="V1960" t="s">
        <v>15</v>
      </c>
    </row>
    <row r="1961" spans="1:22" x14ac:dyDescent="0.25">
      <c r="A1961">
        <v>109</v>
      </c>
      <c r="B1961" t="s">
        <v>92</v>
      </c>
      <c r="C1961" t="s">
        <v>664</v>
      </c>
      <c r="E1961" t="s">
        <v>664</v>
      </c>
      <c r="L1961" t="s">
        <v>93</v>
      </c>
      <c r="M1961">
        <v>130</v>
      </c>
      <c r="N1961" t="s">
        <v>26</v>
      </c>
      <c r="Q1961">
        <v>1</v>
      </c>
      <c r="R1961" t="s">
        <v>11</v>
      </c>
      <c r="T1961">
        <v>10</v>
      </c>
      <c r="V1961" t="s">
        <v>15</v>
      </c>
    </row>
    <row r="1962" spans="1:22" x14ac:dyDescent="0.25">
      <c r="A1962">
        <v>109</v>
      </c>
      <c r="B1962" t="s">
        <v>92</v>
      </c>
      <c r="C1962" t="s">
        <v>664</v>
      </c>
      <c r="E1962" t="s">
        <v>664</v>
      </c>
      <c r="L1962" t="s">
        <v>93</v>
      </c>
      <c r="M1962">
        <v>140</v>
      </c>
      <c r="N1962" t="s">
        <v>100</v>
      </c>
      <c r="Q1962">
        <v>1.27</v>
      </c>
      <c r="R1962" t="s">
        <v>14</v>
      </c>
      <c r="T1962">
        <v>10</v>
      </c>
      <c r="V1962" t="s">
        <v>15</v>
      </c>
    </row>
    <row r="1963" spans="1:22" x14ac:dyDescent="0.25">
      <c r="A1963">
        <v>109</v>
      </c>
      <c r="B1963" t="s">
        <v>92</v>
      </c>
      <c r="C1963" t="s">
        <v>664</v>
      </c>
      <c r="E1963" t="s">
        <v>664</v>
      </c>
      <c r="L1963" t="s">
        <v>93</v>
      </c>
      <c r="M1963">
        <v>150</v>
      </c>
      <c r="N1963" t="s">
        <v>347</v>
      </c>
      <c r="Q1963">
        <v>1</v>
      </c>
      <c r="R1963" t="s">
        <v>11</v>
      </c>
      <c r="T1963">
        <v>10</v>
      </c>
      <c r="V1963" t="s">
        <v>18</v>
      </c>
    </row>
    <row r="1964" spans="1:22" x14ac:dyDescent="0.25">
      <c r="A1964">
        <v>109</v>
      </c>
      <c r="B1964" t="s">
        <v>92</v>
      </c>
      <c r="C1964" t="s">
        <v>664</v>
      </c>
      <c r="E1964" t="s">
        <v>664</v>
      </c>
      <c r="L1964" t="s">
        <v>93</v>
      </c>
      <c r="M1964">
        <v>160</v>
      </c>
      <c r="N1964" t="s">
        <v>348</v>
      </c>
      <c r="Q1964">
        <v>1</v>
      </c>
      <c r="R1964" t="s">
        <v>11</v>
      </c>
      <c r="T1964">
        <v>10</v>
      </c>
      <c r="V1964" t="s">
        <v>18</v>
      </c>
    </row>
    <row r="1965" spans="1:22" x14ac:dyDescent="0.25">
      <c r="A1965">
        <v>109</v>
      </c>
      <c r="B1965" t="s">
        <v>92</v>
      </c>
      <c r="C1965" t="s">
        <v>664</v>
      </c>
      <c r="E1965" t="s">
        <v>664</v>
      </c>
      <c r="L1965" t="s">
        <v>93</v>
      </c>
      <c r="M1965">
        <v>170</v>
      </c>
      <c r="N1965" t="s">
        <v>142</v>
      </c>
      <c r="Q1965">
        <v>6.452</v>
      </c>
      <c r="R1965" t="s">
        <v>11</v>
      </c>
      <c r="T1965">
        <v>10</v>
      </c>
      <c r="V1965" t="s">
        <v>15</v>
      </c>
    </row>
    <row r="1966" spans="1:22" x14ac:dyDescent="0.25">
      <c r="A1966">
        <v>109</v>
      </c>
      <c r="B1966" t="s">
        <v>92</v>
      </c>
      <c r="C1966" t="s">
        <v>664</v>
      </c>
      <c r="E1966" t="s">
        <v>664</v>
      </c>
      <c r="L1966" t="s">
        <v>93</v>
      </c>
      <c r="M1966">
        <v>180</v>
      </c>
      <c r="N1966" t="s">
        <v>349</v>
      </c>
      <c r="Q1966">
        <v>1</v>
      </c>
      <c r="R1966" t="s">
        <v>11</v>
      </c>
      <c r="T1966">
        <v>10</v>
      </c>
      <c r="V1966" t="s">
        <v>18</v>
      </c>
    </row>
    <row r="1967" spans="1:22" x14ac:dyDescent="0.25">
      <c r="A1967">
        <v>110</v>
      </c>
      <c r="B1967" t="s">
        <v>92</v>
      </c>
      <c r="C1967" t="s">
        <v>666</v>
      </c>
      <c r="E1967" t="s">
        <v>666</v>
      </c>
      <c r="L1967" t="s">
        <v>93</v>
      </c>
      <c r="M1967">
        <v>10</v>
      </c>
      <c r="N1967" t="s">
        <v>351</v>
      </c>
      <c r="Q1967">
        <v>1</v>
      </c>
      <c r="R1967" t="s">
        <v>11</v>
      </c>
      <c r="T1967">
        <v>10</v>
      </c>
      <c r="V1967" t="s">
        <v>18</v>
      </c>
    </row>
    <row r="1968" spans="1:22" x14ac:dyDescent="0.25">
      <c r="A1968">
        <v>110</v>
      </c>
      <c r="B1968" t="s">
        <v>92</v>
      </c>
      <c r="C1968" t="s">
        <v>666</v>
      </c>
      <c r="E1968" t="s">
        <v>666</v>
      </c>
      <c r="L1968" t="s">
        <v>93</v>
      </c>
      <c r="M1968">
        <v>20</v>
      </c>
      <c r="N1968" t="s">
        <v>132</v>
      </c>
      <c r="Q1968">
        <v>3.5819999999999999</v>
      </c>
      <c r="R1968" t="s">
        <v>14</v>
      </c>
      <c r="T1968">
        <v>10</v>
      </c>
      <c r="V1968" t="s">
        <v>15</v>
      </c>
    </row>
    <row r="1969" spans="1:22" x14ac:dyDescent="0.25">
      <c r="A1969">
        <v>110</v>
      </c>
      <c r="B1969" t="s">
        <v>92</v>
      </c>
      <c r="C1969" t="s">
        <v>666</v>
      </c>
      <c r="E1969" t="s">
        <v>666</v>
      </c>
      <c r="L1969" t="s">
        <v>93</v>
      </c>
      <c r="M1969">
        <v>30</v>
      </c>
      <c r="N1969" t="s">
        <v>102</v>
      </c>
      <c r="Q1969">
        <v>0.92400000000000004</v>
      </c>
      <c r="R1969" t="s">
        <v>103</v>
      </c>
      <c r="T1969">
        <v>10</v>
      </c>
      <c r="V1969" t="s">
        <v>15</v>
      </c>
    </row>
    <row r="1970" spans="1:22" x14ac:dyDescent="0.25">
      <c r="A1970">
        <v>110</v>
      </c>
      <c r="B1970" t="s">
        <v>92</v>
      </c>
      <c r="C1970" t="s">
        <v>666</v>
      </c>
      <c r="E1970" t="s">
        <v>666</v>
      </c>
      <c r="L1970" t="s">
        <v>93</v>
      </c>
      <c r="M1970">
        <v>40</v>
      </c>
      <c r="N1970" t="s">
        <v>597</v>
      </c>
      <c r="Q1970">
        <v>2.1589999999999998</v>
      </c>
      <c r="R1970" t="s">
        <v>11</v>
      </c>
      <c r="T1970">
        <v>10</v>
      </c>
      <c r="V1970" t="s">
        <v>18</v>
      </c>
    </row>
    <row r="1971" spans="1:22" x14ac:dyDescent="0.25">
      <c r="A1971">
        <v>110</v>
      </c>
      <c r="B1971" t="s">
        <v>92</v>
      </c>
      <c r="C1971" t="s">
        <v>666</v>
      </c>
      <c r="E1971" t="s">
        <v>666</v>
      </c>
      <c r="L1971" t="s">
        <v>93</v>
      </c>
      <c r="M1971">
        <v>50</v>
      </c>
      <c r="N1971" t="s">
        <v>139</v>
      </c>
      <c r="Q1971">
        <v>2.1589999999999998</v>
      </c>
      <c r="R1971" t="s">
        <v>17</v>
      </c>
      <c r="T1971">
        <v>10</v>
      </c>
      <c r="V1971" t="s">
        <v>18</v>
      </c>
    </row>
    <row r="1972" spans="1:22" x14ac:dyDescent="0.25">
      <c r="A1972">
        <v>110</v>
      </c>
      <c r="B1972" t="s">
        <v>92</v>
      </c>
      <c r="C1972" t="s">
        <v>666</v>
      </c>
      <c r="E1972" t="s">
        <v>666</v>
      </c>
      <c r="L1972" t="s">
        <v>93</v>
      </c>
      <c r="M1972">
        <v>60</v>
      </c>
      <c r="N1972" t="s">
        <v>667</v>
      </c>
      <c r="Q1972">
        <v>1</v>
      </c>
      <c r="R1972" t="s">
        <v>11</v>
      </c>
      <c r="T1972">
        <v>10</v>
      </c>
      <c r="V1972" t="s">
        <v>18</v>
      </c>
    </row>
    <row r="1973" spans="1:22" x14ac:dyDescent="0.25">
      <c r="A1973">
        <v>110</v>
      </c>
      <c r="B1973" t="s">
        <v>92</v>
      </c>
      <c r="C1973" t="s">
        <v>666</v>
      </c>
      <c r="E1973" t="s">
        <v>666</v>
      </c>
      <c r="L1973" t="s">
        <v>93</v>
      </c>
      <c r="M1973">
        <v>70</v>
      </c>
      <c r="N1973" t="s">
        <v>599</v>
      </c>
      <c r="Q1973">
        <v>20.268999999999998</v>
      </c>
      <c r="R1973" t="s">
        <v>17</v>
      </c>
      <c r="T1973">
        <v>10</v>
      </c>
      <c r="V1973" t="s">
        <v>15</v>
      </c>
    </row>
    <row r="1974" spans="1:22" x14ac:dyDescent="0.25">
      <c r="A1974">
        <v>110</v>
      </c>
      <c r="B1974" t="s">
        <v>92</v>
      </c>
      <c r="C1974" t="s">
        <v>666</v>
      </c>
      <c r="E1974" t="s">
        <v>666</v>
      </c>
      <c r="L1974" t="s">
        <v>93</v>
      </c>
      <c r="M1974">
        <v>80</v>
      </c>
      <c r="N1974" t="s">
        <v>20</v>
      </c>
      <c r="Q1974">
        <v>166.20699999999999</v>
      </c>
      <c r="R1974" t="s">
        <v>17</v>
      </c>
      <c r="T1974">
        <v>10</v>
      </c>
      <c r="V1974" t="s">
        <v>15</v>
      </c>
    </row>
    <row r="1975" spans="1:22" x14ac:dyDescent="0.25">
      <c r="A1975">
        <v>110</v>
      </c>
      <c r="B1975" t="s">
        <v>92</v>
      </c>
      <c r="C1975" t="s">
        <v>666</v>
      </c>
      <c r="E1975" t="s">
        <v>666</v>
      </c>
      <c r="L1975" t="s">
        <v>93</v>
      </c>
      <c r="M1975">
        <v>90</v>
      </c>
      <c r="N1975" t="s">
        <v>24</v>
      </c>
      <c r="Q1975">
        <v>1</v>
      </c>
      <c r="R1975" t="s">
        <v>11</v>
      </c>
      <c r="T1975">
        <v>10</v>
      </c>
      <c r="V1975" t="s">
        <v>15</v>
      </c>
    </row>
    <row r="1976" spans="1:22" x14ac:dyDescent="0.25">
      <c r="A1976">
        <v>110</v>
      </c>
      <c r="B1976" t="s">
        <v>92</v>
      </c>
      <c r="C1976" t="s">
        <v>666</v>
      </c>
      <c r="E1976" t="s">
        <v>666</v>
      </c>
      <c r="L1976" t="s">
        <v>93</v>
      </c>
      <c r="M1976">
        <v>100</v>
      </c>
      <c r="N1976" t="s">
        <v>141</v>
      </c>
      <c r="Q1976">
        <v>0.10199999999999999</v>
      </c>
      <c r="R1976" t="s">
        <v>14</v>
      </c>
      <c r="T1976">
        <v>10</v>
      </c>
      <c r="V1976" t="s">
        <v>15</v>
      </c>
    </row>
    <row r="1977" spans="1:22" x14ac:dyDescent="0.25">
      <c r="A1977">
        <v>110</v>
      </c>
      <c r="B1977" t="s">
        <v>92</v>
      </c>
      <c r="C1977" t="s">
        <v>666</v>
      </c>
      <c r="E1977" t="s">
        <v>666</v>
      </c>
      <c r="L1977" t="s">
        <v>93</v>
      </c>
      <c r="M1977">
        <v>110</v>
      </c>
      <c r="N1977" t="s">
        <v>140</v>
      </c>
      <c r="Q1977">
        <v>4</v>
      </c>
      <c r="R1977" t="s">
        <v>11</v>
      </c>
      <c r="T1977">
        <v>10</v>
      </c>
      <c r="V1977" t="s">
        <v>15</v>
      </c>
    </row>
    <row r="1978" spans="1:22" x14ac:dyDescent="0.25">
      <c r="A1978">
        <v>110</v>
      </c>
      <c r="B1978" t="s">
        <v>92</v>
      </c>
      <c r="C1978" t="s">
        <v>666</v>
      </c>
      <c r="E1978" t="s">
        <v>666</v>
      </c>
      <c r="L1978" t="s">
        <v>93</v>
      </c>
      <c r="M1978">
        <v>120</v>
      </c>
      <c r="N1978" t="s">
        <v>25</v>
      </c>
      <c r="Q1978">
        <v>1</v>
      </c>
      <c r="R1978" t="s">
        <v>11</v>
      </c>
      <c r="T1978">
        <v>10</v>
      </c>
      <c r="V1978" t="s">
        <v>15</v>
      </c>
    </row>
    <row r="1979" spans="1:22" x14ac:dyDescent="0.25">
      <c r="A1979">
        <v>110</v>
      </c>
      <c r="B1979" t="s">
        <v>92</v>
      </c>
      <c r="C1979" t="s">
        <v>666</v>
      </c>
      <c r="E1979" t="s">
        <v>666</v>
      </c>
      <c r="L1979" t="s">
        <v>93</v>
      </c>
      <c r="M1979">
        <v>130</v>
      </c>
      <c r="N1979" t="s">
        <v>26</v>
      </c>
      <c r="Q1979">
        <v>1</v>
      </c>
      <c r="R1979" t="s">
        <v>11</v>
      </c>
      <c r="T1979">
        <v>10</v>
      </c>
      <c r="V1979" t="s">
        <v>15</v>
      </c>
    </row>
    <row r="1980" spans="1:22" x14ac:dyDescent="0.25">
      <c r="A1980">
        <v>110</v>
      </c>
      <c r="B1980" t="s">
        <v>92</v>
      </c>
      <c r="C1980" t="s">
        <v>666</v>
      </c>
      <c r="E1980" t="s">
        <v>666</v>
      </c>
      <c r="L1980" t="s">
        <v>93</v>
      </c>
      <c r="M1980">
        <v>140</v>
      </c>
      <c r="N1980" t="s">
        <v>100</v>
      </c>
      <c r="Q1980">
        <v>1.27</v>
      </c>
      <c r="R1980" t="s">
        <v>14</v>
      </c>
      <c r="T1980">
        <v>10</v>
      </c>
      <c r="V1980" t="s">
        <v>15</v>
      </c>
    </row>
    <row r="1981" spans="1:22" x14ac:dyDescent="0.25">
      <c r="A1981">
        <v>110</v>
      </c>
      <c r="B1981" t="s">
        <v>92</v>
      </c>
      <c r="C1981" t="s">
        <v>666</v>
      </c>
      <c r="E1981" t="s">
        <v>666</v>
      </c>
      <c r="L1981" t="s">
        <v>93</v>
      </c>
      <c r="M1981">
        <v>150</v>
      </c>
      <c r="N1981" t="s">
        <v>353</v>
      </c>
      <c r="Q1981">
        <v>1</v>
      </c>
      <c r="R1981" t="s">
        <v>11</v>
      </c>
      <c r="T1981">
        <v>10</v>
      </c>
      <c r="V1981" t="s">
        <v>18</v>
      </c>
    </row>
    <row r="1982" spans="1:22" x14ac:dyDescent="0.25">
      <c r="A1982">
        <v>110</v>
      </c>
      <c r="B1982" t="s">
        <v>92</v>
      </c>
      <c r="C1982" t="s">
        <v>666</v>
      </c>
      <c r="E1982" t="s">
        <v>666</v>
      </c>
      <c r="L1982" t="s">
        <v>93</v>
      </c>
      <c r="M1982">
        <v>160</v>
      </c>
      <c r="N1982" t="s">
        <v>354</v>
      </c>
      <c r="Q1982">
        <v>1</v>
      </c>
      <c r="R1982" t="s">
        <v>11</v>
      </c>
      <c r="T1982">
        <v>10</v>
      </c>
      <c r="V1982" t="s">
        <v>18</v>
      </c>
    </row>
    <row r="1983" spans="1:22" x14ac:dyDescent="0.25">
      <c r="A1983">
        <v>110</v>
      </c>
      <c r="B1983" t="s">
        <v>92</v>
      </c>
      <c r="C1983" t="s">
        <v>666</v>
      </c>
      <c r="E1983" t="s">
        <v>666</v>
      </c>
      <c r="L1983" t="s">
        <v>93</v>
      </c>
      <c r="M1983">
        <v>170</v>
      </c>
      <c r="N1983" t="s">
        <v>142</v>
      </c>
      <c r="Q1983">
        <v>6.7560000000000002</v>
      </c>
      <c r="R1983" t="s">
        <v>11</v>
      </c>
      <c r="T1983">
        <v>10</v>
      </c>
      <c r="V1983" t="s">
        <v>15</v>
      </c>
    </row>
    <row r="1984" spans="1:22" x14ac:dyDescent="0.25">
      <c r="A1984">
        <v>110</v>
      </c>
      <c r="B1984" t="s">
        <v>92</v>
      </c>
      <c r="C1984" t="s">
        <v>666</v>
      </c>
      <c r="E1984" t="s">
        <v>666</v>
      </c>
      <c r="L1984" t="s">
        <v>93</v>
      </c>
      <c r="M1984">
        <v>180</v>
      </c>
      <c r="N1984" t="s">
        <v>355</v>
      </c>
      <c r="Q1984">
        <v>1</v>
      </c>
      <c r="R1984" t="s">
        <v>11</v>
      </c>
      <c r="T1984">
        <v>10</v>
      </c>
      <c r="V1984" t="s">
        <v>18</v>
      </c>
    </row>
    <row r="1985" spans="1:22" x14ac:dyDescent="0.25">
      <c r="A1985">
        <v>111</v>
      </c>
      <c r="B1985" t="s">
        <v>92</v>
      </c>
      <c r="C1985" t="s">
        <v>668</v>
      </c>
      <c r="E1985" t="s">
        <v>668</v>
      </c>
      <c r="L1985" t="s">
        <v>93</v>
      </c>
      <c r="M1985">
        <v>10</v>
      </c>
      <c r="N1985" t="s">
        <v>357</v>
      </c>
      <c r="Q1985">
        <v>1</v>
      </c>
      <c r="R1985" t="s">
        <v>11</v>
      </c>
      <c r="T1985">
        <v>10</v>
      </c>
      <c r="V1985" t="s">
        <v>18</v>
      </c>
    </row>
    <row r="1986" spans="1:22" x14ac:dyDescent="0.25">
      <c r="A1986">
        <v>111</v>
      </c>
      <c r="B1986" t="s">
        <v>92</v>
      </c>
      <c r="C1986" t="s">
        <v>668</v>
      </c>
      <c r="E1986" t="s">
        <v>668</v>
      </c>
      <c r="L1986" t="s">
        <v>93</v>
      </c>
      <c r="M1986">
        <v>20</v>
      </c>
      <c r="N1986" t="s">
        <v>132</v>
      </c>
      <c r="Q1986">
        <v>4.4870000000000001</v>
      </c>
      <c r="R1986" t="s">
        <v>14</v>
      </c>
      <c r="T1986">
        <v>10</v>
      </c>
      <c r="V1986" t="s">
        <v>15</v>
      </c>
    </row>
    <row r="1987" spans="1:22" x14ac:dyDescent="0.25">
      <c r="A1987">
        <v>111</v>
      </c>
      <c r="B1987" t="s">
        <v>92</v>
      </c>
      <c r="C1987" t="s">
        <v>668</v>
      </c>
      <c r="E1987" t="s">
        <v>668</v>
      </c>
      <c r="L1987" t="s">
        <v>93</v>
      </c>
      <c r="M1987">
        <v>30</v>
      </c>
      <c r="N1987" t="s">
        <v>102</v>
      </c>
      <c r="Q1987">
        <v>1.05</v>
      </c>
      <c r="R1987" t="s">
        <v>103</v>
      </c>
      <c r="T1987">
        <v>10</v>
      </c>
      <c r="V1987" t="s">
        <v>15</v>
      </c>
    </row>
    <row r="1988" spans="1:22" x14ac:dyDescent="0.25">
      <c r="A1988">
        <v>111</v>
      </c>
      <c r="B1988" t="s">
        <v>92</v>
      </c>
      <c r="C1988" t="s">
        <v>668</v>
      </c>
      <c r="E1988" t="s">
        <v>668</v>
      </c>
      <c r="L1988" t="s">
        <v>93</v>
      </c>
      <c r="M1988">
        <v>40</v>
      </c>
      <c r="N1988" t="s">
        <v>597</v>
      </c>
      <c r="Q1988">
        <v>2.1589999999999998</v>
      </c>
      <c r="R1988" t="s">
        <v>11</v>
      </c>
      <c r="T1988">
        <v>10</v>
      </c>
      <c r="V1988" t="s">
        <v>18</v>
      </c>
    </row>
    <row r="1989" spans="1:22" x14ac:dyDescent="0.25">
      <c r="A1989">
        <v>111</v>
      </c>
      <c r="B1989" t="s">
        <v>92</v>
      </c>
      <c r="C1989" t="s">
        <v>668</v>
      </c>
      <c r="E1989" t="s">
        <v>668</v>
      </c>
      <c r="L1989" t="s">
        <v>93</v>
      </c>
      <c r="M1989">
        <v>50</v>
      </c>
      <c r="N1989" t="s">
        <v>139</v>
      </c>
      <c r="Q1989">
        <v>2.1589999999999998</v>
      </c>
      <c r="R1989" t="s">
        <v>17</v>
      </c>
      <c r="T1989">
        <v>10</v>
      </c>
      <c r="V1989" t="s">
        <v>18</v>
      </c>
    </row>
    <row r="1990" spans="1:22" x14ac:dyDescent="0.25">
      <c r="A1990">
        <v>111</v>
      </c>
      <c r="B1990" t="s">
        <v>92</v>
      </c>
      <c r="C1990" t="s">
        <v>668</v>
      </c>
      <c r="E1990" t="s">
        <v>668</v>
      </c>
      <c r="L1990" t="s">
        <v>93</v>
      </c>
      <c r="M1990">
        <v>60</v>
      </c>
      <c r="N1990" t="s">
        <v>669</v>
      </c>
      <c r="Q1990">
        <v>1</v>
      </c>
      <c r="R1990" t="s">
        <v>11</v>
      </c>
      <c r="T1990">
        <v>10</v>
      </c>
      <c r="V1990" t="s">
        <v>18</v>
      </c>
    </row>
    <row r="1991" spans="1:22" x14ac:dyDescent="0.25">
      <c r="A1991">
        <v>111</v>
      </c>
      <c r="B1991" t="s">
        <v>92</v>
      </c>
      <c r="C1991" t="s">
        <v>668</v>
      </c>
      <c r="E1991" t="s">
        <v>668</v>
      </c>
      <c r="L1991" t="s">
        <v>93</v>
      </c>
      <c r="M1991">
        <v>70</v>
      </c>
      <c r="N1991" t="s">
        <v>599</v>
      </c>
      <c r="Q1991">
        <v>21.184000000000001</v>
      </c>
      <c r="R1991" t="s">
        <v>17</v>
      </c>
      <c r="T1991">
        <v>10</v>
      </c>
      <c r="V1991" t="s">
        <v>15</v>
      </c>
    </row>
    <row r="1992" spans="1:22" x14ac:dyDescent="0.25">
      <c r="A1992">
        <v>111</v>
      </c>
      <c r="B1992" t="s">
        <v>92</v>
      </c>
      <c r="C1992" t="s">
        <v>668</v>
      </c>
      <c r="E1992" t="s">
        <v>668</v>
      </c>
      <c r="L1992" t="s">
        <v>93</v>
      </c>
      <c r="M1992">
        <v>80</v>
      </c>
      <c r="N1992" t="s">
        <v>20</v>
      </c>
      <c r="Q1992">
        <v>173.70599999999999</v>
      </c>
      <c r="R1992" t="s">
        <v>17</v>
      </c>
      <c r="T1992">
        <v>10</v>
      </c>
      <c r="V1992" t="s">
        <v>15</v>
      </c>
    </row>
    <row r="1993" spans="1:22" x14ac:dyDescent="0.25">
      <c r="A1993">
        <v>111</v>
      </c>
      <c r="B1993" t="s">
        <v>92</v>
      </c>
      <c r="C1993" t="s">
        <v>668</v>
      </c>
      <c r="E1993" t="s">
        <v>668</v>
      </c>
      <c r="L1993" t="s">
        <v>93</v>
      </c>
      <c r="M1993">
        <v>90</v>
      </c>
      <c r="N1993" t="s">
        <v>24</v>
      </c>
      <c r="Q1993">
        <v>1</v>
      </c>
      <c r="R1993" t="s">
        <v>11</v>
      </c>
      <c r="T1993">
        <v>10</v>
      </c>
      <c r="V1993" t="s">
        <v>15</v>
      </c>
    </row>
    <row r="1994" spans="1:22" x14ac:dyDescent="0.25">
      <c r="A1994">
        <v>111</v>
      </c>
      <c r="B1994" t="s">
        <v>92</v>
      </c>
      <c r="C1994" t="s">
        <v>668</v>
      </c>
      <c r="E1994" t="s">
        <v>668</v>
      </c>
      <c r="L1994" t="s">
        <v>93</v>
      </c>
      <c r="M1994">
        <v>100</v>
      </c>
      <c r="N1994" t="s">
        <v>141</v>
      </c>
      <c r="Q1994">
        <v>0.112</v>
      </c>
      <c r="R1994" t="s">
        <v>14</v>
      </c>
      <c r="T1994">
        <v>10</v>
      </c>
      <c r="V1994" t="s">
        <v>15</v>
      </c>
    </row>
    <row r="1995" spans="1:22" x14ac:dyDescent="0.25">
      <c r="A1995">
        <v>111</v>
      </c>
      <c r="B1995" t="s">
        <v>92</v>
      </c>
      <c r="C1995" t="s">
        <v>668</v>
      </c>
      <c r="E1995" t="s">
        <v>668</v>
      </c>
      <c r="L1995" t="s">
        <v>93</v>
      </c>
      <c r="M1995">
        <v>110</v>
      </c>
      <c r="N1995" t="s">
        <v>140</v>
      </c>
      <c r="Q1995">
        <v>4</v>
      </c>
      <c r="R1995" t="s">
        <v>11</v>
      </c>
      <c r="T1995">
        <v>10</v>
      </c>
      <c r="V1995" t="s">
        <v>15</v>
      </c>
    </row>
    <row r="1996" spans="1:22" x14ac:dyDescent="0.25">
      <c r="A1996">
        <v>111</v>
      </c>
      <c r="B1996" t="s">
        <v>92</v>
      </c>
      <c r="C1996" t="s">
        <v>668</v>
      </c>
      <c r="E1996" t="s">
        <v>668</v>
      </c>
      <c r="L1996" t="s">
        <v>93</v>
      </c>
      <c r="M1996">
        <v>120</v>
      </c>
      <c r="N1996" t="s">
        <v>25</v>
      </c>
      <c r="Q1996">
        <v>1</v>
      </c>
      <c r="R1996" t="s">
        <v>11</v>
      </c>
      <c r="T1996">
        <v>10</v>
      </c>
      <c r="V1996" t="s">
        <v>15</v>
      </c>
    </row>
    <row r="1997" spans="1:22" x14ac:dyDescent="0.25">
      <c r="A1997">
        <v>111</v>
      </c>
      <c r="B1997" t="s">
        <v>92</v>
      </c>
      <c r="C1997" t="s">
        <v>668</v>
      </c>
      <c r="E1997" t="s">
        <v>668</v>
      </c>
      <c r="L1997" t="s">
        <v>93</v>
      </c>
      <c r="M1997">
        <v>130</v>
      </c>
      <c r="N1997" t="s">
        <v>26</v>
      </c>
      <c r="Q1997">
        <v>1</v>
      </c>
      <c r="R1997" t="s">
        <v>11</v>
      </c>
      <c r="T1997">
        <v>10</v>
      </c>
      <c r="V1997" t="s">
        <v>15</v>
      </c>
    </row>
    <row r="1998" spans="1:22" x14ac:dyDescent="0.25">
      <c r="A1998">
        <v>111</v>
      </c>
      <c r="B1998" t="s">
        <v>92</v>
      </c>
      <c r="C1998" t="s">
        <v>668</v>
      </c>
      <c r="E1998" t="s">
        <v>668</v>
      </c>
      <c r="L1998" t="s">
        <v>93</v>
      </c>
      <c r="M1998">
        <v>140</v>
      </c>
      <c r="N1998" t="s">
        <v>100</v>
      </c>
      <c r="Q1998">
        <v>1.27</v>
      </c>
      <c r="R1998" t="s">
        <v>14</v>
      </c>
      <c r="T1998">
        <v>10</v>
      </c>
      <c r="V1998" t="s">
        <v>15</v>
      </c>
    </row>
    <row r="1999" spans="1:22" x14ac:dyDescent="0.25">
      <c r="A1999">
        <v>111</v>
      </c>
      <c r="B1999" t="s">
        <v>92</v>
      </c>
      <c r="C1999" t="s">
        <v>668</v>
      </c>
      <c r="E1999" t="s">
        <v>668</v>
      </c>
      <c r="L1999" t="s">
        <v>93</v>
      </c>
      <c r="M1999">
        <v>150</v>
      </c>
      <c r="N1999" t="s">
        <v>359</v>
      </c>
      <c r="Q1999">
        <v>1</v>
      </c>
      <c r="R1999" t="s">
        <v>11</v>
      </c>
      <c r="T1999">
        <v>10</v>
      </c>
      <c r="V1999" t="s">
        <v>18</v>
      </c>
    </row>
    <row r="2000" spans="1:22" x14ac:dyDescent="0.25">
      <c r="A2000">
        <v>111</v>
      </c>
      <c r="B2000" t="s">
        <v>92</v>
      </c>
      <c r="C2000" t="s">
        <v>668</v>
      </c>
      <c r="E2000" t="s">
        <v>668</v>
      </c>
      <c r="L2000" t="s">
        <v>93</v>
      </c>
      <c r="M2000">
        <v>160</v>
      </c>
      <c r="N2000" t="s">
        <v>360</v>
      </c>
      <c r="Q2000">
        <v>1</v>
      </c>
      <c r="R2000" t="s">
        <v>11</v>
      </c>
      <c r="T2000">
        <v>10</v>
      </c>
      <c r="V2000" t="s">
        <v>18</v>
      </c>
    </row>
    <row r="2001" spans="1:22" x14ac:dyDescent="0.25">
      <c r="A2001">
        <v>111</v>
      </c>
      <c r="B2001" t="s">
        <v>92</v>
      </c>
      <c r="C2001" t="s">
        <v>668</v>
      </c>
      <c r="E2001" t="s">
        <v>668</v>
      </c>
      <c r="L2001" t="s">
        <v>93</v>
      </c>
      <c r="M2001">
        <v>170</v>
      </c>
      <c r="N2001" t="s">
        <v>142</v>
      </c>
      <c r="Q2001">
        <v>7.0609999999999999</v>
      </c>
      <c r="R2001" t="s">
        <v>11</v>
      </c>
      <c r="T2001">
        <v>10</v>
      </c>
      <c r="V2001" t="s">
        <v>15</v>
      </c>
    </row>
    <row r="2002" spans="1:22" x14ac:dyDescent="0.25">
      <c r="A2002">
        <v>111</v>
      </c>
      <c r="B2002" t="s">
        <v>92</v>
      </c>
      <c r="C2002" t="s">
        <v>668</v>
      </c>
      <c r="E2002" t="s">
        <v>668</v>
      </c>
      <c r="L2002" t="s">
        <v>93</v>
      </c>
      <c r="M2002">
        <v>180</v>
      </c>
      <c r="N2002" t="s">
        <v>361</v>
      </c>
      <c r="Q2002">
        <v>1</v>
      </c>
      <c r="R2002" t="s">
        <v>11</v>
      </c>
      <c r="T2002">
        <v>10</v>
      </c>
      <c r="V2002" t="s">
        <v>18</v>
      </c>
    </row>
    <row r="2003" spans="1:22" x14ac:dyDescent="0.25">
      <c r="A2003">
        <v>112</v>
      </c>
      <c r="B2003" t="s">
        <v>92</v>
      </c>
      <c r="C2003" t="s">
        <v>670</v>
      </c>
      <c r="E2003" t="s">
        <v>670</v>
      </c>
      <c r="L2003" t="s">
        <v>93</v>
      </c>
      <c r="M2003">
        <v>10</v>
      </c>
      <c r="N2003" t="s">
        <v>363</v>
      </c>
      <c r="Q2003">
        <v>1</v>
      </c>
      <c r="R2003" t="s">
        <v>11</v>
      </c>
      <c r="T2003">
        <v>10</v>
      </c>
      <c r="V2003" t="s">
        <v>18</v>
      </c>
    </row>
    <row r="2004" spans="1:22" x14ac:dyDescent="0.25">
      <c r="A2004">
        <v>112</v>
      </c>
      <c r="B2004" t="s">
        <v>92</v>
      </c>
      <c r="C2004" t="s">
        <v>670</v>
      </c>
      <c r="E2004" t="s">
        <v>670</v>
      </c>
      <c r="L2004" t="s">
        <v>93</v>
      </c>
      <c r="M2004">
        <v>20</v>
      </c>
      <c r="N2004" t="s">
        <v>132</v>
      </c>
      <c r="Q2004">
        <v>4.4870000000000001</v>
      </c>
      <c r="R2004" t="s">
        <v>14</v>
      </c>
      <c r="T2004">
        <v>10</v>
      </c>
      <c r="V2004" t="s">
        <v>15</v>
      </c>
    </row>
    <row r="2005" spans="1:22" x14ac:dyDescent="0.25">
      <c r="A2005">
        <v>112</v>
      </c>
      <c r="B2005" t="s">
        <v>92</v>
      </c>
      <c r="C2005" t="s">
        <v>670</v>
      </c>
      <c r="E2005" t="s">
        <v>670</v>
      </c>
      <c r="L2005" t="s">
        <v>93</v>
      </c>
      <c r="M2005">
        <v>30</v>
      </c>
      <c r="N2005" t="s">
        <v>102</v>
      </c>
      <c r="Q2005">
        <v>1.113</v>
      </c>
      <c r="R2005" t="s">
        <v>103</v>
      </c>
      <c r="T2005">
        <v>10</v>
      </c>
      <c r="V2005" t="s">
        <v>15</v>
      </c>
    </row>
    <row r="2006" spans="1:22" x14ac:dyDescent="0.25">
      <c r="A2006">
        <v>112</v>
      </c>
      <c r="B2006" t="s">
        <v>92</v>
      </c>
      <c r="C2006" t="s">
        <v>670</v>
      </c>
      <c r="E2006" t="s">
        <v>670</v>
      </c>
      <c r="L2006" t="s">
        <v>93</v>
      </c>
      <c r="M2006">
        <v>40</v>
      </c>
      <c r="N2006" t="s">
        <v>597</v>
      </c>
      <c r="Q2006">
        <v>2.1589999999999998</v>
      </c>
      <c r="R2006" t="s">
        <v>11</v>
      </c>
      <c r="T2006">
        <v>10</v>
      </c>
      <c r="V2006" t="s">
        <v>18</v>
      </c>
    </row>
    <row r="2007" spans="1:22" x14ac:dyDescent="0.25">
      <c r="A2007">
        <v>112</v>
      </c>
      <c r="B2007" t="s">
        <v>92</v>
      </c>
      <c r="C2007" t="s">
        <v>670</v>
      </c>
      <c r="E2007" t="s">
        <v>670</v>
      </c>
      <c r="L2007" t="s">
        <v>93</v>
      </c>
      <c r="M2007">
        <v>50</v>
      </c>
      <c r="N2007" t="s">
        <v>139</v>
      </c>
      <c r="Q2007">
        <v>2.1589999999999998</v>
      </c>
      <c r="R2007" t="s">
        <v>17</v>
      </c>
      <c r="T2007">
        <v>10</v>
      </c>
      <c r="V2007" t="s">
        <v>18</v>
      </c>
    </row>
    <row r="2008" spans="1:22" x14ac:dyDescent="0.25">
      <c r="A2008">
        <v>112</v>
      </c>
      <c r="B2008" t="s">
        <v>92</v>
      </c>
      <c r="C2008" t="s">
        <v>670</v>
      </c>
      <c r="E2008" t="s">
        <v>670</v>
      </c>
      <c r="L2008" t="s">
        <v>93</v>
      </c>
      <c r="M2008">
        <v>60</v>
      </c>
      <c r="N2008" t="s">
        <v>671</v>
      </c>
      <c r="Q2008">
        <v>1</v>
      </c>
      <c r="R2008" t="s">
        <v>11</v>
      </c>
      <c r="T2008">
        <v>10</v>
      </c>
      <c r="V2008" t="s">
        <v>18</v>
      </c>
    </row>
    <row r="2009" spans="1:22" x14ac:dyDescent="0.25">
      <c r="A2009">
        <v>112</v>
      </c>
      <c r="B2009" t="s">
        <v>92</v>
      </c>
      <c r="C2009" t="s">
        <v>670</v>
      </c>
      <c r="E2009" t="s">
        <v>670</v>
      </c>
      <c r="L2009" t="s">
        <v>93</v>
      </c>
      <c r="M2009">
        <v>70</v>
      </c>
      <c r="N2009" t="s">
        <v>599</v>
      </c>
      <c r="Q2009">
        <v>21.640999999999998</v>
      </c>
      <c r="R2009" t="s">
        <v>17</v>
      </c>
      <c r="T2009">
        <v>10</v>
      </c>
      <c r="V2009" t="s">
        <v>15</v>
      </c>
    </row>
    <row r="2010" spans="1:22" x14ac:dyDescent="0.25">
      <c r="A2010">
        <v>112</v>
      </c>
      <c r="B2010" t="s">
        <v>92</v>
      </c>
      <c r="C2010" t="s">
        <v>670</v>
      </c>
      <c r="E2010" t="s">
        <v>670</v>
      </c>
      <c r="L2010" t="s">
        <v>93</v>
      </c>
      <c r="M2010">
        <v>80</v>
      </c>
      <c r="N2010" t="s">
        <v>20</v>
      </c>
      <c r="Q2010">
        <v>177.45500000000001</v>
      </c>
      <c r="R2010" t="s">
        <v>17</v>
      </c>
      <c r="T2010">
        <v>10</v>
      </c>
      <c r="V2010" t="s">
        <v>15</v>
      </c>
    </row>
    <row r="2011" spans="1:22" x14ac:dyDescent="0.25">
      <c r="A2011">
        <v>112</v>
      </c>
      <c r="B2011" t="s">
        <v>92</v>
      </c>
      <c r="C2011" t="s">
        <v>670</v>
      </c>
      <c r="E2011" t="s">
        <v>670</v>
      </c>
      <c r="L2011" t="s">
        <v>93</v>
      </c>
      <c r="M2011">
        <v>90</v>
      </c>
      <c r="N2011" t="s">
        <v>24</v>
      </c>
      <c r="Q2011">
        <v>1</v>
      </c>
      <c r="R2011" t="s">
        <v>11</v>
      </c>
      <c r="T2011">
        <v>10</v>
      </c>
      <c r="V2011" t="s">
        <v>15</v>
      </c>
    </row>
    <row r="2012" spans="1:22" x14ac:dyDescent="0.25">
      <c r="A2012">
        <v>112</v>
      </c>
      <c r="B2012" t="s">
        <v>92</v>
      </c>
      <c r="C2012" t="s">
        <v>670</v>
      </c>
      <c r="E2012" t="s">
        <v>670</v>
      </c>
      <c r="L2012" t="s">
        <v>93</v>
      </c>
      <c r="M2012">
        <v>100</v>
      </c>
      <c r="N2012" t="s">
        <v>141</v>
      </c>
      <c r="Q2012">
        <v>0.11700000000000001</v>
      </c>
      <c r="R2012" t="s">
        <v>14</v>
      </c>
      <c r="T2012">
        <v>10</v>
      </c>
      <c r="V2012" t="s">
        <v>15</v>
      </c>
    </row>
    <row r="2013" spans="1:22" x14ac:dyDescent="0.25">
      <c r="A2013">
        <v>112</v>
      </c>
      <c r="B2013" t="s">
        <v>92</v>
      </c>
      <c r="C2013" t="s">
        <v>670</v>
      </c>
      <c r="E2013" t="s">
        <v>670</v>
      </c>
      <c r="L2013" t="s">
        <v>93</v>
      </c>
      <c r="M2013">
        <v>110</v>
      </c>
      <c r="N2013" t="s">
        <v>140</v>
      </c>
      <c r="Q2013">
        <v>4</v>
      </c>
      <c r="R2013" t="s">
        <v>11</v>
      </c>
      <c r="T2013">
        <v>10</v>
      </c>
      <c r="V2013" t="s">
        <v>15</v>
      </c>
    </row>
    <row r="2014" spans="1:22" x14ac:dyDescent="0.25">
      <c r="A2014">
        <v>112</v>
      </c>
      <c r="B2014" t="s">
        <v>92</v>
      </c>
      <c r="C2014" t="s">
        <v>670</v>
      </c>
      <c r="E2014" t="s">
        <v>670</v>
      </c>
      <c r="L2014" t="s">
        <v>93</v>
      </c>
      <c r="M2014">
        <v>120</v>
      </c>
      <c r="N2014" t="s">
        <v>25</v>
      </c>
      <c r="Q2014">
        <v>1</v>
      </c>
      <c r="R2014" t="s">
        <v>11</v>
      </c>
      <c r="T2014">
        <v>10</v>
      </c>
      <c r="V2014" t="s">
        <v>15</v>
      </c>
    </row>
    <row r="2015" spans="1:22" x14ac:dyDescent="0.25">
      <c r="A2015">
        <v>112</v>
      </c>
      <c r="B2015" t="s">
        <v>92</v>
      </c>
      <c r="C2015" t="s">
        <v>670</v>
      </c>
      <c r="E2015" t="s">
        <v>670</v>
      </c>
      <c r="L2015" t="s">
        <v>93</v>
      </c>
      <c r="M2015">
        <v>130</v>
      </c>
      <c r="N2015" t="s">
        <v>26</v>
      </c>
      <c r="Q2015">
        <v>1</v>
      </c>
      <c r="R2015" t="s">
        <v>11</v>
      </c>
      <c r="T2015">
        <v>10</v>
      </c>
      <c r="V2015" t="s">
        <v>15</v>
      </c>
    </row>
    <row r="2016" spans="1:22" x14ac:dyDescent="0.25">
      <c r="A2016">
        <v>112</v>
      </c>
      <c r="B2016" t="s">
        <v>92</v>
      </c>
      <c r="C2016" t="s">
        <v>670</v>
      </c>
      <c r="E2016" t="s">
        <v>670</v>
      </c>
      <c r="L2016" t="s">
        <v>93</v>
      </c>
      <c r="M2016">
        <v>140</v>
      </c>
      <c r="N2016" t="s">
        <v>100</v>
      </c>
      <c r="Q2016">
        <v>1.27</v>
      </c>
      <c r="R2016" t="s">
        <v>14</v>
      </c>
      <c r="T2016">
        <v>10</v>
      </c>
      <c r="V2016" t="s">
        <v>15</v>
      </c>
    </row>
    <row r="2017" spans="1:22" x14ac:dyDescent="0.25">
      <c r="A2017">
        <v>112</v>
      </c>
      <c r="B2017" t="s">
        <v>92</v>
      </c>
      <c r="C2017" t="s">
        <v>670</v>
      </c>
      <c r="E2017" t="s">
        <v>670</v>
      </c>
      <c r="L2017" t="s">
        <v>93</v>
      </c>
      <c r="M2017">
        <v>150</v>
      </c>
      <c r="N2017" t="s">
        <v>365</v>
      </c>
      <c r="Q2017">
        <v>1</v>
      </c>
      <c r="R2017" t="s">
        <v>11</v>
      </c>
      <c r="T2017">
        <v>10</v>
      </c>
      <c r="V2017" t="s">
        <v>18</v>
      </c>
    </row>
    <row r="2018" spans="1:22" x14ac:dyDescent="0.25">
      <c r="A2018">
        <v>112</v>
      </c>
      <c r="B2018" t="s">
        <v>92</v>
      </c>
      <c r="C2018" t="s">
        <v>670</v>
      </c>
      <c r="E2018" t="s">
        <v>670</v>
      </c>
      <c r="L2018" t="s">
        <v>93</v>
      </c>
      <c r="M2018">
        <v>160</v>
      </c>
      <c r="N2018" t="s">
        <v>366</v>
      </c>
      <c r="Q2018">
        <v>1</v>
      </c>
      <c r="R2018" t="s">
        <v>11</v>
      </c>
      <c r="T2018">
        <v>10</v>
      </c>
      <c r="V2018" t="s">
        <v>18</v>
      </c>
    </row>
    <row r="2019" spans="1:22" x14ac:dyDescent="0.25">
      <c r="A2019">
        <v>112</v>
      </c>
      <c r="B2019" t="s">
        <v>92</v>
      </c>
      <c r="C2019" t="s">
        <v>670</v>
      </c>
      <c r="E2019" t="s">
        <v>670</v>
      </c>
      <c r="L2019" t="s">
        <v>93</v>
      </c>
      <c r="M2019">
        <v>170</v>
      </c>
      <c r="N2019" t="s">
        <v>142</v>
      </c>
      <c r="Q2019">
        <v>7.2140000000000004</v>
      </c>
      <c r="R2019" t="s">
        <v>11</v>
      </c>
      <c r="T2019">
        <v>10</v>
      </c>
      <c r="V2019" t="s">
        <v>15</v>
      </c>
    </row>
    <row r="2020" spans="1:22" x14ac:dyDescent="0.25">
      <c r="A2020">
        <v>112</v>
      </c>
      <c r="B2020" t="s">
        <v>92</v>
      </c>
      <c r="C2020" t="s">
        <v>670</v>
      </c>
      <c r="E2020" t="s">
        <v>670</v>
      </c>
      <c r="L2020" t="s">
        <v>93</v>
      </c>
      <c r="M2020">
        <v>180</v>
      </c>
      <c r="N2020" t="s">
        <v>367</v>
      </c>
      <c r="Q2020">
        <v>1</v>
      </c>
      <c r="R2020" t="s">
        <v>11</v>
      </c>
      <c r="T2020">
        <v>10</v>
      </c>
      <c r="V2020" t="s">
        <v>18</v>
      </c>
    </row>
    <row r="2021" spans="1:22" x14ac:dyDescent="0.25">
      <c r="A2021">
        <v>113</v>
      </c>
      <c r="B2021" t="s">
        <v>92</v>
      </c>
      <c r="C2021" t="s">
        <v>672</v>
      </c>
      <c r="E2021" t="s">
        <v>672</v>
      </c>
      <c r="L2021" t="s">
        <v>93</v>
      </c>
      <c r="M2021">
        <v>10</v>
      </c>
      <c r="N2021" t="s">
        <v>369</v>
      </c>
      <c r="Q2021">
        <v>1</v>
      </c>
      <c r="R2021" t="s">
        <v>11</v>
      </c>
      <c r="T2021">
        <v>10</v>
      </c>
      <c r="V2021" t="s">
        <v>18</v>
      </c>
    </row>
    <row r="2022" spans="1:22" x14ac:dyDescent="0.25">
      <c r="A2022">
        <v>113</v>
      </c>
      <c r="B2022" t="s">
        <v>92</v>
      </c>
      <c r="C2022" t="s">
        <v>672</v>
      </c>
      <c r="E2022" t="s">
        <v>672</v>
      </c>
      <c r="L2022" t="s">
        <v>93</v>
      </c>
      <c r="M2022">
        <v>20</v>
      </c>
      <c r="N2022" t="s">
        <v>132</v>
      </c>
      <c r="Q2022">
        <v>4.4870000000000001</v>
      </c>
      <c r="R2022" t="s">
        <v>14</v>
      </c>
      <c r="T2022">
        <v>10</v>
      </c>
      <c r="V2022" t="s">
        <v>15</v>
      </c>
    </row>
    <row r="2023" spans="1:22" x14ac:dyDescent="0.25">
      <c r="A2023">
        <v>113</v>
      </c>
      <c r="B2023" t="s">
        <v>92</v>
      </c>
      <c r="C2023" t="s">
        <v>672</v>
      </c>
      <c r="E2023" t="s">
        <v>672</v>
      </c>
      <c r="L2023" t="s">
        <v>93</v>
      </c>
      <c r="M2023">
        <v>30</v>
      </c>
      <c r="N2023" t="s">
        <v>102</v>
      </c>
      <c r="Q2023">
        <v>1.177</v>
      </c>
      <c r="R2023" t="s">
        <v>103</v>
      </c>
      <c r="T2023">
        <v>10</v>
      </c>
      <c r="V2023" t="s">
        <v>15</v>
      </c>
    </row>
    <row r="2024" spans="1:22" x14ac:dyDescent="0.25">
      <c r="A2024">
        <v>113</v>
      </c>
      <c r="B2024" t="s">
        <v>92</v>
      </c>
      <c r="C2024" t="s">
        <v>672</v>
      </c>
      <c r="E2024" t="s">
        <v>672</v>
      </c>
      <c r="L2024" t="s">
        <v>93</v>
      </c>
      <c r="M2024">
        <v>40</v>
      </c>
      <c r="N2024" t="s">
        <v>597</v>
      </c>
      <c r="Q2024">
        <v>2.1589999999999998</v>
      </c>
      <c r="R2024" t="s">
        <v>11</v>
      </c>
      <c r="T2024">
        <v>10</v>
      </c>
      <c r="V2024" t="s">
        <v>18</v>
      </c>
    </row>
    <row r="2025" spans="1:22" x14ac:dyDescent="0.25">
      <c r="A2025">
        <v>113</v>
      </c>
      <c r="B2025" t="s">
        <v>92</v>
      </c>
      <c r="C2025" t="s">
        <v>672</v>
      </c>
      <c r="E2025" t="s">
        <v>672</v>
      </c>
      <c r="L2025" t="s">
        <v>93</v>
      </c>
      <c r="M2025">
        <v>50</v>
      </c>
      <c r="N2025" t="s">
        <v>139</v>
      </c>
      <c r="Q2025">
        <v>2.1589999999999998</v>
      </c>
      <c r="R2025" t="s">
        <v>17</v>
      </c>
      <c r="T2025">
        <v>10</v>
      </c>
      <c r="V2025" t="s">
        <v>18</v>
      </c>
    </row>
    <row r="2026" spans="1:22" x14ac:dyDescent="0.25">
      <c r="A2026">
        <v>113</v>
      </c>
      <c r="B2026" t="s">
        <v>92</v>
      </c>
      <c r="C2026" t="s">
        <v>672</v>
      </c>
      <c r="E2026" t="s">
        <v>672</v>
      </c>
      <c r="L2026" t="s">
        <v>93</v>
      </c>
      <c r="M2026">
        <v>60</v>
      </c>
      <c r="N2026" t="s">
        <v>673</v>
      </c>
      <c r="Q2026">
        <v>1</v>
      </c>
      <c r="R2026" t="s">
        <v>11</v>
      </c>
      <c r="T2026">
        <v>10</v>
      </c>
      <c r="V2026" t="s">
        <v>18</v>
      </c>
    </row>
    <row r="2027" spans="1:22" x14ac:dyDescent="0.25">
      <c r="A2027">
        <v>113</v>
      </c>
      <c r="B2027" t="s">
        <v>92</v>
      </c>
      <c r="C2027" t="s">
        <v>672</v>
      </c>
      <c r="E2027" t="s">
        <v>672</v>
      </c>
      <c r="L2027" t="s">
        <v>93</v>
      </c>
      <c r="M2027">
        <v>70</v>
      </c>
      <c r="N2027" t="s">
        <v>599</v>
      </c>
      <c r="Q2027">
        <v>22.097999999999999</v>
      </c>
      <c r="R2027" t="s">
        <v>17</v>
      </c>
      <c r="T2027">
        <v>10</v>
      </c>
      <c r="V2027" t="s">
        <v>15</v>
      </c>
    </row>
    <row r="2028" spans="1:22" x14ac:dyDescent="0.25">
      <c r="A2028">
        <v>113</v>
      </c>
      <c r="B2028" t="s">
        <v>92</v>
      </c>
      <c r="C2028" t="s">
        <v>672</v>
      </c>
      <c r="E2028" t="s">
        <v>672</v>
      </c>
      <c r="L2028" t="s">
        <v>93</v>
      </c>
      <c r="M2028">
        <v>80</v>
      </c>
      <c r="N2028" t="s">
        <v>20</v>
      </c>
      <c r="Q2028">
        <v>181.20400000000001</v>
      </c>
      <c r="R2028" t="s">
        <v>17</v>
      </c>
      <c r="T2028">
        <v>10</v>
      </c>
      <c r="V2028" t="s">
        <v>15</v>
      </c>
    </row>
    <row r="2029" spans="1:22" x14ac:dyDescent="0.25">
      <c r="A2029">
        <v>113</v>
      </c>
      <c r="B2029" t="s">
        <v>92</v>
      </c>
      <c r="C2029" t="s">
        <v>672</v>
      </c>
      <c r="E2029" t="s">
        <v>672</v>
      </c>
      <c r="L2029" t="s">
        <v>93</v>
      </c>
      <c r="M2029">
        <v>90</v>
      </c>
      <c r="N2029" t="s">
        <v>24</v>
      </c>
      <c r="Q2029">
        <v>1</v>
      </c>
      <c r="R2029" t="s">
        <v>11</v>
      </c>
      <c r="T2029">
        <v>10</v>
      </c>
      <c r="V2029" t="s">
        <v>15</v>
      </c>
    </row>
    <row r="2030" spans="1:22" x14ac:dyDescent="0.25">
      <c r="A2030">
        <v>113</v>
      </c>
      <c r="B2030" t="s">
        <v>92</v>
      </c>
      <c r="C2030" t="s">
        <v>672</v>
      </c>
      <c r="E2030" t="s">
        <v>672</v>
      </c>
      <c r="L2030" t="s">
        <v>93</v>
      </c>
      <c r="M2030">
        <v>100</v>
      </c>
      <c r="N2030" t="s">
        <v>141</v>
      </c>
      <c r="Q2030">
        <v>0.123</v>
      </c>
      <c r="R2030" t="s">
        <v>14</v>
      </c>
      <c r="T2030">
        <v>10</v>
      </c>
      <c r="V2030" t="s">
        <v>15</v>
      </c>
    </row>
    <row r="2031" spans="1:22" x14ac:dyDescent="0.25">
      <c r="A2031">
        <v>113</v>
      </c>
      <c r="B2031" t="s">
        <v>92</v>
      </c>
      <c r="C2031" t="s">
        <v>672</v>
      </c>
      <c r="E2031" t="s">
        <v>672</v>
      </c>
      <c r="L2031" t="s">
        <v>93</v>
      </c>
      <c r="M2031">
        <v>110</v>
      </c>
      <c r="N2031" t="s">
        <v>140</v>
      </c>
      <c r="Q2031">
        <v>4</v>
      </c>
      <c r="R2031" t="s">
        <v>11</v>
      </c>
      <c r="T2031">
        <v>10</v>
      </c>
      <c r="V2031" t="s">
        <v>15</v>
      </c>
    </row>
    <row r="2032" spans="1:22" x14ac:dyDescent="0.25">
      <c r="A2032">
        <v>113</v>
      </c>
      <c r="B2032" t="s">
        <v>92</v>
      </c>
      <c r="C2032" t="s">
        <v>672</v>
      </c>
      <c r="E2032" t="s">
        <v>672</v>
      </c>
      <c r="L2032" t="s">
        <v>93</v>
      </c>
      <c r="M2032">
        <v>120</v>
      </c>
      <c r="N2032" t="s">
        <v>25</v>
      </c>
      <c r="Q2032">
        <v>1</v>
      </c>
      <c r="R2032" t="s">
        <v>11</v>
      </c>
      <c r="T2032">
        <v>10</v>
      </c>
      <c r="V2032" t="s">
        <v>15</v>
      </c>
    </row>
    <row r="2033" spans="1:22" x14ac:dyDescent="0.25">
      <c r="A2033">
        <v>113</v>
      </c>
      <c r="B2033" t="s">
        <v>92</v>
      </c>
      <c r="C2033" t="s">
        <v>672</v>
      </c>
      <c r="E2033" t="s">
        <v>672</v>
      </c>
      <c r="L2033" t="s">
        <v>93</v>
      </c>
      <c r="M2033">
        <v>130</v>
      </c>
      <c r="N2033" t="s">
        <v>26</v>
      </c>
      <c r="Q2033">
        <v>1</v>
      </c>
      <c r="R2033" t="s">
        <v>11</v>
      </c>
      <c r="T2033">
        <v>10</v>
      </c>
      <c r="V2033" t="s">
        <v>15</v>
      </c>
    </row>
    <row r="2034" spans="1:22" x14ac:dyDescent="0.25">
      <c r="A2034">
        <v>113</v>
      </c>
      <c r="B2034" t="s">
        <v>92</v>
      </c>
      <c r="C2034" t="s">
        <v>672</v>
      </c>
      <c r="E2034" t="s">
        <v>672</v>
      </c>
      <c r="L2034" t="s">
        <v>93</v>
      </c>
      <c r="M2034">
        <v>140</v>
      </c>
      <c r="N2034" t="s">
        <v>100</v>
      </c>
      <c r="Q2034">
        <v>1.27</v>
      </c>
      <c r="R2034" t="s">
        <v>14</v>
      </c>
      <c r="T2034">
        <v>10</v>
      </c>
      <c r="V2034" t="s">
        <v>15</v>
      </c>
    </row>
    <row r="2035" spans="1:22" x14ac:dyDescent="0.25">
      <c r="A2035">
        <v>113</v>
      </c>
      <c r="B2035" t="s">
        <v>92</v>
      </c>
      <c r="C2035" t="s">
        <v>672</v>
      </c>
      <c r="E2035" t="s">
        <v>672</v>
      </c>
      <c r="L2035" t="s">
        <v>93</v>
      </c>
      <c r="M2035">
        <v>150</v>
      </c>
      <c r="N2035" t="s">
        <v>371</v>
      </c>
      <c r="Q2035">
        <v>1</v>
      </c>
      <c r="R2035" t="s">
        <v>11</v>
      </c>
      <c r="T2035">
        <v>10</v>
      </c>
      <c r="V2035" t="s">
        <v>18</v>
      </c>
    </row>
    <row r="2036" spans="1:22" x14ac:dyDescent="0.25">
      <c r="A2036">
        <v>113</v>
      </c>
      <c r="B2036" t="s">
        <v>92</v>
      </c>
      <c r="C2036" t="s">
        <v>672</v>
      </c>
      <c r="E2036" t="s">
        <v>672</v>
      </c>
      <c r="L2036" t="s">
        <v>93</v>
      </c>
      <c r="M2036">
        <v>160</v>
      </c>
      <c r="N2036" t="s">
        <v>372</v>
      </c>
      <c r="Q2036">
        <v>1</v>
      </c>
      <c r="R2036" t="s">
        <v>11</v>
      </c>
      <c r="T2036">
        <v>10</v>
      </c>
      <c r="V2036" t="s">
        <v>18</v>
      </c>
    </row>
    <row r="2037" spans="1:22" x14ac:dyDescent="0.25">
      <c r="A2037">
        <v>113</v>
      </c>
      <c r="B2037" t="s">
        <v>92</v>
      </c>
      <c r="C2037" t="s">
        <v>672</v>
      </c>
      <c r="E2037" t="s">
        <v>672</v>
      </c>
      <c r="L2037" t="s">
        <v>93</v>
      </c>
      <c r="M2037">
        <v>170</v>
      </c>
      <c r="N2037" t="s">
        <v>142</v>
      </c>
      <c r="Q2037">
        <v>7.3659999999999997</v>
      </c>
      <c r="R2037" t="s">
        <v>11</v>
      </c>
      <c r="T2037">
        <v>10</v>
      </c>
      <c r="V2037" t="s">
        <v>15</v>
      </c>
    </row>
    <row r="2038" spans="1:22" x14ac:dyDescent="0.25">
      <c r="A2038">
        <v>113</v>
      </c>
      <c r="B2038" t="s">
        <v>92</v>
      </c>
      <c r="C2038" t="s">
        <v>672</v>
      </c>
      <c r="E2038" t="s">
        <v>672</v>
      </c>
      <c r="L2038" t="s">
        <v>93</v>
      </c>
      <c r="M2038">
        <v>180</v>
      </c>
      <c r="N2038" t="s">
        <v>373</v>
      </c>
      <c r="Q2038">
        <v>1</v>
      </c>
      <c r="R2038" t="s">
        <v>11</v>
      </c>
      <c r="T2038">
        <v>10</v>
      </c>
      <c r="V2038" t="s">
        <v>18</v>
      </c>
    </row>
    <row r="2039" spans="1:22" x14ac:dyDescent="0.25">
      <c r="A2039">
        <v>114</v>
      </c>
      <c r="B2039" t="s">
        <v>92</v>
      </c>
      <c r="C2039" t="s">
        <v>674</v>
      </c>
      <c r="E2039" t="s">
        <v>674</v>
      </c>
      <c r="L2039" t="s">
        <v>93</v>
      </c>
      <c r="M2039">
        <v>10</v>
      </c>
      <c r="N2039" t="s">
        <v>375</v>
      </c>
      <c r="Q2039">
        <v>1</v>
      </c>
      <c r="R2039" t="s">
        <v>11</v>
      </c>
      <c r="T2039">
        <v>10</v>
      </c>
      <c r="V2039" t="s">
        <v>18</v>
      </c>
    </row>
    <row r="2040" spans="1:22" x14ac:dyDescent="0.25">
      <c r="A2040">
        <v>114</v>
      </c>
      <c r="B2040" t="s">
        <v>92</v>
      </c>
      <c r="C2040" t="s">
        <v>674</v>
      </c>
      <c r="E2040" t="s">
        <v>674</v>
      </c>
      <c r="L2040" t="s">
        <v>93</v>
      </c>
      <c r="M2040">
        <v>20</v>
      </c>
      <c r="N2040" t="s">
        <v>132</v>
      </c>
      <c r="Q2040">
        <v>4.9400000000000004</v>
      </c>
      <c r="R2040" t="s">
        <v>14</v>
      </c>
      <c r="T2040">
        <v>10</v>
      </c>
      <c r="V2040" t="s">
        <v>15</v>
      </c>
    </row>
    <row r="2041" spans="1:22" x14ac:dyDescent="0.25">
      <c r="A2041">
        <v>114</v>
      </c>
      <c r="B2041" t="s">
        <v>92</v>
      </c>
      <c r="C2041" t="s">
        <v>674</v>
      </c>
      <c r="E2041" t="s">
        <v>674</v>
      </c>
      <c r="L2041" t="s">
        <v>93</v>
      </c>
      <c r="M2041">
        <v>30</v>
      </c>
      <c r="N2041" t="s">
        <v>102</v>
      </c>
      <c r="Q2041">
        <v>1.3029999999999999</v>
      </c>
      <c r="R2041" t="s">
        <v>103</v>
      </c>
      <c r="T2041">
        <v>10</v>
      </c>
      <c r="V2041" t="s">
        <v>15</v>
      </c>
    </row>
    <row r="2042" spans="1:22" x14ac:dyDescent="0.25">
      <c r="A2042">
        <v>114</v>
      </c>
      <c r="B2042" t="s">
        <v>92</v>
      </c>
      <c r="C2042" t="s">
        <v>674</v>
      </c>
      <c r="E2042" t="s">
        <v>674</v>
      </c>
      <c r="L2042" t="s">
        <v>93</v>
      </c>
      <c r="M2042">
        <v>40</v>
      </c>
      <c r="N2042" t="s">
        <v>597</v>
      </c>
      <c r="Q2042">
        <v>2.1589999999999998</v>
      </c>
      <c r="R2042" t="s">
        <v>11</v>
      </c>
      <c r="T2042">
        <v>10</v>
      </c>
      <c r="V2042" t="s">
        <v>18</v>
      </c>
    </row>
    <row r="2043" spans="1:22" x14ac:dyDescent="0.25">
      <c r="A2043">
        <v>114</v>
      </c>
      <c r="B2043" t="s">
        <v>92</v>
      </c>
      <c r="C2043" t="s">
        <v>674</v>
      </c>
      <c r="E2043" t="s">
        <v>674</v>
      </c>
      <c r="L2043" t="s">
        <v>93</v>
      </c>
      <c r="M2043">
        <v>50</v>
      </c>
      <c r="N2043" t="s">
        <v>139</v>
      </c>
      <c r="Q2043">
        <v>2.1589999999999998</v>
      </c>
      <c r="R2043" t="s">
        <v>17</v>
      </c>
      <c r="T2043">
        <v>10</v>
      </c>
      <c r="V2043" t="s">
        <v>18</v>
      </c>
    </row>
    <row r="2044" spans="1:22" x14ac:dyDescent="0.25">
      <c r="A2044">
        <v>114</v>
      </c>
      <c r="B2044" t="s">
        <v>92</v>
      </c>
      <c r="C2044" t="s">
        <v>674</v>
      </c>
      <c r="E2044" t="s">
        <v>674</v>
      </c>
      <c r="L2044" t="s">
        <v>93</v>
      </c>
      <c r="M2044">
        <v>60</v>
      </c>
      <c r="N2044" t="s">
        <v>675</v>
      </c>
      <c r="Q2044">
        <v>1</v>
      </c>
      <c r="R2044" t="s">
        <v>11</v>
      </c>
      <c r="T2044">
        <v>10</v>
      </c>
      <c r="V2044" t="s">
        <v>18</v>
      </c>
    </row>
    <row r="2045" spans="1:22" x14ac:dyDescent="0.25">
      <c r="A2045">
        <v>114</v>
      </c>
      <c r="B2045" t="s">
        <v>92</v>
      </c>
      <c r="C2045" t="s">
        <v>674</v>
      </c>
      <c r="E2045" t="s">
        <v>674</v>
      </c>
      <c r="L2045" t="s">
        <v>93</v>
      </c>
      <c r="M2045">
        <v>70</v>
      </c>
      <c r="N2045" t="s">
        <v>599</v>
      </c>
      <c r="Q2045">
        <v>23.012</v>
      </c>
      <c r="R2045" t="s">
        <v>17</v>
      </c>
      <c r="T2045">
        <v>10</v>
      </c>
      <c r="V2045" t="s">
        <v>15</v>
      </c>
    </row>
    <row r="2046" spans="1:22" x14ac:dyDescent="0.25">
      <c r="A2046">
        <v>114</v>
      </c>
      <c r="B2046" t="s">
        <v>92</v>
      </c>
      <c r="C2046" t="s">
        <v>674</v>
      </c>
      <c r="E2046" t="s">
        <v>674</v>
      </c>
      <c r="L2046" t="s">
        <v>93</v>
      </c>
      <c r="M2046">
        <v>80</v>
      </c>
      <c r="N2046" t="s">
        <v>20</v>
      </c>
      <c r="Q2046">
        <v>188.702</v>
      </c>
      <c r="R2046" t="s">
        <v>17</v>
      </c>
      <c r="T2046">
        <v>10</v>
      </c>
      <c r="V2046" t="s">
        <v>15</v>
      </c>
    </row>
    <row r="2047" spans="1:22" x14ac:dyDescent="0.25">
      <c r="A2047">
        <v>114</v>
      </c>
      <c r="B2047" t="s">
        <v>92</v>
      </c>
      <c r="C2047" t="s">
        <v>674</v>
      </c>
      <c r="E2047" t="s">
        <v>674</v>
      </c>
      <c r="L2047" t="s">
        <v>93</v>
      </c>
      <c r="M2047">
        <v>90</v>
      </c>
      <c r="N2047" t="s">
        <v>24</v>
      </c>
      <c r="Q2047">
        <v>1</v>
      </c>
      <c r="R2047" t="s">
        <v>11</v>
      </c>
      <c r="T2047">
        <v>10</v>
      </c>
      <c r="V2047" t="s">
        <v>15</v>
      </c>
    </row>
    <row r="2048" spans="1:22" x14ac:dyDescent="0.25">
      <c r="A2048">
        <v>114</v>
      </c>
      <c r="B2048" t="s">
        <v>92</v>
      </c>
      <c r="C2048" t="s">
        <v>674</v>
      </c>
      <c r="E2048" t="s">
        <v>674</v>
      </c>
      <c r="L2048" t="s">
        <v>93</v>
      </c>
      <c r="M2048">
        <v>100</v>
      </c>
      <c r="N2048" t="s">
        <v>141</v>
      </c>
      <c r="Q2048">
        <v>0.13300000000000001</v>
      </c>
      <c r="R2048" t="s">
        <v>14</v>
      </c>
      <c r="T2048">
        <v>10</v>
      </c>
      <c r="V2048" t="s">
        <v>15</v>
      </c>
    </row>
    <row r="2049" spans="1:22" x14ac:dyDescent="0.25">
      <c r="A2049">
        <v>114</v>
      </c>
      <c r="B2049" t="s">
        <v>92</v>
      </c>
      <c r="C2049" t="s">
        <v>674</v>
      </c>
      <c r="E2049" t="s">
        <v>674</v>
      </c>
      <c r="L2049" t="s">
        <v>93</v>
      </c>
      <c r="M2049">
        <v>110</v>
      </c>
      <c r="N2049" t="s">
        <v>140</v>
      </c>
      <c r="Q2049">
        <v>4</v>
      </c>
      <c r="R2049" t="s">
        <v>11</v>
      </c>
      <c r="T2049">
        <v>10</v>
      </c>
      <c r="V2049" t="s">
        <v>15</v>
      </c>
    </row>
    <row r="2050" spans="1:22" x14ac:dyDescent="0.25">
      <c r="A2050">
        <v>114</v>
      </c>
      <c r="B2050" t="s">
        <v>92</v>
      </c>
      <c r="C2050" t="s">
        <v>674</v>
      </c>
      <c r="E2050" t="s">
        <v>674</v>
      </c>
      <c r="L2050" t="s">
        <v>93</v>
      </c>
      <c r="M2050">
        <v>120</v>
      </c>
      <c r="N2050" t="s">
        <v>25</v>
      </c>
      <c r="Q2050">
        <v>1</v>
      </c>
      <c r="R2050" t="s">
        <v>11</v>
      </c>
      <c r="T2050">
        <v>10</v>
      </c>
      <c r="V2050" t="s">
        <v>15</v>
      </c>
    </row>
    <row r="2051" spans="1:22" x14ac:dyDescent="0.25">
      <c r="A2051">
        <v>114</v>
      </c>
      <c r="B2051" t="s">
        <v>92</v>
      </c>
      <c r="C2051" t="s">
        <v>674</v>
      </c>
      <c r="E2051" t="s">
        <v>674</v>
      </c>
      <c r="L2051" t="s">
        <v>93</v>
      </c>
      <c r="M2051">
        <v>130</v>
      </c>
      <c r="N2051" t="s">
        <v>26</v>
      </c>
      <c r="Q2051">
        <v>1</v>
      </c>
      <c r="R2051" t="s">
        <v>11</v>
      </c>
      <c r="T2051">
        <v>10</v>
      </c>
      <c r="V2051" t="s">
        <v>15</v>
      </c>
    </row>
    <row r="2052" spans="1:22" x14ac:dyDescent="0.25">
      <c r="A2052">
        <v>114</v>
      </c>
      <c r="B2052" t="s">
        <v>92</v>
      </c>
      <c r="C2052" t="s">
        <v>674</v>
      </c>
      <c r="E2052" t="s">
        <v>674</v>
      </c>
      <c r="L2052" t="s">
        <v>93</v>
      </c>
      <c r="M2052">
        <v>140</v>
      </c>
      <c r="N2052" t="s">
        <v>100</v>
      </c>
      <c r="Q2052">
        <v>1.27</v>
      </c>
      <c r="R2052" t="s">
        <v>14</v>
      </c>
      <c r="T2052">
        <v>10</v>
      </c>
      <c r="V2052" t="s">
        <v>15</v>
      </c>
    </row>
    <row r="2053" spans="1:22" x14ac:dyDescent="0.25">
      <c r="A2053">
        <v>114</v>
      </c>
      <c r="B2053" t="s">
        <v>92</v>
      </c>
      <c r="C2053" t="s">
        <v>674</v>
      </c>
      <c r="E2053" t="s">
        <v>674</v>
      </c>
      <c r="L2053" t="s">
        <v>93</v>
      </c>
      <c r="M2053">
        <v>150</v>
      </c>
      <c r="N2053" t="s">
        <v>377</v>
      </c>
      <c r="Q2053">
        <v>1</v>
      </c>
      <c r="R2053" t="s">
        <v>11</v>
      </c>
      <c r="T2053">
        <v>10</v>
      </c>
      <c r="V2053" t="s">
        <v>18</v>
      </c>
    </row>
    <row r="2054" spans="1:22" x14ac:dyDescent="0.25">
      <c r="A2054">
        <v>114</v>
      </c>
      <c r="B2054" t="s">
        <v>92</v>
      </c>
      <c r="C2054" t="s">
        <v>674</v>
      </c>
      <c r="E2054" t="s">
        <v>674</v>
      </c>
      <c r="L2054" t="s">
        <v>93</v>
      </c>
      <c r="M2054">
        <v>160</v>
      </c>
      <c r="N2054" t="s">
        <v>378</v>
      </c>
      <c r="Q2054">
        <v>1</v>
      </c>
      <c r="R2054" t="s">
        <v>11</v>
      </c>
      <c r="T2054">
        <v>10</v>
      </c>
      <c r="V2054" t="s">
        <v>18</v>
      </c>
    </row>
    <row r="2055" spans="1:22" x14ac:dyDescent="0.25">
      <c r="A2055">
        <v>114</v>
      </c>
      <c r="B2055" t="s">
        <v>92</v>
      </c>
      <c r="C2055" t="s">
        <v>674</v>
      </c>
      <c r="E2055" t="s">
        <v>674</v>
      </c>
      <c r="L2055" t="s">
        <v>93</v>
      </c>
      <c r="M2055">
        <v>170</v>
      </c>
      <c r="N2055" t="s">
        <v>142</v>
      </c>
      <c r="Q2055">
        <v>7.6710000000000003</v>
      </c>
      <c r="R2055" t="s">
        <v>11</v>
      </c>
      <c r="T2055">
        <v>10</v>
      </c>
      <c r="V2055" t="s">
        <v>15</v>
      </c>
    </row>
    <row r="2056" spans="1:22" x14ac:dyDescent="0.25">
      <c r="A2056">
        <v>114</v>
      </c>
      <c r="B2056" t="s">
        <v>92</v>
      </c>
      <c r="C2056" t="s">
        <v>674</v>
      </c>
      <c r="E2056" t="s">
        <v>674</v>
      </c>
      <c r="L2056" t="s">
        <v>93</v>
      </c>
      <c r="M2056">
        <v>180</v>
      </c>
      <c r="N2056" t="s">
        <v>379</v>
      </c>
      <c r="Q2056">
        <v>1</v>
      </c>
      <c r="R2056" t="s">
        <v>11</v>
      </c>
      <c r="T2056">
        <v>10</v>
      </c>
      <c r="V2056" t="s">
        <v>18</v>
      </c>
    </row>
    <row r="2057" spans="1:22" x14ac:dyDescent="0.25">
      <c r="A2057">
        <v>115</v>
      </c>
      <c r="B2057" t="s">
        <v>92</v>
      </c>
      <c r="C2057" t="s">
        <v>676</v>
      </c>
      <c r="E2057" t="s">
        <v>676</v>
      </c>
      <c r="L2057" t="s">
        <v>93</v>
      </c>
      <c r="M2057">
        <v>10</v>
      </c>
      <c r="N2057" t="s">
        <v>381</v>
      </c>
      <c r="Q2057">
        <v>1</v>
      </c>
      <c r="R2057" t="s">
        <v>11</v>
      </c>
      <c r="T2057">
        <v>10</v>
      </c>
      <c r="V2057" t="s">
        <v>18</v>
      </c>
    </row>
    <row r="2058" spans="1:22" x14ac:dyDescent="0.25">
      <c r="A2058">
        <v>115</v>
      </c>
      <c r="B2058" t="s">
        <v>92</v>
      </c>
      <c r="C2058" t="s">
        <v>676</v>
      </c>
      <c r="E2058" t="s">
        <v>676</v>
      </c>
      <c r="L2058" t="s">
        <v>93</v>
      </c>
      <c r="M2058">
        <v>20</v>
      </c>
      <c r="N2058" t="s">
        <v>132</v>
      </c>
      <c r="Q2058">
        <v>5.3920000000000003</v>
      </c>
      <c r="R2058" t="s">
        <v>14</v>
      </c>
      <c r="T2058">
        <v>10</v>
      </c>
      <c r="V2058" t="s">
        <v>15</v>
      </c>
    </row>
    <row r="2059" spans="1:22" x14ac:dyDescent="0.25">
      <c r="A2059">
        <v>115</v>
      </c>
      <c r="B2059" t="s">
        <v>92</v>
      </c>
      <c r="C2059" t="s">
        <v>676</v>
      </c>
      <c r="E2059" t="s">
        <v>676</v>
      </c>
      <c r="L2059" t="s">
        <v>93</v>
      </c>
      <c r="M2059">
        <v>30</v>
      </c>
      <c r="N2059" t="s">
        <v>102</v>
      </c>
      <c r="Q2059">
        <v>1.429</v>
      </c>
      <c r="R2059" t="s">
        <v>103</v>
      </c>
      <c r="T2059">
        <v>10</v>
      </c>
      <c r="V2059" t="s">
        <v>15</v>
      </c>
    </row>
    <row r="2060" spans="1:22" x14ac:dyDescent="0.25">
      <c r="A2060">
        <v>115</v>
      </c>
      <c r="B2060" t="s">
        <v>92</v>
      </c>
      <c r="C2060" t="s">
        <v>676</v>
      </c>
      <c r="E2060" t="s">
        <v>676</v>
      </c>
      <c r="L2060" t="s">
        <v>93</v>
      </c>
      <c r="M2060">
        <v>40</v>
      </c>
      <c r="N2060" t="s">
        <v>597</v>
      </c>
      <c r="Q2060">
        <v>2.1589999999999998</v>
      </c>
      <c r="R2060" t="s">
        <v>11</v>
      </c>
      <c r="T2060">
        <v>10</v>
      </c>
      <c r="V2060" t="s">
        <v>18</v>
      </c>
    </row>
    <row r="2061" spans="1:22" x14ac:dyDescent="0.25">
      <c r="A2061">
        <v>115</v>
      </c>
      <c r="B2061" t="s">
        <v>92</v>
      </c>
      <c r="C2061" t="s">
        <v>676</v>
      </c>
      <c r="E2061" t="s">
        <v>676</v>
      </c>
      <c r="L2061" t="s">
        <v>93</v>
      </c>
      <c r="M2061">
        <v>50</v>
      </c>
      <c r="N2061" t="s">
        <v>139</v>
      </c>
      <c r="Q2061">
        <v>2.1589999999999998</v>
      </c>
      <c r="R2061" t="s">
        <v>17</v>
      </c>
      <c r="T2061">
        <v>10</v>
      </c>
      <c r="V2061" t="s">
        <v>18</v>
      </c>
    </row>
    <row r="2062" spans="1:22" x14ac:dyDescent="0.25">
      <c r="A2062">
        <v>115</v>
      </c>
      <c r="B2062" t="s">
        <v>92</v>
      </c>
      <c r="C2062" t="s">
        <v>676</v>
      </c>
      <c r="E2062" t="s">
        <v>676</v>
      </c>
      <c r="L2062" t="s">
        <v>93</v>
      </c>
      <c r="M2062">
        <v>60</v>
      </c>
      <c r="N2062" t="s">
        <v>677</v>
      </c>
      <c r="Q2062">
        <v>1</v>
      </c>
      <c r="R2062" t="s">
        <v>11</v>
      </c>
      <c r="T2062">
        <v>10</v>
      </c>
      <c r="V2062" t="s">
        <v>18</v>
      </c>
    </row>
    <row r="2063" spans="1:22" x14ac:dyDescent="0.25">
      <c r="A2063">
        <v>115</v>
      </c>
      <c r="B2063" t="s">
        <v>92</v>
      </c>
      <c r="C2063" t="s">
        <v>676</v>
      </c>
      <c r="E2063" t="s">
        <v>676</v>
      </c>
      <c r="L2063" t="s">
        <v>93</v>
      </c>
      <c r="M2063">
        <v>70</v>
      </c>
      <c r="N2063" t="s">
        <v>599</v>
      </c>
      <c r="Q2063">
        <v>23.927</v>
      </c>
      <c r="R2063" t="s">
        <v>17</v>
      </c>
      <c r="T2063">
        <v>10</v>
      </c>
      <c r="V2063" t="s">
        <v>15</v>
      </c>
    </row>
    <row r="2064" spans="1:22" x14ac:dyDescent="0.25">
      <c r="A2064">
        <v>115</v>
      </c>
      <c r="B2064" t="s">
        <v>92</v>
      </c>
      <c r="C2064" t="s">
        <v>676</v>
      </c>
      <c r="E2064" t="s">
        <v>676</v>
      </c>
      <c r="L2064" t="s">
        <v>93</v>
      </c>
      <c r="M2064">
        <v>80</v>
      </c>
      <c r="N2064" t="s">
        <v>20</v>
      </c>
      <c r="Q2064">
        <v>196.2</v>
      </c>
      <c r="R2064" t="s">
        <v>17</v>
      </c>
      <c r="T2064">
        <v>10</v>
      </c>
      <c r="V2064" t="s">
        <v>15</v>
      </c>
    </row>
    <row r="2065" spans="1:22" x14ac:dyDescent="0.25">
      <c r="A2065">
        <v>115</v>
      </c>
      <c r="B2065" t="s">
        <v>92</v>
      </c>
      <c r="C2065" t="s">
        <v>676</v>
      </c>
      <c r="E2065" t="s">
        <v>676</v>
      </c>
      <c r="L2065" t="s">
        <v>93</v>
      </c>
      <c r="M2065">
        <v>90</v>
      </c>
      <c r="N2065" t="s">
        <v>24</v>
      </c>
      <c r="Q2065">
        <v>1</v>
      </c>
      <c r="R2065" t="s">
        <v>11</v>
      </c>
      <c r="T2065">
        <v>10</v>
      </c>
      <c r="V2065" t="s">
        <v>15</v>
      </c>
    </row>
    <row r="2066" spans="1:22" x14ac:dyDescent="0.25">
      <c r="A2066">
        <v>115</v>
      </c>
      <c r="B2066" t="s">
        <v>92</v>
      </c>
      <c r="C2066" t="s">
        <v>676</v>
      </c>
      <c r="E2066" t="s">
        <v>676</v>
      </c>
      <c r="L2066" t="s">
        <v>93</v>
      </c>
      <c r="M2066">
        <v>100</v>
      </c>
      <c r="N2066" t="s">
        <v>141</v>
      </c>
      <c r="Q2066">
        <v>0.14299999999999999</v>
      </c>
      <c r="R2066" t="s">
        <v>14</v>
      </c>
      <c r="T2066">
        <v>10</v>
      </c>
      <c r="V2066" t="s">
        <v>15</v>
      </c>
    </row>
    <row r="2067" spans="1:22" x14ac:dyDescent="0.25">
      <c r="A2067">
        <v>115</v>
      </c>
      <c r="B2067" t="s">
        <v>92</v>
      </c>
      <c r="C2067" t="s">
        <v>676</v>
      </c>
      <c r="E2067" t="s">
        <v>676</v>
      </c>
      <c r="L2067" t="s">
        <v>93</v>
      </c>
      <c r="M2067">
        <v>110</v>
      </c>
      <c r="N2067" t="s">
        <v>140</v>
      </c>
      <c r="Q2067">
        <v>4</v>
      </c>
      <c r="R2067" t="s">
        <v>11</v>
      </c>
      <c r="T2067">
        <v>10</v>
      </c>
      <c r="V2067" t="s">
        <v>15</v>
      </c>
    </row>
    <row r="2068" spans="1:22" x14ac:dyDescent="0.25">
      <c r="A2068">
        <v>115</v>
      </c>
      <c r="B2068" t="s">
        <v>92</v>
      </c>
      <c r="C2068" t="s">
        <v>676</v>
      </c>
      <c r="E2068" t="s">
        <v>676</v>
      </c>
      <c r="L2068" t="s">
        <v>93</v>
      </c>
      <c r="M2068">
        <v>120</v>
      </c>
      <c r="N2068" t="s">
        <v>25</v>
      </c>
      <c r="Q2068">
        <v>1</v>
      </c>
      <c r="R2068" t="s">
        <v>11</v>
      </c>
      <c r="T2068">
        <v>10</v>
      </c>
      <c r="V2068" t="s">
        <v>15</v>
      </c>
    </row>
    <row r="2069" spans="1:22" x14ac:dyDescent="0.25">
      <c r="A2069">
        <v>115</v>
      </c>
      <c r="B2069" t="s">
        <v>92</v>
      </c>
      <c r="C2069" t="s">
        <v>676</v>
      </c>
      <c r="E2069" t="s">
        <v>676</v>
      </c>
      <c r="L2069" t="s">
        <v>93</v>
      </c>
      <c r="M2069">
        <v>130</v>
      </c>
      <c r="N2069" t="s">
        <v>26</v>
      </c>
      <c r="Q2069">
        <v>1</v>
      </c>
      <c r="R2069" t="s">
        <v>11</v>
      </c>
      <c r="T2069">
        <v>10</v>
      </c>
      <c r="V2069" t="s">
        <v>15</v>
      </c>
    </row>
    <row r="2070" spans="1:22" x14ac:dyDescent="0.25">
      <c r="A2070">
        <v>115</v>
      </c>
      <c r="B2070" t="s">
        <v>92</v>
      </c>
      <c r="C2070" t="s">
        <v>676</v>
      </c>
      <c r="E2070" t="s">
        <v>676</v>
      </c>
      <c r="L2070" t="s">
        <v>93</v>
      </c>
      <c r="M2070">
        <v>140</v>
      </c>
      <c r="N2070" t="s">
        <v>100</v>
      </c>
      <c r="Q2070">
        <v>1.27</v>
      </c>
      <c r="R2070" t="s">
        <v>14</v>
      </c>
      <c r="T2070">
        <v>10</v>
      </c>
      <c r="V2070" t="s">
        <v>15</v>
      </c>
    </row>
    <row r="2071" spans="1:22" x14ac:dyDescent="0.25">
      <c r="A2071">
        <v>115</v>
      </c>
      <c r="B2071" t="s">
        <v>92</v>
      </c>
      <c r="C2071" t="s">
        <v>676</v>
      </c>
      <c r="E2071" t="s">
        <v>676</v>
      </c>
      <c r="L2071" t="s">
        <v>93</v>
      </c>
      <c r="M2071">
        <v>150</v>
      </c>
      <c r="N2071" t="s">
        <v>383</v>
      </c>
      <c r="Q2071">
        <v>1</v>
      </c>
      <c r="R2071" t="s">
        <v>11</v>
      </c>
      <c r="T2071">
        <v>10</v>
      </c>
      <c r="V2071" t="s">
        <v>18</v>
      </c>
    </row>
    <row r="2072" spans="1:22" x14ac:dyDescent="0.25">
      <c r="A2072">
        <v>115</v>
      </c>
      <c r="B2072" t="s">
        <v>92</v>
      </c>
      <c r="C2072" t="s">
        <v>676</v>
      </c>
      <c r="E2072" t="s">
        <v>676</v>
      </c>
      <c r="L2072" t="s">
        <v>93</v>
      </c>
      <c r="M2072">
        <v>160</v>
      </c>
      <c r="N2072" t="s">
        <v>384</v>
      </c>
      <c r="Q2072">
        <v>1</v>
      </c>
      <c r="R2072" t="s">
        <v>11</v>
      </c>
      <c r="T2072">
        <v>10</v>
      </c>
      <c r="V2072" t="s">
        <v>18</v>
      </c>
    </row>
    <row r="2073" spans="1:22" x14ac:dyDescent="0.25">
      <c r="A2073">
        <v>115</v>
      </c>
      <c r="B2073" t="s">
        <v>92</v>
      </c>
      <c r="C2073" t="s">
        <v>676</v>
      </c>
      <c r="E2073" t="s">
        <v>676</v>
      </c>
      <c r="L2073" t="s">
        <v>93</v>
      </c>
      <c r="M2073">
        <v>170</v>
      </c>
      <c r="N2073" t="s">
        <v>142</v>
      </c>
      <c r="Q2073">
        <v>7.976</v>
      </c>
      <c r="R2073" t="s">
        <v>11</v>
      </c>
      <c r="T2073">
        <v>10</v>
      </c>
      <c r="V2073" t="s">
        <v>15</v>
      </c>
    </row>
    <row r="2074" spans="1:22" x14ac:dyDescent="0.25">
      <c r="A2074">
        <v>115</v>
      </c>
      <c r="B2074" t="s">
        <v>92</v>
      </c>
      <c r="C2074" t="s">
        <v>676</v>
      </c>
      <c r="E2074" t="s">
        <v>676</v>
      </c>
      <c r="L2074" t="s">
        <v>93</v>
      </c>
      <c r="M2074">
        <v>180</v>
      </c>
      <c r="N2074" t="s">
        <v>385</v>
      </c>
      <c r="Q2074">
        <v>1</v>
      </c>
      <c r="R2074" t="s">
        <v>11</v>
      </c>
      <c r="T2074">
        <v>10</v>
      </c>
      <c r="V2074" t="s">
        <v>18</v>
      </c>
    </row>
    <row r="2075" spans="1:22" x14ac:dyDescent="0.25">
      <c r="A2075">
        <v>116</v>
      </c>
      <c r="B2075" t="s">
        <v>92</v>
      </c>
      <c r="C2075" t="s">
        <v>678</v>
      </c>
      <c r="E2075" t="s">
        <v>678</v>
      </c>
      <c r="L2075" t="s">
        <v>93</v>
      </c>
      <c r="M2075">
        <v>10</v>
      </c>
      <c r="N2075" t="s">
        <v>387</v>
      </c>
      <c r="Q2075">
        <v>1</v>
      </c>
      <c r="R2075" t="s">
        <v>11</v>
      </c>
      <c r="T2075">
        <v>10</v>
      </c>
      <c r="V2075" t="s">
        <v>18</v>
      </c>
    </row>
    <row r="2076" spans="1:22" x14ac:dyDescent="0.25">
      <c r="A2076">
        <v>116</v>
      </c>
      <c r="B2076" t="s">
        <v>92</v>
      </c>
      <c r="C2076" t="s">
        <v>678</v>
      </c>
      <c r="E2076" t="s">
        <v>678</v>
      </c>
      <c r="L2076" t="s">
        <v>93</v>
      </c>
      <c r="M2076">
        <v>20</v>
      </c>
      <c r="N2076" t="s">
        <v>133</v>
      </c>
      <c r="Q2076">
        <v>1.905</v>
      </c>
      <c r="R2076" t="s">
        <v>14</v>
      </c>
      <c r="T2076">
        <v>10</v>
      </c>
      <c r="V2076" t="s">
        <v>15</v>
      </c>
    </row>
    <row r="2077" spans="1:22" x14ac:dyDescent="0.25">
      <c r="A2077">
        <v>116</v>
      </c>
      <c r="B2077" t="s">
        <v>92</v>
      </c>
      <c r="C2077" t="s">
        <v>678</v>
      </c>
      <c r="E2077" t="s">
        <v>678</v>
      </c>
      <c r="L2077" t="s">
        <v>93</v>
      </c>
      <c r="M2077">
        <v>30</v>
      </c>
      <c r="N2077" t="s">
        <v>102</v>
      </c>
      <c r="Q2077">
        <v>0.52100000000000002</v>
      </c>
      <c r="R2077" t="s">
        <v>103</v>
      </c>
      <c r="T2077">
        <v>10</v>
      </c>
      <c r="V2077" t="s">
        <v>15</v>
      </c>
    </row>
    <row r="2078" spans="1:22" x14ac:dyDescent="0.25">
      <c r="A2078">
        <v>116</v>
      </c>
      <c r="B2078" t="s">
        <v>92</v>
      </c>
      <c r="C2078" t="s">
        <v>678</v>
      </c>
      <c r="E2078" t="s">
        <v>678</v>
      </c>
      <c r="L2078" t="s">
        <v>93</v>
      </c>
      <c r="M2078">
        <v>40</v>
      </c>
      <c r="N2078" t="s">
        <v>597</v>
      </c>
      <c r="Q2078">
        <v>0.78700000000000003</v>
      </c>
      <c r="R2078" t="s">
        <v>11</v>
      </c>
      <c r="T2078">
        <v>10</v>
      </c>
      <c r="V2078" t="s">
        <v>18</v>
      </c>
    </row>
    <row r="2079" spans="1:22" x14ac:dyDescent="0.25">
      <c r="A2079">
        <v>116</v>
      </c>
      <c r="B2079" t="s">
        <v>92</v>
      </c>
      <c r="C2079" t="s">
        <v>678</v>
      </c>
      <c r="E2079" t="s">
        <v>678</v>
      </c>
      <c r="L2079" t="s">
        <v>93</v>
      </c>
      <c r="M2079">
        <v>50</v>
      </c>
      <c r="N2079" t="s">
        <v>139</v>
      </c>
      <c r="Q2079">
        <v>0.78700000000000003</v>
      </c>
      <c r="R2079" t="s">
        <v>17</v>
      </c>
      <c r="T2079">
        <v>10</v>
      </c>
      <c r="V2079" t="s">
        <v>18</v>
      </c>
    </row>
    <row r="2080" spans="1:22" x14ac:dyDescent="0.25">
      <c r="A2080">
        <v>116</v>
      </c>
      <c r="B2080" t="s">
        <v>92</v>
      </c>
      <c r="C2080" t="s">
        <v>678</v>
      </c>
      <c r="E2080" t="s">
        <v>678</v>
      </c>
      <c r="L2080" t="s">
        <v>93</v>
      </c>
      <c r="M2080">
        <v>60</v>
      </c>
      <c r="N2080" t="s">
        <v>679</v>
      </c>
      <c r="Q2080">
        <v>1</v>
      </c>
      <c r="R2080" t="s">
        <v>11</v>
      </c>
      <c r="T2080">
        <v>10</v>
      </c>
      <c r="V2080" t="s">
        <v>18</v>
      </c>
    </row>
    <row r="2081" spans="1:22" x14ac:dyDescent="0.25">
      <c r="A2081">
        <v>116</v>
      </c>
      <c r="B2081" t="s">
        <v>92</v>
      </c>
      <c r="C2081" t="s">
        <v>678</v>
      </c>
      <c r="E2081" t="s">
        <v>678</v>
      </c>
      <c r="L2081" t="s">
        <v>93</v>
      </c>
      <c r="M2081">
        <v>70</v>
      </c>
      <c r="N2081" t="s">
        <v>599</v>
      </c>
      <c r="Q2081">
        <v>16.154</v>
      </c>
      <c r="R2081" t="s">
        <v>17</v>
      </c>
      <c r="T2081">
        <v>10</v>
      </c>
      <c r="V2081" t="s">
        <v>15</v>
      </c>
    </row>
    <row r="2082" spans="1:22" x14ac:dyDescent="0.25">
      <c r="A2082">
        <v>116</v>
      </c>
      <c r="B2082" t="s">
        <v>92</v>
      </c>
      <c r="C2082" t="s">
        <v>678</v>
      </c>
      <c r="E2082" t="s">
        <v>678</v>
      </c>
      <c r="L2082" t="s">
        <v>93</v>
      </c>
      <c r="M2082">
        <v>80</v>
      </c>
      <c r="N2082" t="s">
        <v>20</v>
      </c>
      <c r="Q2082">
        <v>132.46600000000001</v>
      </c>
      <c r="R2082" t="s">
        <v>17</v>
      </c>
      <c r="T2082">
        <v>10</v>
      </c>
      <c r="V2082" t="s">
        <v>15</v>
      </c>
    </row>
    <row r="2083" spans="1:22" x14ac:dyDescent="0.25">
      <c r="A2083">
        <v>116</v>
      </c>
      <c r="B2083" t="s">
        <v>92</v>
      </c>
      <c r="C2083" t="s">
        <v>678</v>
      </c>
      <c r="E2083" t="s">
        <v>678</v>
      </c>
      <c r="L2083" t="s">
        <v>93</v>
      </c>
      <c r="M2083">
        <v>90</v>
      </c>
      <c r="N2083" t="s">
        <v>24</v>
      </c>
      <c r="Q2083">
        <v>1</v>
      </c>
      <c r="R2083" t="s">
        <v>11</v>
      </c>
      <c r="T2083">
        <v>10</v>
      </c>
      <c r="V2083" t="s">
        <v>15</v>
      </c>
    </row>
    <row r="2084" spans="1:22" x14ac:dyDescent="0.25">
      <c r="A2084">
        <v>116</v>
      </c>
      <c r="B2084" t="s">
        <v>92</v>
      </c>
      <c r="C2084" t="s">
        <v>678</v>
      </c>
      <c r="E2084" t="s">
        <v>678</v>
      </c>
      <c r="L2084" t="s">
        <v>93</v>
      </c>
      <c r="M2084">
        <v>100</v>
      </c>
      <c r="N2084" t="s">
        <v>141</v>
      </c>
      <c r="Q2084">
        <v>7.5999999999999998E-2</v>
      </c>
      <c r="R2084" t="s">
        <v>14</v>
      </c>
      <c r="T2084">
        <v>10</v>
      </c>
      <c r="V2084" t="s">
        <v>15</v>
      </c>
    </row>
    <row r="2085" spans="1:22" x14ac:dyDescent="0.25">
      <c r="A2085">
        <v>116</v>
      </c>
      <c r="B2085" t="s">
        <v>92</v>
      </c>
      <c r="C2085" t="s">
        <v>678</v>
      </c>
      <c r="E2085" t="s">
        <v>678</v>
      </c>
      <c r="L2085" t="s">
        <v>93</v>
      </c>
      <c r="M2085">
        <v>110</v>
      </c>
      <c r="N2085" t="s">
        <v>140</v>
      </c>
      <c r="Q2085">
        <v>4</v>
      </c>
      <c r="R2085" t="s">
        <v>11</v>
      </c>
      <c r="T2085">
        <v>10</v>
      </c>
      <c r="V2085" t="s">
        <v>15</v>
      </c>
    </row>
    <row r="2086" spans="1:22" x14ac:dyDescent="0.25">
      <c r="A2086">
        <v>116</v>
      </c>
      <c r="B2086" t="s">
        <v>92</v>
      </c>
      <c r="C2086" t="s">
        <v>678</v>
      </c>
      <c r="E2086" t="s">
        <v>678</v>
      </c>
      <c r="L2086" t="s">
        <v>93</v>
      </c>
      <c r="M2086">
        <v>120</v>
      </c>
      <c r="N2086" t="s">
        <v>25</v>
      </c>
      <c r="Q2086">
        <v>1</v>
      </c>
      <c r="R2086" t="s">
        <v>11</v>
      </c>
      <c r="T2086">
        <v>10</v>
      </c>
      <c r="V2086" t="s">
        <v>15</v>
      </c>
    </row>
    <row r="2087" spans="1:22" x14ac:dyDescent="0.25">
      <c r="A2087">
        <v>116</v>
      </c>
      <c r="B2087" t="s">
        <v>92</v>
      </c>
      <c r="C2087" t="s">
        <v>678</v>
      </c>
      <c r="E2087" t="s">
        <v>678</v>
      </c>
      <c r="L2087" t="s">
        <v>93</v>
      </c>
      <c r="M2087">
        <v>130</v>
      </c>
      <c r="N2087" t="s">
        <v>26</v>
      </c>
      <c r="Q2087">
        <v>1</v>
      </c>
      <c r="R2087" t="s">
        <v>11</v>
      </c>
      <c r="T2087">
        <v>10</v>
      </c>
      <c r="V2087" t="s">
        <v>15</v>
      </c>
    </row>
    <row r="2088" spans="1:22" x14ac:dyDescent="0.25">
      <c r="A2088">
        <v>116</v>
      </c>
      <c r="B2088" t="s">
        <v>92</v>
      </c>
      <c r="C2088" t="s">
        <v>678</v>
      </c>
      <c r="E2088" t="s">
        <v>678</v>
      </c>
      <c r="L2088" t="s">
        <v>93</v>
      </c>
      <c r="M2088">
        <v>140</v>
      </c>
      <c r="N2088" t="s">
        <v>100</v>
      </c>
      <c r="Q2088">
        <v>0.54</v>
      </c>
      <c r="R2088" t="s">
        <v>14</v>
      </c>
      <c r="T2088">
        <v>10</v>
      </c>
      <c r="V2088" t="s">
        <v>15</v>
      </c>
    </row>
    <row r="2089" spans="1:22" x14ac:dyDescent="0.25">
      <c r="A2089">
        <v>116</v>
      </c>
      <c r="B2089" t="s">
        <v>92</v>
      </c>
      <c r="C2089" t="s">
        <v>678</v>
      </c>
      <c r="E2089" t="s">
        <v>678</v>
      </c>
      <c r="L2089" t="s">
        <v>93</v>
      </c>
      <c r="M2089">
        <v>150</v>
      </c>
      <c r="N2089" t="s">
        <v>389</v>
      </c>
      <c r="Q2089">
        <v>1</v>
      </c>
      <c r="R2089" t="s">
        <v>11</v>
      </c>
      <c r="T2089">
        <v>10</v>
      </c>
      <c r="V2089" t="s">
        <v>18</v>
      </c>
    </row>
    <row r="2090" spans="1:22" x14ac:dyDescent="0.25">
      <c r="A2090">
        <v>116</v>
      </c>
      <c r="B2090" t="s">
        <v>92</v>
      </c>
      <c r="C2090" t="s">
        <v>678</v>
      </c>
      <c r="E2090" t="s">
        <v>678</v>
      </c>
      <c r="L2090" t="s">
        <v>93</v>
      </c>
      <c r="M2090">
        <v>160</v>
      </c>
      <c r="N2090" t="s">
        <v>390</v>
      </c>
      <c r="Q2090">
        <v>1</v>
      </c>
      <c r="R2090" t="s">
        <v>11</v>
      </c>
      <c r="T2090">
        <v>10</v>
      </c>
      <c r="V2090" t="s">
        <v>18</v>
      </c>
    </row>
    <row r="2091" spans="1:22" x14ac:dyDescent="0.25">
      <c r="A2091">
        <v>116</v>
      </c>
      <c r="B2091" t="s">
        <v>92</v>
      </c>
      <c r="C2091" t="s">
        <v>678</v>
      </c>
      <c r="E2091" t="s">
        <v>678</v>
      </c>
      <c r="L2091" t="s">
        <v>93</v>
      </c>
      <c r="M2091">
        <v>170</v>
      </c>
      <c r="N2091" t="s">
        <v>142</v>
      </c>
      <c r="Q2091">
        <v>5.3849999999999998</v>
      </c>
      <c r="R2091" t="s">
        <v>11</v>
      </c>
      <c r="T2091">
        <v>10</v>
      </c>
      <c r="V2091" t="s">
        <v>15</v>
      </c>
    </row>
    <row r="2092" spans="1:22" x14ac:dyDescent="0.25">
      <c r="A2092">
        <v>116</v>
      </c>
      <c r="B2092" t="s">
        <v>92</v>
      </c>
      <c r="C2092" t="s">
        <v>678</v>
      </c>
      <c r="E2092" t="s">
        <v>678</v>
      </c>
      <c r="L2092" t="s">
        <v>93</v>
      </c>
      <c r="M2092">
        <v>180</v>
      </c>
      <c r="N2092" t="s">
        <v>391</v>
      </c>
      <c r="Q2092">
        <v>1</v>
      </c>
      <c r="R2092" t="s">
        <v>11</v>
      </c>
      <c r="T2092">
        <v>10</v>
      </c>
      <c r="V2092" t="s">
        <v>18</v>
      </c>
    </row>
    <row r="2093" spans="1:22" x14ac:dyDescent="0.25">
      <c r="A2093">
        <v>117</v>
      </c>
      <c r="B2093" t="s">
        <v>92</v>
      </c>
      <c r="C2093" t="s">
        <v>680</v>
      </c>
      <c r="E2093" t="s">
        <v>680</v>
      </c>
      <c r="L2093" t="s">
        <v>93</v>
      </c>
      <c r="M2093">
        <v>10</v>
      </c>
      <c r="N2093" t="s">
        <v>393</v>
      </c>
      <c r="Q2093">
        <v>1</v>
      </c>
      <c r="R2093" t="s">
        <v>11</v>
      </c>
      <c r="T2093">
        <v>10</v>
      </c>
      <c r="V2093" t="s">
        <v>18</v>
      </c>
    </row>
    <row r="2094" spans="1:22" x14ac:dyDescent="0.25">
      <c r="A2094">
        <v>117</v>
      </c>
      <c r="B2094" t="s">
        <v>92</v>
      </c>
      <c r="C2094" t="s">
        <v>680</v>
      </c>
      <c r="E2094" t="s">
        <v>680</v>
      </c>
      <c r="L2094" t="s">
        <v>93</v>
      </c>
      <c r="M2094">
        <v>20</v>
      </c>
      <c r="N2094" t="s">
        <v>114</v>
      </c>
      <c r="Q2094">
        <v>2.2930000000000001</v>
      </c>
      <c r="R2094" t="s">
        <v>14</v>
      </c>
      <c r="T2094">
        <v>10</v>
      </c>
      <c r="V2094" t="s">
        <v>15</v>
      </c>
    </row>
    <row r="2095" spans="1:22" x14ac:dyDescent="0.25">
      <c r="A2095">
        <v>117</v>
      </c>
      <c r="B2095" t="s">
        <v>92</v>
      </c>
      <c r="C2095" t="s">
        <v>680</v>
      </c>
      <c r="E2095" t="s">
        <v>680</v>
      </c>
      <c r="L2095" t="s">
        <v>93</v>
      </c>
      <c r="M2095">
        <v>30</v>
      </c>
      <c r="N2095" t="s">
        <v>102</v>
      </c>
      <c r="Q2095">
        <v>0.629</v>
      </c>
      <c r="R2095" t="s">
        <v>103</v>
      </c>
      <c r="T2095">
        <v>10</v>
      </c>
      <c r="V2095" t="s">
        <v>15</v>
      </c>
    </row>
    <row r="2096" spans="1:22" x14ac:dyDescent="0.25">
      <c r="A2096">
        <v>117</v>
      </c>
      <c r="B2096" t="s">
        <v>92</v>
      </c>
      <c r="C2096" t="s">
        <v>680</v>
      </c>
      <c r="E2096" t="s">
        <v>680</v>
      </c>
      <c r="L2096" t="s">
        <v>93</v>
      </c>
      <c r="M2096">
        <v>40</v>
      </c>
      <c r="N2096" t="s">
        <v>597</v>
      </c>
      <c r="Q2096">
        <v>0.94</v>
      </c>
      <c r="R2096" t="s">
        <v>11</v>
      </c>
      <c r="T2096">
        <v>10</v>
      </c>
      <c r="V2096" t="s">
        <v>18</v>
      </c>
    </row>
    <row r="2097" spans="1:22" x14ac:dyDescent="0.25">
      <c r="A2097">
        <v>117</v>
      </c>
      <c r="B2097" t="s">
        <v>92</v>
      </c>
      <c r="C2097" t="s">
        <v>680</v>
      </c>
      <c r="E2097" t="s">
        <v>680</v>
      </c>
      <c r="L2097" t="s">
        <v>93</v>
      </c>
      <c r="M2097">
        <v>50</v>
      </c>
      <c r="N2097" t="s">
        <v>139</v>
      </c>
      <c r="Q2097">
        <v>0.94</v>
      </c>
      <c r="R2097" t="s">
        <v>17</v>
      </c>
      <c r="T2097">
        <v>10</v>
      </c>
      <c r="V2097" t="s">
        <v>18</v>
      </c>
    </row>
    <row r="2098" spans="1:22" x14ac:dyDescent="0.25">
      <c r="A2098">
        <v>117</v>
      </c>
      <c r="B2098" t="s">
        <v>92</v>
      </c>
      <c r="C2098" t="s">
        <v>680</v>
      </c>
      <c r="E2098" t="s">
        <v>680</v>
      </c>
      <c r="L2098" t="s">
        <v>93</v>
      </c>
      <c r="M2098">
        <v>60</v>
      </c>
      <c r="N2098" t="s">
        <v>681</v>
      </c>
      <c r="Q2098">
        <v>1</v>
      </c>
      <c r="R2098" t="s">
        <v>11</v>
      </c>
      <c r="T2098">
        <v>10</v>
      </c>
      <c r="V2098" t="s">
        <v>18</v>
      </c>
    </row>
    <row r="2099" spans="1:22" x14ac:dyDescent="0.25">
      <c r="A2099">
        <v>117</v>
      </c>
      <c r="B2099" t="s">
        <v>92</v>
      </c>
      <c r="C2099" t="s">
        <v>680</v>
      </c>
      <c r="E2099" t="s">
        <v>680</v>
      </c>
      <c r="L2099" t="s">
        <v>93</v>
      </c>
      <c r="M2099">
        <v>70</v>
      </c>
      <c r="N2099" t="s">
        <v>599</v>
      </c>
      <c r="Q2099">
        <v>17.068999999999999</v>
      </c>
      <c r="R2099" t="s">
        <v>17</v>
      </c>
      <c r="T2099">
        <v>10</v>
      </c>
      <c r="V2099" t="s">
        <v>15</v>
      </c>
    </row>
    <row r="2100" spans="1:22" x14ac:dyDescent="0.25">
      <c r="A2100">
        <v>117</v>
      </c>
      <c r="B2100" t="s">
        <v>92</v>
      </c>
      <c r="C2100" t="s">
        <v>680</v>
      </c>
      <c r="E2100" t="s">
        <v>680</v>
      </c>
      <c r="L2100" t="s">
        <v>93</v>
      </c>
      <c r="M2100">
        <v>80</v>
      </c>
      <c r="N2100" t="s">
        <v>20</v>
      </c>
      <c r="Q2100">
        <v>139.964</v>
      </c>
      <c r="R2100" t="s">
        <v>17</v>
      </c>
      <c r="T2100">
        <v>10</v>
      </c>
      <c r="V2100" t="s">
        <v>15</v>
      </c>
    </row>
    <row r="2101" spans="1:22" x14ac:dyDescent="0.25">
      <c r="A2101">
        <v>117</v>
      </c>
      <c r="B2101" t="s">
        <v>92</v>
      </c>
      <c r="C2101" t="s">
        <v>680</v>
      </c>
      <c r="E2101" t="s">
        <v>680</v>
      </c>
      <c r="L2101" t="s">
        <v>93</v>
      </c>
      <c r="M2101">
        <v>90</v>
      </c>
      <c r="N2101" t="s">
        <v>24</v>
      </c>
      <c r="Q2101">
        <v>1</v>
      </c>
      <c r="R2101" t="s">
        <v>11</v>
      </c>
      <c r="T2101">
        <v>10</v>
      </c>
      <c r="V2101" t="s">
        <v>15</v>
      </c>
    </row>
    <row r="2102" spans="1:22" x14ac:dyDescent="0.25">
      <c r="A2102">
        <v>117</v>
      </c>
      <c r="B2102" t="s">
        <v>92</v>
      </c>
      <c r="C2102" t="s">
        <v>680</v>
      </c>
      <c r="E2102" t="s">
        <v>680</v>
      </c>
      <c r="L2102" t="s">
        <v>93</v>
      </c>
      <c r="M2102">
        <v>100</v>
      </c>
      <c r="N2102" t="s">
        <v>141</v>
      </c>
      <c r="Q2102">
        <v>8.5999999999999993E-2</v>
      </c>
      <c r="R2102" t="s">
        <v>14</v>
      </c>
      <c r="T2102">
        <v>10</v>
      </c>
      <c r="V2102" t="s">
        <v>15</v>
      </c>
    </row>
    <row r="2103" spans="1:22" x14ac:dyDescent="0.25">
      <c r="A2103">
        <v>117</v>
      </c>
      <c r="B2103" t="s">
        <v>92</v>
      </c>
      <c r="C2103" t="s">
        <v>680</v>
      </c>
      <c r="E2103" t="s">
        <v>680</v>
      </c>
      <c r="L2103" t="s">
        <v>93</v>
      </c>
      <c r="M2103">
        <v>110</v>
      </c>
      <c r="N2103" t="s">
        <v>140</v>
      </c>
      <c r="Q2103">
        <v>4</v>
      </c>
      <c r="R2103" t="s">
        <v>11</v>
      </c>
      <c r="T2103">
        <v>10</v>
      </c>
      <c r="V2103" t="s">
        <v>15</v>
      </c>
    </row>
    <row r="2104" spans="1:22" x14ac:dyDescent="0.25">
      <c r="A2104">
        <v>117</v>
      </c>
      <c r="B2104" t="s">
        <v>92</v>
      </c>
      <c r="C2104" t="s">
        <v>680</v>
      </c>
      <c r="E2104" t="s">
        <v>680</v>
      </c>
      <c r="L2104" t="s">
        <v>93</v>
      </c>
      <c r="M2104">
        <v>120</v>
      </c>
      <c r="N2104" t="s">
        <v>25</v>
      </c>
      <c r="Q2104">
        <v>1</v>
      </c>
      <c r="R2104" t="s">
        <v>11</v>
      </c>
      <c r="T2104">
        <v>10</v>
      </c>
      <c r="V2104" t="s">
        <v>15</v>
      </c>
    </row>
    <row r="2105" spans="1:22" x14ac:dyDescent="0.25">
      <c r="A2105">
        <v>117</v>
      </c>
      <c r="B2105" t="s">
        <v>92</v>
      </c>
      <c r="C2105" t="s">
        <v>680</v>
      </c>
      <c r="E2105" t="s">
        <v>680</v>
      </c>
      <c r="L2105" t="s">
        <v>93</v>
      </c>
      <c r="M2105">
        <v>130</v>
      </c>
      <c r="N2105" t="s">
        <v>26</v>
      </c>
      <c r="Q2105">
        <v>1</v>
      </c>
      <c r="R2105" t="s">
        <v>11</v>
      </c>
      <c r="T2105">
        <v>10</v>
      </c>
      <c r="V2105" t="s">
        <v>15</v>
      </c>
    </row>
    <row r="2106" spans="1:22" x14ac:dyDescent="0.25">
      <c r="A2106">
        <v>117</v>
      </c>
      <c r="B2106" t="s">
        <v>92</v>
      </c>
      <c r="C2106" t="s">
        <v>680</v>
      </c>
      <c r="E2106" t="s">
        <v>680</v>
      </c>
      <c r="L2106" t="s">
        <v>93</v>
      </c>
      <c r="M2106">
        <v>140</v>
      </c>
      <c r="N2106" t="s">
        <v>100</v>
      </c>
      <c r="Q2106">
        <v>0.622</v>
      </c>
      <c r="R2106" t="s">
        <v>14</v>
      </c>
      <c r="T2106">
        <v>10</v>
      </c>
      <c r="V2106" t="s">
        <v>15</v>
      </c>
    </row>
    <row r="2107" spans="1:22" x14ac:dyDescent="0.25">
      <c r="A2107">
        <v>117</v>
      </c>
      <c r="B2107" t="s">
        <v>92</v>
      </c>
      <c r="C2107" t="s">
        <v>680</v>
      </c>
      <c r="E2107" t="s">
        <v>680</v>
      </c>
      <c r="L2107" t="s">
        <v>93</v>
      </c>
      <c r="M2107">
        <v>150</v>
      </c>
      <c r="N2107" t="s">
        <v>395</v>
      </c>
      <c r="Q2107">
        <v>1</v>
      </c>
      <c r="R2107" t="s">
        <v>11</v>
      </c>
      <c r="T2107">
        <v>10</v>
      </c>
      <c r="V2107" t="s">
        <v>18</v>
      </c>
    </row>
    <row r="2108" spans="1:22" x14ac:dyDescent="0.25">
      <c r="A2108">
        <v>117</v>
      </c>
      <c r="B2108" t="s">
        <v>92</v>
      </c>
      <c r="C2108" t="s">
        <v>680</v>
      </c>
      <c r="E2108" t="s">
        <v>680</v>
      </c>
      <c r="L2108" t="s">
        <v>93</v>
      </c>
      <c r="M2108">
        <v>160</v>
      </c>
      <c r="N2108" t="s">
        <v>396</v>
      </c>
      <c r="Q2108">
        <v>1</v>
      </c>
      <c r="R2108" t="s">
        <v>11</v>
      </c>
      <c r="T2108">
        <v>10</v>
      </c>
      <c r="V2108" t="s">
        <v>18</v>
      </c>
    </row>
    <row r="2109" spans="1:22" x14ac:dyDescent="0.25">
      <c r="A2109">
        <v>117</v>
      </c>
      <c r="B2109" t="s">
        <v>92</v>
      </c>
      <c r="C2109" t="s">
        <v>680</v>
      </c>
      <c r="E2109" t="s">
        <v>680</v>
      </c>
      <c r="L2109" t="s">
        <v>93</v>
      </c>
      <c r="M2109">
        <v>170</v>
      </c>
      <c r="N2109" t="s">
        <v>142</v>
      </c>
      <c r="Q2109">
        <v>5.69</v>
      </c>
      <c r="R2109" t="s">
        <v>11</v>
      </c>
      <c r="T2109">
        <v>10</v>
      </c>
      <c r="V2109" t="s">
        <v>15</v>
      </c>
    </row>
    <row r="2110" spans="1:22" x14ac:dyDescent="0.25">
      <c r="A2110">
        <v>117</v>
      </c>
      <c r="B2110" t="s">
        <v>92</v>
      </c>
      <c r="C2110" t="s">
        <v>680</v>
      </c>
      <c r="E2110" t="s">
        <v>680</v>
      </c>
      <c r="L2110" t="s">
        <v>93</v>
      </c>
      <c r="M2110">
        <v>180</v>
      </c>
      <c r="N2110" t="s">
        <v>397</v>
      </c>
      <c r="Q2110">
        <v>1</v>
      </c>
      <c r="R2110" t="s">
        <v>11</v>
      </c>
      <c r="T2110">
        <v>10</v>
      </c>
      <c r="V2110" t="s">
        <v>18</v>
      </c>
    </row>
    <row r="2111" spans="1:22" x14ac:dyDescent="0.25">
      <c r="A2111">
        <v>118</v>
      </c>
      <c r="B2111" t="s">
        <v>92</v>
      </c>
      <c r="C2111" t="s">
        <v>682</v>
      </c>
      <c r="E2111" t="s">
        <v>682</v>
      </c>
      <c r="L2111" t="s">
        <v>93</v>
      </c>
      <c r="M2111">
        <v>10</v>
      </c>
      <c r="N2111" t="s">
        <v>399</v>
      </c>
      <c r="Q2111">
        <v>1</v>
      </c>
      <c r="R2111" t="s">
        <v>11</v>
      </c>
      <c r="T2111">
        <v>10</v>
      </c>
      <c r="V2111" t="s">
        <v>18</v>
      </c>
    </row>
    <row r="2112" spans="1:22" x14ac:dyDescent="0.25">
      <c r="A2112">
        <v>118</v>
      </c>
      <c r="B2112" t="s">
        <v>92</v>
      </c>
      <c r="C2112" t="s">
        <v>682</v>
      </c>
      <c r="E2112" t="s">
        <v>682</v>
      </c>
      <c r="L2112" t="s">
        <v>93</v>
      </c>
      <c r="M2112">
        <v>20</v>
      </c>
      <c r="N2112" t="s">
        <v>115</v>
      </c>
      <c r="Q2112">
        <v>2.68</v>
      </c>
      <c r="R2112" t="s">
        <v>14</v>
      </c>
      <c r="T2112">
        <v>10</v>
      </c>
      <c r="V2112" t="s">
        <v>15</v>
      </c>
    </row>
    <row r="2113" spans="1:22" x14ac:dyDescent="0.25">
      <c r="A2113">
        <v>118</v>
      </c>
      <c r="B2113" t="s">
        <v>92</v>
      </c>
      <c r="C2113" t="s">
        <v>682</v>
      </c>
      <c r="E2113" t="s">
        <v>682</v>
      </c>
      <c r="L2113" t="s">
        <v>93</v>
      </c>
      <c r="M2113">
        <v>30</v>
      </c>
      <c r="N2113" t="s">
        <v>102</v>
      </c>
      <c r="Q2113">
        <v>0.73699999999999999</v>
      </c>
      <c r="R2113" t="s">
        <v>103</v>
      </c>
      <c r="T2113">
        <v>10</v>
      </c>
      <c r="V2113" t="s">
        <v>15</v>
      </c>
    </row>
    <row r="2114" spans="1:22" x14ac:dyDescent="0.25">
      <c r="A2114">
        <v>118</v>
      </c>
      <c r="B2114" t="s">
        <v>92</v>
      </c>
      <c r="C2114" t="s">
        <v>682</v>
      </c>
      <c r="E2114" t="s">
        <v>682</v>
      </c>
      <c r="L2114" t="s">
        <v>93</v>
      </c>
      <c r="M2114">
        <v>40</v>
      </c>
      <c r="N2114" t="s">
        <v>597</v>
      </c>
      <c r="Q2114">
        <v>1.0920000000000001</v>
      </c>
      <c r="R2114" t="s">
        <v>11</v>
      </c>
      <c r="T2114">
        <v>10</v>
      </c>
      <c r="V2114" t="s">
        <v>18</v>
      </c>
    </row>
    <row r="2115" spans="1:22" x14ac:dyDescent="0.25">
      <c r="A2115">
        <v>118</v>
      </c>
      <c r="B2115" t="s">
        <v>92</v>
      </c>
      <c r="C2115" t="s">
        <v>682</v>
      </c>
      <c r="E2115" t="s">
        <v>682</v>
      </c>
      <c r="L2115" t="s">
        <v>93</v>
      </c>
      <c r="M2115">
        <v>50</v>
      </c>
      <c r="N2115" t="s">
        <v>139</v>
      </c>
      <c r="Q2115">
        <v>1.0920000000000001</v>
      </c>
      <c r="R2115" t="s">
        <v>17</v>
      </c>
      <c r="T2115">
        <v>10</v>
      </c>
      <c r="V2115" t="s">
        <v>18</v>
      </c>
    </row>
    <row r="2116" spans="1:22" x14ac:dyDescent="0.25">
      <c r="A2116">
        <v>118</v>
      </c>
      <c r="B2116" t="s">
        <v>92</v>
      </c>
      <c r="C2116" t="s">
        <v>682</v>
      </c>
      <c r="E2116" t="s">
        <v>682</v>
      </c>
      <c r="L2116" t="s">
        <v>93</v>
      </c>
      <c r="M2116">
        <v>60</v>
      </c>
      <c r="N2116" t="s">
        <v>683</v>
      </c>
      <c r="Q2116">
        <v>1</v>
      </c>
      <c r="R2116" t="s">
        <v>11</v>
      </c>
      <c r="T2116">
        <v>10</v>
      </c>
      <c r="V2116" t="s">
        <v>18</v>
      </c>
    </row>
    <row r="2117" spans="1:22" x14ac:dyDescent="0.25">
      <c r="A2117">
        <v>118</v>
      </c>
      <c r="B2117" t="s">
        <v>92</v>
      </c>
      <c r="C2117" t="s">
        <v>682</v>
      </c>
      <c r="E2117" t="s">
        <v>682</v>
      </c>
      <c r="L2117" t="s">
        <v>93</v>
      </c>
      <c r="M2117">
        <v>70</v>
      </c>
      <c r="N2117" t="s">
        <v>599</v>
      </c>
      <c r="Q2117">
        <v>17.983000000000001</v>
      </c>
      <c r="R2117" t="s">
        <v>17</v>
      </c>
      <c r="T2117">
        <v>10</v>
      </c>
      <c r="V2117" t="s">
        <v>15</v>
      </c>
    </row>
    <row r="2118" spans="1:22" x14ac:dyDescent="0.25">
      <c r="A2118">
        <v>118</v>
      </c>
      <c r="B2118" t="s">
        <v>92</v>
      </c>
      <c r="C2118" t="s">
        <v>682</v>
      </c>
      <c r="E2118" t="s">
        <v>682</v>
      </c>
      <c r="L2118" t="s">
        <v>93</v>
      </c>
      <c r="M2118">
        <v>80</v>
      </c>
      <c r="N2118" t="s">
        <v>20</v>
      </c>
      <c r="Q2118">
        <v>147.46199999999999</v>
      </c>
      <c r="R2118" t="s">
        <v>17</v>
      </c>
      <c r="T2118">
        <v>10</v>
      </c>
      <c r="V2118" t="s">
        <v>15</v>
      </c>
    </row>
    <row r="2119" spans="1:22" x14ac:dyDescent="0.25">
      <c r="A2119">
        <v>118</v>
      </c>
      <c r="B2119" t="s">
        <v>92</v>
      </c>
      <c r="C2119" t="s">
        <v>682</v>
      </c>
      <c r="E2119" t="s">
        <v>682</v>
      </c>
      <c r="L2119" t="s">
        <v>93</v>
      </c>
      <c r="M2119">
        <v>90</v>
      </c>
      <c r="N2119" t="s">
        <v>24</v>
      </c>
      <c r="Q2119">
        <v>1</v>
      </c>
      <c r="R2119" t="s">
        <v>11</v>
      </c>
      <c r="T2119">
        <v>10</v>
      </c>
      <c r="V2119" t="s">
        <v>15</v>
      </c>
    </row>
    <row r="2120" spans="1:22" x14ac:dyDescent="0.25">
      <c r="A2120">
        <v>118</v>
      </c>
      <c r="B2120" t="s">
        <v>92</v>
      </c>
      <c r="C2120" t="s">
        <v>682</v>
      </c>
      <c r="E2120" t="s">
        <v>682</v>
      </c>
      <c r="L2120" t="s">
        <v>93</v>
      </c>
      <c r="M2120">
        <v>100</v>
      </c>
      <c r="N2120" t="s">
        <v>141</v>
      </c>
      <c r="Q2120">
        <v>9.7000000000000003E-2</v>
      </c>
      <c r="R2120" t="s">
        <v>14</v>
      </c>
      <c r="T2120">
        <v>10</v>
      </c>
      <c r="V2120" t="s">
        <v>15</v>
      </c>
    </row>
    <row r="2121" spans="1:22" x14ac:dyDescent="0.25">
      <c r="A2121">
        <v>118</v>
      </c>
      <c r="B2121" t="s">
        <v>92</v>
      </c>
      <c r="C2121" t="s">
        <v>682</v>
      </c>
      <c r="E2121" t="s">
        <v>682</v>
      </c>
      <c r="L2121" t="s">
        <v>93</v>
      </c>
      <c r="M2121">
        <v>110</v>
      </c>
      <c r="N2121" t="s">
        <v>140</v>
      </c>
      <c r="Q2121">
        <v>4</v>
      </c>
      <c r="R2121" t="s">
        <v>11</v>
      </c>
      <c r="T2121">
        <v>10</v>
      </c>
      <c r="V2121" t="s">
        <v>15</v>
      </c>
    </row>
    <row r="2122" spans="1:22" x14ac:dyDescent="0.25">
      <c r="A2122">
        <v>118</v>
      </c>
      <c r="B2122" t="s">
        <v>92</v>
      </c>
      <c r="C2122" t="s">
        <v>682</v>
      </c>
      <c r="E2122" t="s">
        <v>682</v>
      </c>
      <c r="L2122" t="s">
        <v>93</v>
      </c>
      <c r="M2122">
        <v>120</v>
      </c>
      <c r="N2122" t="s">
        <v>25</v>
      </c>
      <c r="Q2122">
        <v>1</v>
      </c>
      <c r="R2122" t="s">
        <v>11</v>
      </c>
      <c r="T2122">
        <v>10</v>
      </c>
      <c r="V2122" t="s">
        <v>15</v>
      </c>
    </row>
    <row r="2123" spans="1:22" x14ac:dyDescent="0.25">
      <c r="A2123">
        <v>118</v>
      </c>
      <c r="B2123" t="s">
        <v>92</v>
      </c>
      <c r="C2123" t="s">
        <v>682</v>
      </c>
      <c r="E2123" t="s">
        <v>682</v>
      </c>
      <c r="L2123" t="s">
        <v>93</v>
      </c>
      <c r="M2123">
        <v>130</v>
      </c>
      <c r="N2123" t="s">
        <v>26</v>
      </c>
      <c r="Q2123">
        <v>1</v>
      </c>
      <c r="R2123" t="s">
        <v>11</v>
      </c>
      <c r="T2123">
        <v>10</v>
      </c>
      <c r="V2123" t="s">
        <v>15</v>
      </c>
    </row>
    <row r="2124" spans="1:22" x14ac:dyDescent="0.25">
      <c r="A2124">
        <v>118</v>
      </c>
      <c r="B2124" t="s">
        <v>92</v>
      </c>
      <c r="C2124" t="s">
        <v>682</v>
      </c>
      <c r="E2124" t="s">
        <v>682</v>
      </c>
      <c r="L2124" t="s">
        <v>93</v>
      </c>
      <c r="M2124">
        <v>140</v>
      </c>
      <c r="N2124" t="s">
        <v>100</v>
      </c>
      <c r="Q2124">
        <v>0.70299999999999996</v>
      </c>
      <c r="R2124" t="s">
        <v>14</v>
      </c>
      <c r="T2124">
        <v>10</v>
      </c>
      <c r="V2124" t="s">
        <v>15</v>
      </c>
    </row>
    <row r="2125" spans="1:22" x14ac:dyDescent="0.25">
      <c r="A2125">
        <v>118</v>
      </c>
      <c r="B2125" t="s">
        <v>92</v>
      </c>
      <c r="C2125" t="s">
        <v>682</v>
      </c>
      <c r="E2125" t="s">
        <v>682</v>
      </c>
      <c r="L2125" t="s">
        <v>93</v>
      </c>
      <c r="M2125">
        <v>150</v>
      </c>
      <c r="N2125" t="s">
        <v>401</v>
      </c>
      <c r="Q2125">
        <v>1</v>
      </c>
      <c r="R2125" t="s">
        <v>11</v>
      </c>
      <c r="T2125">
        <v>10</v>
      </c>
      <c r="V2125" t="s">
        <v>18</v>
      </c>
    </row>
    <row r="2126" spans="1:22" x14ac:dyDescent="0.25">
      <c r="A2126">
        <v>118</v>
      </c>
      <c r="B2126" t="s">
        <v>92</v>
      </c>
      <c r="C2126" t="s">
        <v>682</v>
      </c>
      <c r="E2126" t="s">
        <v>682</v>
      </c>
      <c r="L2126" t="s">
        <v>93</v>
      </c>
      <c r="M2126">
        <v>160</v>
      </c>
      <c r="N2126" t="s">
        <v>402</v>
      </c>
      <c r="Q2126">
        <v>1</v>
      </c>
      <c r="R2126" t="s">
        <v>11</v>
      </c>
      <c r="T2126">
        <v>10</v>
      </c>
      <c r="V2126" t="s">
        <v>18</v>
      </c>
    </row>
    <row r="2127" spans="1:22" x14ac:dyDescent="0.25">
      <c r="A2127">
        <v>118</v>
      </c>
      <c r="B2127" t="s">
        <v>92</v>
      </c>
      <c r="C2127" t="s">
        <v>682</v>
      </c>
      <c r="E2127" t="s">
        <v>682</v>
      </c>
      <c r="L2127" t="s">
        <v>93</v>
      </c>
      <c r="M2127">
        <v>170</v>
      </c>
      <c r="N2127" t="s">
        <v>142</v>
      </c>
      <c r="Q2127">
        <v>5.9939999999999998</v>
      </c>
      <c r="R2127" t="s">
        <v>11</v>
      </c>
      <c r="T2127">
        <v>10</v>
      </c>
      <c r="V2127" t="s">
        <v>15</v>
      </c>
    </row>
    <row r="2128" spans="1:22" x14ac:dyDescent="0.25">
      <c r="A2128">
        <v>118</v>
      </c>
      <c r="B2128" t="s">
        <v>92</v>
      </c>
      <c r="C2128" t="s">
        <v>682</v>
      </c>
      <c r="E2128" t="s">
        <v>682</v>
      </c>
      <c r="L2128" t="s">
        <v>93</v>
      </c>
      <c r="M2128">
        <v>180</v>
      </c>
      <c r="N2128" t="s">
        <v>403</v>
      </c>
      <c r="Q2128">
        <v>1</v>
      </c>
      <c r="R2128" t="s">
        <v>11</v>
      </c>
      <c r="T2128">
        <v>10</v>
      </c>
      <c r="V2128" t="s">
        <v>18</v>
      </c>
    </row>
    <row r="2129" spans="1:22" x14ac:dyDescent="0.25">
      <c r="A2129">
        <v>119</v>
      </c>
      <c r="B2129" t="s">
        <v>92</v>
      </c>
      <c r="C2129" t="s">
        <v>684</v>
      </c>
      <c r="E2129" t="s">
        <v>684</v>
      </c>
      <c r="L2129" t="s">
        <v>93</v>
      </c>
      <c r="M2129">
        <v>10</v>
      </c>
      <c r="N2129" t="s">
        <v>405</v>
      </c>
      <c r="Q2129">
        <v>1</v>
      </c>
      <c r="R2129" t="s">
        <v>11</v>
      </c>
      <c r="T2129">
        <v>10</v>
      </c>
      <c r="V2129" t="s">
        <v>18</v>
      </c>
    </row>
    <row r="2130" spans="1:22" x14ac:dyDescent="0.25">
      <c r="A2130">
        <v>119</v>
      </c>
      <c r="B2130" t="s">
        <v>92</v>
      </c>
      <c r="C2130" t="s">
        <v>684</v>
      </c>
      <c r="E2130" t="s">
        <v>684</v>
      </c>
      <c r="L2130" t="s">
        <v>93</v>
      </c>
      <c r="M2130">
        <v>20</v>
      </c>
      <c r="N2130" t="s">
        <v>116</v>
      </c>
      <c r="Q2130">
        <v>3.0680000000000001</v>
      </c>
      <c r="R2130" t="s">
        <v>14</v>
      </c>
      <c r="T2130">
        <v>10</v>
      </c>
      <c r="V2130" t="s">
        <v>15</v>
      </c>
    </row>
    <row r="2131" spans="1:22" x14ac:dyDescent="0.25">
      <c r="A2131">
        <v>119</v>
      </c>
      <c r="B2131" t="s">
        <v>92</v>
      </c>
      <c r="C2131" t="s">
        <v>684</v>
      </c>
      <c r="E2131" t="s">
        <v>684</v>
      </c>
      <c r="L2131" t="s">
        <v>93</v>
      </c>
      <c r="M2131">
        <v>30</v>
      </c>
      <c r="N2131" t="s">
        <v>102</v>
      </c>
      <c r="Q2131">
        <v>0.84499999999999997</v>
      </c>
      <c r="R2131" t="s">
        <v>103</v>
      </c>
      <c r="T2131">
        <v>10</v>
      </c>
      <c r="V2131" t="s">
        <v>15</v>
      </c>
    </row>
    <row r="2132" spans="1:22" x14ac:dyDescent="0.25">
      <c r="A2132">
        <v>119</v>
      </c>
      <c r="B2132" t="s">
        <v>92</v>
      </c>
      <c r="C2132" t="s">
        <v>684</v>
      </c>
      <c r="E2132" t="s">
        <v>684</v>
      </c>
      <c r="L2132" t="s">
        <v>93</v>
      </c>
      <c r="M2132">
        <v>40</v>
      </c>
      <c r="N2132" t="s">
        <v>597</v>
      </c>
      <c r="Q2132">
        <v>1.2450000000000001</v>
      </c>
      <c r="R2132" t="s">
        <v>11</v>
      </c>
      <c r="T2132">
        <v>10</v>
      </c>
      <c r="V2132" t="s">
        <v>18</v>
      </c>
    </row>
    <row r="2133" spans="1:22" x14ac:dyDescent="0.25">
      <c r="A2133">
        <v>119</v>
      </c>
      <c r="B2133" t="s">
        <v>92</v>
      </c>
      <c r="C2133" t="s">
        <v>684</v>
      </c>
      <c r="E2133" t="s">
        <v>684</v>
      </c>
      <c r="L2133" t="s">
        <v>93</v>
      </c>
      <c r="M2133">
        <v>50</v>
      </c>
      <c r="N2133" t="s">
        <v>139</v>
      </c>
      <c r="Q2133">
        <v>1.2450000000000001</v>
      </c>
      <c r="R2133" t="s">
        <v>17</v>
      </c>
      <c r="T2133">
        <v>10</v>
      </c>
      <c r="V2133" t="s">
        <v>18</v>
      </c>
    </row>
    <row r="2134" spans="1:22" x14ac:dyDescent="0.25">
      <c r="A2134">
        <v>119</v>
      </c>
      <c r="B2134" t="s">
        <v>92</v>
      </c>
      <c r="C2134" t="s">
        <v>684</v>
      </c>
      <c r="E2134" t="s">
        <v>684</v>
      </c>
      <c r="L2134" t="s">
        <v>93</v>
      </c>
      <c r="M2134">
        <v>60</v>
      </c>
      <c r="N2134" t="s">
        <v>685</v>
      </c>
      <c r="Q2134">
        <v>1</v>
      </c>
      <c r="R2134" t="s">
        <v>11</v>
      </c>
      <c r="T2134">
        <v>10</v>
      </c>
      <c r="V2134" t="s">
        <v>18</v>
      </c>
    </row>
    <row r="2135" spans="1:22" x14ac:dyDescent="0.25">
      <c r="A2135">
        <v>119</v>
      </c>
      <c r="B2135" t="s">
        <v>92</v>
      </c>
      <c r="C2135" t="s">
        <v>684</v>
      </c>
      <c r="E2135" t="s">
        <v>684</v>
      </c>
      <c r="L2135" t="s">
        <v>93</v>
      </c>
      <c r="M2135">
        <v>70</v>
      </c>
      <c r="N2135" t="s">
        <v>599</v>
      </c>
      <c r="Q2135">
        <v>18.898</v>
      </c>
      <c r="R2135" t="s">
        <v>17</v>
      </c>
      <c r="T2135">
        <v>10</v>
      </c>
      <c r="V2135" t="s">
        <v>15</v>
      </c>
    </row>
    <row r="2136" spans="1:22" x14ac:dyDescent="0.25">
      <c r="A2136">
        <v>119</v>
      </c>
      <c r="B2136" t="s">
        <v>92</v>
      </c>
      <c r="C2136" t="s">
        <v>684</v>
      </c>
      <c r="E2136" t="s">
        <v>684</v>
      </c>
      <c r="L2136" t="s">
        <v>93</v>
      </c>
      <c r="M2136">
        <v>80</v>
      </c>
      <c r="N2136" t="s">
        <v>20</v>
      </c>
      <c r="Q2136">
        <v>154.96</v>
      </c>
      <c r="R2136" t="s">
        <v>17</v>
      </c>
      <c r="T2136">
        <v>10</v>
      </c>
      <c r="V2136" t="s">
        <v>15</v>
      </c>
    </row>
    <row r="2137" spans="1:22" x14ac:dyDescent="0.25">
      <c r="A2137">
        <v>119</v>
      </c>
      <c r="B2137" t="s">
        <v>92</v>
      </c>
      <c r="C2137" t="s">
        <v>684</v>
      </c>
      <c r="E2137" t="s">
        <v>684</v>
      </c>
      <c r="L2137" t="s">
        <v>93</v>
      </c>
      <c r="M2137">
        <v>90</v>
      </c>
      <c r="N2137" t="s">
        <v>24</v>
      </c>
      <c r="Q2137">
        <v>1</v>
      </c>
      <c r="R2137" t="s">
        <v>11</v>
      </c>
      <c r="T2137">
        <v>10</v>
      </c>
      <c r="V2137" t="s">
        <v>15</v>
      </c>
    </row>
    <row r="2138" spans="1:22" x14ac:dyDescent="0.25">
      <c r="A2138">
        <v>119</v>
      </c>
      <c r="B2138" t="s">
        <v>92</v>
      </c>
      <c r="C2138" t="s">
        <v>684</v>
      </c>
      <c r="E2138" t="s">
        <v>684</v>
      </c>
      <c r="L2138" t="s">
        <v>93</v>
      </c>
      <c r="M2138">
        <v>100</v>
      </c>
      <c r="N2138" t="s">
        <v>141</v>
      </c>
      <c r="Q2138">
        <v>0.107</v>
      </c>
      <c r="R2138" t="s">
        <v>14</v>
      </c>
      <c r="T2138">
        <v>10</v>
      </c>
      <c r="V2138" t="s">
        <v>15</v>
      </c>
    </row>
    <row r="2139" spans="1:22" x14ac:dyDescent="0.25">
      <c r="A2139">
        <v>119</v>
      </c>
      <c r="B2139" t="s">
        <v>92</v>
      </c>
      <c r="C2139" t="s">
        <v>684</v>
      </c>
      <c r="E2139" t="s">
        <v>684</v>
      </c>
      <c r="L2139" t="s">
        <v>93</v>
      </c>
      <c r="M2139">
        <v>110</v>
      </c>
      <c r="N2139" t="s">
        <v>140</v>
      </c>
      <c r="Q2139">
        <v>4</v>
      </c>
      <c r="R2139" t="s">
        <v>11</v>
      </c>
      <c r="T2139">
        <v>10</v>
      </c>
      <c r="V2139" t="s">
        <v>15</v>
      </c>
    </row>
    <row r="2140" spans="1:22" x14ac:dyDescent="0.25">
      <c r="A2140">
        <v>119</v>
      </c>
      <c r="B2140" t="s">
        <v>92</v>
      </c>
      <c r="C2140" t="s">
        <v>684</v>
      </c>
      <c r="E2140" t="s">
        <v>684</v>
      </c>
      <c r="L2140" t="s">
        <v>93</v>
      </c>
      <c r="M2140">
        <v>120</v>
      </c>
      <c r="N2140" t="s">
        <v>25</v>
      </c>
      <c r="Q2140">
        <v>1</v>
      </c>
      <c r="R2140" t="s">
        <v>11</v>
      </c>
      <c r="T2140">
        <v>10</v>
      </c>
      <c r="V2140" t="s">
        <v>15</v>
      </c>
    </row>
    <row r="2141" spans="1:22" x14ac:dyDescent="0.25">
      <c r="A2141">
        <v>119</v>
      </c>
      <c r="B2141" t="s">
        <v>92</v>
      </c>
      <c r="C2141" t="s">
        <v>684</v>
      </c>
      <c r="E2141" t="s">
        <v>684</v>
      </c>
      <c r="L2141" t="s">
        <v>93</v>
      </c>
      <c r="M2141">
        <v>130</v>
      </c>
      <c r="N2141" t="s">
        <v>26</v>
      </c>
      <c r="Q2141">
        <v>1</v>
      </c>
      <c r="R2141" t="s">
        <v>11</v>
      </c>
      <c r="T2141">
        <v>10</v>
      </c>
      <c r="V2141" t="s">
        <v>15</v>
      </c>
    </row>
    <row r="2142" spans="1:22" x14ac:dyDescent="0.25">
      <c r="A2142">
        <v>119</v>
      </c>
      <c r="B2142" t="s">
        <v>92</v>
      </c>
      <c r="C2142" t="s">
        <v>684</v>
      </c>
      <c r="E2142" t="s">
        <v>684</v>
      </c>
      <c r="L2142" t="s">
        <v>93</v>
      </c>
      <c r="M2142">
        <v>140</v>
      </c>
      <c r="N2142" t="s">
        <v>100</v>
      </c>
      <c r="Q2142">
        <v>0.78400000000000003</v>
      </c>
      <c r="R2142" t="s">
        <v>14</v>
      </c>
      <c r="T2142">
        <v>10</v>
      </c>
      <c r="V2142" t="s">
        <v>15</v>
      </c>
    </row>
    <row r="2143" spans="1:22" x14ac:dyDescent="0.25">
      <c r="A2143">
        <v>119</v>
      </c>
      <c r="B2143" t="s">
        <v>92</v>
      </c>
      <c r="C2143" t="s">
        <v>684</v>
      </c>
      <c r="E2143" t="s">
        <v>684</v>
      </c>
      <c r="L2143" t="s">
        <v>93</v>
      </c>
      <c r="M2143">
        <v>150</v>
      </c>
      <c r="N2143" t="s">
        <v>407</v>
      </c>
      <c r="Q2143">
        <v>1</v>
      </c>
      <c r="R2143" t="s">
        <v>11</v>
      </c>
      <c r="T2143">
        <v>10</v>
      </c>
      <c r="V2143" t="s">
        <v>18</v>
      </c>
    </row>
    <row r="2144" spans="1:22" x14ac:dyDescent="0.25">
      <c r="A2144">
        <v>119</v>
      </c>
      <c r="B2144" t="s">
        <v>92</v>
      </c>
      <c r="C2144" t="s">
        <v>684</v>
      </c>
      <c r="E2144" t="s">
        <v>684</v>
      </c>
      <c r="L2144" t="s">
        <v>93</v>
      </c>
      <c r="M2144">
        <v>160</v>
      </c>
      <c r="N2144" t="s">
        <v>408</v>
      </c>
      <c r="Q2144">
        <v>1</v>
      </c>
      <c r="R2144" t="s">
        <v>11</v>
      </c>
      <c r="T2144">
        <v>10</v>
      </c>
      <c r="V2144" t="s">
        <v>18</v>
      </c>
    </row>
    <row r="2145" spans="1:22" x14ac:dyDescent="0.25">
      <c r="A2145">
        <v>119</v>
      </c>
      <c r="B2145" t="s">
        <v>92</v>
      </c>
      <c r="C2145" t="s">
        <v>684</v>
      </c>
      <c r="E2145" t="s">
        <v>684</v>
      </c>
      <c r="L2145" t="s">
        <v>93</v>
      </c>
      <c r="M2145">
        <v>170</v>
      </c>
      <c r="N2145" t="s">
        <v>142</v>
      </c>
      <c r="Q2145">
        <v>6.2990000000000004</v>
      </c>
      <c r="R2145" t="s">
        <v>11</v>
      </c>
      <c r="T2145">
        <v>10</v>
      </c>
      <c r="V2145" t="s">
        <v>15</v>
      </c>
    </row>
    <row r="2146" spans="1:22" x14ac:dyDescent="0.25">
      <c r="A2146">
        <v>119</v>
      </c>
      <c r="B2146" t="s">
        <v>92</v>
      </c>
      <c r="C2146" t="s">
        <v>684</v>
      </c>
      <c r="E2146" t="s">
        <v>684</v>
      </c>
      <c r="L2146" t="s">
        <v>93</v>
      </c>
      <c r="M2146">
        <v>180</v>
      </c>
      <c r="N2146" t="s">
        <v>409</v>
      </c>
      <c r="Q2146">
        <v>1</v>
      </c>
      <c r="R2146" t="s">
        <v>11</v>
      </c>
      <c r="T2146">
        <v>10</v>
      </c>
      <c r="V2146" t="s">
        <v>18</v>
      </c>
    </row>
    <row r="2147" spans="1:22" x14ac:dyDescent="0.25">
      <c r="A2147">
        <v>120</v>
      </c>
      <c r="B2147" t="s">
        <v>92</v>
      </c>
      <c r="C2147" t="s">
        <v>686</v>
      </c>
      <c r="E2147" t="s">
        <v>686</v>
      </c>
      <c r="L2147" t="s">
        <v>93</v>
      </c>
      <c r="M2147">
        <v>10</v>
      </c>
      <c r="N2147" t="s">
        <v>411</v>
      </c>
      <c r="Q2147">
        <v>1</v>
      </c>
      <c r="R2147" t="s">
        <v>11</v>
      </c>
      <c r="T2147">
        <v>10</v>
      </c>
      <c r="V2147" t="s">
        <v>18</v>
      </c>
    </row>
    <row r="2148" spans="1:22" x14ac:dyDescent="0.25">
      <c r="A2148">
        <v>120</v>
      </c>
      <c r="B2148" t="s">
        <v>92</v>
      </c>
      <c r="C2148" t="s">
        <v>686</v>
      </c>
      <c r="E2148" t="s">
        <v>686</v>
      </c>
      <c r="L2148" t="s">
        <v>93</v>
      </c>
      <c r="M2148">
        <v>20</v>
      </c>
      <c r="N2148" t="s">
        <v>117</v>
      </c>
      <c r="Q2148">
        <v>3.843</v>
      </c>
      <c r="R2148" t="s">
        <v>14</v>
      </c>
      <c r="T2148">
        <v>10</v>
      </c>
      <c r="V2148" t="s">
        <v>15</v>
      </c>
    </row>
    <row r="2149" spans="1:22" x14ac:dyDescent="0.25">
      <c r="A2149">
        <v>120</v>
      </c>
      <c r="B2149" t="s">
        <v>92</v>
      </c>
      <c r="C2149" t="s">
        <v>686</v>
      </c>
      <c r="E2149" t="s">
        <v>686</v>
      </c>
      <c r="L2149" t="s">
        <v>93</v>
      </c>
      <c r="M2149">
        <v>30</v>
      </c>
      <c r="N2149" t="s">
        <v>102</v>
      </c>
      <c r="Q2149">
        <v>1.06</v>
      </c>
      <c r="R2149" t="s">
        <v>103</v>
      </c>
      <c r="T2149">
        <v>10</v>
      </c>
      <c r="V2149" t="s">
        <v>15</v>
      </c>
    </row>
    <row r="2150" spans="1:22" x14ac:dyDescent="0.25">
      <c r="A2150">
        <v>120</v>
      </c>
      <c r="B2150" t="s">
        <v>92</v>
      </c>
      <c r="C2150" t="s">
        <v>686</v>
      </c>
      <c r="E2150" t="s">
        <v>686</v>
      </c>
      <c r="L2150" t="s">
        <v>93</v>
      </c>
      <c r="M2150">
        <v>40</v>
      </c>
      <c r="N2150" t="s">
        <v>597</v>
      </c>
      <c r="Q2150">
        <v>1.5489999999999999</v>
      </c>
      <c r="R2150" t="s">
        <v>11</v>
      </c>
      <c r="T2150">
        <v>10</v>
      </c>
      <c r="V2150" t="s">
        <v>18</v>
      </c>
    </row>
    <row r="2151" spans="1:22" x14ac:dyDescent="0.25">
      <c r="A2151">
        <v>120</v>
      </c>
      <c r="B2151" t="s">
        <v>92</v>
      </c>
      <c r="C2151" t="s">
        <v>686</v>
      </c>
      <c r="E2151" t="s">
        <v>686</v>
      </c>
      <c r="L2151" t="s">
        <v>93</v>
      </c>
      <c r="M2151">
        <v>50</v>
      </c>
      <c r="N2151" t="s">
        <v>139</v>
      </c>
      <c r="Q2151">
        <v>1.5489999999999999</v>
      </c>
      <c r="R2151" t="s">
        <v>17</v>
      </c>
      <c r="T2151">
        <v>10</v>
      </c>
      <c r="V2151" t="s">
        <v>18</v>
      </c>
    </row>
    <row r="2152" spans="1:22" x14ac:dyDescent="0.25">
      <c r="A2152">
        <v>120</v>
      </c>
      <c r="B2152" t="s">
        <v>92</v>
      </c>
      <c r="C2152" t="s">
        <v>686</v>
      </c>
      <c r="E2152" t="s">
        <v>686</v>
      </c>
      <c r="L2152" t="s">
        <v>93</v>
      </c>
      <c r="M2152">
        <v>60</v>
      </c>
      <c r="N2152" t="s">
        <v>687</v>
      </c>
      <c r="Q2152">
        <v>1</v>
      </c>
      <c r="R2152" t="s">
        <v>11</v>
      </c>
      <c r="T2152">
        <v>10</v>
      </c>
      <c r="V2152" t="s">
        <v>18</v>
      </c>
    </row>
    <row r="2153" spans="1:22" x14ac:dyDescent="0.25">
      <c r="A2153">
        <v>120</v>
      </c>
      <c r="B2153" t="s">
        <v>92</v>
      </c>
      <c r="C2153" t="s">
        <v>686</v>
      </c>
      <c r="E2153" t="s">
        <v>686</v>
      </c>
      <c r="L2153" t="s">
        <v>93</v>
      </c>
      <c r="M2153">
        <v>70</v>
      </c>
      <c r="N2153" t="s">
        <v>599</v>
      </c>
      <c r="Q2153">
        <v>20.725999999999999</v>
      </c>
      <c r="R2153" t="s">
        <v>17</v>
      </c>
      <c r="T2153">
        <v>10</v>
      </c>
      <c r="V2153" t="s">
        <v>15</v>
      </c>
    </row>
    <row r="2154" spans="1:22" x14ac:dyDescent="0.25">
      <c r="A2154">
        <v>120</v>
      </c>
      <c r="B2154" t="s">
        <v>92</v>
      </c>
      <c r="C2154" t="s">
        <v>686</v>
      </c>
      <c r="E2154" t="s">
        <v>686</v>
      </c>
      <c r="L2154" t="s">
        <v>93</v>
      </c>
      <c r="M2154">
        <v>80</v>
      </c>
      <c r="N2154" t="s">
        <v>20</v>
      </c>
      <c r="Q2154">
        <v>169.95599999999999</v>
      </c>
      <c r="R2154" t="s">
        <v>17</v>
      </c>
      <c r="T2154">
        <v>10</v>
      </c>
      <c r="V2154" t="s">
        <v>15</v>
      </c>
    </row>
    <row r="2155" spans="1:22" x14ac:dyDescent="0.25">
      <c r="A2155">
        <v>120</v>
      </c>
      <c r="B2155" t="s">
        <v>92</v>
      </c>
      <c r="C2155" t="s">
        <v>686</v>
      </c>
      <c r="E2155" t="s">
        <v>686</v>
      </c>
      <c r="L2155" t="s">
        <v>93</v>
      </c>
      <c r="M2155">
        <v>90</v>
      </c>
      <c r="N2155" t="s">
        <v>24</v>
      </c>
      <c r="Q2155">
        <v>1</v>
      </c>
      <c r="R2155" t="s">
        <v>11</v>
      </c>
      <c r="T2155">
        <v>10</v>
      </c>
      <c r="V2155" t="s">
        <v>15</v>
      </c>
    </row>
    <row r="2156" spans="1:22" x14ac:dyDescent="0.25">
      <c r="A2156">
        <v>120</v>
      </c>
      <c r="B2156" t="s">
        <v>92</v>
      </c>
      <c r="C2156" t="s">
        <v>686</v>
      </c>
      <c r="E2156" t="s">
        <v>686</v>
      </c>
      <c r="L2156" t="s">
        <v>93</v>
      </c>
      <c r="M2156">
        <v>100</v>
      </c>
      <c r="N2156" t="s">
        <v>141</v>
      </c>
      <c r="Q2156">
        <v>0.128</v>
      </c>
      <c r="R2156" t="s">
        <v>14</v>
      </c>
      <c r="T2156">
        <v>10</v>
      </c>
      <c r="V2156" t="s">
        <v>15</v>
      </c>
    </row>
    <row r="2157" spans="1:22" x14ac:dyDescent="0.25">
      <c r="A2157">
        <v>120</v>
      </c>
      <c r="B2157" t="s">
        <v>92</v>
      </c>
      <c r="C2157" t="s">
        <v>686</v>
      </c>
      <c r="E2157" t="s">
        <v>686</v>
      </c>
      <c r="L2157" t="s">
        <v>93</v>
      </c>
      <c r="M2157">
        <v>110</v>
      </c>
      <c r="N2157" t="s">
        <v>140</v>
      </c>
      <c r="Q2157">
        <v>4</v>
      </c>
      <c r="R2157" t="s">
        <v>11</v>
      </c>
      <c r="T2157">
        <v>10</v>
      </c>
      <c r="V2157" t="s">
        <v>15</v>
      </c>
    </row>
    <row r="2158" spans="1:22" x14ac:dyDescent="0.25">
      <c r="A2158">
        <v>120</v>
      </c>
      <c r="B2158" t="s">
        <v>92</v>
      </c>
      <c r="C2158" t="s">
        <v>686</v>
      </c>
      <c r="E2158" t="s">
        <v>686</v>
      </c>
      <c r="L2158" t="s">
        <v>93</v>
      </c>
      <c r="M2158">
        <v>120</v>
      </c>
      <c r="N2158" t="s">
        <v>25</v>
      </c>
      <c r="Q2158">
        <v>1</v>
      </c>
      <c r="R2158" t="s">
        <v>11</v>
      </c>
      <c r="T2158">
        <v>10</v>
      </c>
      <c r="V2158" t="s">
        <v>15</v>
      </c>
    </row>
    <row r="2159" spans="1:22" x14ac:dyDescent="0.25">
      <c r="A2159">
        <v>120</v>
      </c>
      <c r="B2159" t="s">
        <v>92</v>
      </c>
      <c r="C2159" t="s">
        <v>686</v>
      </c>
      <c r="E2159" t="s">
        <v>686</v>
      </c>
      <c r="L2159" t="s">
        <v>93</v>
      </c>
      <c r="M2159">
        <v>130</v>
      </c>
      <c r="N2159" t="s">
        <v>26</v>
      </c>
      <c r="Q2159">
        <v>1</v>
      </c>
      <c r="R2159" t="s">
        <v>11</v>
      </c>
      <c r="T2159">
        <v>10</v>
      </c>
      <c r="V2159" t="s">
        <v>15</v>
      </c>
    </row>
    <row r="2160" spans="1:22" x14ac:dyDescent="0.25">
      <c r="A2160">
        <v>120</v>
      </c>
      <c r="B2160" t="s">
        <v>92</v>
      </c>
      <c r="C2160" t="s">
        <v>686</v>
      </c>
      <c r="E2160" t="s">
        <v>686</v>
      </c>
      <c r="L2160" t="s">
        <v>93</v>
      </c>
      <c r="M2160">
        <v>140</v>
      </c>
      <c r="N2160" t="s">
        <v>100</v>
      </c>
      <c r="Q2160">
        <v>0.94599999999999995</v>
      </c>
      <c r="R2160" t="s">
        <v>14</v>
      </c>
      <c r="T2160">
        <v>10</v>
      </c>
      <c r="V2160" t="s">
        <v>15</v>
      </c>
    </row>
    <row r="2161" spans="1:22" x14ac:dyDescent="0.25">
      <c r="A2161">
        <v>120</v>
      </c>
      <c r="B2161" t="s">
        <v>92</v>
      </c>
      <c r="C2161" t="s">
        <v>686</v>
      </c>
      <c r="E2161" t="s">
        <v>686</v>
      </c>
      <c r="L2161" t="s">
        <v>93</v>
      </c>
      <c r="M2161">
        <v>150</v>
      </c>
      <c r="N2161" t="s">
        <v>413</v>
      </c>
      <c r="Q2161">
        <v>1</v>
      </c>
      <c r="R2161" t="s">
        <v>11</v>
      </c>
      <c r="T2161">
        <v>10</v>
      </c>
      <c r="V2161" t="s">
        <v>18</v>
      </c>
    </row>
    <row r="2162" spans="1:22" x14ac:dyDescent="0.25">
      <c r="A2162">
        <v>120</v>
      </c>
      <c r="B2162" t="s">
        <v>92</v>
      </c>
      <c r="C2162" t="s">
        <v>686</v>
      </c>
      <c r="E2162" t="s">
        <v>686</v>
      </c>
      <c r="L2162" t="s">
        <v>93</v>
      </c>
      <c r="M2162">
        <v>160</v>
      </c>
      <c r="N2162" t="s">
        <v>414</v>
      </c>
      <c r="Q2162">
        <v>1</v>
      </c>
      <c r="R2162" t="s">
        <v>11</v>
      </c>
      <c r="T2162">
        <v>10</v>
      </c>
      <c r="V2162" t="s">
        <v>18</v>
      </c>
    </row>
    <row r="2163" spans="1:22" x14ac:dyDescent="0.25">
      <c r="A2163">
        <v>120</v>
      </c>
      <c r="B2163" t="s">
        <v>92</v>
      </c>
      <c r="C2163" t="s">
        <v>686</v>
      </c>
      <c r="E2163" t="s">
        <v>686</v>
      </c>
      <c r="L2163" t="s">
        <v>93</v>
      </c>
      <c r="M2163">
        <v>170</v>
      </c>
      <c r="N2163" t="s">
        <v>142</v>
      </c>
      <c r="Q2163">
        <v>6.9089999999999998</v>
      </c>
      <c r="R2163" t="s">
        <v>11</v>
      </c>
      <c r="T2163">
        <v>10</v>
      </c>
      <c r="V2163" t="s">
        <v>15</v>
      </c>
    </row>
    <row r="2164" spans="1:22" x14ac:dyDescent="0.25">
      <c r="A2164">
        <v>120</v>
      </c>
      <c r="B2164" t="s">
        <v>92</v>
      </c>
      <c r="C2164" t="s">
        <v>686</v>
      </c>
      <c r="E2164" t="s">
        <v>686</v>
      </c>
      <c r="L2164" t="s">
        <v>93</v>
      </c>
      <c r="M2164">
        <v>180</v>
      </c>
      <c r="N2164" t="s">
        <v>415</v>
      </c>
      <c r="Q2164">
        <v>1</v>
      </c>
      <c r="R2164" t="s">
        <v>11</v>
      </c>
      <c r="T2164">
        <v>10</v>
      </c>
      <c r="V2164" t="s">
        <v>18</v>
      </c>
    </row>
    <row r="2165" spans="1:22" x14ac:dyDescent="0.25">
      <c r="A2165">
        <v>121</v>
      </c>
      <c r="B2165" t="s">
        <v>92</v>
      </c>
      <c r="C2165" t="s">
        <v>688</v>
      </c>
      <c r="E2165" t="s">
        <v>688</v>
      </c>
      <c r="L2165" t="s">
        <v>93</v>
      </c>
      <c r="M2165">
        <v>10</v>
      </c>
      <c r="N2165" t="s">
        <v>417</v>
      </c>
      <c r="Q2165">
        <v>1</v>
      </c>
      <c r="R2165" t="s">
        <v>11</v>
      </c>
      <c r="T2165">
        <v>10</v>
      </c>
      <c r="V2165" t="s">
        <v>18</v>
      </c>
    </row>
    <row r="2166" spans="1:22" x14ac:dyDescent="0.25">
      <c r="A2166">
        <v>121</v>
      </c>
      <c r="B2166" t="s">
        <v>92</v>
      </c>
      <c r="C2166" t="s">
        <v>688</v>
      </c>
      <c r="E2166" t="s">
        <v>688</v>
      </c>
      <c r="L2166" t="s">
        <v>93</v>
      </c>
      <c r="M2166">
        <v>20</v>
      </c>
      <c r="N2166" t="s">
        <v>118</v>
      </c>
      <c r="Q2166">
        <v>4.2300000000000004</v>
      </c>
      <c r="R2166" t="s">
        <v>14</v>
      </c>
      <c r="T2166">
        <v>10</v>
      </c>
      <c r="V2166" t="s">
        <v>15</v>
      </c>
    </row>
    <row r="2167" spans="1:22" x14ac:dyDescent="0.25">
      <c r="A2167">
        <v>121</v>
      </c>
      <c r="B2167" t="s">
        <v>92</v>
      </c>
      <c r="C2167" t="s">
        <v>688</v>
      </c>
      <c r="E2167" t="s">
        <v>688</v>
      </c>
      <c r="L2167" t="s">
        <v>93</v>
      </c>
      <c r="M2167">
        <v>30</v>
      </c>
      <c r="N2167" t="s">
        <v>102</v>
      </c>
      <c r="Q2167">
        <v>1.1679999999999999</v>
      </c>
      <c r="R2167" t="s">
        <v>103</v>
      </c>
      <c r="T2167">
        <v>10</v>
      </c>
      <c r="V2167" t="s">
        <v>15</v>
      </c>
    </row>
    <row r="2168" spans="1:22" x14ac:dyDescent="0.25">
      <c r="A2168">
        <v>121</v>
      </c>
      <c r="B2168" t="s">
        <v>92</v>
      </c>
      <c r="C2168" t="s">
        <v>688</v>
      </c>
      <c r="E2168" t="s">
        <v>688</v>
      </c>
      <c r="L2168" t="s">
        <v>93</v>
      </c>
      <c r="M2168">
        <v>40</v>
      </c>
      <c r="N2168" t="s">
        <v>597</v>
      </c>
      <c r="Q2168">
        <v>1.702</v>
      </c>
      <c r="R2168" t="s">
        <v>11</v>
      </c>
      <c r="T2168">
        <v>10</v>
      </c>
      <c r="V2168" t="s">
        <v>18</v>
      </c>
    </row>
    <row r="2169" spans="1:22" x14ac:dyDescent="0.25">
      <c r="A2169">
        <v>121</v>
      </c>
      <c r="B2169" t="s">
        <v>92</v>
      </c>
      <c r="C2169" t="s">
        <v>688</v>
      </c>
      <c r="E2169" t="s">
        <v>688</v>
      </c>
      <c r="L2169" t="s">
        <v>93</v>
      </c>
      <c r="M2169">
        <v>50</v>
      </c>
      <c r="N2169" t="s">
        <v>139</v>
      </c>
      <c r="Q2169">
        <v>1.702</v>
      </c>
      <c r="R2169" t="s">
        <v>17</v>
      </c>
      <c r="T2169">
        <v>10</v>
      </c>
      <c r="V2169" t="s">
        <v>18</v>
      </c>
    </row>
    <row r="2170" spans="1:22" x14ac:dyDescent="0.25">
      <c r="A2170">
        <v>121</v>
      </c>
      <c r="B2170" t="s">
        <v>92</v>
      </c>
      <c r="C2170" t="s">
        <v>688</v>
      </c>
      <c r="E2170" t="s">
        <v>688</v>
      </c>
      <c r="L2170" t="s">
        <v>93</v>
      </c>
      <c r="M2170">
        <v>60</v>
      </c>
      <c r="N2170" t="s">
        <v>689</v>
      </c>
      <c r="Q2170">
        <v>1</v>
      </c>
      <c r="R2170" t="s">
        <v>11</v>
      </c>
      <c r="T2170">
        <v>10</v>
      </c>
      <c r="V2170" t="s">
        <v>18</v>
      </c>
    </row>
    <row r="2171" spans="1:22" x14ac:dyDescent="0.25">
      <c r="A2171">
        <v>121</v>
      </c>
      <c r="B2171" t="s">
        <v>92</v>
      </c>
      <c r="C2171" t="s">
        <v>688</v>
      </c>
      <c r="E2171" t="s">
        <v>688</v>
      </c>
      <c r="L2171" t="s">
        <v>93</v>
      </c>
      <c r="M2171">
        <v>70</v>
      </c>
      <c r="N2171" t="s">
        <v>599</v>
      </c>
      <c r="Q2171">
        <v>21.640999999999998</v>
      </c>
      <c r="R2171" t="s">
        <v>17</v>
      </c>
      <c r="T2171">
        <v>10</v>
      </c>
      <c r="V2171" t="s">
        <v>15</v>
      </c>
    </row>
    <row r="2172" spans="1:22" x14ac:dyDescent="0.25">
      <c r="A2172">
        <v>121</v>
      </c>
      <c r="B2172" t="s">
        <v>92</v>
      </c>
      <c r="C2172" t="s">
        <v>688</v>
      </c>
      <c r="E2172" t="s">
        <v>688</v>
      </c>
      <c r="L2172" t="s">
        <v>93</v>
      </c>
      <c r="M2172">
        <v>80</v>
      </c>
      <c r="N2172" t="s">
        <v>20</v>
      </c>
      <c r="Q2172">
        <v>177.45500000000001</v>
      </c>
      <c r="R2172" t="s">
        <v>17</v>
      </c>
      <c r="T2172">
        <v>10</v>
      </c>
      <c r="V2172" t="s">
        <v>15</v>
      </c>
    </row>
    <row r="2173" spans="1:22" x14ac:dyDescent="0.25">
      <c r="A2173">
        <v>121</v>
      </c>
      <c r="B2173" t="s">
        <v>92</v>
      </c>
      <c r="C2173" t="s">
        <v>688</v>
      </c>
      <c r="E2173" t="s">
        <v>688</v>
      </c>
      <c r="L2173" t="s">
        <v>93</v>
      </c>
      <c r="M2173">
        <v>90</v>
      </c>
      <c r="N2173" t="s">
        <v>24</v>
      </c>
      <c r="Q2173">
        <v>1</v>
      </c>
      <c r="R2173" t="s">
        <v>11</v>
      </c>
      <c r="T2173">
        <v>10</v>
      </c>
      <c r="V2173" t="s">
        <v>15</v>
      </c>
    </row>
    <row r="2174" spans="1:22" x14ac:dyDescent="0.25">
      <c r="A2174">
        <v>121</v>
      </c>
      <c r="B2174" t="s">
        <v>92</v>
      </c>
      <c r="C2174" t="s">
        <v>688</v>
      </c>
      <c r="E2174" t="s">
        <v>688</v>
      </c>
      <c r="L2174" t="s">
        <v>93</v>
      </c>
      <c r="M2174">
        <v>100</v>
      </c>
      <c r="N2174" t="s">
        <v>141</v>
      </c>
      <c r="Q2174">
        <v>0.13800000000000001</v>
      </c>
      <c r="R2174" t="s">
        <v>14</v>
      </c>
      <c r="T2174">
        <v>10</v>
      </c>
      <c r="V2174" t="s">
        <v>15</v>
      </c>
    </row>
    <row r="2175" spans="1:22" x14ac:dyDescent="0.25">
      <c r="A2175">
        <v>121</v>
      </c>
      <c r="B2175" t="s">
        <v>92</v>
      </c>
      <c r="C2175" t="s">
        <v>688</v>
      </c>
      <c r="E2175" t="s">
        <v>688</v>
      </c>
      <c r="L2175" t="s">
        <v>93</v>
      </c>
      <c r="M2175">
        <v>110</v>
      </c>
      <c r="N2175" t="s">
        <v>140</v>
      </c>
      <c r="Q2175">
        <v>4</v>
      </c>
      <c r="R2175" t="s">
        <v>11</v>
      </c>
      <c r="T2175">
        <v>10</v>
      </c>
      <c r="V2175" t="s">
        <v>15</v>
      </c>
    </row>
    <row r="2176" spans="1:22" x14ac:dyDescent="0.25">
      <c r="A2176">
        <v>121</v>
      </c>
      <c r="B2176" t="s">
        <v>92</v>
      </c>
      <c r="C2176" t="s">
        <v>688</v>
      </c>
      <c r="E2176" t="s">
        <v>688</v>
      </c>
      <c r="L2176" t="s">
        <v>93</v>
      </c>
      <c r="M2176">
        <v>120</v>
      </c>
      <c r="N2176" t="s">
        <v>25</v>
      </c>
      <c r="Q2176">
        <v>1</v>
      </c>
      <c r="R2176" t="s">
        <v>11</v>
      </c>
      <c r="T2176">
        <v>10</v>
      </c>
      <c r="V2176" t="s">
        <v>15</v>
      </c>
    </row>
    <row r="2177" spans="1:22" x14ac:dyDescent="0.25">
      <c r="A2177">
        <v>121</v>
      </c>
      <c r="B2177" t="s">
        <v>92</v>
      </c>
      <c r="C2177" t="s">
        <v>688</v>
      </c>
      <c r="E2177" t="s">
        <v>688</v>
      </c>
      <c r="L2177" t="s">
        <v>93</v>
      </c>
      <c r="M2177">
        <v>130</v>
      </c>
      <c r="N2177" t="s">
        <v>26</v>
      </c>
      <c r="Q2177">
        <v>1</v>
      </c>
      <c r="R2177" t="s">
        <v>11</v>
      </c>
      <c r="T2177">
        <v>10</v>
      </c>
      <c r="V2177" t="s">
        <v>15</v>
      </c>
    </row>
    <row r="2178" spans="1:22" x14ac:dyDescent="0.25">
      <c r="A2178">
        <v>121</v>
      </c>
      <c r="B2178" t="s">
        <v>92</v>
      </c>
      <c r="C2178" t="s">
        <v>688</v>
      </c>
      <c r="E2178" t="s">
        <v>688</v>
      </c>
      <c r="L2178" t="s">
        <v>93</v>
      </c>
      <c r="M2178">
        <v>140</v>
      </c>
      <c r="N2178" t="s">
        <v>100</v>
      </c>
      <c r="Q2178">
        <v>1.0269999999999999</v>
      </c>
      <c r="R2178" t="s">
        <v>14</v>
      </c>
      <c r="T2178">
        <v>10</v>
      </c>
      <c r="V2178" t="s">
        <v>15</v>
      </c>
    </row>
    <row r="2179" spans="1:22" x14ac:dyDescent="0.25">
      <c r="A2179">
        <v>121</v>
      </c>
      <c r="B2179" t="s">
        <v>92</v>
      </c>
      <c r="C2179" t="s">
        <v>688</v>
      </c>
      <c r="E2179" t="s">
        <v>688</v>
      </c>
      <c r="L2179" t="s">
        <v>93</v>
      </c>
      <c r="M2179">
        <v>150</v>
      </c>
      <c r="N2179" t="s">
        <v>419</v>
      </c>
      <c r="Q2179">
        <v>1</v>
      </c>
      <c r="R2179" t="s">
        <v>11</v>
      </c>
      <c r="T2179">
        <v>10</v>
      </c>
      <c r="V2179" t="s">
        <v>18</v>
      </c>
    </row>
    <row r="2180" spans="1:22" x14ac:dyDescent="0.25">
      <c r="A2180">
        <v>121</v>
      </c>
      <c r="B2180" t="s">
        <v>92</v>
      </c>
      <c r="C2180" t="s">
        <v>688</v>
      </c>
      <c r="E2180" t="s">
        <v>688</v>
      </c>
      <c r="L2180" t="s">
        <v>93</v>
      </c>
      <c r="M2180">
        <v>160</v>
      </c>
      <c r="N2180" t="s">
        <v>420</v>
      </c>
      <c r="Q2180">
        <v>1</v>
      </c>
      <c r="R2180" t="s">
        <v>11</v>
      </c>
      <c r="T2180">
        <v>10</v>
      </c>
      <c r="V2180" t="s">
        <v>18</v>
      </c>
    </row>
    <row r="2181" spans="1:22" x14ac:dyDescent="0.25">
      <c r="A2181">
        <v>121</v>
      </c>
      <c r="B2181" t="s">
        <v>92</v>
      </c>
      <c r="C2181" t="s">
        <v>688</v>
      </c>
      <c r="E2181" t="s">
        <v>688</v>
      </c>
      <c r="L2181" t="s">
        <v>93</v>
      </c>
      <c r="M2181">
        <v>170</v>
      </c>
      <c r="N2181" t="s">
        <v>142</v>
      </c>
      <c r="Q2181">
        <v>7.2140000000000004</v>
      </c>
      <c r="R2181" t="s">
        <v>11</v>
      </c>
      <c r="T2181">
        <v>10</v>
      </c>
      <c r="V2181" t="s">
        <v>15</v>
      </c>
    </row>
    <row r="2182" spans="1:22" x14ac:dyDescent="0.25">
      <c r="A2182">
        <v>121</v>
      </c>
      <c r="B2182" t="s">
        <v>92</v>
      </c>
      <c r="C2182" t="s">
        <v>688</v>
      </c>
      <c r="E2182" t="s">
        <v>688</v>
      </c>
      <c r="L2182" t="s">
        <v>93</v>
      </c>
      <c r="M2182">
        <v>180</v>
      </c>
      <c r="N2182" t="s">
        <v>421</v>
      </c>
      <c r="Q2182">
        <v>1</v>
      </c>
      <c r="R2182" t="s">
        <v>11</v>
      </c>
      <c r="T2182">
        <v>10</v>
      </c>
      <c r="V2182" t="s">
        <v>18</v>
      </c>
    </row>
    <row r="2183" spans="1:22" x14ac:dyDescent="0.25">
      <c r="A2183">
        <v>122</v>
      </c>
      <c r="B2183" t="s">
        <v>92</v>
      </c>
      <c r="C2183" t="s">
        <v>690</v>
      </c>
      <c r="E2183" t="s">
        <v>690</v>
      </c>
      <c r="L2183" t="s">
        <v>93</v>
      </c>
      <c r="M2183">
        <v>10</v>
      </c>
      <c r="N2183" t="s">
        <v>423</v>
      </c>
      <c r="Q2183">
        <v>1</v>
      </c>
      <c r="R2183" t="s">
        <v>11</v>
      </c>
      <c r="T2183">
        <v>10</v>
      </c>
      <c r="V2183" t="s">
        <v>18</v>
      </c>
    </row>
    <row r="2184" spans="1:22" x14ac:dyDescent="0.25">
      <c r="A2184">
        <v>122</v>
      </c>
      <c r="B2184" t="s">
        <v>92</v>
      </c>
      <c r="C2184" t="s">
        <v>690</v>
      </c>
      <c r="E2184" t="s">
        <v>690</v>
      </c>
      <c r="L2184" t="s">
        <v>93</v>
      </c>
      <c r="M2184">
        <v>20</v>
      </c>
      <c r="N2184" t="s">
        <v>119</v>
      </c>
      <c r="Q2184">
        <v>4.6180000000000003</v>
      </c>
      <c r="R2184" t="s">
        <v>14</v>
      </c>
      <c r="T2184">
        <v>10</v>
      </c>
      <c r="V2184" t="s">
        <v>15</v>
      </c>
    </row>
    <row r="2185" spans="1:22" x14ac:dyDescent="0.25">
      <c r="A2185">
        <v>122</v>
      </c>
      <c r="B2185" t="s">
        <v>92</v>
      </c>
      <c r="C2185" t="s">
        <v>690</v>
      </c>
      <c r="E2185" t="s">
        <v>690</v>
      </c>
      <c r="L2185" t="s">
        <v>93</v>
      </c>
      <c r="M2185">
        <v>30</v>
      </c>
      <c r="N2185" t="s">
        <v>102</v>
      </c>
      <c r="Q2185">
        <v>1.276</v>
      </c>
      <c r="R2185" t="s">
        <v>103</v>
      </c>
      <c r="T2185">
        <v>10</v>
      </c>
      <c r="V2185" t="s">
        <v>15</v>
      </c>
    </row>
    <row r="2186" spans="1:22" x14ac:dyDescent="0.25">
      <c r="A2186">
        <v>122</v>
      </c>
      <c r="B2186" t="s">
        <v>92</v>
      </c>
      <c r="C2186" t="s">
        <v>690</v>
      </c>
      <c r="E2186" t="s">
        <v>690</v>
      </c>
      <c r="L2186" t="s">
        <v>93</v>
      </c>
      <c r="M2186">
        <v>40</v>
      </c>
      <c r="N2186" t="s">
        <v>597</v>
      </c>
      <c r="Q2186">
        <v>1.8540000000000001</v>
      </c>
      <c r="R2186" t="s">
        <v>11</v>
      </c>
      <c r="T2186">
        <v>10</v>
      </c>
      <c r="V2186" t="s">
        <v>18</v>
      </c>
    </row>
    <row r="2187" spans="1:22" x14ac:dyDescent="0.25">
      <c r="A2187">
        <v>122</v>
      </c>
      <c r="B2187" t="s">
        <v>92</v>
      </c>
      <c r="C2187" t="s">
        <v>690</v>
      </c>
      <c r="E2187" t="s">
        <v>690</v>
      </c>
      <c r="L2187" t="s">
        <v>93</v>
      </c>
      <c r="M2187">
        <v>50</v>
      </c>
      <c r="N2187" t="s">
        <v>139</v>
      </c>
      <c r="Q2187">
        <v>1.8540000000000001</v>
      </c>
      <c r="R2187" t="s">
        <v>17</v>
      </c>
      <c r="T2187">
        <v>10</v>
      </c>
      <c r="V2187" t="s">
        <v>18</v>
      </c>
    </row>
    <row r="2188" spans="1:22" x14ac:dyDescent="0.25">
      <c r="A2188">
        <v>122</v>
      </c>
      <c r="B2188" t="s">
        <v>92</v>
      </c>
      <c r="C2188" t="s">
        <v>690</v>
      </c>
      <c r="E2188" t="s">
        <v>690</v>
      </c>
      <c r="L2188" t="s">
        <v>93</v>
      </c>
      <c r="M2188">
        <v>60</v>
      </c>
      <c r="N2188" t="s">
        <v>691</v>
      </c>
      <c r="Q2188">
        <v>1</v>
      </c>
      <c r="R2188" t="s">
        <v>11</v>
      </c>
      <c r="T2188">
        <v>10</v>
      </c>
      <c r="V2188" t="s">
        <v>18</v>
      </c>
    </row>
    <row r="2189" spans="1:22" x14ac:dyDescent="0.25">
      <c r="A2189">
        <v>122</v>
      </c>
      <c r="B2189" t="s">
        <v>92</v>
      </c>
      <c r="C2189" t="s">
        <v>690</v>
      </c>
      <c r="E2189" t="s">
        <v>690</v>
      </c>
      <c r="L2189" t="s">
        <v>93</v>
      </c>
      <c r="M2189">
        <v>70</v>
      </c>
      <c r="N2189" t="s">
        <v>599</v>
      </c>
      <c r="Q2189">
        <v>22.555</v>
      </c>
      <c r="R2189" t="s">
        <v>17</v>
      </c>
      <c r="T2189">
        <v>10</v>
      </c>
      <c r="V2189" t="s">
        <v>15</v>
      </c>
    </row>
    <row r="2190" spans="1:22" x14ac:dyDescent="0.25">
      <c r="A2190">
        <v>122</v>
      </c>
      <c r="B2190" t="s">
        <v>92</v>
      </c>
      <c r="C2190" t="s">
        <v>690</v>
      </c>
      <c r="E2190" t="s">
        <v>690</v>
      </c>
      <c r="L2190" t="s">
        <v>93</v>
      </c>
      <c r="M2190">
        <v>80</v>
      </c>
      <c r="N2190" t="s">
        <v>20</v>
      </c>
      <c r="Q2190">
        <v>184.953</v>
      </c>
      <c r="R2190" t="s">
        <v>17</v>
      </c>
      <c r="T2190">
        <v>10</v>
      </c>
      <c r="V2190" t="s">
        <v>15</v>
      </c>
    </row>
    <row r="2191" spans="1:22" x14ac:dyDescent="0.25">
      <c r="A2191">
        <v>122</v>
      </c>
      <c r="B2191" t="s">
        <v>92</v>
      </c>
      <c r="C2191" t="s">
        <v>690</v>
      </c>
      <c r="E2191" t="s">
        <v>690</v>
      </c>
      <c r="L2191" t="s">
        <v>93</v>
      </c>
      <c r="M2191">
        <v>90</v>
      </c>
      <c r="N2191" t="s">
        <v>24</v>
      </c>
      <c r="Q2191">
        <v>1</v>
      </c>
      <c r="R2191" t="s">
        <v>11</v>
      </c>
      <c r="T2191">
        <v>10</v>
      </c>
      <c r="V2191" t="s">
        <v>15</v>
      </c>
    </row>
    <row r="2192" spans="1:22" x14ac:dyDescent="0.25">
      <c r="A2192">
        <v>122</v>
      </c>
      <c r="B2192" t="s">
        <v>92</v>
      </c>
      <c r="C2192" t="s">
        <v>690</v>
      </c>
      <c r="E2192" t="s">
        <v>690</v>
      </c>
      <c r="L2192" t="s">
        <v>93</v>
      </c>
      <c r="M2192">
        <v>100</v>
      </c>
      <c r="N2192" t="s">
        <v>141</v>
      </c>
      <c r="Q2192">
        <v>0.14899999999999999</v>
      </c>
      <c r="R2192" t="s">
        <v>14</v>
      </c>
      <c r="T2192">
        <v>10</v>
      </c>
      <c r="V2192" t="s">
        <v>15</v>
      </c>
    </row>
    <row r="2193" spans="1:22" x14ac:dyDescent="0.25">
      <c r="A2193">
        <v>122</v>
      </c>
      <c r="B2193" t="s">
        <v>92</v>
      </c>
      <c r="C2193" t="s">
        <v>690</v>
      </c>
      <c r="E2193" t="s">
        <v>690</v>
      </c>
      <c r="L2193" t="s">
        <v>93</v>
      </c>
      <c r="M2193">
        <v>110</v>
      </c>
      <c r="N2193" t="s">
        <v>140</v>
      </c>
      <c r="Q2193">
        <v>4</v>
      </c>
      <c r="R2193" t="s">
        <v>11</v>
      </c>
      <c r="T2193">
        <v>10</v>
      </c>
      <c r="V2193" t="s">
        <v>15</v>
      </c>
    </row>
    <row r="2194" spans="1:22" x14ac:dyDescent="0.25">
      <c r="A2194">
        <v>122</v>
      </c>
      <c r="B2194" t="s">
        <v>92</v>
      </c>
      <c r="C2194" t="s">
        <v>690</v>
      </c>
      <c r="E2194" t="s">
        <v>690</v>
      </c>
      <c r="L2194" t="s">
        <v>93</v>
      </c>
      <c r="M2194">
        <v>120</v>
      </c>
      <c r="N2194" t="s">
        <v>25</v>
      </c>
      <c r="Q2194">
        <v>1</v>
      </c>
      <c r="R2194" t="s">
        <v>11</v>
      </c>
      <c r="T2194">
        <v>10</v>
      </c>
      <c r="V2194" t="s">
        <v>15</v>
      </c>
    </row>
    <row r="2195" spans="1:22" x14ac:dyDescent="0.25">
      <c r="A2195">
        <v>122</v>
      </c>
      <c r="B2195" t="s">
        <v>92</v>
      </c>
      <c r="C2195" t="s">
        <v>690</v>
      </c>
      <c r="E2195" t="s">
        <v>690</v>
      </c>
      <c r="L2195" t="s">
        <v>93</v>
      </c>
      <c r="M2195">
        <v>130</v>
      </c>
      <c r="N2195" t="s">
        <v>26</v>
      </c>
      <c r="Q2195">
        <v>1</v>
      </c>
      <c r="R2195" t="s">
        <v>11</v>
      </c>
      <c r="T2195">
        <v>10</v>
      </c>
      <c r="V2195" t="s">
        <v>15</v>
      </c>
    </row>
    <row r="2196" spans="1:22" x14ac:dyDescent="0.25">
      <c r="A2196">
        <v>122</v>
      </c>
      <c r="B2196" t="s">
        <v>92</v>
      </c>
      <c r="C2196" t="s">
        <v>690</v>
      </c>
      <c r="E2196" t="s">
        <v>690</v>
      </c>
      <c r="L2196" t="s">
        <v>93</v>
      </c>
      <c r="M2196">
        <v>140</v>
      </c>
      <c r="N2196" t="s">
        <v>100</v>
      </c>
      <c r="Q2196">
        <v>1.1080000000000001</v>
      </c>
      <c r="R2196" t="s">
        <v>14</v>
      </c>
      <c r="T2196">
        <v>10</v>
      </c>
      <c r="V2196" t="s">
        <v>15</v>
      </c>
    </row>
    <row r="2197" spans="1:22" x14ac:dyDescent="0.25">
      <c r="A2197">
        <v>122</v>
      </c>
      <c r="B2197" t="s">
        <v>92</v>
      </c>
      <c r="C2197" t="s">
        <v>690</v>
      </c>
      <c r="E2197" t="s">
        <v>690</v>
      </c>
      <c r="L2197" t="s">
        <v>93</v>
      </c>
      <c r="M2197">
        <v>150</v>
      </c>
      <c r="N2197" t="s">
        <v>425</v>
      </c>
      <c r="Q2197">
        <v>1</v>
      </c>
      <c r="R2197" t="s">
        <v>11</v>
      </c>
      <c r="T2197">
        <v>10</v>
      </c>
      <c r="V2197" t="s">
        <v>18</v>
      </c>
    </row>
    <row r="2198" spans="1:22" x14ac:dyDescent="0.25">
      <c r="A2198">
        <v>122</v>
      </c>
      <c r="B2198" t="s">
        <v>92</v>
      </c>
      <c r="C2198" t="s">
        <v>690</v>
      </c>
      <c r="E2198" t="s">
        <v>690</v>
      </c>
      <c r="L2198" t="s">
        <v>93</v>
      </c>
      <c r="M2198">
        <v>160</v>
      </c>
      <c r="N2198" t="s">
        <v>426</v>
      </c>
      <c r="Q2198">
        <v>1</v>
      </c>
      <c r="R2198" t="s">
        <v>11</v>
      </c>
      <c r="T2198">
        <v>10</v>
      </c>
      <c r="V2198" t="s">
        <v>18</v>
      </c>
    </row>
    <row r="2199" spans="1:22" x14ac:dyDescent="0.25">
      <c r="A2199">
        <v>122</v>
      </c>
      <c r="B2199" t="s">
        <v>92</v>
      </c>
      <c r="C2199" t="s">
        <v>690</v>
      </c>
      <c r="E2199" t="s">
        <v>690</v>
      </c>
      <c r="L2199" t="s">
        <v>93</v>
      </c>
      <c r="M2199">
        <v>170</v>
      </c>
      <c r="N2199" t="s">
        <v>142</v>
      </c>
      <c r="Q2199">
        <v>7.5179999999999998</v>
      </c>
      <c r="R2199" t="s">
        <v>11</v>
      </c>
      <c r="T2199">
        <v>10</v>
      </c>
      <c r="V2199" t="s">
        <v>15</v>
      </c>
    </row>
    <row r="2200" spans="1:22" x14ac:dyDescent="0.25">
      <c r="A2200">
        <v>122</v>
      </c>
      <c r="B2200" t="s">
        <v>92</v>
      </c>
      <c r="C2200" t="s">
        <v>690</v>
      </c>
      <c r="E2200" t="s">
        <v>690</v>
      </c>
      <c r="L2200" t="s">
        <v>93</v>
      </c>
      <c r="M2200">
        <v>180</v>
      </c>
      <c r="N2200" t="s">
        <v>427</v>
      </c>
      <c r="Q2200">
        <v>1</v>
      </c>
      <c r="R2200" t="s">
        <v>11</v>
      </c>
      <c r="T2200">
        <v>10</v>
      </c>
      <c r="V2200" t="s">
        <v>18</v>
      </c>
    </row>
    <row r="2201" spans="1:22" x14ac:dyDescent="0.25">
      <c r="A2201">
        <v>123</v>
      </c>
      <c r="B2201" t="s">
        <v>92</v>
      </c>
      <c r="C2201" t="s">
        <v>692</v>
      </c>
      <c r="E2201" t="s">
        <v>692</v>
      </c>
      <c r="L2201" t="s">
        <v>93</v>
      </c>
      <c r="M2201">
        <v>10</v>
      </c>
      <c r="N2201" t="s">
        <v>429</v>
      </c>
      <c r="Q2201">
        <v>1</v>
      </c>
      <c r="R2201" t="s">
        <v>11</v>
      </c>
      <c r="T2201">
        <v>10</v>
      </c>
      <c r="V2201" t="s">
        <v>18</v>
      </c>
    </row>
    <row r="2202" spans="1:22" x14ac:dyDescent="0.25">
      <c r="A2202">
        <v>123</v>
      </c>
      <c r="B2202" t="s">
        <v>92</v>
      </c>
      <c r="C2202" t="s">
        <v>692</v>
      </c>
      <c r="E2202" t="s">
        <v>692</v>
      </c>
      <c r="L2202" t="s">
        <v>93</v>
      </c>
      <c r="M2202">
        <v>20</v>
      </c>
      <c r="N2202" t="s">
        <v>134</v>
      </c>
      <c r="Q2202">
        <v>1.9850000000000001</v>
      </c>
      <c r="R2202" t="s">
        <v>14</v>
      </c>
      <c r="T2202">
        <v>10</v>
      </c>
      <c r="V2202" t="s">
        <v>15</v>
      </c>
    </row>
    <row r="2203" spans="1:22" x14ac:dyDescent="0.25">
      <c r="A2203">
        <v>123</v>
      </c>
      <c r="B2203" t="s">
        <v>92</v>
      </c>
      <c r="C2203" t="s">
        <v>692</v>
      </c>
      <c r="E2203" t="s">
        <v>692</v>
      </c>
      <c r="L2203" t="s">
        <v>93</v>
      </c>
      <c r="M2203">
        <v>30</v>
      </c>
      <c r="N2203" t="s">
        <v>102</v>
      </c>
      <c r="Q2203">
        <v>0.54300000000000004</v>
      </c>
      <c r="R2203" t="s">
        <v>103</v>
      </c>
      <c r="T2203">
        <v>10</v>
      </c>
      <c r="V2203" t="s">
        <v>15</v>
      </c>
    </row>
    <row r="2204" spans="1:22" x14ac:dyDescent="0.25">
      <c r="A2204">
        <v>123</v>
      </c>
      <c r="B2204" t="s">
        <v>92</v>
      </c>
      <c r="C2204" t="s">
        <v>692</v>
      </c>
      <c r="E2204" t="s">
        <v>692</v>
      </c>
      <c r="L2204" t="s">
        <v>93</v>
      </c>
      <c r="M2204">
        <v>40</v>
      </c>
      <c r="N2204" t="s">
        <v>597</v>
      </c>
      <c r="Q2204">
        <v>0.78700000000000003</v>
      </c>
      <c r="R2204" t="s">
        <v>11</v>
      </c>
      <c r="T2204">
        <v>10</v>
      </c>
      <c r="V2204" t="s">
        <v>18</v>
      </c>
    </row>
    <row r="2205" spans="1:22" x14ac:dyDescent="0.25">
      <c r="A2205">
        <v>123</v>
      </c>
      <c r="B2205" t="s">
        <v>92</v>
      </c>
      <c r="C2205" t="s">
        <v>692</v>
      </c>
      <c r="E2205" t="s">
        <v>692</v>
      </c>
      <c r="L2205" t="s">
        <v>93</v>
      </c>
      <c r="M2205">
        <v>50</v>
      </c>
      <c r="N2205" t="s">
        <v>139</v>
      </c>
      <c r="Q2205">
        <v>0.78700000000000003</v>
      </c>
      <c r="R2205" t="s">
        <v>17</v>
      </c>
      <c r="T2205">
        <v>10</v>
      </c>
      <c r="V2205" t="s">
        <v>18</v>
      </c>
    </row>
    <row r="2206" spans="1:22" x14ac:dyDescent="0.25">
      <c r="A2206">
        <v>123</v>
      </c>
      <c r="B2206" t="s">
        <v>92</v>
      </c>
      <c r="C2206" t="s">
        <v>692</v>
      </c>
      <c r="E2206" t="s">
        <v>692</v>
      </c>
      <c r="L2206" t="s">
        <v>93</v>
      </c>
      <c r="M2206">
        <v>60</v>
      </c>
      <c r="N2206" t="s">
        <v>693</v>
      </c>
      <c r="Q2206">
        <v>1</v>
      </c>
      <c r="R2206" t="s">
        <v>11</v>
      </c>
      <c r="T2206">
        <v>10</v>
      </c>
      <c r="V2206" t="s">
        <v>18</v>
      </c>
    </row>
    <row r="2207" spans="1:22" x14ac:dyDescent="0.25">
      <c r="A2207">
        <v>123</v>
      </c>
      <c r="B2207" t="s">
        <v>92</v>
      </c>
      <c r="C2207" t="s">
        <v>692</v>
      </c>
      <c r="E2207" t="s">
        <v>692</v>
      </c>
      <c r="L2207" t="s">
        <v>93</v>
      </c>
      <c r="M2207">
        <v>70</v>
      </c>
      <c r="N2207" t="s">
        <v>599</v>
      </c>
      <c r="Q2207">
        <v>16.611999999999998</v>
      </c>
      <c r="R2207" t="s">
        <v>17</v>
      </c>
      <c r="T2207">
        <v>10</v>
      </c>
      <c r="V2207" t="s">
        <v>15</v>
      </c>
    </row>
    <row r="2208" spans="1:22" x14ac:dyDescent="0.25">
      <c r="A2208">
        <v>123</v>
      </c>
      <c r="B2208" t="s">
        <v>92</v>
      </c>
      <c r="C2208" t="s">
        <v>692</v>
      </c>
      <c r="E2208" t="s">
        <v>692</v>
      </c>
      <c r="L2208" t="s">
        <v>93</v>
      </c>
      <c r="M2208">
        <v>80</v>
      </c>
      <c r="N2208" t="s">
        <v>20</v>
      </c>
      <c r="Q2208">
        <v>136.215</v>
      </c>
      <c r="R2208" t="s">
        <v>17</v>
      </c>
      <c r="T2208">
        <v>10</v>
      </c>
      <c r="V2208" t="s">
        <v>15</v>
      </c>
    </row>
    <row r="2209" spans="1:22" x14ac:dyDescent="0.25">
      <c r="A2209">
        <v>123</v>
      </c>
      <c r="B2209" t="s">
        <v>92</v>
      </c>
      <c r="C2209" t="s">
        <v>692</v>
      </c>
      <c r="E2209" t="s">
        <v>692</v>
      </c>
      <c r="L2209" t="s">
        <v>93</v>
      </c>
      <c r="M2209">
        <v>90</v>
      </c>
      <c r="N2209" t="s">
        <v>24</v>
      </c>
      <c r="Q2209">
        <v>1</v>
      </c>
      <c r="R2209" t="s">
        <v>11</v>
      </c>
      <c r="T2209">
        <v>10</v>
      </c>
      <c r="V2209" t="s">
        <v>15</v>
      </c>
    </row>
    <row r="2210" spans="1:22" x14ac:dyDescent="0.25">
      <c r="A2210">
        <v>123</v>
      </c>
      <c r="B2210" t="s">
        <v>92</v>
      </c>
      <c r="C2210" t="s">
        <v>692</v>
      </c>
      <c r="E2210" t="s">
        <v>692</v>
      </c>
      <c r="L2210" t="s">
        <v>93</v>
      </c>
      <c r="M2210">
        <v>100</v>
      </c>
      <c r="N2210" t="s">
        <v>141</v>
      </c>
      <c r="Q2210">
        <v>7.5999999999999998E-2</v>
      </c>
      <c r="R2210" t="s">
        <v>14</v>
      </c>
      <c r="T2210">
        <v>10</v>
      </c>
      <c r="V2210" t="s">
        <v>15</v>
      </c>
    </row>
    <row r="2211" spans="1:22" x14ac:dyDescent="0.25">
      <c r="A2211">
        <v>123</v>
      </c>
      <c r="B2211" t="s">
        <v>92</v>
      </c>
      <c r="C2211" t="s">
        <v>692</v>
      </c>
      <c r="E2211" t="s">
        <v>692</v>
      </c>
      <c r="L2211" t="s">
        <v>93</v>
      </c>
      <c r="M2211">
        <v>110</v>
      </c>
      <c r="N2211" t="s">
        <v>140</v>
      </c>
      <c r="Q2211">
        <v>4</v>
      </c>
      <c r="R2211" t="s">
        <v>11</v>
      </c>
      <c r="T2211">
        <v>10</v>
      </c>
      <c r="V2211" t="s">
        <v>15</v>
      </c>
    </row>
    <row r="2212" spans="1:22" x14ac:dyDescent="0.25">
      <c r="A2212">
        <v>123</v>
      </c>
      <c r="B2212" t="s">
        <v>92</v>
      </c>
      <c r="C2212" t="s">
        <v>692</v>
      </c>
      <c r="E2212" t="s">
        <v>692</v>
      </c>
      <c r="L2212" t="s">
        <v>93</v>
      </c>
      <c r="M2212">
        <v>120</v>
      </c>
      <c r="N2212" t="s">
        <v>25</v>
      </c>
      <c r="Q2212">
        <v>1</v>
      </c>
      <c r="R2212" t="s">
        <v>11</v>
      </c>
      <c r="T2212">
        <v>10</v>
      </c>
      <c r="V2212" t="s">
        <v>15</v>
      </c>
    </row>
    <row r="2213" spans="1:22" x14ac:dyDescent="0.25">
      <c r="A2213">
        <v>123</v>
      </c>
      <c r="B2213" t="s">
        <v>92</v>
      </c>
      <c r="C2213" t="s">
        <v>692</v>
      </c>
      <c r="E2213" t="s">
        <v>692</v>
      </c>
      <c r="L2213" t="s">
        <v>93</v>
      </c>
      <c r="M2213">
        <v>130</v>
      </c>
      <c r="N2213" t="s">
        <v>26</v>
      </c>
      <c r="Q2213">
        <v>1</v>
      </c>
      <c r="R2213" t="s">
        <v>11</v>
      </c>
      <c r="T2213">
        <v>10</v>
      </c>
      <c r="V2213" t="s">
        <v>15</v>
      </c>
    </row>
    <row r="2214" spans="1:22" x14ac:dyDescent="0.25">
      <c r="A2214">
        <v>123</v>
      </c>
      <c r="B2214" t="s">
        <v>92</v>
      </c>
      <c r="C2214" t="s">
        <v>692</v>
      </c>
      <c r="E2214" t="s">
        <v>692</v>
      </c>
      <c r="L2214" t="s">
        <v>93</v>
      </c>
      <c r="M2214">
        <v>140</v>
      </c>
      <c r="N2214" t="s">
        <v>100</v>
      </c>
      <c r="Q2214">
        <v>0.54</v>
      </c>
      <c r="R2214" t="s">
        <v>14</v>
      </c>
      <c r="T2214">
        <v>10</v>
      </c>
      <c r="V2214" t="s">
        <v>15</v>
      </c>
    </row>
    <row r="2215" spans="1:22" x14ac:dyDescent="0.25">
      <c r="A2215">
        <v>123</v>
      </c>
      <c r="B2215" t="s">
        <v>92</v>
      </c>
      <c r="C2215" t="s">
        <v>692</v>
      </c>
      <c r="E2215" t="s">
        <v>692</v>
      </c>
      <c r="L2215" t="s">
        <v>93</v>
      </c>
      <c r="M2215">
        <v>150</v>
      </c>
      <c r="N2215" t="s">
        <v>431</v>
      </c>
      <c r="Q2215">
        <v>1</v>
      </c>
      <c r="R2215" t="s">
        <v>11</v>
      </c>
      <c r="T2215">
        <v>10</v>
      </c>
      <c r="V2215" t="s">
        <v>18</v>
      </c>
    </row>
    <row r="2216" spans="1:22" x14ac:dyDescent="0.25">
      <c r="A2216">
        <v>123</v>
      </c>
      <c r="B2216" t="s">
        <v>92</v>
      </c>
      <c r="C2216" t="s">
        <v>692</v>
      </c>
      <c r="E2216" t="s">
        <v>692</v>
      </c>
      <c r="L2216" t="s">
        <v>93</v>
      </c>
      <c r="M2216">
        <v>160</v>
      </c>
      <c r="N2216" t="s">
        <v>432</v>
      </c>
      <c r="Q2216">
        <v>1</v>
      </c>
      <c r="R2216" t="s">
        <v>11</v>
      </c>
      <c r="T2216">
        <v>10</v>
      </c>
      <c r="V2216" t="s">
        <v>18</v>
      </c>
    </row>
    <row r="2217" spans="1:22" x14ac:dyDescent="0.25">
      <c r="A2217">
        <v>123</v>
      </c>
      <c r="B2217" t="s">
        <v>92</v>
      </c>
      <c r="C2217" t="s">
        <v>692</v>
      </c>
      <c r="E2217" t="s">
        <v>692</v>
      </c>
      <c r="L2217" t="s">
        <v>93</v>
      </c>
      <c r="M2217">
        <v>170</v>
      </c>
      <c r="N2217" t="s">
        <v>142</v>
      </c>
      <c r="Q2217">
        <v>5.5369999999999999</v>
      </c>
      <c r="R2217" t="s">
        <v>11</v>
      </c>
      <c r="T2217">
        <v>10</v>
      </c>
      <c r="V2217" t="s">
        <v>15</v>
      </c>
    </row>
    <row r="2218" spans="1:22" x14ac:dyDescent="0.25">
      <c r="A2218">
        <v>123</v>
      </c>
      <c r="B2218" t="s">
        <v>92</v>
      </c>
      <c r="C2218" t="s">
        <v>692</v>
      </c>
      <c r="E2218" t="s">
        <v>692</v>
      </c>
      <c r="L2218" t="s">
        <v>93</v>
      </c>
      <c r="M2218">
        <v>180</v>
      </c>
      <c r="N2218" t="s">
        <v>433</v>
      </c>
      <c r="Q2218">
        <v>1</v>
      </c>
      <c r="R2218" t="s">
        <v>11</v>
      </c>
      <c r="T2218">
        <v>10</v>
      </c>
      <c r="V2218" t="s">
        <v>18</v>
      </c>
    </row>
    <row r="2219" spans="1:22" x14ac:dyDescent="0.25">
      <c r="A2219">
        <v>124</v>
      </c>
      <c r="B2219" t="s">
        <v>92</v>
      </c>
      <c r="C2219" t="s">
        <v>694</v>
      </c>
      <c r="E2219" t="s">
        <v>694</v>
      </c>
      <c r="L2219" t="s">
        <v>93</v>
      </c>
      <c r="M2219">
        <v>10</v>
      </c>
      <c r="N2219" t="s">
        <v>435</v>
      </c>
      <c r="Q2219">
        <v>1</v>
      </c>
      <c r="R2219" t="s">
        <v>11</v>
      </c>
      <c r="T2219">
        <v>10</v>
      </c>
      <c r="V2219" t="s">
        <v>18</v>
      </c>
    </row>
    <row r="2220" spans="1:22" x14ac:dyDescent="0.25">
      <c r="A2220">
        <v>124</v>
      </c>
      <c r="B2220" t="s">
        <v>92</v>
      </c>
      <c r="C2220" t="s">
        <v>694</v>
      </c>
      <c r="E2220" t="s">
        <v>694</v>
      </c>
      <c r="L2220" t="s">
        <v>93</v>
      </c>
      <c r="M2220">
        <v>20</v>
      </c>
      <c r="N2220" t="s">
        <v>120</v>
      </c>
      <c r="Q2220">
        <v>2.3889999999999998</v>
      </c>
      <c r="R2220" t="s">
        <v>14</v>
      </c>
      <c r="T2220">
        <v>10</v>
      </c>
      <c r="V2220" t="s">
        <v>15</v>
      </c>
    </row>
    <row r="2221" spans="1:22" x14ac:dyDescent="0.25">
      <c r="A2221">
        <v>124</v>
      </c>
      <c r="B2221" t="s">
        <v>92</v>
      </c>
      <c r="C2221" t="s">
        <v>694</v>
      </c>
      <c r="E2221" t="s">
        <v>694</v>
      </c>
      <c r="L2221" t="s">
        <v>93</v>
      </c>
      <c r="M2221">
        <v>30</v>
      </c>
      <c r="N2221" t="s">
        <v>102</v>
      </c>
      <c r="Q2221">
        <v>0.65600000000000003</v>
      </c>
      <c r="R2221" t="s">
        <v>103</v>
      </c>
      <c r="T2221">
        <v>10</v>
      </c>
      <c r="V2221" t="s">
        <v>15</v>
      </c>
    </row>
    <row r="2222" spans="1:22" x14ac:dyDescent="0.25">
      <c r="A2222">
        <v>124</v>
      </c>
      <c r="B2222" t="s">
        <v>92</v>
      </c>
      <c r="C2222" t="s">
        <v>694</v>
      </c>
      <c r="E2222" t="s">
        <v>694</v>
      </c>
      <c r="L2222" t="s">
        <v>93</v>
      </c>
      <c r="M2222">
        <v>40</v>
      </c>
      <c r="N2222" t="s">
        <v>597</v>
      </c>
      <c r="Q2222">
        <v>0.94</v>
      </c>
      <c r="R2222" t="s">
        <v>11</v>
      </c>
      <c r="T2222">
        <v>10</v>
      </c>
      <c r="V2222" t="s">
        <v>18</v>
      </c>
    </row>
    <row r="2223" spans="1:22" x14ac:dyDescent="0.25">
      <c r="A2223">
        <v>124</v>
      </c>
      <c r="B2223" t="s">
        <v>92</v>
      </c>
      <c r="C2223" t="s">
        <v>694</v>
      </c>
      <c r="E2223" t="s">
        <v>694</v>
      </c>
      <c r="L2223" t="s">
        <v>93</v>
      </c>
      <c r="M2223">
        <v>50</v>
      </c>
      <c r="N2223" t="s">
        <v>139</v>
      </c>
      <c r="Q2223">
        <v>0.94</v>
      </c>
      <c r="R2223" t="s">
        <v>17</v>
      </c>
      <c r="T2223">
        <v>10</v>
      </c>
      <c r="V2223" t="s">
        <v>18</v>
      </c>
    </row>
    <row r="2224" spans="1:22" x14ac:dyDescent="0.25">
      <c r="A2224">
        <v>124</v>
      </c>
      <c r="B2224" t="s">
        <v>92</v>
      </c>
      <c r="C2224" t="s">
        <v>694</v>
      </c>
      <c r="E2224" t="s">
        <v>694</v>
      </c>
      <c r="L2224" t="s">
        <v>93</v>
      </c>
      <c r="M2224">
        <v>60</v>
      </c>
      <c r="N2224" t="s">
        <v>695</v>
      </c>
      <c r="Q2224">
        <v>1</v>
      </c>
      <c r="R2224" t="s">
        <v>11</v>
      </c>
      <c r="T2224">
        <v>10</v>
      </c>
      <c r="V2224" t="s">
        <v>18</v>
      </c>
    </row>
    <row r="2225" spans="1:22" x14ac:dyDescent="0.25">
      <c r="A2225">
        <v>124</v>
      </c>
      <c r="B2225" t="s">
        <v>92</v>
      </c>
      <c r="C2225" t="s">
        <v>694</v>
      </c>
      <c r="E2225" t="s">
        <v>694</v>
      </c>
      <c r="L2225" t="s">
        <v>93</v>
      </c>
      <c r="M2225">
        <v>70</v>
      </c>
      <c r="N2225" t="s">
        <v>599</v>
      </c>
      <c r="Q2225">
        <v>17.526</v>
      </c>
      <c r="R2225" t="s">
        <v>17</v>
      </c>
      <c r="T2225">
        <v>10</v>
      </c>
      <c r="V2225" t="s">
        <v>15</v>
      </c>
    </row>
    <row r="2226" spans="1:22" x14ac:dyDescent="0.25">
      <c r="A2226">
        <v>124</v>
      </c>
      <c r="B2226" t="s">
        <v>92</v>
      </c>
      <c r="C2226" t="s">
        <v>694</v>
      </c>
      <c r="E2226" t="s">
        <v>694</v>
      </c>
      <c r="L2226" t="s">
        <v>93</v>
      </c>
      <c r="M2226">
        <v>80</v>
      </c>
      <c r="N2226" t="s">
        <v>20</v>
      </c>
      <c r="Q2226">
        <v>143.71299999999999</v>
      </c>
      <c r="R2226" t="s">
        <v>17</v>
      </c>
      <c r="T2226">
        <v>10</v>
      </c>
      <c r="V2226" t="s">
        <v>15</v>
      </c>
    </row>
    <row r="2227" spans="1:22" x14ac:dyDescent="0.25">
      <c r="A2227">
        <v>124</v>
      </c>
      <c r="B2227" t="s">
        <v>92</v>
      </c>
      <c r="C2227" t="s">
        <v>694</v>
      </c>
      <c r="E2227" t="s">
        <v>694</v>
      </c>
      <c r="L2227" t="s">
        <v>93</v>
      </c>
      <c r="M2227">
        <v>90</v>
      </c>
      <c r="N2227" t="s">
        <v>24</v>
      </c>
      <c r="Q2227">
        <v>1</v>
      </c>
      <c r="R2227" t="s">
        <v>11</v>
      </c>
      <c r="T2227">
        <v>10</v>
      </c>
      <c r="V2227" t="s">
        <v>15</v>
      </c>
    </row>
    <row r="2228" spans="1:22" x14ac:dyDescent="0.25">
      <c r="A2228">
        <v>124</v>
      </c>
      <c r="B2228" t="s">
        <v>92</v>
      </c>
      <c r="C2228" t="s">
        <v>694</v>
      </c>
      <c r="E2228" t="s">
        <v>694</v>
      </c>
      <c r="L2228" t="s">
        <v>93</v>
      </c>
      <c r="M2228">
        <v>100</v>
      </c>
      <c r="N2228" t="s">
        <v>141</v>
      </c>
      <c r="Q2228">
        <v>8.5999999999999993E-2</v>
      </c>
      <c r="R2228" t="s">
        <v>14</v>
      </c>
      <c r="T2228">
        <v>10</v>
      </c>
      <c r="V2228" t="s">
        <v>15</v>
      </c>
    </row>
    <row r="2229" spans="1:22" x14ac:dyDescent="0.25">
      <c r="A2229">
        <v>124</v>
      </c>
      <c r="B2229" t="s">
        <v>92</v>
      </c>
      <c r="C2229" t="s">
        <v>694</v>
      </c>
      <c r="E2229" t="s">
        <v>694</v>
      </c>
      <c r="L2229" t="s">
        <v>93</v>
      </c>
      <c r="M2229">
        <v>110</v>
      </c>
      <c r="N2229" t="s">
        <v>140</v>
      </c>
      <c r="Q2229">
        <v>4</v>
      </c>
      <c r="R2229" t="s">
        <v>11</v>
      </c>
      <c r="T2229">
        <v>10</v>
      </c>
      <c r="V2229" t="s">
        <v>15</v>
      </c>
    </row>
    <row r="2230" spans="1:22" x14ac:dyDescent="0.25">
      <c r="A2230">
        <v>124</v>
      </c>
      <c r="B2230" t="s">
        <v>92</v>
      </c>
      <c r="C2230" t="s">
        <v>694</v>
      </c>
      <c r="E2230" t="s">
        <v>694</v>
      </c>
      <c r="L2230" t="s">
        <v>93</v>
      </c>
      <c r="M2230">
        <v>120</v>
      </c>
      <c r="N2230" t="s">
        <v>25</v>
      </c>
      <c r="Q2230">
        <v>1</v>
      </c>
      <c r="R2230" t="s">
        <v>11</v>
      </c>
      <c r="T2230">
        <v>10</v>
      </c>
      <c r="V2230" t="s">
        <v>15</v>
      </c>
    </row>
    <row r="2231" spans="1:22" x14ac:dyDescent="0.25">
      <c r="A2231">
        <v>124</v>
      </c>
      <c r="B2231" t="s">
        <v>92</v>
      </c>
      <c r="C2231" t="s">
        <v>694</v>
      </c>
      <c r="E2231" t="s">
        <v>694</v>
      </c>
      <c r="L2231" t="s">
        <v>93</v>
      </c>
      <c r="M2231">
        <v>130</v>
      </c>
      <c r="N2231" t="s">
        <v>26</v>
      </c>
      <c r="Q2231">
        <v>1</v>
      </c>
      <c r="R2231" t="s">
        <v>11</v>
      </c>
      <c r="T2231">
        <v>10</v>
      </c>
      <c r="V2231" t="s">
        <v>15</v>
      </c>
    </row>
    <row r="2232" spans="1:22" x14ac:dyDescent="0.25">
      <c r="A2232">
        <v>124</v>
      </c>
      <c r="B2232" t="s">
        <v>92</v>
      </c>
      <c r="C2232" t="s">
        <v>694</v>
      </c>
      <c r="E2232" t="s">
        <v>694</v>
      </c>
      <c r="L2232" t="s">
        <v>93</v>
      </c>
      <c r="M2232">
        <v>140</v>
      </c>
      <c r="N2232" t="s">
        <v>100</v>
      </c>
      <c r="Q2232">
        <v>0.622</v>
      </c>
      <c r="R2232" t="s">
        <v>14</v>
      </c>
      <c r="T2232">
        <v>10</v>
      </c>
      <c r="V2232" t="s">
        <v>15</v>
      </c>
    </row>
    <row r="2233" spans="1:22" x14ac:dyDescent="0.25">
      <c r="A2233">
        <v>124</v>
      </c>
      <c r="B2233" t="s">
        <v>92</v>
      </c>
      <c r="C2233" t="s">
        <v>694</v>
      </c>
      <c r="E2233" t="s">
        <v>694</v>
      </c>
      <c r="L2233" t="s">
        <v>93</v>
      </c>
      <c r="M2233">
        <v>150</v>
      </c>
      <c r="N2233" t="s">
        <v>437</v>
      </c>
      <c r="Q2233">
        <v>1</v>
      </c>
      <c r="R2233" t="s">
        <v>11</v>
      </c>
      <c r="T2233">
        <v>10</v>
      </c>
      <c r="V2233" t="s">
        <v>18</v>
      </c>
    </row>
    <row r="2234" spans="1:22" x14ac:dyDescent="0.25">
      <c r="A2234">
        <v>124</v>
      </c>
      <c r="B2234" t="s">
        <v>92</v>
      </c>
      <c r="C2234" t="s">
        <v>694</v>
      </c>
      <c r="E2234" t="s">
        <v>694</v>
      </c>
      <c r="L2234" t="s">
        <v>93</v>
      </c>
      <c r="M2234">
        <v>160</v>
      </c>
      <c r="N2234" t="s">
        <v>438</v>
      </c>
      <c r="Q2234">
        <v>1</v>
      </c>
      <c r="R2234" t="s">
        <v>11</v>
      </c>
      <c r="T2234">
        <v>10</v>
      </c>
      <c r="V2234" t="s">
        <v>18</v>
      </c>
    </row>
    <row r="2235" spans="1:22" x14ac:dyDescent="0.25">
      <c r="A2235">
        <v>124</v>
      </c>
      <c r="B2235" t="s">
        <v>92</v>
      </c>
      <c r="C2235" t="s">
        <v>694</v>
      </c>
      <c r="E2235" t="s">
        <v>694</v>
      </c>
      <c r="L2235" t="s">
        <v>93</v>
      </c>
      <c r="M2235">
        <v>170</v>
      </c>
      <c r="N2235" t="s">
        <v>142</v>
      </c>
      <c r="Q2235">
        <v>5.8419999999999996</v>
      </c>
      <c r="R2235" t="s">
        <v>11</v>
      </c>
      <c r="T2235">
        <v>10</v>
      </c>
      <c r="V2235" t="s">
        <v>15</v>
      </c>
    </row>
    <row r="2236" spans="1:22" x14ac:dyDescent="0.25">
      <c r="A2236">
        <v>124</v>
      </c>
      <c r="B2236" t="s">
        <v>92</v>
      </c>
      <c r="C2236" t="s">
        <v>694</v>
      </c>
      <c r="E2236" t="s">
        <v>694</v>
      </c>
      <c r="L2236" t="s">
        <v>93</v>
      </c>
      <c r="M2236">
        <v>180</v>
      </c>
      <c r="N2236" t="s">
        <v>439</v>
      </c>
      <c r="Q2236">
        <v>1</v>
      </c>
      <c r="R2236" t="s">
        <v>11</v>
      </c>
      <c r="T2236">
        <v>10</v>
      </c>
      <c r="V2236" t="s">
        <v>18</v>
      </c>
    </row>
    <row r="2237" spans="1:22" x14ac:dyDescent="0.25">
      <c r="A2237">
        <v>125</v>
      </c>
      <c r="B2237" t="s">
        <v>92</v>
      </c>
      <c r="C2237" t="s">
        <v>696</v>
      </c>
      <c r="E2237" t="s">
        <v>696</v>
      </c>
      <c r="L2237" t="s">
        <v>93</v>
      </c>
      <c r="M2237">
        <v>10</v>
      </c>
      <c r="N2237" t="s">
        <v>441</v>
      </c>
      <c r="Q2237">
        <v>1</v>
      </c>
      <c r="R2237" t="s">
        <v>11</v>
      </c>
      <c r="T2237">
        <v>10</v>
      </c>
      <c r="V2237" t="s">
        <v>18</v>
      </c>
    </row>
    <row r="2238" spans="1:22" x14ac:dyDescent="0.25">
      <c r="A2238">
        <v>125</v>
      </c>
      <c r="B2238" t="s">
        <v>92</v>
      </c>
      <c r="C2238" t="s">
        <v>696</v>
      </c>
      <c r="E2238" t="s">
        <v>696</v>
      </c>
      <c r="L2238" t="s">
        <v>93</v>
      </c>
      <c r="M2238">
        <v>20</v>
      </c>
      <c r="N2238" t="s">
        <v>121</v>
      </c>
      <c r="Q2238">
        <v>2.7930000000000001</v>
      </c>
      <c r="R2238" t="s">
        <v>14</v>
      </c>
      <c r="T2238">
        <v>10</v>
      </c>
      <c r="V2238" t="s">
        <v>15</v>
      </c>
    </row>
    <row r="2239" spans="1:22" x14ac:dyDescent="0.25">
      <c r="A2239">
        <v>125</v>
      </c>
      <c r="B2239" t="s">
        <v>92</v>
      </c>
      <c r="C2239" t="s">
        <v>696</v>
      </c>
      <c r="E2239" t="s">
        <v>696</v>
      </c>
      <c r="L2239" t="s">
        <v>93</v>
      </c>
      <c r="M2239">
        <v>30</v>
      </c>
      <c r="N2239" t="s">
        <v>102</v>
      </c>
      <c r="Q2239">
        <v>0.76800000000000002</v>
      </c>
      <c r="R2239" t="s">
        <v>103</v>
      </c>
      <c r="T2239">
        <v>10</v>
      </c>
      <c r="V2239" t="s">
        <v>15</v>
      </c>
    </row>
    <row r="2240" spans="1:22" x14ac:dyDescent="0.25">
      <c r="A2240">
        <v>125</v>
      </c>
      <c r="B2240" t="s">
        <v>92</v>
      </c>
      <c r="C2240" t="s">
        <v>696</v>
      </c>
      <c r="E2240" t="s">
        <v>696</v>
      </c>
      <c r="L2240" t="s">
        <v>93</v>
      </c>
      <c r="M2240">
        <v>40</v>
      </c>
      <c r="N2240" t="s">
        <v>597</v>
      </c>
      <c r="Q2240">
        <v>1.0920000000000001</v>
      </c>
      <c r="R2240" t="s">
        <v>11</v>
      </c>
      <c r="T2240">
        <v>10</v>
      </c>
      <c r="V2240" t="s">
        <v>18</v>
      </c>
    </row>
    <row r="2241" spans="1:22" x14ac:dyDescent="0.25">
      <c r="A2241">
        <v>125</v>
      </c>
      <c r="B2241" t="s">
        <v>92</v>
      </c>
      <c r="C2241" t="s">
        <v>696</v>
      </c>
      <c r="E2241" t="s">
        <v>696</v>
      </c>
      <c r="L2241" t="s">
        <v>93</v>
      </c>
      <c r="M2241">
        <v>50</v>
      </c>
      <c r="N2241" t="s">
        <v>139</v>
      </c>
      <c r="Q2241">
        <v>1.0920000000000001</v>
      </c>
      <c r="R2241" t="s">
        <v>17</v>
      </c>
      <c r="T2241">
        <v>10</v>
      </c>
      <c r="V2241" t="s">
        <v>18</v>
      </c>
    </row>
    <row r="2242" spans="1:22" x14ac:dyDescent="0.25">
      <c r="A2242">
        <v>125</v>
      </c>
      <c r="B2242" t="s">
        <v>92</v>
      </c>
      <c r="C2242" t="s">
        <v>696</v>
      </c>
      <c r="E2242" t="s">
        <v>696</v>
      </c>
      <c r="L2242" t="s">
        <v>93</v>
      </c>
      <c r="M2242">
        <v>60</v>
      </c>
      <c r="N2242" t="s">
        <v>697</v>
      </c>
      <c r="Q2242">
        <v>1</v>
      </c>
      <c r="R2242" t="s">
        <v>11</v>
      </c>
      <c r="T2242">
        <v>10</v>
      </c>
      <c r="V2242" t="s">
        <v>18</v>
      </c>
    </row>
    <row r="2243" spans="1:22" x14ac:dyDescent="0.25">
      <c r="A2243">
        <v>125</v>
      </c>
      <c r="B2243" t="s">
        <v>92</v>
      </c>
      <c r="C2243" t="s">
        <v>696</v>
      </c>
      <c r="E2243" t="s">
        <v>696</v>
      </c>
      <c r="L2243" t="s">
        <v>93</v>
      </c>
      <c r="M2243">
        <v>70</v>
      </c>
      <c r="N2243" t="s">
        <v>599</v>
      </c>
      <c r="Q2243">
        <v>18.440000000000001</v>
      </c>
      <c r="R2243" t="s">
        <v>17</v>
      </c>
      <c r="T2243">
        <v>10</v>
      </c>
      <c r="V2243" t="s">
        <v>15</v>
      </c>
    </row>
    <row r="2244" spans="1:22" x14ac:dyDescent="0.25">
      <c r="A2244">
        <v>125</v>
      </c>
      <c r="B2244" t="s">
        <v>92</v>
      </c>
      <c r="C2244" t="s">
        <v>696</v>
      </c>
      <c r="E2244" t="s">
        <v>696</v>
      </c>
      <c r="L2244" t="s">
        <v>93</v>
      </c>
      <c r="M2244">
        <v>80</v>
      </c>
      <c r="N2244" t="s">
        <v>20</v>
      </c>
      <c r="Q2244">
        <v>151.21100000000001</v>
      </c>
      <c r="R2244" t="s">
        <v>17</v>
      </c>
      <c r="T2244">
        <v>10</v>
      </c>
      <c r="V2244" t="s">
        <v>15</v>
      </c>
    </row>
    <row r="2245" spans="1:22" x14ac:dyDescent="0.25">
      <c r="A2245">
        <v>125</v>
      </c>
      <c r="B2245" t="s">
        <v>92</v>
      </c>
      <c r="C2245" t="s">
        <v>696</v>
      </c>
      <c r="E2245" t="s">
        <v>696</v>
      </c>
      <c r="L2245" t="s">
        <v>93</v>
      </c>
      <c r="M2245">
        <v>90</v>
      </c>
      <c r="N2245" t="s">
        <v>24</v>
      </c>
      <c r="Q2245">
        <v>1</v>
      </c>
      <c r="R2245" t="s">
        <v>11</v>
      </c>
      <c r="T2245">
        <v>10</v>
      </c>
      <c r="V2245" t="s">
        <v>15</v>
      </c>
    </row>
    <row r="2246" spans="1:22" x14ac:dyDescent="0.25">
      <c r="A2246">
        <v>125</v>
      </c>
      <c r="B2246" t="s">
        <v>92</v>
      </c>
      <c r="C2246" t="s">
        <v>696</v>
      </c>
      <c r="E2246" t="s">
        <v>696</v>
      </c>
      <c r="L2246" t="s">
        <v>93</v>
      </c>
      <c r="M2246">
        <v>100</v>
      </c>
      <c r="N2246" t="s">
        <v>141</v>
      </c>
      <c r="Q2246">
        <v>9.7000000000000003E-2</v>
      </c>
      <c r="R2246" t="s">
        <v>14</v>
      </c>
      <c r="T2246">
        <v>10</v>
      </c>
      <c r="V2246" t="s">
        <v>15</v>
      </c>
    </row>
    <row r="2247" spans="1:22" x14ac:dyDescent="0.25">
      <c r="A2247">
        <v>125</v>
      </c>
      <c r="B2247" t="s">
        <v>92</v>
      </c>
      <c r="C2247" t="s">
        <v>696</v>
      </c>
      <c r="E2247" t="s">
        <v>696</v>
      </c>
      <c r="L2247" t="s">
        <v>93</v>
      </c>
      <c r="M2247">
        <v>110</v>
      </c>
      <c r="N2247" t="s">
        <v>140</v>
      </c>
      <c r="Q2247">
        <v>4</v>
      </c>
      <c r="R2247" t="s">
        <v>11</v>
      </c>
      <c r="T2247">
        <v>10</v>
      </c>
      <c r="V2247" t="s">
        <v>15</v>
      </c>
    </row>
    <row r="2248" spans="1:22" x14ac:dyDescent="0.25">
      <c r="A2248">
        <v>125</v>
      </c>
      <c r="B2248" t="s">
        <v>92</v>
      </c>
      <c r="C2248" t="s">
        <v>696</v>
      </c>
      <c r="E2248" t="s">
        <v>696</v>
      </c>
      <c r="L2248" t="s">
        <v>93</v>
      </c>
      <c r="M2248">
        <v>120</v>
      </c>
      <c r="N2248" t="s">
        <v>25</v>
      </c>
      <c r="Q2248">
        <v>1</v>
      </c>
      <c r="R2248" t="s">
        <v>11</v>
      </c>
      <c r="T2248">
        <v>10</v>
      </c>
      <c r="V2248" t="s">
        <v>15</v>
      </c>
    </row>
    <row r="2249" spans="1:22" x14ac:dyDescent="0.25">
      <c r="A2249">
        <v>125</v>
      </c>
      <c r="B2249" t="s">
        <v>92</v>
      </c>
      <c r="C2249" t="s">
        <v>696</v>
      </c>
      <c r="E2249" t="s">
        <v>696</v>
      </c>
      <c r="L2249" t="s">
        <v>93</v>
      </c>
      <c r="M2249">
        <v>130</v>
      </c>
      <c r="N2249" t="s">
        <v>26</v>
      </c>
      <c r="Q2249">
        <v>1</v>
      </c>
      <c r="R2249" t="s">
        <v>11</v>
      </c>
      <c r="T2249">
        <v>10</v>
      </c>
      <c r="V2249" t="s">
        <v>15</v>
      </c>
    </row>
    <row r="2250" spans="1:22" x14ac:dyDescent="0.25">
      <c r="A2250">
        <v>125</v>
      </c>
      <c r="B2250" t="s">
        <v>92</v>
      </c>
      <c r="C2250" t="s">
        <v>696</v>
      </c>
      <c r="E2250" t="s">
        <v>696</v>
      </c>
      <c r="L2250" t="s">
        <v>93</v>
      </c>
      <c r="M2250">
        <v>140</v>
      </c>
      <c r="N2250" t="s">
        <v>100</v>
      </c>
      <c r="Q2250">
        <v>0.70299999999999996</v>
      </c>
      <c r="R2250" t="s">
        <v>14</v>
      </c>
      <c r="T2250">
        <v>10</v>
      </c>
      <c r="V2250" t="s">
        <v>15</v>
      </c>
    </row>
    <row r="2251" spans="1:22" x14ac:dyDescent="0.25">
      <c r="A2251">
        <v>125</v>
      </c>
      <c r="B2251" t="s">
        <v>92</v>
      </c>
      <c r="C2251" t="s">
        <v>696</v>
      </c>
      <c r="E2251" t="s">
        <v>696</v>
      </c>
      <c r="L2251" t="s">
        <v>93</v>
      </c>
      <c r="M2251">
        <v>150</v>
      </c>
      <c r="N2251" t="s">
        <v>443</v>
      </c>
      <c r="Q2251">
        <v>1</v>
      </c>
      <c r="R2251" t="s">
        <v>11</v>
      </c>
      <c r="T2251">
        <v>10</v>
      </c>
      <c r="V2251" t="s">
        <v>18</v>
      </c>
    </row>
    <row r="2252" spans="1:22" x14ac:dyDescent="0.25">
      <c r="A2252">
        <v>125</v>
      </c>
      <c r="B2252" t="s">
        <v>92</v>
      </c>
      <c r="C2252" t="s">
        <v>696</v>
      </c>
      <c r="E2252" t="s">
        <v>696</v>
      </c>
      <c r="L2252" t="s">
        <v>93</v>
      </c>
      <c r="M2252">
        <v>160</v>
      </c>
      <c r="N2252" t="s">
        <v>444</v>
      </c>
      <c r="Q2252">
        <v>1</v>
      </c>
      <c r="R2252" t="s">
        <v>11</v>
      </c>
      <c r="T2252">
        <v>10</v>
      </c>
      <c r="V2252" t="s">
        <v>18</v>
      </c>
    </row>
    <row r="2253" spans="1:22" x14ac:dyDescent="0.25">
      <c r="A2253">
        <v>125</v>
      </c>
      <c r="B2253" t="s">
        <v>92</v>
      </c>
      <c r="C2253" t="s">
        <v>696</v>
      </c>
      <c r="E2253" t="s">
        <v>696</v>
      </c>
      <c r="L2253" t="s">
        <v>93</v>
      </c>
      <c r="M2253">
        <v>170</v>
      </c>
      <c r="N2253" t="s">
        <v>142</v>
      </c>
      <c r="Q2253">
        <v>6.1470000000000002</v>
      </c>
      <c r="R2253" t="s">
        <v>11</v>
      </c>
      <c r="T2253">
        <v>10</v>
      </c>
      <c r="V2253" t="s">
        <v>15</v>
      </c>
    </row>
    <row r="2254" spans="1:22" x14ac:dyDescent="0.25">
      <c r="A2254">
        <v>125</v>
      </c>
      <c r="B2254" t="s">
        <v>92</v>
      </c>
      <c r="C2254" t="s">
        <v>696</v>
      </c>
      <c r="E2254" t="s">
        <v>696</v>
      </c>
      <c r="L2254" t="s">
        <v>93</v>
      </c>
      <c r="M2254">
        <v>180</v>
      </c>
      <c r="N2254" t="s">
        <v>445</v>
      </c>
      <c r="Q2254">
        <v>1</v>
      </c>
      <c r="R2254" t="s">
        <v>11</v>
      </c>
      <c r="T2254">
        <v>10</v>
      </c>
      <c r="V2254" t="s">
        <v>18</v>
      </c>
    </row>
    <row r="2255" spans="1:22" x14ac:dyDescent="0.25">
      <c r="A2255">
        <v>126</v>
      </c>
      <c r="B2255" t="s">
        <v>92</v>
      </c>
      <c r="C2255" t="s">
        <v>698</v>
      </c>
      <c r="E2255" t="s">
        <v>698</v>
      </c>
      <c r="L2255" t="s">
        <v>93</v>
      </c>
      <c r="M2255">
        <v>10</v>
      </c>
      <c r="N2255" t="s">
        <v>447</v>
      </c>
      <c r="Q2255">
        <v>1</v>
      </c>
      <c r="R2255" t="s">
        <v>11</v>
      </c>
      <c r="T2255">
        <v>10</v>
      </c>
      <c r="V2255" t="s">
        <v>18</v>
      </c>
    </row>
    <row r="2256" spans="1:22" x14ac:dyDescent="0.25">
      <c r="A2256">
        <v>126</v>
      </c>
      <c r="B2256" t="s">
        <v>92</v>
      </c>
      <c r="C2256" t="s">
        <v>698</v>
      </c>
      <c r="E2256" t="s">
        <v>698</v>
      </c>
      <c r="L2256" t="s">
        <v>93</v>
      </c>
      <c r="M2256">
        <v>20</v>
      </c>
      <c r="N2256" t="s">
        <v>122</v>
      </c>
      <c r="Q2256">
        <v>3.1960000000000002</v>
      </c>
      <c r="R2256" t="s">
        <v>14</v>
      </c>
      <c r="T2256">
        <v>10</v>
      </c>
      <c r="V2256" t="s">
        <v>15</v>
      </c>
    </row>
    <row r="2257" spans="1:22" x14ac:dyDescent="0.25">
      <c r="A2257">
        <v>126</v>
      </c>
      <c r="B2257" t="s">
        <v>92</v>
      </c>
      <c r="C2257" t="s">
        <v>698</v>
      </c>
      <c r="E2257" t="s">
        <v>698</v>
      </c>
      <c r="L2257" t="s">
        <v>93</v>
      </c>
      <c r="M2257">
        <v>30</v>
      </c>
      <c r="N2257" t="s">
        <v>102</v>
      </c>
      <c r="Q2257">
        <v>0.88</v>
      </c>
      <c r="R2257" t="s">
        <v>103</v>
      </c>
      <c r="T2257">
        <v>10</v>
      </c>
      <c r="V2257" t="s">
        <v>15</v>
      </c>
    </row>
    <row r="2258" spans="1:22" x14ac:dyDescent="0.25">
      <c r="A2258">
        <v>126</v>
      </c>
      <c r="B2258" t="s">
        <v>92</v>
      </c>
      <c r="C2258" t="s">
        <v>698</v>
      </c>
      <c r="E2258" t="s">
        <v>698</v>
      </c>
      <c r="L2258" t="s">
        <v>93</v>
      </c>
      <c r="M2258">
        <v>40</v>
      </c>
      <c r="N2258" t="s">
        <v>597</v>
      </c>
      <c r="Q2258">
        <v>1.2450000000000001</v>
      </c>
      <c r="R2258" t="s">
        <v>11</v>
      </c>
      <c r="T2258">
        <v>10</v>
      </c>
      <c r="V2258" t="s">
        <v>18</v>
      </c>
    </row>
    <row r="2259" spans="1:22" x14ac:dyDescent="0.25">
      <c r="A2259">
        <v>126</v>
      </c>
      <c r="B2259" t="s">
        <v>92</v>
      </c>
      <c r="C2259" t="s">
        <v>698</v>
      </c>
      <c r="E2259" t="s">
        <v>698</v>
      </c>
      <c r="L2259" t="s">
        <v>93</v>
      </c>
      <c r="M2259">
        <v>50</v>
      </c>
      <c r="N2259" t="s">
        <v>139</v>
      </c>
      <c r="Q2259">
        <v>1.2450000000000001</v>
      </c>
      <c r="R2259" t="s">
        <v>17</v>
      </c>
      <c r="T2259">
        <v>10</v>
      </c>
      <c r="V2259" t="s">
        <v>18</v>
      </c>
    </row>
    <row r="2260" spans="1:22" x14ac:dyDescent="0.25">
      <c r="A2260">
        <v>126</v>
      </c>
      <c r="B2260" t="s">
        <v>92</v>
      </c>
      <c r="C2260" t="s">
        <v>698</v>
      </c>
      <c r="E2260" t="s">
        <v>698</v>
      </c>
      <c r="L2260" t="s">
        <v>93</v>
      </c>
      <c r="M2260">
        <v>60</v>
      </c>
      <c r="N2260" t="s">
        <v>699</v>
      </c>
      <c r="Q2260">
        <v>1</v>
      </c>
      <c r="R2260" t="s">
        <v>11</v>
      </c>
      <c r="T2260">
        <v>10</v>
      </c>
      <c r="V2260" t="s">
        <v>18</v>
      </c>
    </row>
    <row r="2261" spans="1:22" x14ac:dyDescent="0.25">
      <c r="A2261">
        <v>126</v>
      </c>
      <c r="B2261" t="s">
        <v>92</v>
      </c>
      <c r="C2261" t="s">
        <v>698</v>
      </c>
      <c r="E2261" t="s">
        <v>698</v>
      </c>
      <c r="L2261" t="s">
        <v>93</v>
      </c>
      <c r="M2261">
        <v>70</v>
      </c>
      <c r="N2261" t="s">
        <v>599</v>
      </c>
      <c r="Q2261">
        <v>19.355</v>
      </c>
      <c r="R2261" t="s">
        <v>17</v>
      </c>
      <c r="T2261">
        <v>10</v>
      </c>
      <c r="V2261" t="s">
        <v>15</v>
      </c>
    </row>
    <row r="2262" spans="1:22" x14ac:dyDescent="0.25">
      <c r="A2262">
        <v>126</v>
      </c>
      <c r="B2262" t="s">
        <v>92</v>
      </c>
      <c r="C2262" t="s">
        <v>698</v>
      </c>
      <c r="E2262" t="s">
        <v>698</v>
      </c>
      <c r="L2262" t="s">
        <v>93</v>
      </c>
      <c r="M2262">
        <v>80</v>
      </c>
      <c r="N2262" t="s">
        <v>20</v>
      </c>
      <c r="Q2262">
        <v>158.709</v>
      </c>
      <c r="R2262" t="s">
        <v>17</v>
      </c>
      <c r="T2262">
        <v>10</v>
      </c>
      <c r="V2262" t="s">
        <v>15</v>
      </c>
    </row>
    <row r="2263" spans="1:22" x14ac:dyDescent="0.25">
      <c r="A2263">
        <v>126</v>
      </c>
      <c r="B2263" t="s">
        <v>92</v>
      </c>
      <c r="C2263" t="s">
        <v>698</v>
      </c>
      <c r="E2263" t="s">
        <v>698</v>
      </c>
      <c r="L2263" t="s">
        <v>93</v>
      </c>
      <c r="M2263">
        <v>90</v>
      </c>
      <c r="N2263" t="s">
        <v>24</v>
      </c>
      <c r="Q2263">
        <v>1</v>
      </c>
      <c r="R2263" t="s">
        <v>11</v>
      </c>
      <c r="T2263">
        <v>10</v>
      </c>
      <c r="V2263" t="s">
        <v>15</v>
      </c>
    </row>
    <row r="2264" spans="1:22" x14ac:dyDescent="0.25">
      <c r="A2264">
        <v>126</v>
      </c>
      <c r="B2264" t="s">
        <v>92</v>
      </c>
      <c r="C2264" t="s">
        <v>698</v>
      </c>
      <c r="E2264" t="s">
        <v>698</v>
      </c>
      <c r="L2264" t="s">
        <v>93</v>
      </c>
      <c r="M2264">
        <v>100</v>
      </c>
      <c r="N2264" t="s">
        <v>141</v>
      </c>
      <c r="Q2264">
        <v>0.107</v>
      </c>
      <c r="R2264" t="s">
        <v>14</v>
      </c>
      <c r="T2264">
        <v>10</v>
      </c>
      <c r="V2264" t="s">
        <v>15</v>
      </c>
    </row>
    <row r="2265" spans="1:22" x14ac:dyDescent="0.25">
      <c r="A2265">
        <v>126</v>
      </c>
      <c r="B2265" t="s">
        <v>92</v>
      </c>
      <c r="C2265" t="s">
        <v>698</v>
      </c>
      <c r="E2265" t="s">
        <v>698</v>
      </c>
      <c r="L2265" t="s">
        <v>93</v>
      </c>
      <c r="M2265">
        <v>110</v>
      </c>
      <c r="N2265" t="s">
        <v>140</v>
      </c>
      <c r="Q2265">
        <v>4</v>
      </c>
      <c r="R2265" t="s">
        <v>11</v>
      </c>
      <c r="T2265">
        <v>10</v>
      </c>
      <c r="V2265" t="s">
        <v>15</v>
      </c>
    </row>
    <row r="2266" spans="1:22" x14ac:dyDescent="0.25">
      <c r="A2266">
        <v>126</v>
      </c>
      <c r="B2266" t="s">
        <v>92</v>
      </c>
      <c r="C2266" t="s">
        <v>698</v>
      </c>
      <c r="E2266" t="s">
        <v>698</v>
      </c>
      <c r="L2266" t="s">
        <v>93</v>
      </c>
      <c r="M2266">
        <v>120</v>
      </c>
      <c r="N2266" t="s">
        <v>25</v>
      </c>
      <c r="Q2266">
        <v>1</v>
      </c>
      <c r="R2266" t="s">
        <v>11</v>
      </c>
      <c r="T2266">
        <v>10</v>
      </c>
      <c r="V2266" t="s">
        <v>15</v>
      </c>
    </row>
    <row r="2267" spans="1:22" x14ac:dyDescent="0.25">
      <c r="A2267">
        <v>126</v>
      </c>
      <c r="B2267" t="s">
        <v>92</v>
      </c>
      <c r="C2267" t="s">
        <v>698</v>
      </c>
      <c r="E2267" t="s">
        <v>698</v>
      </c>
      <c r="L2267" t="s">
        <v>93</v>
      </c>
      <c r="M2267">
        <v>130</v>
      </c>
      <c r="N2267" t="s">
        <v>26</v>
      </c>
      <c r="Q2267">
        <v>1</v>
      </c>
      <c r="R2267" t="s">
        <v>11</v>
      </c>
      <c r="T2267">
        <v>10</v>
      </c>
      <c r="V2267" t="s">
        <v>15</v>
      </c>
    </row>
    <row r="2268" spans="1:22" x14ac:dyDescent="0.25">
      <c r="A2268">
        <v>126</v>
      </c>
      <c r="B2268" t="s">
        <v>92</v>
      </c>
      <c r="C2268" t="s">
        <v>698</v>
      </c>
      <c r="E2268" t="s">
        <v>698</v>
      </c>
      <c r="L2268" t="s">
        <v>93</v>
      </c>
      <c r="M2268">
        <v>140</v>
      </c>
      <c r="N2268" t="s">
        <v>100</v>
      </c>
      <c r="Q2268">
        <v>0.78400000000000003</v>
      </c>
      <c r="R2268" t="s">
        <v>14</v>
      </c>
      <c r="T2268">
        <v>10</v>
      </c>
      <c r="V2268" t="s">
        <v>15</v>
      </c>
    </row>
    <row r="2269" spans="1:22" x14ac:dyDescent="0.25">
      <c r="A2269">
        <v>126</v>
      </c>
      <c r="B2269" t="s">
        <v>92</v>
      </c>
      <c r="C2269" t="s">
        <v>698</v>
      </c>
      <c r="E2269" t="s">
        <v>698</v>
      </c>
      <c r="L2269" t="s">
        <v>93</v>
      </c>
      <c r="M2269">
        <v>150</v>
      </c>
      <c r="N2269" t="s">
        <v>449</v>
      </c>
      <c r="Q2269">
        <v>1</v>
      </c>
      <c r="R2269" t="s">
        <v>11</v>
      </c>
      <c r="T2269">
        <v>10</v>
      </c>
      <c r="V2269" t="s">
        <v>18</v>
      </c>
    </row>
    <row r="2270" spans="1:22" x14ac:dyDescent="0.25">
      <c r="A2270">
        <v>126</v>
      </c>
      <c r="B2270" t="s">
        <v>92</v>
      </c>
      <c r="C2270" t="s">
        <v>698</v>
      </c>
      <c r="E2270" t="s">
        <v>698</v>
      </c>
      <c r="L2270" t="s">
        <v>93</v>
      </c>
      <c r="M2270">
        <v>160</v>
      </c>
      <c r="N2270" t="s">
        <v>450</v>
      </c>
      <c r="Q2270">
        <v>1</v>
      </c>
      <c r="R2270" t="s">
        <v>11</v>
      </c>
      <c r="T2270">
        <v>10</v>
      </c>
      <c r="V2270" t="s">
        <v>18</v>
      </c>
    </row>
    <row r="2271" spans="1:22" x14ac:dyDescent="0.25">
      <c r="A2271">
        <v>126</v>
      </c>
      <c r="B2271" t="s">
        <v>92</v>
      </c>
      <c r="C2271" t="s">
        <v>698</v>
      </c>
      <c r="E2271" t="s">
        <v>698</v>
      </c>
      <c r="L2271" t="s">
        <v>93</v>
      </c>
      <c r="M2271">
        <v>170</v>
      </c>
      <c r="N2271" t="s">
        <v>142</v>
      </c>
      <c r="Q2271">
        <v>6.452</v>
      </c>
      <c r="R2271" t="s">
        <v>11</v>
      </c>
      <c r="T2271">
        <v>10</v>
      </c>
      <c r="V2271" t="s">
        <v>15</v>
      </c>
    </row>
    <row r="2272" spans="1:22" x14ac:dyDescent="0.25">
      <c r="A2272">
        <v>126</v>
      </c>
      <c r="B2272" t="s">
        <v>92</v>
      </c>
      <c r="C2272" t="s">
        <v>698</v>
      </c>
      <c r="E2272" t="s">
        <v>698</v>
      </c>
      <c r="L2272" t="s">
        <v>93</v>
      </c>
      <c r="M2272">
        <v>180</v>
      </c>
      <c r="N2272" t="s">
        <v>451</v>
      </c>
      <c r="Q2272">
        <v>1</v>
      </c>
      <c r="R2272" t="s">
        <v>11</v>
      </c>
      <c r="T2272">
        <v>10</v>
      </c>
      <c r="V2272" t="s">
        <v>18</v>
      </c>
    </row>
    <row r="2273" spans="1:22" x14ac:dyDescent="0.25">
      <c r="A2273">
        <v>127</v>
      </c>
      <c r="B2273" t="s">
        <v>92</v>
      </c>
      <c r="C2273" t="s">
        <v>700</v>
      </c>
      <c r="E2273" t="s">
        <v>700</v>
      </c>
      <c r="L2273" t="s">
        <v>93</v>
      </c>
      <c r="M2273">
        <v>10</v>
      </c>
      <c r="N2273" t="s">
        <v>453</v>
      </c>
      <c r="Q2273">
        <v>1</v>
      </c>
      <c r="R2273" t="s">
        <v>11</v>
      </c>
      <c r="T2273">
        <v>10</v>
      </c>
      <c r="V2273" t="s">
        <v>18</v>
      </c>
    </row>
    <row r="2274" spans="1:22" x14ac:dyDescent="0.25">
      <c r="A2274">
        <v>127</v>
      </c>
      <c r="B2274" t="s">
        <v>92</v>
      </c>
      <c r="C2274" t="s">
        <v>700</v>
      </c>
      <c r="E2274" t="s">
        <v>700</v>
      </c>
      <c r="L2274" t="s">
        <v>93</v>
      </c>
      <c r="M2274">
        <v>20</v>
      </c>
      <c r="N2274" t="s">
        <v>123</v>
      </c>
      <c r="Q2274">
        <v>4.0039999999999996</v>
      </c>
      <c r="R2274" t="s">
        <v>14</v>
      </c>
      <c r="T2274">
        <v>10</v>
      </c>
      <c r="V2274" t="s">
        <v>15</v>
      </c>
    </row>
    <row r="2275" spans="1:22" x14ac:dyDescent="0.25">
      <c r="A2275">
        <v>127</v>
      </c>
      <c r="B2275" t="s">
        <v>92</v>
      </c>
      <c r="C2275" t="s">
        <v>700</v>
      </c>
      <c r="E2275" t="s">
        <v>700</v>
      </c>
      <c r="L2275" t="s">
        <v>93</v>
      </c>
      <c r="M2275">
        <v>30</v>
      </c>
      <c r="N2275" t="s">
        <v>102</v>
      </c>
      <c r="Q2275">
        <v>1.105</v>
      </c>
      <c r="R2275" t="s">
        <v>103</v>
      </c>
      <c r="T2275">
        <v>10</v>
      </c>
      <c r="V2275" t="s">
        <v>15</v>
      </c>
    </row>
    <row r="2276" spans="1:22" x14ac:dyDescent="0.25">
      <c r="A2276">
        <v>127</v>
      </c>
      <c r="B2276" t="s">
        <v>92</v>
      </c>
      <c r="C2276" t="s">
        <v>700</v>
      </c>
      <c r="E2276" t="s">
        <v>700</v>
      </c>
      <c r="L2276" t="s">
        <v>93</v>
      </c>
      <c r="M2276">
        <v>40</v>
      </c>
      <c r="N2276" t="s">
        <v>597</v>
      </c>
      <c r="Q2276">
        <v>1.5489999999999999</v>
      </c>
      <c r="R2276" t="s">
        <v>11</v>
      </c>
      <c r="T2276">
        <v>10</v>
      </c>
      <c r="V2276" t="s">
        <v>18</v>
      </c>
    </row>
    <row r="2277" spans="1:22" x14ac:dyDescent="0.25">
      <c r="A2277">
        <v>127</v>
      </c>
      <c r="B2277" t="s">
        <v>92</v>
      </c>
      <c r="C2277" t="s">
        <v>700</v>
      </c>
      <c r="E2277" t="s">
        <v>700</v>
      </c>
      <c r="L2277" t="s">
        <v>93</v>
      </c>
      <c r="M2277">
        <v>50</v>
      </c>
      <c r="N2277" t="s">
        <v>139</v>
      </c>
      <c r="Q2277">
        <v>1.5489999999999999</v>
      </c>
      <c r="R2277" t="s">
        <v>17</v>
      </c>
      <c r="T2277">
        <v>10</v>
      </c>
      <c r="V2277" t="s">
        <v>18</v>
      </c>
    </row>
    <row r="2278" spans="1:22" x14ac:dyDescent="0.25">
      <c r="A2278">
        <v>127</v>
      </c>
      <c r="B2278" t="s">
        <v>92</v>
      </c>
      <c r="C2278" t="s">
        <v>700</v>
      </c>
      <c r="E2278" t="s">
        <v>700</v>
      </c>
      <c r="L2278" t="s">
        <v>93</v>
      </c>
      <c r="M2278">
        <v>60</v>
      </c>
      <c r="N2278" t="s">
        <v>701</v>
      </c>
      <c r="Q2278">
        <v>1</v>
      </c>
      <c r="R2278" t="s">
        <v>11</v>
      </c>
      <c r="T2278">
        <v>10</v>
      </c>
      <c r="V2278" t="s">
        <v>18</v>
      </c>
    </row>
    <row r="2279" spans="1:22" x14ac:dyDescent="0.25">
      <c r="A2279">
        <v>127</v>
      </c>
      <c r="B2279" t="s">
        <v>92</v>
      </c>
      <c r="C2279" t="s">
        <v>700</v>
      </c>
      <c r="E2279" t="s">
        <v>700</v>
      </c>
      <c r="L2279" t="s">
        <v>93</v>
      </c>
      <c r="M2279">
        <v>70</v>
      </c>
      <c r="N2279" t="s">
        <v>599</v>
      </c>
      <c r="Q2279">
        <v>21.184000000000001</v>
      </c>
      <c r="R2279" t="s">
        <v>17</v>
      </c>
      <c r="T2279">
        <v>10</v>
      </c>
      <c r="V2279" t="s">
        <v>15</v>
      </c>
    </row>
    <row r="2280" spans="1:22" x14ac:dyDescent="0.25">
      <c r="A2280">
        <v>127</v>
      </c>
      <c r="B2280" t="s">
        <v>92</v>
      </c>
      <c r="C2280" t="s">
        <v>700</v>
      </c>
      <c r="E2280" t="s">
        <v>700</v>
      </c>
      <c r="L2280" t="s">
        <v>93</v>
      </c>
      <c r="M2280">
        <v>80</v>
      </c>
      <c r="N2280" t="s">
        <v>20</v>
      </c>
      <c r="Q2280">
        <v>173.70599999999999</v>
      </c>
      <c r="R2280" t="s">
        <v>17</v>
      </c>
      <c r="T2280">
        <v>10</v>
      </c>
      <c r="V2280" t="s">
        <v>15</v>
      </c>
    </row>
    <row r="2281" spans="1:22" x14ac:dyDescent="0.25">
      <c r="A2281">
        <v>127</v>
      </c>
      <c r="B2281" t="s">
        <v>92</v>
      </c>
      <c r="C2281" t="s">
        <v>700</v>
      </c>
      <c r="E2281" t="s">
        <v>700</v>
      </c>
      <c r="L2281" t="s">
        <v>93</v>
      </c>
      <c r="M2281">
        <v>90</v>
      </c>
      <c r="N2281" t="s">
        <v>24</v>
      </c>
      <c r="Q2281">
        <v>1</v>
      </c>
      <c r="R2281" t="s">
        <v>11</v>
      </c>
      <c r="T2281">
        <v>10</v>
      </c>
      <c r="V2281" t="s">
        <v>15</v>
      </c>
    </row>
    <row r="2282" spans="1:22" x14ac:dyDescent="0.25">
      <c r="A2282">
        <v>127</v>
      </c>
      <c r="B2282" t="s">
        <v>92</v>
      </c>
      <c r="C2282" t="s">
        <v>700</v>
      </c>
      <c r="E2282" t="s">
        <v>700</v>
      </c>
      <c r="L2282" t="s">
        <v>93</v>
      </c>
      <c r="M2282">
        <v>100</v>
      </c>
      <c r="N2282" t="s">
        <v>141</v>
      </c>
      <c r="Q2282">
        <v>0.128</v>
      </c>
      <c r="R2282" t="s">
        <v>14</v>
      </c>
      <c r="T2282">
        <v>10</v>
      </c>
      <c r="V2282" t="s">
        <v>15</v>
      </c>
    </row>
    <row r="2283" spans="1:22" x14ac:dyDescent="0.25">
      <c r="A2283">
        <v>127</v>
      </c>
      <c r="B2283" t="s">
        <v>92</v>
      </c>
      <c r="C2283" t="s">
        <v>700</v>
      </c>
      <c r="E2283" t="s">
        <v>700</v>
      </c>
      <c r="L2283" t="s">
        <v>93</v>
      </c>
      <c r="M2283">
        <v>110</v>
      </c>
      <c r="N2283" t="s">
        <v>140</v>
      </c>
      <c r="Q2283">
        <v>4</v>
      </c>
      <c r="R2283" t="s">
        <v>11</v>
      </c>
      <c r="T2283">
        <v>10</v>
      </c>
      <c r="V2283" t="s">
        <v>15</v>
      </c>
    </row>
    <row r="2284" spans="1:22" x14ac:dyDescent="0.25">
      <c r="A2284">
        <v>127</v>
      </c>
      <c r="B2284" t="s">
        <v>92</v>
      </c>
      <c r="C2284" t="s">
        <v>700</v>
      </c>
      <c r="E2284" t="s">
        <v>700</v>
      </c>
      <c r="L2284" t="s">
        <v>93</v>
      </c>
      <c r="M2284">
        <v>120</v>
      </c>
      <c r="N2284" t="s">
        <v>25</v>
      </c>
      <c r="Q2284">
        <v>1</v>
      </c>
      <c r="R2284" t="s">
        <v>11</v>
      </c>
      <c r="T2284">
        <v>10</v>
      </c>
      <c r="V2284" t="s">
        <v>15</v>
      </c>
    </row>
    <row r="2285" spans="1:22" x14ac:dyDescent="0.25">
      <c r="A2285">
        <v>127</v>
      </c>
      <c r="B2285" t="s">
        <v>92</v>
      </c>
      <c r="C2285" t="s">
        <v>700</v>
      </c>
      <c r="E2285" t="s">
        <v>700</v>
      </c>
      <c r="L2285" t="s">
        <v>93</v>
      </c>
      <c r="M2285">
        <v>130</v>
      </c>
      <c r="N2285" t="s">
        <v>26</v>
      </c>
      <c r="Q2285">
        <v>1</v>
      </c>
      <c r="R2285" t="s">
        <v>11</v>
      </c>
      <c r="T2285">
        <v>10</v>
      </c>
      <c r="V2285" t="s">
        <v>15</v>
      </c>
    </row>
    <row r="2286" spans="1:22" x14ac:dyDescent="0.25">
      <c r="A2286">
        <v>127</v>
      </c>
      <c r="B2286" t="s">
        <v>92</v>
      </c>
      <c r="C2286" t="s">
        <v>700</v>
      </c>
      <c r="E2286" t="s">
        <v>700</v>
      </c>
      <c r="L2286" t="s">
        <v>93</v>
      </c>
      <c r="M2286">
        <v>140</v>
      </c>
      <c r="N2286" t="s">
        <v>100</v>
      </c>
      <c r="Q2286">
        <v>0.94599999999999995</v>
      </c>
      <c r="R2286" t="s">
        <v>14</v>
      </c>
      <c r="T2286">
        <v>10</v>
      </c>
      <c r="V2286" t="s">
        <v>15</v>
      </c>
    </row>
    <row r="2287" spans="1:22" x14ac:dyDescent="0.25">
      <c r="A2287">
        <v>127</v>
      </c>
      <c r="B2287" t="s">
        <v>92</v>
      </c>
      <c r="C2287" t="s">
        <v>700</v>
      </c>
      <c r="E2287" t="s">
        <v>700</v>
      </c>
      <c r="L2287" t="s">
        <v>93</v>
      </c>
      <c r="M2287">
        <v>150</v>
      </c>
      <c r="N2287" t="s">
        <v>455</v>
      </c>
      <c r="Q2287">
        <v>1</v>
      </c>
      <c r="R2287" t="s">
        <v>11</v>
      </c>
      <c r="T2287">
        <v>10</v>
      </c>
      <c r="V2287" t="s">
        <v>18</v>
      </c>
    </row>
    <row r="2288" spans="1:22" x14ac:dyDescent="0.25">
      <c r="A2288">
        <v>127</v>
      </c>
      <c r="B2288" t="s">
        <v>92</v>
      </c>
      <c r="C2288" t="s">
        <v>700</v>
      </c>
      <c r="E2288" t="s">
        <v>700</v>
      </c>
      <c r="L2288" t="s">
        <v>93</v>
      </c>
      <c r="M2288">
        <v>160</v>
      </c>
      <c r="N2288" t="s">
        <v>456</v>
      </c>
      <c r="Q2288">
        <v>1</v>
      </c>
      <c r="R2288" t="s">
        <v>11</v>
      </c>
      <c r="T2288">
        <v>10</v>
      </c>
      <c r="V2288" t="s">
        <v>18</v>
      </c>
    </row>
    <row r="2289" spans="1:22" x14ac:dyDescent="0.25">
      <c r="A2289">
        <v>127</v>
      </c>
      <c r="B2289" t="s">
        <v>92</v>
      </c>
      <c r="C2289" t="s">
        <v>700</v>
      </c>
      <c r="E2289" t="s">
        <v>700</v>
      </c>
      <c r="L2289" t="s">
        <v>93</v>
      </c>
      <c r="M2289">
        <v>170</v>
      </c>
      <c r="N2289" t="s">
        <v>142</v>
      </c>
      <c r="Q2289">
        <v>7.0609999999999999</v>
      </c>
      <c r="R2289" t="s">
        <v>11</v>
      </c>
      <c r="T2289">
        <v>10</v>
      </c>
      <c r="V2289" t="s">
        <v>15</v>
      </c>
    </row>
    <row r="2290" spans="1:22" x14ac:dyDescent="0.25">
      <c r="A2290">
        <v>127</v>
      </c>
      <c r="B2290" t="s">
        <v>92</v>
      </c>
      <c r="C2290" t="s">
        <v>700</v>
      </c>
      <c r="E2290" t="s">
        <v>700</v>
      </c>
      <c r="L2290" t="s">
        <v>93</v>
      </c>
      <c r="M2290">
        <v>180</v>
      </c>
      <c r="N2290" t="s">
        <v>457</v>
      </c>
      <c r="Q2290">
        <v>1</v>
      </c>
      <c r="R2290" t="s">
        <v>11</v>
      </c>
      <c r="T2290">
        <v>10</v>
      </c>
      <c r="V2290" t="s">
        <v>18</v>
      </c>
    </row>
    <row r="2291" spans="1:22" x14ac:dyDescent="0.25">
      <c r="A2291">
        <v>128</v>
      </c>
      <c r="B2291" t="s">
        <v>92</v>
      </c>
      <c r="C2291" t="s">
        <v>702</v>
      </c>
      <c r="E2291" t="s">
        <v>702</v>
      </c>
      <c r="L2291" t="s">
        <v>93</v>
      </c>
      <c r="M2291">
        <v>10</v>
      </c>
      <c r="N2291" t="s">
        <v>459</v>
      </c>
      <c r="Q2291">
        <v>1</v>
      </c>
      <c r="R2291" t="s">
        <v>11</v>
      </c>
      <c r="T2291">
        <v>10</v>
      </c>
      <c r="V2291" t="s">
        <v>18</v>
      </c>
    </row>
    <row r="2292" spans="1:22" x14ac:dyDescent="0.25">
      <c r="A2292">
        <v>128</v>
      </c>
      <c r="B2292" t="s">
        <v>92</v>
      </c>
      <c r="C2292" t="s">
        <v>702</v>
      </c>
      <c r="E2292" t="s">
        <v>702</v>
      </c>
      <c r="L2292" t="s">
        <v>93</v>
      </c>
      <c r="M2292">
        <v>20</v>
      </c>
      <c r="N2292" t="s">
        <v>124</v>
      </c>
      <c r="Q2292">
        <v>4.4080000000000004</v>
      </c>
      <c r="R2292" t="s">
        <v>14</v>
      </c>
      <c r="T2292">
        <v>10</v>
      </c>
      <c r="V2292" t="s">
        <v>15</v>
      </c>
    </row>
    <row r="2293" spans="1:22" x14ac:dyDescent="0.25">
      <c r="A2293">
        <v>128</v>
      </c>
      <c r="B2293" t="s">
        <v>92</v>
      </c>
      <c r="C2293" t="s">
        <v>702</v>
      </c>
      <c r="E2293" t="s">
        <v>702</v>
      </c>
      <c r="L2293" t="s">
        <v>93</v>
      </c>
      <c r="M2293">
        <v>30</v>
      </c>
      <c r="N2293" t="s">
        <v>102</v>
      </c>
      <c r="Q2293">
        <v>1.218</v>
      </c>
      <c r="R2293" t="s">
        <v>103</v>
      </c>
      <c r="T2293">
        <v>10</v>
      </c>
      <c r="V2293" t="s">
        <v>15</v>
      </c>
    </row>
    <row r="2294" spans="1:22" x14ac:dyDescent="0.25">
      <c r="A2294">
        <v>128</v>
      </c>
      <c r="B2294" t="s">
        <v>92</v>
      </c>
      <c r="C2294" t="s">
        <v>702</v>
      </c>
      <c r="E2294" t="s">
        <v>702</v>
      </c>
      <c r="L2294" t="s">
        <v>93</v>
      </c>
      <c r="M2294">
        <v>40</v>
      </c>
      <c r="N2294" t="s">
        <v>597</v>
      </c>
      <c r="Q2294">
        <v>1.702</v>
      </c>
      <c r="R2294" t="s">
        <v>11</v>
      </c>
      <c r="T2294">
        <v>10</v>
      </c>
      <c r="V2294" t="s">
        <v>18</v>
      </c>
    </row>
    <row r="2295" spans="1:22" x14ac:dyDescent="0.25">
      <c r="A2295">
        <v>128</v>
      </c>
      <c r="B2295" t="s">
        <v>92</v>
      </c>
      <c r="C2295" t="s">
        <v>702</v>
      </c>
      <c r="E2295" t="s">
        <v>702</v>
      </c>
      <c r="L2295" t="s">
        <v>93</v>
      </c>
      <c r="M2295">
        <v>50</v>
      </c>
      <c r="N2295" t="s">
        <v>139</v>
      </c>
      <c r="Q2295">
        <v>1.702</v>
      </c>
      <c r="R2295" t="s">
        <v>17</v>
      </c>
      <c r="T2295">
        <v>10</v>
      </c>
      <c r="V2295" t="s">
        <v>18</v>
      </c>
    </row>
    <row r="2296" spans="1:22" x14ac:dyDescent="0.25">
      <c r="A2296">
        <v>128</v>
      </c>
      <c r="B2296" t="s">
        <v>92</v>
      </c>
      <c r="C2296" t="s">
        <v>702</v>
      </c>
      <c r="E2296" t="s">
        <v>702</v>
      </c>
      <c r="L2296" t="s">
        <v>93</v>
      </c>
      <c r="M2296">
        <v>60</v>
      </c>
      <c r="N2296" t="s">
        <v>703</v>
      </c>
      <c r="Q2296">
        <v>1</v>
      </c>
      <c r="R2296" t="s">
        <v>11</v>
      </c>
      <c r="T2296">
        <v>10</v>
      </c>
      <c r="V2296" t="s">
        <v>18</v>
      </c>
    </row>
    <row r="2297" spans="1:22" x14ac:dyDescent="0.25">
      <c r="A2297">
        <v>128</v>
      </c>
      <c r="B2297" t="s">
        <v>92</v>
      </c>
      <c r="C2297" t="s">
        <v>702</v>
      </c>
      <c r="E2297" t="s">
        <v>702</v>
      </c>
      <c r="L2297" t="s">
        <v>93</v>
      </c>
      <c r="M2297">
        <v>70</v>
      </c>
      <c r="N2297" t="s">
        <v>599</v>
      </c>
      <c r="Q2297">
        <v>22.097999999999999</v>
      </c>
      <c r="R2297" t="s">
        <v>17</v>
      </c>
      <c r="T2297">
        <v>10</v>
      </c>
      <c r="V2297" t="s">
        <v>15</v>
      </c>
    </row>
    <row r="2298" spans="1:22" x14ac:dyDescent="0.25">
      <c r="A2298">
        <v>128</v>
      </c>
      <c r="B2298" t="s">
        <v>92</v>
      </c>
      <c r="C2298" t="s">
        <v>702</v>
      </c>
      <c r="E2298" t="s">
        <v>702</v>
      </c>
      <c r="L2298" t="s">
        <v>93</v>
      </c>
      <c r="M2298">
        <v>80</v>
      </c>
      <c r="N2298" t="s">
        <v>20</v>
      </c>
      <c r="Q2298">
        <v>181.20400000000001</v>
      </c>
      <c r="R2298" t="s">
        <v>17</v>
      </c>
      <c r="T2298">
        <v>10</v>
      </c>
      <c r="V2298" t="s">
        <v>15</v>
      </c>
    </row>
    <row r="2299" spans="1:22" x14ac:dyDescent="0.25">
      <c r="A2299">
        <v>128</v>
      </c>
      <c r="B2299" t="s">
        <v>92</v>
      </c>
      <c r="C2299" t="s">
        <v>702</v>
      </c>
      <c r="E2299" t="s">
        <v>702</v>
      </c>
      <c r="L2299" t="s">
        <v>93</v>
      </c>
      <c r="M2299">
        <v>90</v>
      </c>
      <c r="N2299" t="s">
        <v>24</v>
      </c>
      <c r="Q2299">
        <v>1</v>
      </c>
      <c r="R2299" t="s">
        <v>11</v>
      </c>
      <c r="T2299">
        <v>10</v>
      </c>
      <c r="V2299" t="s">
        <v>15</v>
      </c>
    </row>
    <row r="2300" spans="1:22" x14ac:dyDescent="0.25">
      <c r="A2300">
        <v>128</v>
      </c>
      <c r="B2300" t="s">
        <v>92</v>
      </c>
      <c r="C2300" t="s">
        <v>702</v>
      </c>
      <c r="E2300" t="s">
        <v>702</v>
      </c>
      <c r="L2300" t="s">
        <v>93</v>
      </c>
      <c r="M2300">
        <v>100</v>
      </c>
      <c r="N2300" t="s">
        <v>141</v>
      </c>
      <c r="Q2300">
        <v>0.13800000000000001</v>
      </c>
      <c r="R2300" t="s">
        <v>14</v>
      </c>
      <c r="T2300">
        <v>10</v>
      </c>
      <c r="V2300" t="s">
        <v>15</v>
      </c>
    </row>
    <row r="2301" spans="1:22" x14ac:dyDescent="0.25">
      <c r="A2301">
        <v>128</v>
      </c>
      <c r="B2301" t="s">
        <v>92</v>
      </c>
      <c r="C2301" t="s">
        <v>702</v>
      </c>
      <c r="E2301" t="s">
        <v>702</v>
      </c>
      <c r="L2301" t="s">
        <v>93</v>
      </c>
      <c r="M2301">
        <v>110</v>
      </c>
      <c r="N2301" t="s">
        <v>140</v>
      </c>
      <c r="Q2301">
        <v>4</v>
      </c>
      <c r="R2301" t="s">
        <v>11</v>
      </c>
      <c r="T2301">
        <v>10</v>
      </c>
      <c r="V2301" t="s">
        <v>15</v>
      </c>
    </row>
    <row r="2302" spans="1:22" x14ac:dyDescent="0.25">
      <c r="A2302">
        <v>128</v>
      </c>
      <c r="B2302" t="s">
        <v>92</v>
      </c>
      <c r="C2302" t="s">
        <v>702</v>
      </c>
      <c r="E2302" t="s">
        <v>702</v>
      </c>
      <c r="L2302" t="s">
        <v>93</v>
      </c>
      <c r="M2302">
        <v>120</v>
      </c>
      <c r="N2302" t="s">
        <v>25</v>
      </c>
      <c r="Q2302">
        <v>1</v>
      </c>
      <c r="R2302" t="s">
        <v>11</v>
      </c>
      <c r="T2302">
        <v>10</v>
      </c>
      <c r="V2302" t="s">
        <v>15</v>
      </c>
    </row>
    <row r="2303" spans="1:22" x14ac:dyDescent="0.25">
      <c r="A2303">
        <v>128</v>
      </c>
      <c r="B2303" t="s">
        <v>92</v>
      </c>
      <c r="C2303" t="s">
        <v>702</v>
      </c>
      <c r="E2303" t="s">
        <v>702</v>
      </c>
      <c r="L2303" t="s">
        <v>93</v>
      </c>
      <c r="M2303">
        <v>130</v>
      </c>
      <c r="N2303" t="s">
        <v>26</v>
      </c>
      <c r="Q2303">
        <v>1</v>
      </c>
      <c r="R2303" t="s">
        <v>11</v>
      </c>
      <c r="T2303">
        <v>10</v>
      </c>
      <c r="V2303" t="s">
        <v>15</v>
      </c>
    </row>
    <row r="2304" spans="1:22" x14ac:dyDescent="0.25">
      <c r="A2304">
        <v>128</v>
      </c>
      <c r="B2304" t="s">
        <v>92</v>
      </c>
      <c r="C2304" t="s">
        <v>702</v>
      </c>
      <c r="E2304" t="s">
        <v>702</v>
      </c>
      <c r="L2304" t="s">
        <v>93</v>
      </c>
      <c r="M2304">
        <v>140</v>
      </c>
      <c r="N2304" t="s">
        <v>100</v>
      </c>
      <c r="Q2304">
        <v>1.0269999999999999</v>
      </c>
      <c r="R2304" t="s">
        <v>14</v>
      </c>
      <c r="T2304">
        <v>10</v>
      </c>
      <c r="V2304" t="s">
        <v>15</v>
      </c>
    </row>
    <row r="2305" spans="1:22" x14ac:dyDescent="0.25">
      <c r="A2305">
        <v>128</v>
      </c>
      <c r="B2305" t="s">
        <v>92</v>
      </c>
      <c r="C2305" t="s">
        <v>702</v>
      </c>
      <c r="E2305" t="s">
        <v>702</v>
      </c>
      <c r="L2305" t="s">
        <v>93</v>
      </c>
      <c r="M2305">
        <v>150</v>
      </c>
      <c r="N2305" t="s">
        <v>461</v>
      </c>
      <c r="Q2305">
        <v>1</v>
      </c>
      <c r="R2305" t="s">
        <v>11</v>
      </c>
      <c r="T2305">
        <v>10</v>
      </c>
      <c r="V2305" t="s">
        <v>18</v>
      </c>
    </row>
    <row r="2306" spans="1:22" x14ac:dyDescent="0.25">
      <c r="A2306">
        <v>128</v>
      </c>
      <c r="B2306" t="s">
        <v>92</v>
      </c>
      <c r="C2306" t="s">
        <v>702</v>
      </c>
      <c r="E2306" t="s">
        <v>702</v>
      </c>
      <c r="L2306" t="s">
        <v>93</v>
      </c>
      <c r="M2306">
        <v>160</v>
      </c>
      <c r="N2306" t="s">
        <v>462</v>
      </c>
      <c r="Q2306">
        <v>1</v>
      </c>
      <c r="R2306" t="s">
        <v>11</v>
      </c>
      <c r="T2306">
        <v>10</v>
      </c>
      <c r="V2306" t="s">
        <v>18</v>
      </c>
    </row>
    <row r="2307" spans="1:22" x14ac:dyDescent="0.25">
      <c r="A2307">
        <v>128</v>
      </c>
      <c r="B2307" t="s">
        <v>92</v>
      </c>
      <c r="C2307" t="s">
        <v>702</v>
      </c>
      <c r="E2307" t="s">
        <v>702</v>
      </c>
      <c r="L2307" t="s">
        <v>93</v>
      </c>
      <c r="M2307">
        <v>170</v>
      </c>
      <c r="N2307" t="s">
        <v>142</v>
      </c>
      <c r="Q2307">
        <v>7.3659999999999997</v>
      </c>
      <c r="R2307" t="s">
        <v>11</v>
      </c>
      <c r="T2307">
        <v>10</v>
      </c>
      <c r="V2307" t="s">
        <v>15</v>
      </c>
    </row>
    <row r="2308" spans="1:22" x14ac:dyDescent="0.25">
      <c r="A2308">
        <v>128</v>
      </c>
      <c r="B2308" t="s">
        <v>92</v>
      </c>
      <c r="C2308" t="s">
        <v>702</v>
      </c>
      <c r="E2308" t="s">
        <v>702</v>
      </c>
      <c r="L2308" t="s">
        <v>93</v>
      </c>
      <c r="M2308">
        <v>180</v>
      </c>
      <c r="N2308" t="s">
        <v>463</v>
      </c>
      <c r="Q2308">
        <v>1</v>
      </c>
      <c r="R2308" t="s">
        <v>11</v>
      </c>
      <c r="T2308">
        <v>10</v>
      </c>
      <c r="V2308" t="s">
        <v>18</v>
      </c>
    </row>
    <row r="2309" spans="1:22" x14ac:dyDescent="0.25">
      <c r="A2309">
        <v>129</v>
      </c>
      <c r="B2309" t="s">
        <v>92</v>
      </c>
      <c r="C2309" t="s">
        <v>704</v>
      </c>
      <c r="E2309" t="s">
        <v>704</v>
      </c>
      <c r="L2309" t="s">
        <v>93</v>
      </c>
      <c r="M2309">
        <v>10</v>
      </c>
      <c r="N2309" t="s">
        <v>465</v>
      </c>
      <c r="Q2309">
        <v>1</v>
      </c>
      <c r="R2309" t="s">
        <v>11</v>
      </c>
      <c r="T2309">
        <v>10</v>
      </c>
      <c r="V2309" t="s">
        <v>18</v>
      </c>
    </row>
    <row r="2310" spans="1:22" x14ac:dyDescent="0.25">
      <c r="A2310">
        <v>129</v>
      </c>
      <c r="B2310" t="s">
        <v>92</v>
      </c>
      <c r="C2310" t="s">
        <v>704</v>
      </c>
      <c r="E2310" t="s">
        <v>704</v>
      </c>
      <c r="L2310" t="s">
        <v>93</v>
      </c>
      <c r="M2310">
        <v>20</v>
      </c>
      <c r="N2310" t="s">
        <v>125</v>
      </c>
      <c r="Q2310">
        <v>4.8109999999999999</v>
      </c>
      <c r="R2310" t="s">
        <v>14</v>
      </c>
      <c r="T2310">
        <v>10</v>
      </c>
      <c r="V2310" t="s">
        <v>15</v>
      </c>
    </row>
    <row r="2311" spans="1:22" x14ac:dyDescent="0.25">
      <c r="A2311">
        <v>129</v>
      </c>
      <c r="B2311" t="s">
        <v>92</v>
      </c>
      <c r="C2311" t="s">
        <v>704</v>
      </c>
      <c r="E2311" t="s">
        <v>704</v>
      </c>
      <c r="L2311" t="s">
        <v>93</v>
      </c>
      <c r="M2311">
        <v>30</v>
      </c>
      <c r="N2311" t="s">
        <v>102</v>
      </c>
      <c r="Q2311">
        <v>1.33</v>
      </c>
      <c r="R2311" t="s">
        <v>103</v>
      </c>
      <c r="T2311">
        <v>10</v>
      </c>
      <c r="V2311" t="s">
        <v>15</v>
      </c>
    </row>
    <row r="2312" spans="1:22" x14ac:dyDescent="0.25">
      <c r="A2312">
        <v>129</v>
      </c>
      <c r="B2312" t="s">
        <v>92</v>
      </c>
      <c r="C2312" t="s">
        <v>704</v>
      </c>
      <c r="E2312" t="s">
        <v>704</v>
      </c>
      <c r="L2312" t="s">
        <v>93</v>
      </c>
      <c r="M2312">
        <v>40</v>
      </c>
      <c r="N2312" t="s">
        <v>597</v>
      </c>
      <c r="Q2312">
        <v>1.8540000000000001</v>
      </c>
      <c r="R2312" t="s">
        <v>11</v>
      </c>
      <c r="T2312">
        <v>10</v>
      </c>
      <c r="V2312" t="s">
        <v>18</v>
      </c>
    </row>
    <row r="2313" spans="1:22" x14ac:dyDescent="0.25">
      <c r="A2313">
        <v>129</v>
      </c>
      <c r="B2313" t="s">
        <v>92</v>
      </c>
      <c r="C2313" t="s">
        <v>704</v>
      </c>
      <c r="E2313" t="s">
        <v>704</v>
      </c>
      <c r="L2313" t="s">
        <v>93</v>
      </c>
      <c r="M2313">
        <v>50</v>
      </c>
      <c r="N2313" t="s">
        <v>139</v>
      </c>
      <c r="Q2313">
        <v>1.8540000000000001</v>
      </c>
      <c r="R2313" t="s">
        <v>17</v>
      </c>
      <c r="T2313">
        <v>10</v>
      </c>
      <c r="V2313" t="s">
        <v>18</v>
      </c>
    </row>
    <row r="2314" spans="1:22" x14ac:dyDescent="0.25">
      <c r="A2314">
        <v>129</v>
      </c>
      <c r="B2314" t="s">
        <v>92</v>
      </c>
      <c r="C2314" t="s">
        <v>704</v>
      </c>
      <c r="E2314" t="s">
        <v>704</v>
      </c>
      <c r="L2314" t="s">
        <v>93</v>
      </c>
      <c r="M2314">
        <v>60</v>
      </c>
      <c r="N2314" t="s">
        <v>705</v>
      </c>
      <c r="Q2314">
        <v>1</v>
      </c>
      <c r="R2314" t="s">
        <v>11</v>
      </c>
      <c r="T2314">
        <v>10</v>
      </c>
      <c r="V2314" t="s">
        <v>18</v>
      </c>
    </row>
    <row r="2315" spans="1:22" x14ac:dyDescent="0.25">
      <c r="A2315">
        <v>129</v>
      </c>
      <c r="B2315" t="s">
        <v>92</v>
      </c>
      <c r="C2315" t="s">
        <v>704</v>
      </c>
      <c r="E2315" t="s">
        <v>704</v>
      </c>
      <c r="L2315" t="s">
        <v>93</v>
      </c>
      <c r="M2315">
        <v>70</v>
      </c>
      <c r="N2315" t="s">
        <v>599</v>
      </c>
      <c r="Q2315">
        <v>23.012</v>
      </c>
      <c r="R2315" t="s">
        <v>17</v>
      </c>
      <c r="T2315">
        <v>10</v>
      </c>
      <c r="V2315" t="s">
        <v>15</v>
      </c>
    </row>
    <row r="2316" spans="1:22" x14ac:dyDescent="0.25">
      <c r="A2316">
        <v>129</v>
      </c>
      <c r="B2316" t="s">
        <v>92</v>
      </c>
      <c r="C2316" t="s">
        <v>704</v>
      </c>
      <c r="E2316" t="s">
        <v>704</v>
      </c>
      <c r="L2316" t="s">
        <v>93</v>
      </c>
      <c r="M2316">
        <v>80</v>
      </c>
      <c r="N2316" t="s">
        <v>20</v>
      </c>
      <c r="Q2316">
        <v>188.702</v>
      </c>
      <c r="R2316" t="s">
        <v>17</v>
      </c>
      <c r="T2316">
        <v>10</v>
      </c>
      <c r="V2316" t="s">
        <v>15</v>
      </c>
    </row>
    <row r="2317" spans="1:22" x14ac:dyDescent="0.25">
      <c r="A2317">
        <v>129</v>
      </c>
      <c r="B2317" t="s">
        <v>92</v>
      </c>
      <c r="C2317" t="s">
        <v>704</v>
      </c>
      <c r="E2317" t="s">
        <v>704</v>
      </c>
      <c r="L2317" t="s">
        <v>93</v>
      </c>
      <c r="M2317">
        <v>90</v>
      </c>
      <c r="N2317" t="s">
        <v>24</v>
      </c>
      <c r="Q2317">
        <v>1</v>
      </c>
      <c r="R2317" t="s">
        <v>11</v>
      </c>
      <c r="T2317">
        <v>10</v>
      </c>
      <c r="V2317" t="s">
        <v>15</v>
      </c>
    </row>
    <row r="2318" spans="1:22" x14ac:dyDescent="0.25">
      <c r="A2318">
        <v>129</v>
      </c>
      <c r="B2318" t="s">
        <v>92</v>
      </c>
      <c r="C2318" t="s">
        <v>704</v>
      </c>
      <c r="E2318" t="s">
        <v>704</v>
      </c>
      <c r="L2318" t="s">
        <v>93</v>
      </c>
      <c r="M2318">
        <v>100</v>
      </c>
      <c r="N2318" t="s">
        <v>141</v>
      </c>
      <c r="Q2318">
        <v>0.14899999999999999</v>
      </c>
      <c r="R2318" t="s">
        <v>14</v>
      </c>
      <c r="T2318">
        <v>10</v>
      </c>
      <c r="V2318" t="s">
        <v>15</v>
      </c>
    </row>
    <row r="2319" spans="1:22" x14ac:dyDescent="0.25">
      <c r="A2319">
        <v>129</v>
      </c>
      <c r="B2319" t="s">
        <v>92</v>
      </c>
      <c r="C2319" t="s">
        <v>704</v>
      </c>
      <c r="E2319" t="s">
        <v>704</v>
      </c>
      <c r="L2319" t="s">
        <v>93</v>
      </c>
      <c r="M2319">
        <v>110</v>
      </c>
      <c r="N2319" t="s">
        <v>140</v>
      </c>
      <c r="Q2319">
        <v>4</v>
      </c>
      <c r="R2319" t="s">
        <v>11</v>
      </c>
      <c r="T2319">
        <v>10</v>
      </c>
      <c r="V2319" t="s">
        <v>15</v>
      </c>
    </row>
    <row r="2320" spans="1:22" x14ac:dyDescent="0.25">
      <c r="A2320">
        <v>129</v>
      </c>
      <c r="B2320" t="s">
        <v>92</v>
      </c>
      <c r="C2320" t="s">
        <v>704</v>
      </c>
      <c r="E2320" t="s">
        <v>704</v>
      </c>
      <c r="L2320" t="s">
        <v>93</v>
      </c>
      <c r="M2320">
        <v>120</v>
      </c>
      <c r="N2320" t="s">
        <v>25</v>
      </c>
      <c r="Q2320">
        <v>1</v>
      </c>
      <c r="R2320" t="s">
        <v>11</v>
      </c>
      <c r="T2320">
        <v>10</v>
      </c>
      <c r="V2320" t="s">
        <v>15</v>
      </c>
    </row>
    <row r="2321" spans="1:22" x14ac:dyDescent="0.25">
      <c r="A2321">
        <v>129</v>
      </c>
      <c r="B2321" t="s">
        <v>92</v>
      </c>
      <c r="C2321" t="s">
        <v>704</v>
      </c>
      <c r="E2321" t="s">
        <v>704</v>
      </c>
      <c r="L2321" t="s">
        <v>93</v>
      </c>
      <c r="M2321">
        <v>130</v>
      </c>
      <c r="N2321" t="s">
        <v>26</v>
      </c>
      <c r="Q2321">
        <v>1</v>
      </c>
      <c r="R2321" t="s">
        <v>11</v>
      </c>
      <c r="T2321">
        <v>10</v>
      </c>
      <c r="V2321" t="s">
        <v>15</v>
      </c>
    </row>
    <row r="2322" spans="1:22" x14ac:dyDescent="0.25">
      <c r="A2322">
        <v>129</v>
      </c>
      <c r="B2322" t="s">
        <v>92</v>
      </c>
      <c r="C2322" t="s">
        <v>704</v>
      </c>
      <c r="E2322" t="s">
        <v>704</v>
      </c>
      <c r="L2322" t="s">
        <v>93</v>
      </c>
      <c r="M2322">
        <v>140</v>
      </c>
      <c r="N2322" t="s">
        <v>100</v>
      </c>
      <c r="Q2322">
        <v>1.1080000000000001</v>
      </c>
      <c r="R2322" t="s">
        <v>14</v>
      </c>
      <c r="T2322">
        <v>10</v>
      </c>
      <c r="V2322" t="s">
        <v>15</v>
      </c>
    </row>
    <row r="2323" spans="1:22" x14ac:dyDescent="0.25">
      <c r="A2323">
        <v>129</v>
      </c>
      <c r="B2323" t="s">
        <v>92</v>
      </c>
      <c r="C2323" t="s">
        <v>704</v>
      </c>
      <c r="E2323" t="s">
        <v>704</v>
      </c>
      <c r="L2323" t="s">
        <v>93</v>
      </c>
      <c r="M2323">
        <v>150</v>
      </c>
      <c r="N2323" t="s">
        <v>467</v>
      </c>
      <c r="Q2323">
        <v>1</v>
      </c>
      <c r="R2323" t="s">
        <v>11</v>
      </c>
      <c r="T2323">
        <v>10</v>
      </c>
      <c r="V2323" t="s">
        <v>18</v>
      </c>
    </row>
    <row r="2324" spans="1:22" x14ac:dyDescent="0.25">
      <c r="A2324">
        <v>129</v>
      </c>
      <c r="B2324" t="s">
        <v>92</v>
      </c>
      <c r="C2324" t="s">
        <v>704</v>
      </c>
      <c r="E2324" t="s">
        <v>704</v>
      </c>
      <c r="L2324" t="s">
        <v>93</v>
      </c>
      <c r="M2324">
        <v>160</v>
      </c>
      <c r="N2324" t="s">
        <v>468</v>
      </c>
      <c r="Q2324">
        <v>1</v>
      </c>
      <c r="R2324" t="s">
        <v>11</v>
      </c>
      <c r="T2324">
        <v>10</v>
      </c>
      <c r="V2324" t="s">
        <v>18</v>
      </c>
    </row>
    <row r="2325" spans="1:22" x14ac:dyDescent="0.25">
      <c r="A2325">
        <v>129</v>
      </c>
      <c r="B2325" t="s">
        <v>92</v>
      </c>
      <c r="C2325" t="s">
        <v>704</v>
      </c>
      <c r="E2325" t="s">
        <v>704</v>
      </c>
      <c r="L2325" t="s">
        <v>93</v>
      </c>
      <c r="M2325">
        <v>170</v>
      </c>
      <c r="N2325" t="s">
        <v>142</v>
      </c>
      <c r="Q2325">
        <v>7.6710000000000003</v>
      </c>
      <c r="R2325" t="s">
        <v>11</v>
      </c>
      <c r="T2325">
        <v>10</v>
      </c>
      <c r="V2325" t="s">
        <v>15</v>
      </c>
    </row>
    <row r="2326" spans="1:22" x14ac:dyDescent="0.25">
      <c r="A2326">
        <v>129</v>
      </c>
      <c r="B2326" t="s">
        <v>92</v>
      </c>
      <c r="C2326" t="s">
        <v>704</v>
      </c>
      <c r="E2326" t="s">
        <v>704</v>
      </c>
      <c r="L2326" t="s">
        <v>93</v>
      </c>
      <c r="M2326">
        <v>180</v>
      </c>
      <c r="N2326" t="s">
        <v>469</v>
      </c>
      <c r="Q2326">
        <v>1</v>
      </c>
      <c r="R2326" t="s">
        <v>11</v>
      </c>
      <c r="T2326">
        <v>10</v>
      </c>
      <c r="V2326" t="s">
        <v>18</v>
      </c>
    </row>
    <row r="2327" spans="1:22" x14ac:dyDescent="0.25">
      <c r="A2327">
        <v>130</v>
      </c>
      <c r="B2327" t="s">
        <v>92</v>
      </c>
      <c r="C2327" t="s">
        <v>706</v>
      </c>
      <c r="E2327" t="s">
        <v>706</v>
      </c>
      <c r="L2327" t="s">
        <v>93</v>
      </c>
      <c r="M2327">
        <v>10</v>
      </c>
      <c r="N2327" t="s">
        <v>471</v>
      </c>
      <c r="Q2327">
        <v>1</v>
      </c>
      <c r="R2327" t="s">
        <v>11</v>
      </c>
      <c r="T2327">
        <v>10</v>
      </c>
      <c r="V2327" t="s">
        <v>18</v>
      </c>
    </row>
    <row r="2328" spans="1:22" x14ac:dyDescent="0.25">
      <c r="A2328">
        <v>130</v>
      </c>
      <c r="B2328" t="s">
        <v>92</v>
      </c>
      <c r="C2328" t="s">
        <v>706</v>
      </c>
      <c r="E2328" t="s">
        <v>706</v>
      </c>
      <c r="L2328" t="s">
        <v>93</v>
      </c>
      <c r="M2328">
        <v>20</v>
      </c>
      <c r="N2328" t="s">
        <v>135</v>
      </c>
      <c r="Q2328">
        <v>2.0649999999999999</v>
      </c>
      <c r="R2328" t="s">
        <v>14</v>
      </c>
      <c r="T2328">
        <v>10</v>
      </c>
      <c r="V2328" t="s">
        <v>15</v>
      </c>
    </row>
    <row r="2329" spans="1:22" x14ac:dyDescent="0.25">
      <c r="A2329">
        <v>130</v>
      </c>
      <c r="B2329" t="s">
        <v>92</v>
      </c>
      <c r="C2329" t="s">
        <v>706</v>
      </c>
      <c r="E2329" t="s">
        <v>706</v>
      </c>
      <c r="L2329" t="s">
        <v>93</v>
      </c>
      <c r="M2329">
        <v>30</v>
      </c>
      <c r="N2329" t="s">
        <v>102</v>
      </c>
      <c r="Q2329">
        <v>0.56499999999999995</v>
      </c>
      <c r="R2329" t="s">
        <v>103</v>
      </c>
      <c r="T2329">
        <v>10</v>
      </c>
      <c r="V2329" t="s">
        <v>15</v>
      </c>
    </row>
    <row r="2330" spans="1:22" x14ac:dyDescent="0.25">
      <c r="A2330">
        <v>130</v>
      </c>
      <c r="B2330" t="s">
        <v>92</v>
      </c>
      <c r="C2330" t="s">
        <v>706</v>
      </c>
      <c r="E2330" t="s">
        <v>706</v>
      </c>
      <c r="L2330" t="s">
        <v>93</v>
      </c>
      <c r="M2330">
        <v>40</v>
      </c>
      <c r="N2330" t="s">
        <v>597</v>
      </c>
      <c r="Q2330">
        <v>0.78700000000000003</v>
      </c>
      <c r="R2330" t="s">
        <v>11</v>
      </c>
      <c r="T2330">
        <v>10</v>
      </c>
      <c r="V2330" t="s">
        <v>18</v>
      </c>
    </row>
    <row r="2331" spans="1:22" x14ac:dyDescent="0.25">
      <c r="A2331">
        <v>130</v>
      </c>
      <c r="B2331" t="s">
        <v>92</v>
      </c>
      <c r="C2331" t="s">
        <v>706</v>
      </c>
      <c r="E2331" t="s">
        <v>706</v>
      </c>
      <c r="L2331" t="s">
        <v>93</v>
      </c>
      <c r="M2331">
        <v>50</v>
      </c>
      <c r="N2331" t="s">
        <v>139</v>
      </c>
      <c r="Q2331">
        <v>0.78700000000000003</v>
      </c>
      <c r="R2331" t="s">
        <v>17</v>
      </c>
      <c r="T2331">
        <v>10</v>
      </c>
      <c r="V2331" t="s">
        <v>18</v>
      </c>
    </row>
    <row r="2332" spans="1:22" x14ac:dyDescent="0.25">
      <c r="A2332">
        <v>130</v>
      </c>
      <c r="B2332" t="s">
        <v>92</v>
      </c>
      <c r="C2332" t="s">
        <v>706</v>
      </c>
      <c r="E2332" t="s">
        <v>706</v>
      </c>
      <c r="L2332" t="s">
        <v>93</v>
      </c>
      <c r="M2332">
        <v>60</v>
      </c>
      <c r="N2332" t="s">
        <v>707</v>
      </c>
      <c r="Q2332">
        <v>1</v>
      </c>
      <c r="R2332" t="s">
        <v>11</v>
      </c>
      <c r="T2332">
        <v>10</v>
      </c>
      <c r="V2332" t="s">
        <v>18</v>
      </c>
    </row>
    <row r="2333" spans="1:22" x14ac:dyDescent="0.25">
      <c r="A2333">
        <v>130</v>
      </c>
      <c r="B2333" t="s">
        <v>92</v>
      </c>
      <c r="C2333" t="s">
        <v>706</v>
      </c>
      <c r="E2333" t="s">
        <v>706</v>
      </c>
      <c r="L2333" t="s">
        <v>93</v>
      </c>
      <c r="M2333">
        <v>70</v>
      </c>
      <c r="N2333" t="s">
        <v>599</v>
      </c>
      <c r="Q2333">
        <v>17.068999999999999</v>
      </c>
      <c r="R2333" t="s">
        <v>17</v>
      </c>
      <c r="T2333">
        <v>10</v>
      </c>
      <c r="V2333" t="s">
        <v>15</v>
      </c>
    </row>
    <row r="2334" spans="1:22" x14ac:dyDescent="0.25">
      <c r="A2334">
        <v>130</v>
      </c>
      <c r="B2334" t="s">
        <v>92</v>
      </c>
      <c r="C2334" t="s">
        <v>706</v>
      </c>
      <c r="E2334" t="s">
        <v>706</v>
      </c>
      <c r="L2334" t="s">
        <v>93</v>
      </c>
      <c r="M2334">
        <v>80</v>
      </c>
      <c r="N2334" t="s">
        <v>20</v>
      </c>
      <c r="Q2334">
        <v>139.964</v>
      </c>
      <c r="R2334" t="s">
        <v>17</v>
      </c>
      <c r="T2334">
        <v>10</v>
      </c>
      <c r="V2334" t="s">
        <v>15</v>
      </c>
    </row>
    <row r="2335" spans="1:22" x14ac:dyDescent="0.25">
      <c r="A2335">
        <v>130</v>
      </c>
      <c r="B2335" t="s">
        <v>92</v>
      </c>
      <c r="C2335" t="s">
        <v>706</v>
      </c>
      <c r="E2335" t="s">
        <v>706</v>
      </c>
      <c r="L2335" t="s">
        <v>93</v>
      </c>
      <c r="M2335">
        <v>90</v>
      </c>
      <c r="N2335" t="s">
        <v>24</v>
      </c>
      <c r="Q2335">
        <v>1</v>
      </c>
      <c r="R2335" t="s">
        <v>11</v>
      </c>
      <c r="T2335">
        <v>10</v>
      </c>
      <c r="V2335" t="s">
        <v>15</v>
      </c>
    </row>
    <row r="2336" spans="1:22" x14ac:dyDescent="0.25">
      <c r="A2336">
        <v>130</v>
      </c>
      <c r="B2336" t="s">
        <v>92</v>
      </c>
      <c r="C2336" t="s">
        <v>706</v>
      </c>
      <c r="E2336" t="s">
        <v>706</v>
      </c>
      <c r="L2336" t="s">
        <v>93</v>
      </c>
      <c r="M2336">
        <v>100</v>
      </c>
      <c r="N2336" t="s">
        <v>141</v>
      </c>
      <c r="Q2336">
        <v>7.5999999999999998E-2</v>
      </c>
      <c r="R2336" t="s">
        <v>14</v>
      </c>
      <c r="T2336">
        <v>10</v>
      </c>
      <c r="V2336" t="s">
        <v>15</v>
      </c>
    </row>
    <row r="2337" spans="1:22" x14ac:dyDescent="0.25">
      <c r="A2337">
        <v>130</v>
      </c>
      <c r="B2337" t="s">
        <v>92</v>
      </c>
      <c r="C2337" t="s">
        <v>706</v>
      </c>
      <c r="E2337" t="s">
        <v>706</v>
      </c>
      <c r="L2337" t="s">
        <v>93</v>
      </c>
      <c r="M2337">
        <v>110</v>
      </c>
      <c r="N2337" t="s">
        <v>140</v>
      </c>
      <c r="Q2337">
        <v>4</v>
      </c>
      <c r="R2337" t="s">
        <v>11</v>
      </c>
      <c r="T2337">
        <v>10</v>
      </c>
      <c r="V2337" t="s">
        <v>15</v>
      </c>
    </row>
    <row r="2338" spans="1:22" x14ac:dyDescent="0.25">
      <c r="A2338">
        <v>130</v>
      </c>
      <c r="B2338" t="s">
        <v>92</v>
      </c>
      <c r="C2338" t="s">
        <v>706</v>
      </c>
      <c r="E2338" t="s">
        <v>706</v>
      </c>
      <c r="L2338" t="s">
        <v>93</v>
      </c>
      <c r="M2338">
        <v>120</v>
      </c>
      <c r="N2338" t="s">
        <v>25</v>
      </c>
      <c r="Q2338">
        <v>1</v>
      </c>
      <c r="R2338" t="s">
        <v>11</v>
      </c>
      <c r="T2338">
        <v>10</v>
      </c>
      <c r="V2338" t="s">
        <v>15</v>
      </c>
    </row>
    <row r="2339" spans="1:22" x14ac:dyDescent="0.25">
      <c r="A2339">
        <v>130</v>
      </c>
      <c r="B2339" t="s">
        <v>92</v>
      </c>
      <c r="C2339" t="s">
        <v>706</v>
      </c>
      <c r="E2339" t="s">
        <v>706</v>
      </c>
      <c r="L2339" t="s">
        <v>93</v>
      </c>
      <c r="M2339">
        <v>130</v>
      </c>
      <c r="N2339" t="s">
        <v>26</v>
      </c>
      <c r="Q2339">
        <v>1</v>
      </c>
      <c r="R2339" t="s">
        <v>11</v>
      </c>
      <c r="T2339">
        <v>10</v>
      </c>
      <c r="V2339" t="s">
        <v>15</v>
      </c>
    </row>
    <row r="2340" spans="1:22" x14ac:dyDescent="0.25">
      <c r="A2340">
        <v>130</v>
      </c>
      <c r="B2340" t="s">
        <v>92</v>
      </c>
      <c r="C2340" t="s">
        <v>706</v>
      </c>
      <c r="E2340" t="s">
        <v>706</v>
      </c>
      <c r="L2340" t="s">
        <v>93</v>
      </c>
      <c r="M2340">
        <v>140</v>
      </c>
      <c r="N2340" t="s">
        <v>100</v>
      </c>
      <c r="Q2340">
        <v>1.1890000000000001</v>
      </c>
      <c r="R2340" t="s">
        <v>14</v>
      </c>
      <c r="T2340">
        <v>10</v>
      </c>
      <c r="V2340" t="s">
        <v>15</v>
      </c>
    </row>
    <row r="2341" spans="1:22" x14ac:dyDescent="0.25">
      <c r="A2341">
        <v>130</v>
      </c>
      <c r="B2341" t="s">
        <v>92</v>
      </c>
      <c r="C2341" t="s">
        <v>706</v>
      </c>
      <c r="E2341" t="s">
        <v>706</v>
      </c>
      <c r="L2341" t="s">
        <v>93</v>
      </c>
      <c r="M2341">
        <v>150</v>
      </c>
      <c r="N2341" t="s">
        <v>473</v>
      </c>
      <c r="Q2341">
        <v>1</v>
      </c>
      <c r="R2341" t="s">
        <v>11</v>
      </c>
      <c r="T2341">
        <v>10</v>
      </c>
      <c r="V2341" t="s">
        <v>18</v>
      </c>
    </row>
    <row r="2342" spans="1:22" x14ac:dyDescent="0.25">
      <c r="A2342">
        <v>130</v>
      </c>
      <c r="B2342" t="s">
        <v>92</v>
      </c>
      <c r="C2342" t="s">
        <v>706</v>
      </c>
      <c r="E2342" t="s">
        <v>706</v>
      </c>
      <c r="L2342" t="s">
        <v>93</v>
      </c>
      <c r="M2342">
        <v>160</v>
      </c>
      <c r="N2342" t="s">
        <v>474</v>
      </c>
      <c r="Q2342">
        <v>1</v>
      </c>
      <c r="R2342" t="s">
        <v>11</v>
      </c>
      <c r="T2342">
        <v>10</v>
      </c>
      <c r="V2342" t="s">
        <v>18</v>
      </c>
    </row>
    <row r="2343" spans="1:22" x14ac:dyDescent="0.25">
      <c r="A2343">
        <v>130</v>
      </c>
      <c r="B2343" t="s">
        <v>92</v>
      </c>
      <c r="C2343" t="s">
        <v>706</v>
      </c>
      <c r="E2343" t="s">
        <v>706</v>
      </c>
      <c r="L2343" t="s">
        <v>93</v>
      </c>
      <c r="M2343">
        <v>170</v>
      </c>
      <c r="N2343" t="s">
        <v>142</v>
      </c>
      <c r="Q2343">
        <v>5.69</v>
      </c>
      <c r="R2343" t="s">
        <v>11</v>
      </c>
      <c r="T2343">
        <v>10</v>
      </c>
      <c r="V2343" t="s">
        <v>15</v>
      </c>
    </row>
    <row r="2344" spans="1:22" x14ac:dyDescent="0.25">
      <c r="A2344">
        <v>130</v>
      </c>
      <c r="B2344" t="s">
        <v>92</v>
      </c>
      <c r="C2344" t="s">
        <v>706</v>
      </c>
      <c r="E2344" t="s">
        <v>706</v>
      </c>
      <c r="L2344" t="s">
        <v>93</v>
      </c>
      <c r="M2344">
        <v>180</v>
      </c>
      <c r="N2344" t="s">
        <v>475</v>
      </c>
      <c r="Q2344">
        <v>1</v>
      </c>
      <c r="R2344" t="s">
        <v>11</v>
      </c>
      <c r="T2344">
        <v>10</v>
      </c>
      <c r="V2344" t="s">
        <v>18</v>
      </c>
    </row>
    <row r="2345" spans="1:22" x14ac:dyDescent="0.25">
      <c r="A2345">
        <v>131</v>
      </c>
      <c r="B2345" t="s">
        <v>92</v>
      </c>
      <c r="C2345" t="s">
        <v>708</v>
      </c>
      <c r="E2345" t="s">
        <v>708</v>
      </c>
      <c r="L2345" t="s">
        <v>93</v>
      </c>
      <c r="M2345">
        <v>10</v>
      </c>
      <c r="N2345" t="s">
        <v>477</v>
      </c>
      <c r="Q2345">
        <v>1</v>
      </c>
      <c r="R2345" t="s">
        <v>11</v>
      </c>
      <c r="T2345">
        <v>10</v>
      </c>
      <c r="V2345" t="s">
        <v>18</v>
      </c>
    </row>
    <row r="2346" spans="1:22" x14ac:dyDescent="0.25">
      <c r="A2346">
        <v>131</v>
      </c>
      <c r="B2346" t="s">
        <v>92</v>
      </c>
      <c r="C2346" t="s">
        <v>708</v>
      </c>
      <c r="E2346" t="s">
        <v>708</v>
      </c>
      <c r="L2346" t="s">
        <v>93</v>
      </c>
      <c r="M2346">
        <v>20</v>
      </c>
      <c r="N2346" t="s">
        <v>126</v>
      </c>
      <c r="Q2346">
        <v>2.4849999999999999</v>
      </c>
      <c r="R2346" t="s">
        <v>14</v>
      </c>
      <c r="T2346">
        <v>10</v>
      </c>
      <c r="V2346" t="s">
        <v>15</v>
      </c>
    </row>
    <row r="2347" spans="1:22" x14ac:dyDescent="0.25">
      <c r="A2347">
        <v>131</v>
      </c>
      <c r="B2347" t="s">
        <v>92</v>
      </c>
      <c r="C2347" t="s">
        <v>708</v>
      </c>
      <c r="E2347" t="s">
        <v>708</v>
      </c>
      <c r="L2347" t="s">
        <v>93</v>
      </c>
      <c r="M2347">
        <v>30</v>
      </c>
      <c r="N2347" t="s">
        <v>102</v>
      </c>
      <c r="Q2347">
        <v>0.68200000000000005</v>
      </c>
      <c r="R2347" t="s">
        <v>103</v>
      </c>
      <c r="T2347">
        <v>10</v>
      </c>
      <c r="V2347" t="s">
        <v>15</v>
      </c>
    </row>
    <row r="2348" spans="1:22" x14ac:dyDescent="0.25">
      <c r="A2348">
        <v>131</v>
      </c>
      <c r="B2348" t="s">
        <v>92</v>
      </c>
      <c r="C2348" t="s">
        <v>708</v>
      </c>
      <c r="E2348" t="s">
        <v>708</v>
      </c>
      <c r="L2348" t="s">
        <v>93</v>
      </c>
      <c r="M2348">
        <v>40</v>
      </c>
      <c r="N2348" t="s">
        <v>597</v>
      </c>
      <c r="Q2348">
        <v>0.94</v>
      </c>
      <c r="R2348" t="s">
        <v>11</v>
      </c>
      <c r="T2348">
        <v>10</v>
      </c>
      <c r="V2348" t="s">
        <v>18</v>
      </c>
    </row>
    <row r="2349" spans="1:22" x14ac:dyDescent="0.25">
      <c r="A2349">
        <v>131</v>
      </c>
      <c r="B2349" t="s">
        <v>92</v>
      </c>
      <c r="C2349" t="s">
        <v>708</v>
      </c>
      <c r="E2349" t="s">
        <v>708</v>
      </c>
      <c r="L2349" t="s">
        <v>93</v>
      </c>
      <c r="M2349">
        <v>50</v>
      </c>
      <c r="N2349" t="s">
        <v>139</v>
      </c>
      <c r="Q2349">
        <v>0.94</v>
      </c>
      <c r="R2349" t="s">
        <v>17</v>
      </c>
      <c r="T2349">
        <v>10</v>
      </c>
      <c r="V2349" t="s">
        <v>18</v>
      </c>
    </row>
    <row r="2350" spans="1:22" x14ac:dyDescent="0.25">
      <c r="A2350">
        <v>131</v>
      </c>
      <c r="B2350" t="s">
        <v>92</v>
      </c>
      <c r="C2350" t="s">
        <v>708</v>
      </c>
      <c r="E2350" t="s">
        <v>708</v>
      </c>
      <c r="L2350" t="s">
        <v>93</v>
      </c>
      <c r="M2350">
        <v>60</v>
      </c>
      <c r="N2350" t="s">
        <v>709</v>
      </c>
      <c r="Q2350">
        <v>1</v>
      </c>
      <c r="R2350" t="s">
        <v>11</v>
      </c>
      <c r="T2350">
        <v>10</v>
      </c>
      <c r="V2350" t="s">
        <v>18</v>
      </c>
    </row>
    <row r="2351" spans="1:22" x14ac:dyDescent="0.25">
      <c r="A2351">
        <v>131</v>
      </c>
      <c r="B2351" t="s">
        <v>92</v>
      </c>
      <c r="C2351" t="s">
        <v>708</v>
      </c>
      <c r="E2351" t="s">
        <v>708</v>
      </c>
      <c r="L2351" t="s">
        <v>93</v>
      </c>
      <c r="M2351">
        <v>70</v>
      </c>
      <c r="N2351" t="s">
        <v>599</v>
      </c>
      <c r="Q2351">
        <v>17.983000000000001</v>
      </c>
      <c r="R2351" t="s">
        <v>17</v>
      </c>
      <c r="T2351">
        <v>10</v>
      </c>
      <c r="V2351" t="s">
        <v>15</v>
      </c>
    </row>
    <row r="2352" spans="1:22" x14ac:dyDescent="0.25">
      <c r="A2352">
        <v>131</v>
      </c>
      <c r="B2352" t="s">
        <v>92</v>
      </c>
      <c r="C2352" t="s">
        <v>708</v>
      </c>
      <c r="E2352" t="s">
        <v>708</v>
      </c>
      <c r="L2352" t="s">
        <v>93</v>
      </c>
      <c r="M2352">
        <v>80</v>
      </c>
      <c r="N2352" t="s">
        <v>20</v>
      </c>
      <c r="Q2352">
        <v>147.46199999999999</v>
      </c>
      <c r="R2352" t="s">
        <v>17</v>
      </c>
      <c r="T2352">
        <v>10</v>
      </c>
      <c r="V2352" t="s">
        <v>15</v>
      </c>
    </row>
    <row r="2353" spans="1:22" x14ac:dyDescent="0.25">
      <c r="A2353">
        <v>131</v>
      </c>
      <c r="B2353" t="s">
        <v>92</v>
      </c>
      <c r="C2353" t="s">
        <v>708</v>
      </c>
      <c r="E2353" t="s">
        <v>708</v>
      </c>
      <c r="L2353" t="s">
        <v>93</v>
      </c>
      <c r="M2353">
        <v>90</v>
      </c>
      <c r="N2353" t="s">
        <v>24</v>
      </c>
      <c r="Q2353">
        <v>1</v>
      </c>
      <c r="R2353" t="s">
        <v>11</v>
      </c>
      <c r="T2353">
        <v>10</v>
      </c>
      <c r="V2353" t="s">
        <v>15</v>
      </c>
    </row>
    <row r="2354" spans="1:22" x14ac:dyDescent="0.25">
      <c r="A2354">
        <v>131</v>
      </c>
      <c r="B2354" t="s">
        <v>92</v>
      </c>
      <c r="C2354" t="s">
        <v>708</v>
      </c>
      <c r="E2354" t="s">
        <v>708</v>
      </c>
      <c r="L2354" t="s">
        <v>93</v>
      </c>
      <c r="M2354">
        <v>100</v>
      </c>
      <c r="N2354" t="s">
        <v>141</v>
      </c>
      <c r="Q2354">
        <v>8.5999999999999993E-2</v>
      </c>
      <c r="R2354" t="s">
        <v>14</v>
      </c>
      <c r="T2354">
        <v>10</v>
      </c>
      <c r="V2354" t="s">
        <v>15</v>
      </c>
    </row>
    <row r="2355" spans="1:22" x14ac:dyDescent="0.25">
      <c r="A2355">
        <v>131</v>
      </c>
      <c r="B2355" t="s">
        <v>92</v>
      </c>
      <c r="C2355" t="s">
        <v>708</v>
      </c>
      <c r="E2355" t="s">
        <v>708</v>
      </c>
      <c r="L2355" t="s">
        <v>93</v>
      </c>
      <c r="M2355">
        <v>110</v>
      </c>
      <c r="N2355" t="s">
        <v>140</v>
      </c>
      <c r="Q2355">
        <v>4</v>
      </c>
      <c r="R2355" t="s">
        <v>11</v>
      </c>
      <c r="T2355">
        <v>10</v>
      </c>
      <c r="V2355" t="s">
        <v>15</v>
      </c>
    </row>
    <row r="2356" spans="1:22" x14ac:dyDescent="0.25">
      <c r="A2356">
        <v>131</v>
      </c>
      <c r="B2356" t="s">
        <v>92</v>
      </c>
      <c r="C2356" t="s">
        <v>708</v>
      </c>
      <c r="E2356" t="s">
        <v>708</v>
      </c>
      <c r="L2356" t="s">
        <v>93</v>
      </c>
      <c r="M2356">
        <v>120</v>
      </c>
      <c r="N2356" t="s">
        <v>25</v>
      </c>
      <c r="Q2356">
        <v>1</v>
      </c>
      <c r="R2356" t="s">
        <v>11</v>
      </c>
      <c r="T2356">
        <v>10</v>
      </c>
      <c r="V2356" t="s">
        <v>15</v>
      </c>
    </row>
    <row r="2357" spans="1:22" x14ac:dyDescent="0.25">
      <c r="A2357">
        <v>131</v>
      </c>
      <c r="B2357" t="s">
        <v>92</v>
      </c>
      <c r="C2357" t="s">
        <v>708</v>
      </c>
      <c r="E2357" t="s">
        <v>708</v>
      </c>
      <c r="L2357" t="s">
        <v>93</v>
      </c>
      <c r="M2357">
        <v>130</v>
      </c>
      <c r="N2357" t="s">
        <v>26</v>
      </c>
      <c r="Q2357">
        <v>1</v>
      </c>
      <c r="R2357" t="s">
        <v>11</v>
      </c>
      <c r="T2357">
        <v>10</v>
      </c>
      <c r="V2357" t="s">
        <v>15</v>
      </c>
    </row>
    <row r="2358" spans="1:22" x14ac:dyDescent="0.25">
      <c r="A2358">
        <v>131</v>
      </c>
      <c r="B2358" t="s">
        <v>92</v>
      </c>
      <c r="C2358" t="s">
        <v>708</v>
      </c>
      <c r="E2358" t="s">
        <v>708</v>
      </c>
      <c r="L2358" t="s">
        <v>93</v>
      </c>
      <c r="M2358">
        <v>140</v>
      </c>
      <c r="N2358" t="s">
        <v>100</v>
      </c>
      <c r="Q2358">
        <v>1.1890000000000001</v>
      </c>
      <c r="R2358" t="s">
        <v>14</v>
      </c>
      <c r="T2358">
        <v>10</v>
      </c>
      <c r="V2358" t="s">
        <v>15</v>
      </c>
    </row>
    <row r="2359" spans="1:22" x14ac:dyDescent="0.25">
      <c r="A2359">
        <v>131</v>
      </c>
      <c r="B2359" t="s">
        <v>92</v>
      </c>
      <c r="C2359" t="s">
        <v>708</v>
      </c>
      <c r="E2359" t="s">
        <v>708</v>
      </c>
      <c r="L2359" t="s">
        <v>93</v>
      </c>
      <c r="M2359">
        <v>150</v>
      </c>
      <c r="N2359" t="s">
        <v>479</v>
      </c>
      <c r="Q2359">
        <v>1</v>
      </c>
      <c r="R2359" t="s">
        <v>11</v>
      </c>
      <c r="T2359">
        <v>10</v>
      </c>
      <c r="V2359" t="s">
        <v>18</v>
      </c>
    </row>
    <row r="2360" spans="1:22" x14ac:dyDescent="0.25">
      <c r="A2360">
        <v>131</v>
      </c>
      <c r="B2360" t="s">
        <v>92</v>
      </c>
      <c r="C2360" t="s">
        <v>708</v>
      </c>
      <c r="E2360" t="s">
        <v>708</v>
      </c>
      <c r="L2360" t="s">
        <v>93</v>
      </c>
      <c r="M2360">
        <v>160</v>
      </c>
      <c r="N2360" t="s">
        <v>480</v>
      </c>
      <c r="Q2360">
        <v>1</v>
      </c>
      <c r="R2360" t="s">
        <v>11</v>
      </c>
      <c r="T2360">
        <v>10</v>
      </c>
      <c r="V2360" t="s">
        <v>18</v>
      </c>
    </row>
    <row r="2361" spans="1:22" x14ac:dyDescent="0.25">
      <c r="A2361">
        <v>131</v>
      </c>
      <c r="B2361" t="s">
        <v>92</v>
      </c>
      <c r="C2361" t="s">
        <v>708</v>
      </c>
      <c r="E2361" t="s">
        <v>708</v>
      </c>
      <c r="L2361" t="s">
        <v>93</v>
      </c>
      <c r="M2361">
        <v>170</v>
      </c>
      <c r="N2361" t="s">
        <v>142</v>
      </c>
      <c r="Q2361">
        <v>5.9939999999999998</v>
      </c>
      <c r="R2361" t="s">
        <v>11</v>
      </c>
      <c r="T2361">
        <v>10</v>
      </c>
      <c r="V2361" t="s">
        <v>15</v>
      </c>
    </row>
    <row r="2362" spans="1:22" x14ac:dyDescent="0.25">
      <c r="A2362">
        <v>131</v>
      </c>
      <c r="B2362" t="s">
        <v>92</v>
      </c>
      <c r="C2362" t="s">
        <v>708</v>
      </c>
      <c r="E2362" t="s">
        <v>708</v>
      </c>
      <c r="L2362" t="s">
        <v>93</v>
      </c>
      <c r="M2362">
        <v>180</v>
      </c>
      <c r="N2362" t="s">
        <v>481</v>
      </c>
      <c r="Q2362">
        <v>1</v>
      </c>
      <c r="R2362" t="s">
        <v>11</v>
      </c>
      <c r="T2362">
        <v>10</v>
      </c>
      <c r="V2362" t="s">
        <v>18</v>
      </c>
    </row>
    <row r="2363" spans="1:22" x14ac:dyDescent="0.25">
      <c r="A2363">
        <v>132</v>
      </c>
      <c r="B2363" t="s">
        <v>92</v>
      </c>
      <c r="C2363" t="s">
        <v>710</v>
      </c>
      <c r="E2363" t="s">
        <v>710</v>
      </c>
      <c r="L2363" t="s">
        <v>93</v>
      </c>
      <c r="M2363">
        <v>10</v>
      </c>
      <c r="N2363" t="s">
        <v>483</v>
      </c>
      <c r="Q2363">
        <v>1</v>
      </c>
      <c r="R2363" t="s">
        <v>11</v>
      </c>
      <c r="T2363">
        <v>10</v>
      </c>
      <c r="V2363" t="s">
        <v>18</v>
      </c>
    </row>
    <row r="2364" spans="1:22" x14ac:dyDescent="0.25">
      <c r="A2364">
        <v>132</v>
      </c>
      <c r="B2364" t="s">
        <v>92</v>
      </c>
      <c r="C2364" t="s">
        <v>710</v>
      </c>
      <c r="E2364" t="s">
        <v>710</v>
      </c>
      <c r="L2364" t="s">
        <v>93</v>
      </c>
      <c r="M2364">
        <v>20</v>
      </c>
      <c r="N2364" t="s">
        <v>127</v>
      </c>
      <c r="Q2364">
        <v>2.9049999999999998</v>
      </c>
      <c r="R2364" t="s">
        <v>14</v>
      </c>
      <c r="T2364">
        <v>10</v>
      </c>
      <c r="V2364" t="s">
        <v>15</v>
      </c>
    </row>
    <row r="2365" spans="1:22" x14ac:dyDescent="0.25">
      <c r="A2365">
        <v>132</v>
      </c>
      <c r="B2365" t="s">
        <v>92</v>
      </c>
      <c r="C2365" t="s">
        <v>710</v>
      </c>
      <c r="E2365" t="s">
        <v>710</v>
      </c>
      <c r="L2365" t="s">
        <v>93</v>
      </c>
      <c r="M2365">
        <v>30</v>
      </c>
      <c r="N2365" t="s">
        <v>102</v>
      </c>
      <c r="Q2365">
        <v>0.79900000000000004</v>
      </c>
      <c r="R2365" t="s">
        <v>103</v>
      </c>
      <c r="T2365">
        <v>10</v>
      </c>
      <c r="V2365" t="s">
        <v>15</v>
      </c>
    </row>
    <row r="2366" spans="1:22" x14ac:dyDescent="0.25">
      <c r="A2366">
        <v>132</v>
      </c>
      <c r="B2366" t="s">
        <v>92</v>
      </c>
      <c r="C2366" t="s">
        <v>710</v>
      </c>
      <c r="E2366" t="s">
        <v>710</v>
      </c>
      <c r="L2366" t="s">
        <v>93</v>
      </c>
      <c r="M2366">
        <v>40</v>
      </c>
      <c r="N2366" t="s">
        <v>597</v>
      </c>
      <c r="Q2366">
        <v>1.0920000000000001</v>
      </c>
      <c r="R2366" t="s">
        <v>11</v>
      </c>
      <c r="T2366">
        <v>10</v>
      </c>
      <c r="V2366" t="s">
        <v>18</v>
      </c>
    </row>
    <row r="2367" spans="1:22" x14ac:dyDescent="0.25">
      <c r="A2367">
        <v>132</v>
      </c>
      <c r="B2367" t="s">
        <v>92</v>
      </c>
      <c r="C2367" t="s">
        <v>710</v>
      </c>
      <c r="E2367" t="s">
        <v>710</v>
      </c>
      <c r="L2367" t="s">
        <v>93</v>
      </c>
      <c r="M2367">
        <v>50</v>
      </c>
      <c r="N2367" t="s">
        <v>139</v>
      </c>
      <c r="Q2367">
        <v>1.0920000000000001</v>
      </c>
      <c r="R2367" t="s">
        <v>17</v>
      </c>
      <c r="T2367">
        <v>10</v>
      </c>
      <c r="V2367" t="s">
        <v>18</v>
      </c>
    </row>
    <row r="2368" spans="1:22" x14ac:dyDescent="0.25">
      <c r="A2368">
        <v>132</v>
      </c>
      <c r="B2368" t="s">
        <v>92</v>
      </c>
      <c r="C2368" t="s">
        <v>710</v>
      </c>
      <c r="E2368" t="s">
        <v>710</v>
      </c>
      <c r="L2368" t="s">
        <v>93</v>
      </c>
      <c r="M2368">
        <v>60</v>
      </c>
      <c r="N2368" t="s">
        <v>711</v>
      </c>
      <c r="Q2368">
        <v>1</v>
      </c>
      <c r="R2368" t="s">
        <v>11</v>
      </c>
      <c r="T2368">
        <v>10</v>
      </c>
      <c r="V2368" t="s">
        <v>18</v>
      </c>
    </row>
    <row r="2369" spans="1:22" x14ac:dyDescent="0.25">
      <c r="A2369">
        <v>132</v>
      </c>
      <c r="B2369" t="s">
        <v>92</v>
      </c>
      <c r="C2369" t="s">
        <v>710</v>
      </c>
      <c r="E2369" t="s">
        <v>710</v>
      </c>
      <c r="L2369" t="s">
        <v>93</v>
      </c>
      <c r="M2369">
        <v>70</v>
      </c>
      <c r="N2369" t="s">
        <v>599</v>
      </c>
      <c r="Q2369">
        <v>18.898</v>
      </c>
      <c r="R2369" t="s">
        <v>17</v>
      </c>
      <c r="T2369">
        <v>10</v>
      </c>
      <c r="V2369" t="s">
        <v>15</v>
      </c>
    </row>
    <row r="2370" spans="1:22" x14ac:dyDescent="0.25">
      <c r="A2370">
        <v>132</v>
      </c>
      <c r="B2370" t="s">
        <v>92</v>
      </c>
      <c r="C2370" t="s">
        <v>710</v>
      </c>
      <c r="E2370" t="s">
        <v>710</v>
      </c>
      <c r="L2370" t="s">
        <v>93</v>
      </c>
      <c r="M2370">
        <v>80</v>
      </c>
      <c r="N2370" t="s">
        <v>20</v>
      </c>
      <c r="Q2370">
        <v>154.96</v>
      </c>
      <c r="R2370" t="s">
        <v>17</v>
      </c>
      <c r="T2370">
        <v>10</v>
      </c>
      <c r="V2370" t="s">
        <v>15</v>
      </c>
    </row>
    <row r="2371" spans="1:22" x14ac:dyDescent="0.25">
      <c r="A2371">
        <v>132</v>
      </c>
      <c r="B2371" t="s">
        <v>92</v>
      </c>
      <c r="C2371" t="s">
        <v>710</v>
      </c>
      <c r="E2371" t="s">
        <v>710</v>
      </c>
      <c r="L2371" t="s">
        <v>93</v>
      </c>
      <c r="M2371">
        <v>90</v>
      </c>
      <c r="N2371" t="s">
        <v>24</v>
      </c>
      <c r="Q2371">
        <v>1</v>
      </c>
      <c r="R2371" t="s">
        <v>11</v>
      </c>
      <c r="T2371">
        <v>10</v>
      </c>
      <c r="V2371" t="s">
        <v>15</v>
      </c>
    </row>
    <row r="2372" spans="1:22" x14ac:dyDescent="0.25">
      <c r="A2372">
        <v>132</v>
      </c>
      <c r="B2372" t="s">
        <v>92</v>
      </c>
      <c r="C2372" t="s">
        <v>710</v>
      </c>
      <c r="E2372" t="s">
        <v>710</v>
      </c>
      <c r="L2372" t="s">
        <v>93</v>
      </c>
      <c r="M2372">
        <v>100</v>
      </c>
      <c r="N2372" t="s">
        <v>141</v>
      </c>
      <c r="Q2372">
        <v>9.7000000000000003E-2</v>
      </c>
      <c r="R2372" t="s">
        <v>14</v>
      </c>
      <c r="T2372">
        <v>10</v>
      </c>
      <c r="V2372" t="s">
        <v>15</v>
      </c>
    </row>
    <row r="2373" spans="1:22" x14ac:dyDescent="0.25">
      <c r="A2373">
        <v>132</v>
      </c>
      <c r="B2373" t="s">
        <v>92</v>
      </c>
      <c r="C2373" t="s">
        <v>710</v>
      </c>
      <c r="E2373" t="s">
        <v>710</v>
      </c>
      <c r="L2373" t="s">
        <v>93</v>
      </c>
      <c r="M2373">
        <v>110</v>
      </c>
      <c r="N2373" t="s">
        <v>140</v>
      </c>
      <c r="Q2373">
        <v>4</v>
      </c>
      <c r="R2373" t="s">
        <v>11</v>
      </c>
      <c r="T2373">
        <v>10</v>
      </c>
      <c r="V2373" t="s">
        <v>15</v>
      </c>
    </row>
    <row r="2374" spans="1:22" x14ac:dyDescent="0.25">
      <c r="A2374">
        <v>132</v>
      </c>
      <c r="B2374" t="s">
        <v>92</v>
      </c>
      <c r="C2374" t="s">
        <v>710</v>
      </c>
      <c r="E2374" t="s">
        <v>710</v>
      </c>
      <c r="L2374" t="s">
        <v>93</v>
      </c>
      <c r="M2374">
        <v>120</v>
      </c>
      <c r="N2374" t="s">
        <v>25</v>
      </c>
      <c r="Q2374">
        <v>1</v>
      </c>
      <c r="R2374" t="s">
        <v>11</v>
      </c>
      <c r="T2374">
        <v>10</v>
      </c>
      <c r="V2374" t="s">
        <v>15</v>
      </c>
    </row>
    <row r="2375" spans="1:22" x14ac:dyDescent="0.25">
      <c r="A2375">
        <v>132</v>
      </c>
      <c r="B2375" t="s">
        <v>92</v>
      </c>
      <c r="C2375" t="s">
        <v>710</v>
      </c>
      <c r="E2375" t="s">
        <v>710</v>
      </c>
      <c r="L2375" t="s">
        <v>93</v>
      </c>
      <c r="M2375">
        <v>130</v>
      </c>
      <c r="N2375" t="s">
        <v>26</v>
      </c>
      <c r="Q2375">
        <v>1</v>
      </c>
      <c r="R2375" t="s">
        <v>11</v>
      </c>
      <c r="T2375">
        <v>10</v>
      </c>
      <c r="V2375" t="s">
        <v>15</v>
      </c>
    </row>
    <row r="2376" spans="1:22" x14ac:dyDescent="0.25">
      <c r="A2376">
        <v>132</v>
      </c>
      <c r="B2376" t="s">
        <v>92</v>
      </c>
      <c r="C2376" t="s">
        <v>710</v>
      </c>
      <c r="E2376" t="s">
        <v>710</v>
      </c>
      <c r="L2376" t="s">
        <v>93</v>
      </c>
      <c r="M2376">
        <v>140</v>
      </c>
      <c r="N2376" t="s">
        <v>100</v>
      </c>
      <c r="Q2376">
        <v>1.1890000000000001</v>
      </c>
      <c r="R2376" t="s">
        <v>14</v>
      </c>
      <c r="T2376">
        <v>10</v>
      </c>
      <c r="V2376" t="s">
        <v>15</v>
      </c>
    </row>
    <row r="2377" spans="1:22" x14ac:dyDescent="0.25">
      <c r="A2377">
        <v>132</v>
      </c>
      <c r="B2377" t="s">
        <v>92</v>
      </c>
      <c r="C2377" t="s">
        <v>710</v>
      </c>
      <c r="E2377" t="s">
        <v>710</v>
      </c>
      <c r="L2377" t="s">
        <v>93</v>
      </c>
      <c r="M2377">
        <v>150</v>
      </c>
      <c r="N2377" t="s">
        <v>485</v>
      </c>
      <c r="Q2377">
        <v>1</v>
      </c>
      <c r="R2377" t="s">
        <v>11</v>
      </c>
      <c r="T2377">
        <v>10</v>
      </c>
      <c r="V2377" t="s">
        <v>18</v>
      </c>
    </row>
    <row r="2378" spans="1:22" x14ac:dyDescent="0.25">
      <c r="A2378">
        <v>132</v>
      </c>
      <c r="B2378" t="s">
        <v>92</v>
      </c>
      <c r="C2378" t="s">
        <v>710</v>
      </c>
      <c r="E2378" t="s">
        <v>710</v>
      </c>
      <c r="L2378" t="s">
        <v>93</v>
      </c>
      <c r="M2378">
        <v>160</v>
      </c>
      <c r="N2378" t="s">
        <v>486</v>
      </c>
      <c r="Q2378">
        <v>1</v>
      </c>
      <c r="R2378" t="s">
        <v>11</v>
      </c>
      <c r="T2378">
        <v>10</v>
      </c>
      <c r="V2378" t="s">
        <v>18</v>
      </c>
    </row>
    <row r="2379" spans="1:22" x14ac:dyDescent="0.25">
      <c r="A2379">
        <v>132</v>
      </c>
      <c r="B2379" t="s">
        <v>92</v>
      </c>
      <c r="C2379" t="s">
        <v>710</v>
      </c>
      <c r="E2379" t="s">
        <v>710</v>
      </c>
      <c r="L2379" t="s">
        <v>93</v>
      </c>
      <c r="M2379">
        <v>170</v>
      </c>
      <c r="N2379" t="s">
        <v>142</v>
      </c>
      <c r="Q2379">
        <v>6.2990000000000004</v>
      </c>
      <c r="R2379" t="s">
        <v>11</v>
      </c>
      <c r="T2379">
        <v>10</v>
      </c>
      <c r="V2379" t="s">
        <v>15</v>
      </c>
    </row>
    <row r="2380" spans="1:22" x14ac:dyDescent="0.25">
      <c r="A2380">
        <v>132</v>
      </c>
      <c r="B2380" t="s">
        <v>92</v>
      </c>
      <c r="C2380" t="s">
        <v>710</v>
      </c>
      <c r="E2380" t="s">
        <v>710</v>
      </c>
      <c r="L2380" t="s">
        <v>93</v>
      </c>
      <c r="M2380">
        <v>180</v>
      </c>
      <c r="N2380" t="s">
        <v>487</v>
      </c>
      <c r="Q2380">
        <v>1</v>
      </c>
      <c r="R2380" t="s">
        <v>11</v>
      </c>
      <c r="T2380">
        <v>10</v>
      </c>
      <c r="V2380" t="s">
        <v>18</v>
      </c>
    </row>
    <row r="2381" spans="1:22" x14ac:dyDescent="0.25">
      <c r="A2381">
        <v>133</v>
      </c>
      <c r="B2381" t="s">
        <v>92</v>
      </c>
      <c r="C2381" t="s">
        <v>712</v>
      </c>
      <c r="E2381" t="s">
        <v>712</v>
      </c>
      <c r="L2381" t="s">
        <v>93</v>
      </c>
      <c r="M2381">
        <v>10</v>
      </c>
      <c r="N2381" t="s">
        <v>489</v>
      </c>
      <c r="Q2381">
        <v>1</v>
      </c>
      <c r="R2381" t="s">
        <v>11</v>
      </c>
      <c r="T2381">
        <v>10</v>
      </c>
      <c r="V2381" t="s">
        <v>18</v>
      </c>
    </row>
    <row r="2382" spans="1:22" x14ac:dyDescent="0.25">
      <c r="A2382">
        <v>133</v>
      </c>
      <c r="B2382" t="s">
        <v>92</v>
      </c>
      <c r="C2382" t="s">
        <v>712</v>
      </c>
      <c r="E2382" t="s">
        <v>712</v>
      </c>
      <c r="L2382" t="s">
        <v>93</v>
      </c>
      <c r="M2382">
        <v>20</v>
      </c>
      <c r="N2382" t="s">
        <v>128</v>
      </c>
      <c r="Q2382">
        <v>3.3250000000000002</v>
      </c>
      <c r="R2382" t="s">
        <v>14</v>
      </c>
      <c r="T2382">
        <v>10</v>
      </c>
      <c r="V2382" t="s">
        <v>15</v>
      </c>
    </row>
    <row r="2383" spans="1:22" x14ac:dyDescent="0.25">
      <c r="A2383">
        <v>133</v>
      </c>
      <c r="B2383" t="s">
        <v>92</v>
      </c>
      <c r="C2383" t="s">
        <v>712</v>
      </c>
      <c r="E2383" t="s">
        <v>712</v>
      </c>
      <c r="L2383" t="s">
        <v>93</v>
      </c>
      <c r="M2383">
        <v>30</v>
      </c>
      <c r="N2383" t="s">
        <v>102</v>
      </c>
      <c r="Q2383">
        <v>0.91600000000000004</v>
      </c>
      <c r="R2383" t="s">
        <v>103</v>
      </c>
      <c r="T2383">
        <v>10</v>
      </c>
      <c r="V2383" t="s">
        <v>15</v>
      </c>
    </row>
    <row r="2384" spans="1:22" x14ac:dyDescent="0.25">
      <c r="A2384">
        <v>133</v>
      </c>
      <c r="B2384" t="s">
        <v>92</v>
      </c>
      <c r="C2384" t="s">
        <v>712</v>
      </c>
      <c r="E2384" t="s">
        <v>712</v>
      </c>
      <c r="L2384" t="s">
        <v>93</v>
      </c>
      <c r="M2384">
        <v>40</v>
      </c>
      <c r="N2384" t="s">
        <v>597</v>
      </c>
      <c r="Q2384">
        <v>1.2450000000000001</v>
      </c>
      <c r="R2384" t="s">
        <v>11</v>
      </c>
      <c r="T2384">
        <v>10</v>
      </c>
      <c r="V2384" t="s">
        <v>18</v>
      </c>
    </row>
    <row r="2385" spans="1:22" x14ac:dyDescent="0.25">
      <c r="A2385">
        <v>133</v>
      </c>
      <c r="B2385" t="s">
        <v>92</v>
      </c>
      <c r="C2385" t="s">
        <v>712</v>
      </c>
      <c r="E2385" t="s">
        <v>712</v>
      </c>
      <c r="L2385" t="s">
        <v>93</v>
      </c>
      <c r="M2385">
        <v>50</v>
      </c>
      <c r="N2385" t="s">
        <v>139</v>
      </c>
      <c r="Q2385">
        <v>1.2450000000000001</v>
      </c>
      <c r="R2385" t="s">
        <v>17</v>
      </c>
      <c r="T2385">
        <v>10</v>
      </c>
      <c r="V2385" t="s">
        <v>18</v>
      </c>
    </row>
    <row r="2386" spans="1:22" x14ac:dyDescent="0.25">
      <c r="A2386">
        <v>133</v>
      </c>
      <c r="B2386" t="s">
        <v>92</v>
      </c>
      <c r="C2386" t="s">
        <v>712</v>
      </c>
      <c r="E2386" t="s">
        <v>712</v>
      </c>
      <c r="L2386" t="s">
        <v>93</v>
      </c>
      <c r="M2386">
        <v>60</v>
      </c>
      <c r="N2386" t="s">
        <v>713</v>
      </c>
      <c r="Q2386">
        <v>1</v>
      </c>
      <c r="R2386" t="s">
        <v>11</v>
      </c>
      <c r="T2386">
        <v>10</v>
      </c>
      <c r="V2386" t="s">
        <v>18</v>
      </c>
    </row>
    <row r="2387" spans="1:22" x14ac:dyDescent="0.25">
      <c r="A2387">
        <v>133</v>
      </c>
      <c r="B2387" t="s">
        <v>92</v>
      </c>
      <c r="C2387" t="s">
        <v>712</v>
      </c>
      <c r="E2387" t="s">
        <v>712</v>
      </c>
      <c r="L2387" t="s">
        <v>93</v>
      </c>
      <c r="M2387">
        <v>70</v>
      </c>
      <c r="N2387" t="s">
        <v>599</v>
      </c>
      <c r="Q2387">
        <v>19.812000000000001</v>
      </c>
      <c r="R2387" t="s">
        <v>17</v>
      </c>
      <c r="T2387">
        <v>10</v>
      </c>
      <c r="V2387" t="s">
        <v>15</v>
      </c>
    </row>
    <row r="2388" spans="1:22" x14ac:dyDescent="0.25">
      <c r="A2388">
        <v>133</v>
      </c>
      <c r="B2388" t="s">
        <v>92</v>
      </c>
      <c r="C2388" t="s">
        <v>712</v>
      </c>
      <c r="E2388" t="s">
        <v>712</v>
      </c>
      <c r="L2388" t="s">
        <v>93</v>
      </c>
      <c r="M2388">
        <v>80</v>
      </c>
      <c r="N2388" t="s">
        <v>20</v>
      </c>
      <c r="Q2388">
        <v>162.458</v>
      </c>
      <c r="R2388" t="s">
        <v>17</v>
      </c>
      <c r="T2388">
        <v>10</v>
      </c>
      <c r="V2388" t="s">
        <v>15</v>
      </c>
    </row>
    <row r="2389" spans="1:22" x14ac:dyDescent="0.25">
      <c r="A2389">
        <v>133</v>
      </c>
      <c r="B2389" t="s">
        <v>92</v>
      </c>
      <c r="C2389" t="s">
        <v>712</v>
      </c>
      <c r="E2389" t="s">
        <v>712</v>
      </c>
      <c r="L2389" t="s">
        <v>93</v>
      </c>
      <c r="M2389">
        <v>90</v>
      </c>
      <c r="N2389" t="s">
        <v>24</v>
      </c>
      <c r="Q2389">
        <v>1</v>
      </c>
      <c r="R2389" t="s">
        <v>11</v>
      </c>
      <c r="T2389">
        <v>10</v>
      </c>
      <c r="V2389" t="s">
        <v>15</v>
      </c>
    </row>
    <row r="2390" spans="1:22" x14ac:dyDescent="0.25">
      <c r="A2390">
        <v>133</v>
      </c>
      <c r="B2390" t="s">
        <v>92</v>
      </c>
      <c r="C2390" t="s">
        <v>712</v>
      </c>
      <c r="E2390" t="s">
        <v>712</v>
      </c>
      <c r="L2390" t="s">
        <v>93</v>
      </c>
      <c r="M2390">
        <v>100</v>
      </c>
      <c r="N2390" t="s">
        <v>141</v>
      </c>
      <c r="Q2390">
        <v>0.107</v>
      </c>
      <c r="R2390" t="s">
        <v>14</v>
      </c>
      <c r="T2390">
        <v>10</v>
      </c>
      <c r="V2390" t="s">
        <v>15</v>
      </c>
    </row>
    <row r="2391" spans="1:22" x14ac:dyDescent="0.25">
      <c r="A2391">
        <v>133</v>
      </c>
      <c r="B2391" t="s">
        <v>92</v>
      </c>
      <c r="C2391" t="s">
        <v>712</v>
      </c>
      <c r="E2391" t="s">
        <v>712</v>
      </c>
      <c r="L2391" t="s">
        <v>93</v>
      </c>
      <c r="M2391">
        <v>110</v>
      </c>
      <c r="N2391" t="s">
        <v>140</v>
      </c>
      <c r="Q2391">
        <v>4</v>
      </c>
      <c r="R2391" t="s">
        <v>11</v>
      </c>
      <c r="T2391">
        <v>10</v>
      </c>
      <c r="V2391" t="s">
        <v>15</v>
      </c>
    </row>
    <row r="2392" spans="1:22" x14ac:dyDescent="0.25">
      <c r="A2392">
        <v>133</v>
      </c>
      <c r="B2392" t="s">
        <v>92</v>
      </c>
      <c r="C2392" t="s">
        <v>712</v>
      </c>
      <c r="E2392" t="s">
        <v>712</v>
      </c>
      <c r="L2392" t="s">
        <v>93</v>
      </c>
      <c r="M2392">
        <v>120</v>
      </c>
      <c r="N2392" t="s">
        <v>25</v>
      </c>
      <c r="Q2392">
        <v>1</v>
      </c>
      <c r="R2392" t="s">
        <v>11</v>
      </c>
      <c r="T2392">
        <v>10</v>
      </c>
      <c r="V2392" t="s">
        <v>15</v>
      </c>
    </row>
    <row r="2393" spans="1:22" x14ac:dyDescent="0.25">
      <c r="A2393">
        <v>133</v>
      </c>
      <c r="B2393" t="s">
        <v>92</v>
      </c>
      <c r="C2393" t="s">
        <v>712</v>
      </c>
      <c r="E2393" t="s">
        <v>712</v>
      </c>
      <c r="L2393" t="s">
        <v>93</v>
      </c>
      <c r="M2393">
        <v>130</v>
      </c>
      <c r="N2393" t="s">
        <v>26</v>
      </c>
      <c r="Q2393">
        <v>1</v>
      </c>
      <c r="R2393" t="s">
        <v>11</v>
      </c>
      <c r="T2393">
        <v>10</v>
      </c>
      <c r="V2393" t="s">
        <v>15</v>
      </c>
    </row>
    <row r="2394" spans="1:22" x14ac:dyDescent="0.25">
      <c r="A2394">
        <v>133</v>
      </c>
      <c r="B2394" t="s">
        <v>92</v>
      </c>
      <c r="C2394" t="s">
        <v>712</v>
      </c>
      <c r="E2394" t="s">
        <v>712</v>
      </c>
      <c r="L2394" t="s">
        <v>93</v>
      </c>
      <c r="M2394">
        <v>140</v>
      </c>
      <c r="N2394" t="s">
        <v>100</v>
      </c>
      <c r="Q2394">
        <v>1.1890000000000001</v>
      </c>
      <c r="R2394" t="s">
        <v>14</v>
      </c>
      <c r="T2394">
        <v>10</v>
      </c>
      <c r="V2394" t="s">
        <v>15</v>
      </c>
    </row>
    <row r="2395" spans="1:22" x14ac:dyDescent="0.25">
      <c r="A2395">
        <v>133</v>
      </c>
      <c r="B2395" t="s">
        <v>92</v>
      </c>
      <c r="C2395" t="s">
        <v>712</v>
      </c>
      <c r="E2395" t="s">
        <v>712</v>
      </c>
      <c r="L2395" t="s">
        <v>93</v>
      </c>
      <c r="M2395">
        <v>150</v>
      </c>
      <c r="N2395" t="s">
        <v>491</v>
      </c>
      <c r="Q2395">
        <v>1</v>
      </c>
      <c r="R2395" t="s">
        <v>11</v>
      </c>
      <c r="T2395">
        <v>10</v>
      </c>
      <c r="V2395" t="s">
        <v>18</v>
      </c>
    </row>
    <row r="2396" spans="1:22" x14ac:dyDescent="0.25">
      <c r="A2396">
        <v>133</v>
      </c>
      <c r="B2396" t="s">
        <v>92</v>
      </c>
      <c r="C2396" t="s">
        <v>712</v>
      </c>
      <c r="E2396" t="s">
        <v>712</v>
      </c>
      <c r="L2396" t="s">
        <v>93</v>
      </c>
      <c r="M2396">
        <v>160</v>
      </c>
      <c r="N2396" t="s">
        <v>492</v>
      </c>
      <c r="Q2396">
        <v>1</v>
      </c>
      <c r="R2396" t="s">
        <v>11</v>
      </c>
      <c r="T2396">
        <v>10</v>
      </c>
      <c r="V2396" t="s">
        <v>18</v>
      </c>
    </row>
    <row r="2397" spans="1:22" x14ac:dyDescent="0.25">
      <c r="A2397">
        <v>133</v>
      </c>
      <c r="B2397" t="s">
        <v>92</v>
      </c>
      <c r="C2397" t="s">
        <v>712</v>
      </c>
      <c r="E2397" t="s">
        <v>712</v>
      </c>
      <c r="L2397" t="s">
        <v>93</v>
      </c>
      <c r="M2397">
        <v>170</v>
      </c>
      <c r="N2397" t="s">
        <v>142</v>
      </c>
      <c r="Q2397">
        <v>6.6040000000000001</v>
      </c>
      <c r="R2397" t="s">
        <v>11</v>
      </c>
      <c r="T2397">
        <v>10</v>
      </c>
      <c r="V2397" t="s">
        <v>15</v>
      </c>
    </row>
    <row r="2398" spans="1:22" x14ac:dyDescent="0.25">
      <c r="A2398">
        <v>133</v>
      </c>
      <c r="B2398" t="s">
        <v>92</v>
      </c>
      <c r="C2398" t="s">
        <v>712</v>
      </c>
      <c r="E2398" t="s">
        <v>712</v>
      </c>
      <c r="L2398" t="s">
        <v>93</v>
      </c>
      <c r="M2398">
        <v>180</v>
      </c>
      <c r="N2398" t="s">
        <v>493</v>
      </c>
      <c r="Q2398">
        <v>1</v>
      </c>
      <c r="R2398" t="s">
        <v>11</v>
      </c>
      <c r="T2398">
        <v>10</v>
      </c>
      <c r="V2398" t="s">
        <v>18</v>
      </c>
    </row>
    <row r="2399" spans="1:22" x14ac:dyDescent="0.25">
      <c r="A2399">
        <v>134</v>
      </c>
      <c r="B2399" t="s">
        <v>92</v>
      </c>
      <c r="C2399" t="s">
        <v>714</v>
      </c>
      <c r="E2399" t="s">
        <v>714</v>
      </c>
      <c r="L2399" t="s">
        <v>93</v>
      </c>
      <c r="M2399">
        <v>10</v>
      </c>
      <c r="N2399" t="s">
        <v>495</v>
      </c>
      <c r="Q2399">
        <v>1</v>
      </c>
      <c r="R2399" t="s">
        <v>11</v>
      </c>
      <c r="T2399">
        <v>10</v>
      </c>
      <c r="V2399" t="s">
        <v>18</v>
      </c>
    </row>
    <row r="2400" spans="1:22" x14ac:dyDescent="0.25">
      <c r="A2400">
        <v>134</v>
      </c>
      <c r="B2400" t="s">
        <v>92</v>
      </c>
      <c r="C2400" t="s">
        <v>714</v>
      </c>
      <c r="E2400" t="s">
        <v>714</v>
      </c>
      <c r="L2400" t="s">
        <v>93</v>
      </c>
      <c r="M2400">
        <v>20</v>
      </c>
      <c r="N2400" t="s">
        <v>129</v>
      </c>
      <c r="Q2400">
        <v>4.165</v>
      </c>
      <c r="R2400" t="s">
        <v>14</v>
      </c>
      <c r="T2400">
        <v>10</v>
      </c>
      <c r="V2400" t="s">
        <v>15</v>
      </c>
    </row>
    <row r="2401" spans="1:22" x14ac:dyDescent="0.25">
      <c r="A2401">
        <v>134</v>
      </c>
      <c r="B2401" t="s">
        <v>92</v>
      </c>
      <c r="C2401" t="s">
        <v>714</v>
      </c>
      <c r="E2401" t="s">
        <v>714</v>
      </c>
      <c r="L2401" t="s">
        <v>93</v>
      </c>
      <c r="M2401">
        <v>30</v>
      </c>
      <c r="N2401" t="s">
        <v>102</v>
      </c>
      <c r="Q2401">
        <v>1.1499999999999999</v>
      </c>
      <c r="R2401" t="s">
        <v>103</v>
      </c>
      <c r="T2401">
        <v>10</v>
      </c>
      <c r="V2401" t="s">
        <v>15</v>
      </c>
    </row>
    <row r="2402" spans="1:22" x14ac:dyDescent="0.25">
      <c r="A2402">
        <v>134</v>
      </c>
      <c r="B2402" t="s">
        <v>92</v>
      </c>
      <c r="C2402" t="s">
        <v>714</v>
      </c>
      <c r="E2402" t="s">
        <v>714</v>
      </c>
      <c r="L2402" t="s">
        <v>93</v>
      </c>
      <c r="M2402">
        <v>40</v>
      </c>
      <c r="N2402" t="s">
        <v>597</v>
      </c>
      <c r="Q2402">
        <v>1.5489999999999999</v>
      </c>
      <c r="R2402" t="s">
        <v>11</v>
      </c>
      <c r="T2402">
        <v>10</v>
      </c>
      <c r="V2402" t="s">
        <v>18</v>
      </c>
    </row>
    <row r="2403" spans="1:22" x14ac:dyDescent="0.25">
      <c r="A2403">
        <v>134</v>
      </c>
      <c r="B2403" t="s">
        <v>92</v>
      </c>
      <c r="C2403" t="s">
        <v>714</v>
      </c>
      <c r="E2403" t="s">
        <v>714</v>
      </c>
      <c r="L2403" t="s">
        <v>93</v>
      </c>
      <c r="M2403">
        <v>50</v>
      </c>
      <c r="N2403" t="s">
        <v>139</v>
      </c>
      <c r="Q2403">
        <v>1.5489999999999999</v>
      </c>
      <c r="R2403" t="s">
        <v>17</v>
      </c>
      <c r="T2403">
        <v>10</v>
      </c>
      <c r="V2403" t="s">
        <v>18</v>
      </c>
    </row>
    <row r="2404" spans="1:22" x14ac:dyDescent="0.25">
      <c r="A2404">
        <v>134</v>
      </c>
      <c r="B2404" t="s">
        <v>92</v>
      </c>
      <c r="C2404" t="s">
        <v>714</v>
      </c>
      <c r="E2404" t="s">
        <v>714</v>
      </c>
      <c r="L2404" t="s">
        <v>93</v>
      </c>
      <c r="M2404">
        <v>60</v>
      </c>
      <c r="N2404" t="s">
        <v>715</v>
      </c>
      <c r="Q2404">
        <v>1</v>
      </c>
      <c r="R2404" t="s">
        <v>11</v>
      </c>
      <c r="T2404">
        <v>10</v>
      </c>
      <c r="V2404" t="s">
        <v>18</v>
      </c>
    </row>
    <row r="2405" spans="1:22" x14ac:dyDescent="0.25">
      <c r="A2405">
        <v>134</v>
      </c>
      <c r="B2405" t="s">
        <v>92</v>
      </c>
      <c r="C2405" t="s">
        <v>714</v>
      </c>
      <c r="E2405" t="s">
        <v>714</v>
      </c>
      <c r="L2405" t="s">
        <v>93</v>
      </c>
      <c r="M2405">
        <v>70</v>
      </c>
      <c r="N2405" t="s">
        <v>599</v>
      </c>
      <c r="Q2405">
        <v>21.640999999999998</v>
      </c>
      <c r="R2405" t="s">
        <v>17</v>
      </c>
      <c r="T2405">
        <v>10</v>
      </c>
      <c r="V2405" t="s">
        <v>15</v>
      </c>
    </row>
    <row r="2406" spans="1:22" x14ac:dyDescent="0.25">
      <c r="A2406">
        <v>134</v>
      </c>
      <c r="B2406" t="s">
        <v>92</v>
      </c>
      <c r="C2406" t="s">
        <v>714</v>
      </c>
      <c r="E2406" t="s">
        <v>714</v>
      </c>
      <c r="L2406" t="s">
        <v>93</v>
      </c>
      <c r="M2406">
        <v>80</v>
      </c>
      <c r="N2406" t="s">
        <v>20</v>
      </c>
      <c r="Q2406">
        <v>177.45500000000001</v>
      </c>
      <c r="R2406" t="s">
        <v>17</v>
      </c>
      <c r="T2406">
        <v>10</v>
      </c>
      <c r="V2406" t="s">
        <v>15</v>
      </c>
    </row>
    <row r="2407" spans="1:22" x14ac:dyDescent="0.25">
      <c r="A2407">
        <v>134</v>
      </c>
      <c r="B2407" t="s">
        <v>92</v>
      </c>
      <c r="C2407" t="s">
        <v>714</v>
      </c>
      <c r="E2407" t="s">
        <v>714</v>
      </c>
      <c r="L2407" t="s">
        <v>93</v>
      </c>
      <c r="M2407">
        <v>90</v>
      </c>
      <c r="N2407" t="s">
        <v>24</v>
      </c>
      <c r="Q2407">
        <v>1</v>
      </c>
      <c r="R2407" t="s">
        <v>11</v>
      </c>
      <c r="T2407">
        <v>10</v>
      </c>
      <c r="V2407" t="s">
        <v>15</v>
      </c>
    </row>
    <row r="2408" spans="1:22" x14ac:dyDescent="0.25">
      <c r="A2408">
        <v>134</v>
      </c>
      <c r="B2408" t="s">
        <v>92</v>
      </c>
      <c r="C2408" t="s">
        <v>714</v>
      </c>
      <c r="E2408" t="s">
        <v>714</v>
      </c>
      <c r="L2408" t="s">
        <v>93</v>
      </c>
      <c r="M2408">
        <v>100</v>
      </c>
      <c r="N2408" t="s">
        <v>141</v>
      </c>
      <c r="Q2408">
        <v>0.128</v>
      </c>
      <c r="R2408" t="s">
        <v>14</v>
      </c>
      <c r="T2408">
        <v>10</v>
      </c>
      <c r="V2408" t="s">
        <v>15</v>
      </c>
    </row>
    <row r="2409" spans="1:22" x14ac:dyDescent="0.25">
      <c r="A2409">
        <v>134</v>
      </c>
      <c r="B2409" t="s">
        <v>92</v>
      </c>
      <c r="C2409" t="s">
        <v>714</v>
      </c>
      <c r="E2409" t="s">
        <v>714</v>
      </c>
      <c r="L2409" t="s">
        <v>93</v>
      </c>
      <c r="M2409">
        <v>110</v>
      </c>
      <c r="N2409" t="s">
        <v>140</v>
      </c>
      <c r="Q2409">
        <v>4</v>
      </c>
      <c r="R2409" t="s">
        <v>11</v>
      </c>
      <c r="T2409">
        <v>10</v>
      </c>
      <c r="V2409" t="s">
        <v>15</v>
      </c>
    </row>
    <row r="2410" spans="1:22" x14ac:dyDescent="0.25">
      <c r="A2410">
        <v>134</v>
      </c>
      <c r="B2410" t="s">
        <v>92</v>
      </c>
      <c r="C2410" t="s">
        <v>714</v>
      </c>
      <c r="E2410" t="s">
        <v>714</v>
      </c>
      <c r="L2410" t="s">
        <v>93</v>
      </c>
      <c r="M2410">
        <v>120</v>
      </c>
      <c r="N2410" t="s">
        <v>25</v>
      </c>
      <c r="Q2410">
        <v>1</v>
      </c>
      <c r="R2410" t="s">
        <v>11</v>
      </c>
      <c r="T2410">
        <v>10</v>
      </c>
      <c r="V2410" t="s">
        <v>15</v>
      </c>
    </row>
    <row r="2411" spans="1:22" x14ac:dyDescent="0.25">
      <c r="A2411">
        <v>134</v>
      </c>
      <c r="B2411" t="s">
        <v>92</v>
      </c>
      <c r="C2411" t="s">
        <v>714</v>
      </c>
      <c r="E2411" t="s">
        <v>714</v>
      </c>
      <c r="L2411" t="s">
        <v>93</v>
      </c>
      <c r="M2411">
        <v>130</v>
      </c>
      <c r="N2411" t="s">
        <v>26</v>
      </c>
      <c r="Q2411">
        <v>1</v>
      </c>
      <c r="R2411" t="s">
        <v>11</v>
      </c>
      <c r="T2411">
        <v>10</v>
      </c>
      <c r="V2411" t="s">
        <v>15</v>
      </c>
    </row>
    <row r="2412" spans="1:22" x14ac:dyDescent="0.25">
      <c r="A2412">
        <v>134</v>
      </c>
      <c r="B2412" t="s">
        <v>92</v>
      </c>
      <c r="C2412" t="s">
        <v>714</v>
      </c>
      <c r="E2412" t="s">
        <v>714</v>
      </c>
      <c r="L2412" t="s">
        <v>93</v>
      </c>
      <c r="M2412">
        <v>140</v>
      </c>
      <c r="N2412" t="s">
        <v>100</v>
      </c>
      <c r="Q2412">
        <v>1.1890000000000001</v>
      </c>
      <c r="R2412" t="s">
        <v>14</v>
      </c>
      <c r="T2412">
        <v>10</v>
      </c>
      <c r="V2412" t="s">
        <v>15</v>
      </c>
    </row>
    <row r="2413" spans="1:22" x14ac:dyDescent="0.25">
      <c r="A2413">
        <v>134</v>
      </c>
      <c r="B2413" t="s">
        <v>92</v>
      </c>
      <c r="C2413" t="s">
        <v>714</v>
      </c>
      <c r="E2413" t="s">
        <v>714</v>
      </c>
      <c r="L2413" t="s">
        <v>93</v>
      </c>
      <c r="M2413">
        <v>150</v>
      </c>
      <c r="N2413" t="s">
        <v>497</v>
      </c>
      <c r="Q2413">
        <v>1</v>
      </c>
      <c r="R2413" t="s">
        <v>11</v>
      </c>
      <c r="T2413">
        <v>10</v>
      </c>
      <c r="V2413" t="s">
        <v>18</v>
      </c>
    </row>
    <row r="2414" spans="1:22" x14ac:dyDescent="0.25">
      <c r="A2414">
        <v>134</v>
      </c>
      <c r="B2414" t="s">
        <v>92</v>
      </c>
      <c r="C2414" t="s">
        <v>714</v>
      </c>
      <c r="E2414" t="s">
        <v>714</v>
      </c>
      <c r="L2414" t="s">
        <v>93</v>
      </c>
      <c r="M2414">
        <v>160</v>
      </c>
      <c r="N2414" t="s">
        <v>498</v>
      </c>
      <c r="Q2414">
        <v>1</v>
      </c>
      <c r="R2414" t="s">
        <v>11</v>
      </c>
      <c r="T2414">
        <v>10</v>
      </c>
      <c r="V2414" t="s">
        <v>18</v>
      </c>
    </row>
    <row r="2415" spans="1:22" x14ac:dyDescent="0.25">
      <c r="A2415">
        <v>134</v>
      </c>
      <c r="B2415" t="s">
        <v>92</v>
      </c>
      <c r="C2415" t="s">
        <v>714</v>
      </c>
      <c r="E2415" t="s">
        <v>714</v>
      </c>
      <c r="L2415" t="s">
        <v>93</v>
      </c>
      <c r="M2415">
        <v>170</v>
      </c>
      <c r="N2415" t="s">
        <v>142</v>
      </c>
      <c r="Q2415">
        <v>7.2140000000000004</v>
      </c>
      <c r="R2415" t="s">
        <v>11</v>
      </c>
      <c r="T2415">
        <v>10</v>
      </c>
      <c r="V2415" t="s">
        <v>15</v>
      </c>
    </row>
    <row r="2416" spans="1:22" x14ac:dyDescent="0.25">
      <c r="A2416">
        <v>134</v>
      </c>
      <c r="B2416" t="s">
        <v>92</v>
      </c>
      <c r="C2416" t="s">
        <v>714</v>
      </c>
      <c r="E2416" t="s">
        <v>714</v>
      </c>
      <c r="L2416" t="s">
        <v>93</v>
      </c>
      <c r="M2416">
        <v>180</v>
      </c>
      <c r="N2416" t="s">
        <v>499</v>
      </c>
      <c r="Q2416">
        <v>1</v>
      </c>
      <c r="R2416" t="s">
        <v>11</v>
      </c>
      <c r="T2416">
        <v>10</v>
      </c>
      <c r="V2416" t="s">
        <v>18</v>
      </c>
    </row>
    <row r="2417" spans="1:22" x14ac:dyDescent="0.25">
      <c r="A2417">
        <v>135</v>
      </c>
      <c r="B2417" t="s">
        <v>92</v>
      </c>
      <c r="C2417" t="s">
        <v>716</v>
      </c>
      <c r="E2417" t="s">
        <v>716</v>
      </c>
      <c r="L2417" t="s">
        <v>93</v>
      </c>
      <c r="M2417">
        <v>10</v>
      </c>
      <c r="N2417" t="s">
        <v>501</v>
      </c>
      <c r="Q2417">
        <v>1</v>
      </c>
      <c r="R2417" t="s">
        <v>11</v>
      </c>
      <c r="T2417">
        <v>10</v>
      </c>
      <c r="V2417" t="s">
        <v>18</v>
      </c>
    </row>
    <row r="2418" spans="1:22" x14ac:dyDescent="0.25">
      <c r="A2418">
        <v>135</v>
      </c>
      <c r="B2418" t="s">
        <v>92</v>
      </c>
      <c r="C2418" t="s">
        <v>716</v>
      </c>
      <c r="E2418" t="s">
        <v>716</v>
      </c>
      <c r="L2418" t="s">
        <v>93</v>
      </c>
      <c r="M2418">
        <v>20</v>
      </c>
      <c r="N2418" t="s">
        <v>130</v>
      </c>
      <c r="Q2418">
        <v>4.585</v>
      </c>
      <c r="R2418" t="s">
        <v>14</v>
      </c>
      <c r="T2418">
        <v>10</v>
      </c>
      <c r="V2418" t="s">
        <v>15</v>
      </c>
    </row>
    <row r="2419" spans="1:22" x14ac:dyDescent="0.25">
      <c r="A2419">
        <v>135</v>
      </c>
      <c r="B2419" t="s">
        <v>92</v>
      </c>
      <c r="C2419" t="s">
        <v>716</v>
      </c>
      <c r="E2419" t="s">
        <v>716</v>
      </c>
      <c r="L2419" t="s">
        <v>93</v>
      </c>
      <c r="M2419">
        <v>30</v>
      </c>
      <c r="N2419" t="s">
        <v>102</v>
      </c>
      <c r="Q2419">
        <v>1.2669999999999999</v>
      </c>
      <c r="R2419" t="s">
        <v>103</v>
      </c>
      <c r="T2419">
        <v>10</v>
      </c>
      <c r="V2419" t="s">
        <v>15</v>
      </c>
    </row>
    <row r="2420" spans="1:22" x14ac:dyDescent="0.25">
      <c r="A2420">
        <v>135</v>
      </c>
      <c r="B2420" t="s">
        <v>92</v>
      </c>
      <c r="C2420" t="s">
        <v>716</v>
      </c>
      <c r="E2420" t="s">
        <v>716</v>
      </c>
      <c r="L2420" t="s">
        <v>93</v>
      </c>
      <c r="M2420">
        <v>40</v>
      </c>
      <c r="N2420" t="s">
        <v>597</v>
      </c>
      <c r="Q2420">
        <v>1.702</v>
      </c>
      <c r="R2420" t="s">
        <v>11</v>
      </c>
      <c r="T2420">
        <v>10</v>
      </c>
      <c r="V2420" t="s">
        <v>18</v>
      </c>
    </row>
    <row r="2421" spans="1:22" x14ac:dyDescent="0.25">
      <c r="A2421">
        <v>135</v>
      </c>
      <c r="B2421" t="s">
        <v>92</v>
      </c>
      <c r="C2421" t="s">
        <v>716</v>
      </c>
      <c r="E2421" t="s">
        <v>716</v>
      </c>
      <c r="L2421" t="s">
        <v>93</v>
      </c>
      <c r="M2421">
        <v>50</v>
      </c>
      <c r="N2421" t="s">
        <v>139</v>
      </c>
      <c r="Q2421">
        <v>1.702</v>
      </c>
      <c r="R2421" t="s">
        <v>17</v>
      </c>
      <c r="T2421">
        <v>10</v>
      </c>
      <c r="V2421" t="s">
        <v>18</v>
      </c>
    </row>
    <row r="2422" spans="1:22" x14ac:dyDescent="0.25">
      <c r="A2422">
        <v>135</v>
      </c>
      <c r="B2422" t="s">
        <v>92</v>
      </c>
      <c r="C2422" t="s">
        <v>716</v>
      </c>
      <c r="E2422" t="s">
        <v>716</v>
      </c>
      <c r="L2422" t="s">
        <v>93</v>
      </c>
      <c r="M2422">
        <v>60</v>
      </c>
      <c r="N2422" t="s">
        <v>717</v>
      </c>
      <c r="Q2422">
        <v>1</v>
      </c>
      <c r="R2422" t="s">
        <v>11</v>
      </c>
      <c r="T2422">
        <v>10</v>
      </c>
      <c r="V2422" t="s">
        <v>18</v>
      </c>
    </row>
    <row r="2423" spans="1:22" x14ac:dyDescent="0.25">
      <c r="A2423">
        <v>135</v>
      </c>
      <c r="B2423" t="s">
        <v>92</v>
      </c>
      <c r="C2423" t="s">
        <v>716</v>
      </c>
      <c r="E2423" t="s">
        <v>716</v>
      </c>
      <c r="L2423" t="s">
        <v>93</v>
      </c>
      <c r="M2423">
        <v>70</v>
      </c>
      <c r="N2423" t="s">
        <v>599</v>
      </c>
      <c r="Q2423">
        <v>22.555</v>
      </c>
      <c r="R2423" t="s">
        <v>17</v>
      </c>
      <c r="T2423">
        <v>10</v>
      </c>
      <c r="V2423" t="s">
        <v>15</v>
      </c>
    </row>
    <row r="2424" spans="1:22" x14ac:dyDescent="0.25">
      <c r="A2424">
        <v>135</v>
      </c>
      <c r="B2424" t="s">
        <v>92</v>
      </c>
      <c r="C2424" t="s">
        <v>716</v>
      </c>
      <c r="E2424" t="s">
        <v>716</v>
      </c>
      <c r="L2424" t="s">
        <v>93</v>
      </c>
      <c r="M2424">
        <v>80</v>
      </c>
      <c r="N2424" t="s">
        <v>20</v>
      </c>
      <c r="Q2424">
        <v>184.953</v>
      </c>
      <c r="R2424" t="s">
        <v>17</v>
      </c>
      <c r="T2424">
        <v>10</v>
      </c>
      <c r="V2424" t="s">
        <v>15</v>
      </c>
    </row>
    <row r="2425" spans="1:22" x14ac:dyDescent="0.25">
      <c r="A2425">
        <v>135</v>
      </c>
      <c r="B2425" t="s">
        <v>92</v>
      </c>
      <c r="C2425" t="s">
        <v>716</v>
      </c>
      <c r="E2425" t="s">
        <v>716</v>
      </c>
      <c r="L2425" t="s">
        <v>93</v>
      </c>
      <c r="M2425">
        <v>90</v>
      </c>
      <c r="N2425" t="s">
        <v>24</v>
      </c>
      <c r="Q2425">
        <v>1</v>
      </c>
      <c r="R2425" t="s">
        <v>11</v>
      </c>
      <c r="T2425">
        <v>10</v>
      </c>
      <c r="V2425" t="s">
        <v>15</v>
      </c>
    </row>
    <row r="2426" spans="1:22" x14ac:dyDescent="0.25">
      <c r="A2426">
        <v>135</v>
      </c>
      <c r="B2426" t="s">
        <v>92</v>
      </c>
      <c r="C2426" t="s">
        <v>716</v>
      </c>
      <c r="E2426" t="s">
        <v>716</v>
      </c>
      <c r="L2426" t="s">
        <v>93</v>
      </c>
      <c r="M2426">
        <v>100</v>
      </c>
      <c r="N2426" t="s">
        <v>141</v>
      </c>
      <c r="Q2426">
        <v>0.13800000000000001</v>
      </c>
      <c r="R2426" t="s">
        <v>14</v>
      </c>
      <c r="T2426">
        <v>10</v>
      </c>
      <c r="V2426" t="s">
        <v>15</v>
      </c>
    </row>
    <row r="2427" spans="1:22" x14ac:dyDescent="0.25">
      <c r="A2427">
        <v>135</v>
      </c>
      <c r="B2427" t="s">
        <v>92</v>
      </c>
      <c r="C2427" t="s">
        <v>716</v>
      </c>
      <c r="E2427" t="s">
        <v>716</v>
      </c>
      <c r="L2427" t="s">
        <v>93</v>
      </c>
      <c r="M2427">
        <v>110</v>
      </c>
      <c r="N2427" t="s">
        <v>140</v>
      </c>
      <c r="Q2427">
        <v>4</v>
      </c>
      <c r="R2427" t="s">
        <v>11</v>
      </c>
      <c r="T2427">
        <v>10</v>
      </c>
      <c r="V2427" t="s">
        <v>15</v>
      </c>
    </row>
    <row r="2428" spans="1:22" x14ac:dyDescent="0.25">
      <c r="A2428">
        <v>135</v>
      </c>
      <c r="B2428" t="s">
        <v>92</v>
      </c>
      <c r="C2428" t="s">
        <v>716</v>
      </c>
      <c r="E2428" t="s">
        <v>716</v>
      </c>
      <c r="L2428" t="s">
        <v>93</v>
      </c>
      <c r="M2428">
        <v>120</v>
      </c>
      <c r="N2428" t="s">
        <v>25</v>
      </c>
      <c r="Q2428">
        <v>1</v>
      </c>
      <c r="R2428" t="s">
        <v>11</v>
      </c>
      <c r="T2428">
        <v>10</v>
      </c>
      <c r="V2428" t="s">
        <v>15</v>
      </c>
    </row>
    <row r="2429" spans="1:22" x14ac:dyDescent="0.25">
      <c r="A2429">
        <v>135</v>
      </c>
      <c r="B2429" t="s">
        <v>92</v>
      </c>
      <c r="C2429" t="s">
        <v>716</v>
      </c>
      <c r="E2429" t="s">
        <v>716</v>
      </c>
      <c r="L2429" t="s">
        <v>93</v>
      </c>
      <c r="M2429">
        <v>130</v>
      </c>
      <c r="N2429" t="s">
        <v>26</v>
      </c>
      <c r="Q2429">
        <v>1</v>
      </c>
      <c r="R2429" t="s">
        <v>11</v>
      </c>
      <c r="T2429">
        <v>10</v>
      </c>
      <c r="V2429" t="s">
        <v>15</v>
      </c>
    </row>
    <row r="2430" spans="1:22" x14ac:dyDescent="0.25">
      <c r="A2430">
        <v>135</v>
      </c>
      <c r="B2430" t="s">
        <v>92</v>
      </c>
      <c r="C2430" t="s">
        <v>716</v>
      </c>
      <c r="E2430" t="s">
        <v>716</v>
      </c>
      <c r="L2430" t="s">
        <v>93</v>
      </c>
      <c r="M2430">
        <v>140</v>
      </c>
      <c r="N2430" t="s">
        <v>100</v>
      </c>
      <c r="Q2430">
        <v>1.1890000000000001</v>
      </c>
      <c r="R2430" t="s">
        <v>14</v>
      </c>
      <c r="T2430">
        <v>10</v>
      </c>
      <c r="V2430" t="s">
        <v>15</v>
      </c>
    </row>
    <row r="2431" spans="1:22" x14ac:dyDescent="0.25">
      <c r="A2431">
        <v>135</v>
      </c>
      <c r="B2431" t="s">
        <v>92</v>
      </c>
      <c r="C2431" t="s">
        <v>716</v>
      </c>
      <c r="E2431" t="s">
        <v>716</v>
      </c>
      <c r="L2431" t="s">
        <v>93</v>
      </c>
      <c r="M2431">
        <v>150</v>
      </c>
      <c r="N2431" t="s">
        <v>503</v>
      </c>
      <c r="Q2431">
        <v>1</v>
      </c>
      <c r="R2431" t="s">
        <v>11</v>
      </c>
      <c r="T2431">
        <v>10</v>
      </c>
      <c r="V2431" t="s">
        <v>18</v>
      </c>
    </row>
    <row r="2432" spans="1:22" x14ac:dyDescent="0.25">
      <c r="A2432">
        <v>135</v>
      </c>
      <c r="B2432" t="s">
        <v>92</v>
      </c>
      <c r="C2432" t="s">
        <v>716</v>
      </c>
      <c r="E2432" t="s">
        <v>716</v>
      </c>
      <c r="L2432" t="s">
        <v>93</v>
      </c>
      <c r="M2432">
        <v>160</v>
      </c>
      <c r="N2432" t="s">
        <v>504</v>
      </c>
      <c r="Q2432">
        <v>1</v>
      </c>
      <c r="R2432" t="s">
        <v>11</v>
      </c>
      <c r="T2432">
        <v>10</v>
      </c>
      <c r="V2432" t="s">
        <v>18</v>
      </c>
    </row>
    <row r="2433" spans="1:22" x14ac:dyDescent="0.25">
      <c r="A2433">
        <v>135</v>
      </c>
      <c r="B2433" t="s">
        <v>92</v>
      </c>
      <c r="C2433" t="s">
        <v>716</v>
      </c>
      <c r="E2433" t="s">
        <v>716</v>
      </c>
      <c r="L2433" t="s">
        <v>93</v>
      </c>
      <c r="M2433">
        <v>170</v>
      </c>
      <c r="N2433" t="s">
        <v>142</v>
      </c>
      <c r="Q2433">
        <v>7.5179999999999998</v>
      </c>
      <c r="R2433" t="s">
        <v>11</v>
      </c>
      <c r="T2433">
        <v>10</v>
      </c>
      <c r="V2433" t="s">
        <v>15</v>
      </c>
    </row>
    <row r="2434" spans="1:22" x14ac:dyDescent="0.25">
      <c r="A2434">
        <v>135</v>
      </c>
      <c r="B2434" t="s">
        <v>92</v>
      </c>
      <c r="C2434" t="s">
        <v>716</v>
      </c>
      <c r="E2434" t="s">
        <v>716</v>
      </c>
      <c r="L2434" t="s">
        <v>93</v>
      </c>
      <c r="M2434">
        <v>180</v>
      </c>
      <c r="N2434" t="s">
        <v>505</v>
      </c>
      <c r="Q2434">
        <v>1</v>
      </c>
      <c r="R2434" t="s">
        <v>11</v>
      </c>
      <c r="T2434">
        <v>10</v>
      </c>
      <c r="V2434" t="s">
        <v>18</v>
      </c>
    </row>
    <row r="2435" spans="1:22" x14ac:dyDescent="0.25">
      <c r="A2435">
        <v>136</v>
      </c>
      <c r="B2435" t="s">
        <v>92</v>
      </c>
      <c r="C2435" t="s">
        <v>718</v>
      </c>
      <c r="E2435" t="s">
        <v>718</v>
      </c>
      <c r="L2435" t="s">
        <v>93</v>
      </c>
      <c r="M2435">
        <v>10</v>
      </c>
      <c r="N2435" t="s">
        <v>507</v>
      </c>
      <c r="Q2435">
        <v>1</v>
      </c>
      <c r="R2435" t="s">
        <v>11</v>
      </c>
      <c r="T2435">
        <v>10</v>
      </c>
      <c r="V2435" t="s">
        <v>18</v>
      </c>
    </row>
    <row r="2436" spans="1:22" x14ac:dyDescent="0.25">
      <c r="A2436">
        <v>136</v>
      </c>
      <c r="B2436" t="s">
        <v>92</v>
      </c>
      <c r="C2436" t="s">
        <v>718</v>
      </c>
      <c r="E2436" t="s">
        <v>718</v>
      </c>
      <c r="L2436" t="s">
        <v>93</v>
      </c>
      <c r="M2436">
        <v>20</v>
      </c>
      <c r="N2436" t="s">
        <v>131</v>
      </c>
      <c r="Q2436">
        <v>5.0049999999999999</v>
      </c>
      <c r="R2436" t="s">
        <v>14</v>
      </c>
      <c r="T2436">
        <v>10</v>
      </c>
      <c r="V2436" t="s">
        <v>15</v>
      </c>
    </row>
    <row r="2437" spans="1:22" x14ac:dyDescent="0.25">
      <c r="A2437">
        <v>136</v>
      </c>
      <c r="B2437" t="s">
        <v>92</v>
      </c>
      <c r="C2437" t="s">
        <v>718</v>
      </c>
      <c r="E2437" t="s">
        <v>718</v>
      </c>
      <c r="L2437" t="s">
        <v>93</v>
      </c>
      <c r="M2437">
        <v>30</v>
      </c>
      <c r="N2437" t="s">
        <v>102</v>
      </c>
      <c r="Q2437">
        <v>1.3839999999999999</v>
      </c>
      <c r="R2437" t="s">
        <v>103</v>
      </c>
      <c r="T2437">
        <v>10</v>
      </c>
      <c r="V2437" t="s">
        <v>15</v>
      </c>
    </row>
    <row r="2438" spans="1:22" x14ac:dyDescent="0.25">
      <c r="A2438">
        <v>136</v>
      </c>
      <c r="B2438" t="s">
        <v>92</v>
      </c>
      <c r="C2438" t="s">
        <v>718</v>
      </c>
      <c r="E2438" t="s">
        <v>718</v>
      </c>
      <c r="L2438" t="s">
        <v>93</v>
      </c>
      <c r="M2438">
        <v>40</v>
      </c>
      <c r="N2438" t="s">
        <v>597</v>
      </c>
      <c r="Q2438">
        <v>1.8540000000000001</v>
      </c>
      <c r="R2438" t="s">
        <v>11</v>
      </c>
      <c r="T2438">
        <v>10</v>
      </c>
      <c r="V2438" t="s">
        <v>18</v>
      </c>
    </row>
    <row r="2439" spans="1:22" x14ac:dyDescent="0.25">
      <c r="A2439">
        <v>136</v>
      </c>
      <c r="B2439" t="s">
        <v>92</v>
      </c>
      <c r="C2439" t="s">
        <v>718</v>
      </c>
      <c r="E2439" t="s">
        <v>718</v>
      </c>
      <c r="L2439" t="s">
        <v>93</v>
      </c>
      <c r="M2439">
        <v>50</v>
      </c>
      <c r="N2439" t="s">
        <v>139</v>
      </c>
      <c r="Q2439">
        <v>1.8540000000000001</v>
      </c>
      <c r="R2439" t="s">
        <v>17</v>
      </c>
      <c r="T2439">
        <v>10</v>
      </c>
      <c r="V2439" t="s">
        <v>18</v>
      </c>
    </row>
    <row r="2440" spans="1:22" x14ac:dyDescent="0.25">
      <c r="A2440">
        <v>136</v>
      </c>
      <c r="B2440" t="s">
        <v>92</v>
      </c>
      <c r="C2440" t="s">
        <v>718</v>
      </c>
      <c r="E2440" t="s">
        <v>718</v>
      </c>
      <c r="L2440" t="s">
        <v>93</v>
      </c>
      <c r="M2440">
        <v>60</v>
      </c>
      <c r="N2440" t="s">
        <v>719</v>
      </c>
      <c r="Q2440">
        <v>1</v>
      </c>
      <c r="R2440" t="s">
        <v>11</v>
      </c>
      <c r="T2440">
        <v>10</v>
      </c>
      <c r="V2440" t="s">
        <v>18</v>
      </c>
    </row>
    <row r="2441" spans="1:22" x14ac:dyDescent="0.25">
      <c r="A2441">
        <v>136</v>
      </c>
      <c r="B2441" t="s">
        <v>92</v>
      </c>
      <c r="C2441" t="s">
        <v>718</v>
      </c>
      <c r="E2441" t="s">
        <v>718</v>
      </c>
      <c r="L2441" t="s">
        <v>93</v>
      </c>
      <c r="M2441">
        <v>70</v>
      </c>
      <c r="N2441" t="s">
        <v>599</v>
      </c>
      <c r="Q2441">
        <v>23.47</v>
      </c>
      <c r="R2441" t="s">
        <v>17</v>
      </c>
      <c r="T2441">
        <v>10</v>
      </c>
      <c r="V2441" t="s">
        <v>15</v>
      </c>
    </row>
    <row r="2442" spans="1:22" x14ac:dyDescent="0.25">
      <c r="A2442">
        <v>136</v>
      </c>
      <c r="B2442" t="s">
        <v>92</v>
      </c>
      <c r="C2442" t="s">
        <v>718</v>
      </c>
      <c r="E2442" t="s">
        <v>718</v>
      </c>
      <c r="L2442" t="s">
        <v>93</v>
      </c>
      <c r="M2442">
        <v>80</v>
      </c>
      <c r="N2442" t="s">
        <v>20</v>
      </c>
      <c r="Q2442">
        <v>192.45099999999999</v>
      </c>
      <c r="R2442" t="s">
        <v>17</v>
      </c>
      <c r="T2442">
        <v>10</v>
      </c>
      <c r="V2442" t="s">
        <v>15</v>
      </c>
    </row>
    <row r="2443" spans="1:22" x14ac:dyDescent="0.25">
      <c r="A2443">
        <v>136</v>
      </c>
      <c r="B2443" t="s">
        <v>92</v>
      </c>
      <c r="C2443" t="s">
        <v>718</v>
      </c>
      <c r="E2443" t="s">
        <v>718</v>
      </c>
      <c r="L2443" t="s">
        <v>93</v>
      </c>
      <c r="M2443">
        <v>90</v>
      </c>
      <c r="N2443" t="s">
        <v>24</v>
      </c>
      <c r="Q2443">
        <v>1</v>
      </c>
      <c r="R2443" t="s">
        <v>11</v>
      </c>
      <c r="T2443">
        <v>10</v>
      </c>
      <c r="V2443" t="s">
        <v>15</v>
      </c>
    </row>
    <row r="2444" spans="1:22" x14ac:dyDescent="0.25">
      <c r="A2444">
        <v>136</v>
      </c>
      <c r="B2444" t="s">
        <v>92</v>
      </c>
      <c r="C2444" t="s">
        <v>718</v>
      </c>
      <c r="E2444" t="s">
        <v>718</v>
      </c>
      <c r="L2444" t="s">
        <v>93</v>
      </c>
      <c r="M2444">
        <v>100</v>
      </c>
      <c r="N2444" t="s">
        <v>141</v>
      </c>
      <c r="Q2444">
        <v>0.14899999999999999</v>
      </c>
      <c r="R2444" t="s">
        <v>14</v>
      </c>
      <c r="T2444">
        <v>10</v>
      </c>
      <c r="V2444" t="s">
        <v>15</v>
      </c>
    </row>
    <row r="2445" spans="1:22" x14ac:dyDescent="0.25">
      <c r="A2445">
        <v>136</v>
      </c>
      <c r="B2445" t="s">
        <v>92</v>
      </c>
      <c r="C2445" t="s">
        <v>718</v>
      </c>
      <c r="E2445" t="s">
        <v>718</v>
      </c>
      <c r="L2445" t="s">
        <v>93</v>
      </c>
      <c r="M2445">
        <v>110</v>
      </c>
      <c r="N2445" t="s">
        <v>140</v>
      </c>
      <c r="Q2445">
        <v>4</v>
      </c>
      <c r="R2445" t="s">
        <v>11</v>
      </c>
      <c r="T2445">
        <v>10</v>
      </c>
      <c r="V2445" t="s">
        <v>15</v>
      </c>
    </row>
    <row r="2446" spans="1:22" x14ac:dyDescent="0.25">
      <c r="A2446">
        <v>136</v>
      </c>
      <c r="B2446" t="s">
        <v>92</v>
      </c>
      <c r="C2446" t="s">
        <v>718</v>
      </c>
      <c r="E2446" t="s">
        <v>718</v>
      </c>
      <c r="L2446" t="s">
        <v>93</v>
      </c>
      <c r="M2446">
        <v>120</v>
      </c>
      <c r="N2446" t="s">
        <v>25</v>
      </c>
      <c r="Q2446">
        <v>1</v>
      </c>
      <c r="R2446" t="s">
        <v>11</v>
      </c>
      <c r="T2446">
        <v>10</v>
      </c>
      <c r="V2446" t="s">
        <v>15</v>
      </c>
    </row>
    <row r="2447" spans="1:22" x14ac:dyDescent="0.25">
      <c r="A2447">
        <v>136</v>
      </c>
      <c r="B2447" t="s">
        <v>92</v>
      </c>
      <c r="C2447" t="s">
        <v>718</v>
      </c>
      <c r="E2447" t="s">
        <v>718</v>
      </c>
      <c r="L2447" t="s">
        <v>93</v>
      </c>
      <c r="M2447">
        <v>130</v>
      </c>
      <c r="N2447" t="s">
        <v>26</v>
      </c>
      <c r="Q2447">
        <v>1</v>
      </c>
      <c r="R2447" t="s">
        <v>11</v>
      </c>
      <c r="T2447">
        <v>10</v>
      </c>
      <c r="V2447" t="s">
        <v>15</v>
      </c>
    </row>
    <row r="2448" spans="1:22" x14ac:dyDescent="0.25">
      <c r="A2448">
        <v>136</v>
      </c>
      <c r="B2448" t="s">
        <v>92</v>
      </c>
      <c r="C2448" t="s">
        <v>718</v>
      </c>
      <c r="E2448" t="s">
        <v>718</v>
      </c>
      <c r="L2448" t="s">
        <v>93</v>
      </c>
      <c r="M2448">
        <v>140</v>
      </c>
      <c r="N2448" t="s">
        <v>100</v>
      </c>
      <c r="Q2448">
        <v>1.1890000000000001</v>
      </c>
      <c r="R2448" t="s">
        <v>14</v>
      </c>
      <c r="T2448">
        <v>10</v>
      </c>
      <c r="V2448" t="s">
        <v>15</v>
      </c>
    </row>
    <row r="2449" spans="1:22" x14ac:dyDescent="0.25">
      <c r="A2449">
        <v>136</v>
      </c>
      <c r="B2449" t="s">
        <v>92</v>
      </c>
      <c r="C2449" t="s">
        <v>718</v>
      </c>
      <c r="E2449" t="s">
        <v>718</v>
      </c>
      <c r="L2449" t="s">
        <v>93</v>
      </c>
      <c r="M2449">
        <v>150</v>
      </c>
      <c r="N2449" t="s">
        <v>509</v>
      </c>
      <c r="Q2449">
        <v>1</v>
      </c>
      <c r="R2449" t="s">
        <v>11</v>
      </c>
      <c r="T2449">
        <v>10</v>
      </c>
      <c r="V2449" t="s">
        <v>18</v>
      </c>
    </row>
    <row r="2450" spans="1:22" x14ac:dyDescent="0.25">
      <c r="A2450">
        <v>136</v>
      </c>
      <c r="B2450" t="s">
        <v>92</v>
      </c>
      <c r="C2450" t="s">
        <v>718</v>
      </c>
      <c r="E2450" t="s">
        <v>718</v>
      </c>
      <c r="L2450" t="s">
        <v>93</v>
      </c>
      <c r="M2450">
        <v>160</v>
      </c>
      <c r="N2450" t="s">
        <v>510</v>
      </c>
      <c r="Q2450">
        <v>1</v>
      </c>
      <c r="R2450" t="s">
        <v>11</v>
      </c>
      <c r="T2450">
        <v>10</v>
      </c>
      <c r="V2450" t="s">
        <v>18</v>
      </c>
    </row>
    <row r="2451" spans="1:22" x14ac:dyDescent="0.25">
      <c r="A2451">
        <v>136</v>
      </c>
      <c r="B2451" t="s">
        <v>92</v>
      </c>
      <c r="C2451" t="s">
        <v>718</v>
      </c>
      <c r="E2451" t="s">
        <v>718</v>
      </c>
      <c r="L2451" t="s">
        <v>93</v>
      </c>
      <c r="M2451">
        <v>170</v>
      </c>
      <c r="N2451" t="s">
        <v>142</v>
      </c>
      <c r="Q2451">
        <v>7.8230000000000004</v>
      </c>
      <c r="R2451" t="s">
        <v>11</v>
      </c>
      <c r="T2451">
        <v>10</v>
      </c>
      <c r="V2451" t="s">
        <v>15</v>
      </c>
    </row>
    <row r="2452" spans="1:22" x14ac:dyDescent="0.25">
      <c r="A2452">
        <v>136</v>
      </c>
      <c r="B2452" t="s">
        <v>92</v>
      </c>
      <c r="C2452" t="s">
        <v>718</v>
      </c>
      <c r="E2452" t="s">
        <v>718</v>
      </c>
      <c r="L2452" t="s">
        <v>93</v>
      </c>
      <c r="M2452">
        <v>180</v>
      </c>
      <c r="N2452" t="s">
        <v>511</v>
      </c>
      <c r="Q2452">
        <v>1</v>
      </c>
      <c r="R2452" t="s">
        <v>11</v>
      </c>
      <c r="T2452">
        <v>10</v>
      </c>
      <c r="V2452" t="s">
        <v>18</v>
      </c>
    </row>
    <row r="2453" spans="1:22" x14ac:dyDescent="0.25">
      <c r="A2453">
        <v>137</v>
      </c>
      <c r="B2453" t="s">
        <v>92</v>
      </c>
      <c r="C2453" t="s">
        <v>720</v>
      </c>
      <c r="E2453" t="s">
        <v>720</v>
      </c>
      <c r="L2453" t="s">
        <v>93</v>
      </c>
      <c r="M2453">
        <v>10</v>
      </c>
      <c r="N2453" t="s">
        <v>513</v>
      </c>
      <c r="Q2453">
        <v>1</v>
      </c>
      <c r="R2453" t="s">
        <v>11</v>
      </c>
      <c r="T2453">
        <v>10</v>
      </c>
      <c r="V2453" t="s">
        <v>18</v>
      </c>
    </row>
    <row r="2454" spans="1:22" x14ac:dyDescent="0.25">
      <c r="A2454">
        <v>137</v>
      </c>
      <c r="B2454" t="s">
        <v>92</v>
      </c>
      <c r="C2454" t="s">
        <v>720</v>
      </c>
      <c r="E2454" t="s">
        <v>720</v>
      </c>
      <c r="L2454" t="s">
        <v>93</v>
      </c>
      <c r="M2454">
        <v>20</v>
      </c>
      <c r="N2454" t="s">
        <v>132</v>
      </c>
      <c r="Q2454">
        <v>2.1179999999999999</v>
      </c>
      <c r="R2454" t="s">
        <v>14</v>
      </c>
      <c r="T2454">
        <v>10</v>
      </c>
      <c r="V2454" t="s">
        <v>15</v>
      </c>
    </row>
    <row r="2455" spans="1:22" x14ac:dyDescent="0.25">
      <c r="A2455">
        <v>137</v>
      </c>
      <c r="B2455" t="s">
        <v>92</v>
      </c>
      <c r="C2455" t="s">
        <v>720</v>
      </c>
      <c r="E2455" t="s">
        <v>720</v>
      </c>
      <c r="L2455" t="s">
        <v>93</v>
      </c>
      <c r="M2455">
        <v>30</v>
      </c>
      <c r="N2455" t="s">
        <v>102</v>
      </c>
      <c r="Q2455">
        <v>0.57999999999999996</v>
      </c>
      <c r="R2455" t="s">
        <v>103</v>
      </c>
      <c r="T2455">
        <v>10</v>
      </c>
      <c r="V2455" t="s">
        <v>15</v>
      </c>
    </row>
    <row r="2456" spans="1:22" x14ac:dyDescent="0.25">
      <c r="A2456">
        <v>137</v>
      </c>
      <c r="B2456" t="s">
        <v>92</v>
      </c>
      <c r="C2456" t="s">
        <v>720</v>
      </c>
      <c r="E2456" t="s">
        <v>720</v>
      </c>
      <c r="L2456" t="s">
        <v>93</v>
      </c>
      <c r="M2456">
        <v>40</v>
      </c>
      <c r="N2456" t="s">
        <v>597</v>
      </c>
      <c r="Q2456">
        <v>2.0569999999999999</v>
      </c>
      <c r="R2456" t="s">
        <v>11</v>
      </c>
      <c r="T2456">
        <v>10</v>
      </c>
      <c r="V2456" t="s">
        <v>18</v>
      </c>
    </row>
    <row r="2457" spans="1:22" x14ac:dyDescent="0.25">
      <c r="A2457">
        <v>137</v>
      </c>
      <c r="B2457" t="s">
        <v>92</v>
      </c>
      <c r="C2457" t="s">
        <v>720</v>
      </c>
      <c r="E2457" t="s">
        <v>720</v>
      </c>
      <c r="L2457" t="s">
        <v>93</v>
      </c>
      <c r="M2457">
        <v>50</v>
      </c>
      <c r="N2457" t="s">
        <v>139</v>
      </c>
      <c r="Q2457">
        <v>2.0569999999999999</v>
      </c>
      <c r="R2457" t="s">
        <v>17</v>
      </c>
      <c r="T2457">
        <v>10</v>
      </c>
      <c r="V2457" t="s">
        <v>18</v>
      </c>
    </row>
    <row r="2458" spans="1:22" x14ac:dyDescent="0.25">
      <c r="A2458">
        <v>137</v>
      </c>
      <c r="B2458" t="s">
        <v>92</v>
      </c>
      <c r="C2458" t="s">
        <v>720</v>
      </c>
      <c r="E2458" t="s">
        <v>720</v>
      </c>
      <c r="L2458" t="s">
        <v>93</v>
      </c>
      <c r="M2458">
        <v>60</v>
      </c>
      <c r="N2458" t="s">
        <v>721</v>
      </c>
      <c r="Q2458">
        <v>1</v>
      </c>
      <c r="R2458" t="s">
        <v>11</v>
      </c>
      <c r="T2458">
        <v>10</v>
      </c>
      <c r="V2458" t="s">
        <v>18</v>
      </c>
    </row>
    <row r="2459" spans="1:22" x14ac:dyDescent="0.25">
      <c r="A2459">
        <v>137</v>
      </c>
      <c r="B2459" t="s">
        <v>92</v>
      </c>
      <c r="C2459" t="s">
        <v>720</v>
      </c>
      <c r="E2459" t="s">
        <v>720</v>
      </c>
      <c r="L2459" t="s">
        <v>93</v>
      </c>
      <c r="M2459">
        <v>70</v>
      </c>
      <c r="N2459" t="s">
        <v>599</v>
      </c>
      <c r="Q2459">
        <v>17.373999999999999</v>
      </c>
      <c r="R2459" t="s">
        <v>17</v>
      </c>
      <c r="T2459">
        <v>10</v>
      </c>
      <c r="V2459" t="s">
        <v>15</v>
      </c>
    </row>
    <row r="2460" spans="1:22" x14ac:dyDescent="0.25">
      <c r="A2460">
        <v>137</v>
      </c>
      <c r="B2460" t="s">
        <v>92</v>
      </c>
      <c r="C2460" t="s">
        <v>720</v>
      </c>
      <c r="E2460" t="s">
        <v>720</v>
      </c>
      <c r="L2460" t="s">
        <v>93</v>
      </c>
      <c r="M2460">
        <v>80</v>
      </c>
      <c r="N2460" t="s">
        <v>20</v>
      </c>
      <c r="Q2460">
        <v>142.464</v>
      </c>
      <c r="R2460" t="s">
        <v>17</v>
      </c>
      <c r="T2460">
        <v>10</v>
      </c>
      <c r="V2460" t="s">
        <v>15</v>
      </c>
    </row>
    <row r="2461" spans="1:22" x14ac:dyDescent="0.25">
      <c r="A2461">
        <v>137</v>
      </c>
      <c r="B2461" t="s">
        <v>92</v>
      </c>
      <c r="C2461" t="s">
        <v>720</v>
      </c>
      <c r="E2461" t="s">
        <v>720</v>
      </c>
      <c r="L2461" t="s">
        <v>93</v>
      </c>
      <c r="M2461">
        <v>90</v>
      </c>
      <c r="N2461" t="s">
        <v>24</v>
      </c>
      <c r="Q2461">
        <v>1</v>
      </c>
      <c r="R2461" t="s">
        <v>11</v>
      </c>
      <c r="T2461">
        <v>10</v>
      </c>
      <c r="V2461" t="s">
        <v>15</v>
      </c>
    </row>
    <row r="2462" spans="1:22" x14ac:dyDescent="0.25">
      <c r="A2462">
        <v>137</v>
      </c>
      <c r="B2462" t="s">
        <v>92</v>
      </c>
      <c r="C2462" t="s">
        <v>720</v>
      </c>
      <c r="E2462" t="s">
        <v>720</v>
      </c>
      <c r="L2462" t="s">
        <v>93</v>
      </c>
      <c r="M2462">
        <v>100</v>
      </c>
      <c r="N2462" t="s">
        <v>141</v>
      </c>
      <c r="Q2462">
        <v>7.5999999999999998E-2</v>
      </c>
      <c r="R2462" t="s">
        <v>14</v>
      </c>
      <c r="T2462">
        <v>10</v>
      </c>
      <c r="V2462" t="s">
        <v>15</v>
      </c>
    </row>
    <row r="2463" spans="1:22" x14ac:dyDescent="0.25">
      <c r="A2463">
        <v>137</v>
      </c>
      <c r="B2463" t="s">
        <v>92</v>
      </c>
      <c r="C2463" t="s">
        <v>720</v>
      </c>
      <c r="E2463" t="s">
        <v>720</v>
      </c>
      <c r="L2463" t="s">
        <v>93</v>
      </c>
      <c r="M2463">
        <v>110</v>
      </c>
      <c r="N2463" t="s">
        <v>140</v>
      </c>
      <c r="Q2463">
        <v>4</v>
      </c>
      <c r="R2463" t="s">
        <v>11</v>
      </c>
      <c r="T2463">
        <v>10</v>
      </c>
      <c r="V2463" t="s">
        <v>15</v>
      </c>
    </row>
    <row r="2464" spans="1:22" x14ac:dyDescent="0.25">
      <c r="A2464">
        <v>137</v>
      </c>
      <c r="B2464" t="s">
        <v>92</v>
      </c>
      <c r="C2464" t="s">
        <v>720</v>
      </c>
      <c r="E2464" t="s">
        <v>720</v>
      </c>
      <c r="L2464" t="s">
        <v>93</v>
      </c>
      <c r="M2464">
        <v>120</v>
      </c>
      <c r="N2464" t="s">
        <v>25</v>
      </c>
      <c r="Q2464">
        <v>1</v>
      </c>
      <c r="R2464" t="s">
        <v>11</v>
      </c>
      <c r="T2464">
        <v>10</v>
      </c>
      <c r="V2464" t="s">
        <v>15</v>
      </c>
    </row>
    <row r="2465" spans="1:22" x14ac:dyDescent="0.25">
      <c r="A2465">
        <v>137</v>
      </c>
      <c r="B2465" t="s">
        <v>92</v>
      </c>
      <c r="C2465" t="s">
        <v>720</v>
      </c>
      <c r="E2465" t="s">
        <v>720</v>
      </c>
      <c r="L2465" t="s">
        <v>93</v>
      </c>
      <c r="M2465">
        <v>130</v>
      </c>
      <c r="N2465" t="s">
        <v>26</v>
      </c>
      <c r="Q2465">
        <v>1</v>
      </c>
      <c r="R2465" t="s">
        <v>11</v>
      </c>
      <c r="T2465">
        <v>10</v>
      </c>
      <c r="V2465" t="s">
        <v>15</v>
      </c>
    </row>
    <row r="2466" spans="1:22" x14ac:dyDescent="0.25">
      <c r="A2466">
        <v>137</v>
      </c>
      <c r="B2466" t="s">
        <v>92</v>
      </c>
      <c r="C2466" t="s">
        <v>720</v>
      </c>
      <c r="E2466" t="s">
        <v>720</v>
      </c>
      <c r="L2466" t="s">
        <v>93</v>
      </c>
      <c r="M2466">
        <v>140</v>
      </c>
      <c r="N2466" t="s">
        <v>100</v>
      </c>
      <c r="Q2466">
        <v>1.216</v>
      </c>
      <c r="R2466" t="s">
        <v>14</v>
      </c>
      <c r="T2466">
        <v>10</v>
      </c>
      <c r="V2466" t="s">
        <v>15</v>
      </c>
    </row>
    <row r="2467" spans="1:22" x14ac:dyDescent="0.25">
      <c r="A2467">
        <v>137</v>
      </c>
      <c r="B2467" t="s">
        <v>92</v>
      </c>
      <c r="C2467" t="s">
        <v>720</v>
      </c>
      <c r="E2467" t="s">
        <v>720</v>
      </c>
      <c r="L2467" t="s">
        <v>93</v>
      </c>
      <c r="M2467">
        <v>150</v>
      </c>
      <c r="N2467" t="s">
        <v>515</v>
      </c>
      <c r="Q2467">
        <v>1</v>
      </c>
      <c r="R2467" t="s">
        <v>11</v>
      </c>
      <c r="T2467">
        <v>10</v>
      </c>
      <c r="V2467" t="s">
        <v>18</v>
      </c>
    </row>
    <row r="2468" spans="1:22" x14ac:dyDescent="0.25">
      <c r="A2468">
        <v>137</v>
      </c>
      <c r="B2468" t="s">
        <v>92</v>
      </c>
      <c r="C2468" t="s">
        <v>720</v>
      </c>
      <c r="E2468" t="s">
        <v>720</v>
      </c>
      <c r="L2468" t="s">
        <v>93</v>
      </c>
      <c r="M2468">
        <v>160</v>
      </c>
      <c r="N2468" t="s">
        <v>516</v>
      </c>
      <c r="Q2468">
        <v>1</v>
      </c>
      <c r="R2468" t="s">
        <v>11</v>
      </c>
      <c r="T2468">
        <v>10</v>
      </c>
      <c r="V2468" t="s">
        <v>18</v>
      </c>
    </row>
    <row r="2469" spans="1:22" x14ac:dyDescent="0.25">
      <c r="A2469">
        <v>137</v>
      </c>
      <c r="B2469" t="s">
        <v>92</v>
      </c>
      <c r="C2469" t="s">
        <v>720</v>
      </c>
      <c r="E2469" t="s">
        <v>720</v>
      </c>
      <c r="L2469" t="s">
        <v>93</v>
      </c>
      <c r="M2469">
        <v>170</v>
      </c>
      <c r="N2469" t="s">
        <v>142</v>
      </c>
      <c r="Q2469">
        <v>5.7910000000000004</v>
      </c>
      <c r="R2469" t="s">
        <v>11</v>
      </c>
      <c r="T2469">
        <v>10</v>
      </c>
      <c r="V2469" t="s">
        <v>15</v>
      </c>
    </row>
    <row r="2470" spans="1:22" x14ac:dyDescent="0.25">
      <c r="A2470">
        <v>137</v>
      </c>
      <c r="B2470" t="s">
        <v>92</v>
      </c>
      <c r="C2470" t="s">
        <v>720</v>
      </c>
      <c r="E2470" t="s">
        <v>720</v>
      </c>
      <c r="L2470" t="s">
        <v>93</v>
      </c>
      <c r="M2470">
        <v>180</v>
      </c>
      <c r="N2470" t="s">
        <v>517</v>
      </c>
      <c r="Q2470">
        <v>1</v>
      </c>
      <c r="R2470" t="s">
        <v>11</v>
      </c>
      <c r="T2470">
        <v>10</v>
      </c>
      <c r="V2470" t="s">
        <v>18</v>
      </c>
    </row>
    <row r="2471" spans="1:22" x14ac:dyDescent="0.25">
      <c r="A2471">
        <v>138</v>
      </c>
      <c r="B2471" t="s">
        <v>92</v>
      </c>
      <c r="C2471" t="s">
        <v>722</v>
      </c>
      <c r="E2471" t="s">
        <v>722</v>
      </c>
      <c r="L2471" t="s">
        <v>93</v>
      </c>
      <c r="M2471">
        <v>10</v>
      </c>
      <c r="N2471" t="s">
        <v>519</v>
      </c>
      <c r="Q2471">
        <v>1</v>
      </c>
      <c r="R2471" t="s">
        <v>11</v>
      </c>
      <c r="T2471">
        <v>10</v>
      </c>
      <c r="V2471" t="s">
        <v>18</v>
      </c>
    </row>
    <row r="2472" spans="1:22" x14ac:dyDescent="0.25">
      <c r="A2472">
        <v>138</v>
      </c>
      <c r="B2472" t="s">
        <v>92</v>
      </c>
      <c r="C2472" t="s">
        <v>722</v>
      </c>
      <c r="E2472" t="s">
        <v>722</v>
      </c>
      <c r="L2472" t="s">
        <v>93</v>
      </c>
      <c r="M2472">
        <v>20</v>
      </c>
      <c r="N2472" t="s">
        <v>132</v>
      </c>
      <c r="Q2472">
        <v>2.5489999999999999</v>
      </c>
      <c r="R2472" t="s">
        <v>14</v>
      </c>
      <c r="T2472">
        <v>10</v>
      </c>
      <c r="V2472" t="s">
        <v>15</v>
      </c>
    </row>
    <row r="2473" spans="1:22" x14ac:dyDescent="0.25">
      <c r="A2473">
        <v>138</v>
      </c>
      <c r="B2473" t="s">
        <v>92</v>
      </c>
      <c r="C2473" t="s">
        <v>722</v>
      </c>
      <c r="E2473" t="s">
        <v>722</v>
      </c>
      <c r="L2473" t="s">
        <v>93</v>
      </c>
      <c r="M2473">
        <v>30</v>
      </c>
      <c r="N2473" t="s">
        <v>102</v>
      </c>
      <c r="Q2473">
        <v>0.7</v>
      </c>
      <c r="R2473" t="s">
        <v>103</v>
      </c>
      <c r="T2473">
        <v>10</v>
      </c>
      <c r="V2473" t="s">
        <v>15</v>
      </c>
    </row>
    <row r="2474" spans="1:22" x14ac:dyDescent="0.25">
      <c r="A2474">
        <v>138</v>
      </c>
      <c r="B2474" t="s">
        <v>92</v>
      </c>
      <c r="C2474" t="s">
        <v>722</v>
      </c>
      <c r="E2474" t="s">
        <v>722</v>
      </c>
      <c r="L2474" t="s">
        <v>93</v>
      </c>
      <c r="M2474">
        <v>40</v>
      </c>
      <c r="N2474" t="s">
        <v>597</v>
      </c>
      <c r="Q2474">
        <v>2.0569999999999999</v>
      </c>
      <c r="R2474" t="s">
        <v>11</v>
      </c>
      <c r="T2474">
        <v>10</v>
      </c>
      <c r="V2474" t="s">
        <v>18</v>
      </c>
    </row>
    <row r="2475" spans="1:22" x14ac:dyDescent="0.25">
      <c r="A2475">
        <v>138</v>
      </c>
      <c r="B2475" t="s">
        <v>92</v>
      </c>
      <c r="C2475" t="s">
        <v>722</v>
      </c>
      <c r="E2475" t="s">
        <v>722</v>
      </c>
      <c r="L2475" t="s">
        <v>93</v>
      </c>
      <c r="M2475">
        <v>50</v>
      </c>
      <c r="N2475" t="s">
        <v>139</v>
      </c>
      <c r="Q2475">
        <v>2.0569999999999999</v>
      </c>
      <c r="R2475" t="s">
        <v>17</v>
      </c>
      <c r="T2475">
        <v>10</v>
      </c>
      <c r="V2475" t="s">
        <v>18</v>
      </c>
    </row>
    <row r="2476" spans="1:22" x14ac:dyDescent="0.25">
      <c r="A2476">
        <v>138</v>
      </c>
      <c r="B2476" t="s">
        <v>92</v>
      </c>
      <c r="C2476" t="s">
        <v>722</v>
      </c>
      <c r="E2476" t="s">
        <v>722</v>
      </c>
      <c r="L2476" t="s">
        <v>93</v>
      </c>
      <c r="M2476">
        <v>60</v>
      </c>
      <c r="N2476" t="s">
        <v>723</v>
      </c>
      <c r="Q2476">
        <v>1</v>
      </c>
      <c r="R2476" t="s">
        <v>11</v>
      </c>
      <c r="T2476">
        <v>10</v>
      </c>
      <c r="V2476" t="s">
        <v>18</v>
      </c>
    </row>
    <row r="2477" spans="1:22" x14ac:dyDescent="0.25">
      <c r="A2477">
        <v>138</v>
      </c>
      <c r="B2477" t="s">
        <v>92</v>
      </c>
      <c r="C2477" t="s">
        <v>722</v>
      </c>
      <c r="E2477" t="s">
        <v>722</v>
      </c>
      <c r="L2477" t="s">
        <v>93</v>
      </c>
      <c r="M2477">
        <v>70</v>
      </c>
      <c r="N2477" t="s">
        <v>599</v>
      </c>
      <c r="Q2477">
        <v>18.288</v>
      </c>
      <c r="R2477" t="s">
        <v>17</v>
      </c>
      <c r="T2477">
        <v>10</v>
      </c>
      <c r="V2477" t="s">
        <v>15</v>
      </c>
    </row>
    <row r="2478" spans="1:22" x14ac:dyDescent="0.25">
      <c r="A2478">
        <v>138</v>
      </c>
      <c r="B2478" t="s">
        <v>92</v>
      </c>
      <c r="C2478" t="s">
        <v>722</v>
      </c>
      <c r="E2478" t="s">
        <v>722</v>
      </c>
      <c r="L2478" t="s">
        <v>93</v>
      </c>
      <c r="M2478">
        <v>80</v>
      </c>
      <c r="N2478" t="s">
        <v>20</v>
      </c>
      <c r="Q2478">
        <v>149.96199999999999</v>
      </c>
      <c r="R2478" t="s">
        <v>17</v>
      </c>
      <c r="T2478">
        <v>10</v>
      </c>
      <c r="V2478" t="s">
        <v>15</v>
      </c>
    </row>
    <row r="2479" spans="1:22" x14ac:dyDescent="0.25">
      <c r="A2479">
        <v>138</v>
      </c>
      <c r="B2479" t="s">
        <v>92</v>
      </c>
      <c r="C2479" t="s">
        <v>722</v>
      </c>
      <c r="E2479" t="s">
        <v>722</v>
      </c>
      <c r="L2479" t="s">
        <v>93</v>
      </c>
      <c r="M2479">
        <v>90</v>
      </c>
      <c r="N2479" t="s">
        <v>24</v>
      </c>
      <c r="Q2479">
        <v>1</v>
      </c>
      <c r="R2479" t="s">
        <v>11</v>
      </c>
      <c r="T2479">
        <v>10</v>
      </c>
      <c r="V2479" t="s">
        <v>15</v>
      </c>
    </row>
    <row r="2480" spans="1:22" x14ac:dyDescent="0.25">
      <c r="A2480">
        <v>138</v>
      </c>
      <c r="B2480" t="s">
        <v>92</v>
      </c>
      <c r="C2480" t="s">
        <v>722</v>
      </c>
      <c r="E2480" t="s">
        <v>722</v>
      </c>
      <c r="L2480" t="s">
        <v>93</v>
      </c>
      <c r="M2480">
        <v>100</v>
      </c>
      <c r="N2480" t="s">
        <v>141</v>
      </c>
      <c r="Q2480">
        <v>8.5999999999999993E-2</v>
      </c>
      <c r="R2480" t="s">
        <v>14</v>
      </c>
      <c r="T2480">
        <v>10</v>
      </c>
      <c r="V2480" t="s">
        <v>15</v>
      </c>
    </row>
    <row r="2481" spans="1:22" x14ac:dyDescent="0.25">
      <c r="A2481">
        <v>138</v>
      </c>
      <c r="B2481" t="s">
        <v>92</v>
      </c>
      <c r="C2481" t="s">
        <v>722</v>
      </c>
      <c r="E2481" t="s">
        <v>722</v>
      </c>
      <c r="L2481" t="s">
        <v>93</v>
      </c>
      <c r="M2481">
        <v>110</v>
      </c>
      <c r="N2481" t="s">
        <v>140</v>
      </c>
      <c r="Q2481">
        <v>4</v>
      </c>
      <c r="R2481" t="s">
        <v>11</v>
      </c>
      <c r="T2481">
        <v>10</v>
      </c>
      <c r="V2481" t="s">
        <v>15</v>
      </c>
    </row>
    <row r="2482" spans="1:22" x14ac:dyDescent="0.25">
      <c r="A2482">
        <v>138</v>
      </c>
      <c r="B2482" t="s">
        <v>92</v>
      </c>
      <c r="C2482" t="s">
        <v>722</v>
      </c>
      <c r="E2482" t="s">
        <v>722</v>
      </c>
      <c r="L2482" t="s">
        <v>93</v>
      </c>
      <c r="M2482">
        <v>120</v>
      </c>
      <c r="N2482" t="s">
        <v>25</v>
      </c>
      <c r="Q2482">
        <v>1</v>
      </c>
      <c r="R2482" t="s">
        <v>11</v>
      </c>
      <c r="T2482">
        <v>10</v>
      </c>
      <c r="V2482" t="s">
        <v>15</v>
      </c>
    </row>
    <row r="2483" spans="1:22" x14ac:dyDescent="0.25">
      <c r="A2483">
        <v>138</v>
      </c>
      <c r="B2483" t="s">
        <v>92</v>
      </c>
      <c r="C2483" t="s">
        <v>722</v>
      </c>
      <c r="E2483" t="s">
        <v>722</v>
      </c>
      <c r="L2483" t="s">
        <v>93</v>
      </c>
      <c r="M2483">
        <v>130</v>
      </c>
      <c r="N2483" t="s">
        <v>26</v>
      </c>
      <c r="Q2483">
        <v>1</v>
      </c>
      <c r="R2483" t="s">
        <v>11</v>
      </c>
      <c r="T2483">
        <v>10</v>
      </c>
      <c r="V2483" t="s">
        <v>15</v>
      </c>
    </row>
    <row r="2484" spans="1:22" x14ac:dyDescent="0.25">
      <c r="A2484">
        <v>138</v>
      </c>
      <c r="B2484" t="s">
        <v>92</v>
      </c>
      <c r="C2484" t="s">
        <v>722</v>
      </c>
      <c r="E2484" t="s">
        <v>722</v>
      </c>
      <c r="L2484" t="s">
        <v>93</v>
      </c>
      <c r="M2484">
        <v>140</v>
      </c>
      <c r="N2484" t="s">
        <v>100</v>
      </c>
      <c r="Q2484">
        <v>1.216</v>
      </c>
      <c r="R2484" t="s">
        <v>14</v>
      </c>
      <c r="T2484">
        <v>10</v>
      </c>
      <c r="V2484" t="s">
        <v>15</v>
      </c>
    </row>
    <row r="2485" spans="1:22" x14ac:dyDescent="0.25">
      <c r="A2485">
        <v>138</v>
      </c>
      <c r="B2485" t="s">
        <v>92</v>
      </c>
      <c r="C2485" t="s">
        <v>722</v>
      </c>
      <c r="E2485" t="s">
        <v>722</v>
      </c>
      <c r="L2485" t="s">
        <v>93</v>
      </c>
      <c r="M2485">
        <v>150</v>
      </c>
      <c r="N2485" t="s">
        <v>521</v>
      </c>
      <c r="Q2485">
        <v>1</v>
      </c>
      <c r="R2485" t="s">
        <v>11</v>
      </c>
      <c r="T2485">
        <v>10</v>
      </c>
      <c r="V2485" t="s">
        <v>18</v>
      </c>
    </row>
    <row r="2486" spans="1:22" x14ac:dyDescent="0.25">
      <c r="A2486">
        <v>138</v>
      </c>
      <c r="B2486" t="s">
        <v>92</v>
      </c>
      <c r="C2486" t="s">
        <v>722</v>
      </c>
      <c r="E2486" t="s">
        <v>722</v>
      </c>
      <c r="L2486" t="s">
        <v>93</v>
      </c>
      <c r="M2486">
        <v>160</v>
      </c>
      <c r="N2486" t="s">
        <v>522</v>
      </c>
      <c r="Q2486">
        <v>1</v>
      </c>
      <c r="R2486" t="s">
        <v>11</v>
      </c>
      <c r="T2486">
        <v>10</v>
      </c>
      <c r="V2486" t="s">
        <v>18</v>
      </c>
    </row>
    <row r="2487" spans="1:22" x14ac:dyDescent="0.25">
      <c r="A2487">
        <v>138</v>
      </c>
      <c r="B2487" t="s">
        <v>92</v>
      </c>
      <c r="C2487" t="s">
        <v>722</v>
      </c>
      <c r="E2487" t="s">
        <v>722</v>
      </c>
      <c r="L2487" t="s">
        <v>93</v>
      </c>
      <c r="M2487">
        <v>170</v>
      </c>
      <c r="N2487" t="s">
        <v>142</v>
      </c>
      <c r="Q2487">
        <v>6.0960000000000001</v>
      </c>
      <c r="R2487" t="s">
        <v>11</v>
      </c>
      <c r="T2487">
        <v>10</v>
      </c>
      <c r="V2487" t="s">
        <v>15</v>
      </c>
    </row>
    <row r="2488" spans="1:22" x14ac:dyDescent="0.25">
      <c r="A2488">
        <v>138</v>
      </c>
      <c r="B2488" t="s">
        <v>92</v>
      </c>
      <c r="C2488" t="s">
        <v>722</v>
      </c>
      <c r="E2488" t="s">
        <v>722</v>
      </c>
      <c r="L2488" t="s">
        <v>93</v>
      </c>
      <c r="M2488">
        <v>180</v>
      </c>
      <c r="N2488" t="s">
        <v>523</v>
      </c>
      <c r="Q2488">
        <v>1</v>
      </c>
      <c r="R2488" t="s">
        <v>11</v>
      </c>
      <c r="T2488">
        <v>10</v>
      </c>
      <c r="V2488" t="s">
        <v>18</v>
      </c>
    </row>
    <row r="2489" spans="1:22" x14ac:dyDescent="0.25">
      <c r="A2489">
        <v>139</v>
      </c>
      <c r="B2489" t="s">
        <v>92</v>
      </c>
      <c r="C2489" t="s">
        <v>724</v>
      </c>
      <c r="E2489" t="s">
        <v>724</v>
      </c>
      <c r="L2489" t="s">
        <v>93</v>
      </c>
      <c r="M2489">
        <v>10</v>
      </c>
      <c r="N2489" t="s">
        <v>525</v>
      </c>
      <c r="Q2489">
        <v>1</v>
      </c>
      <c r="R2489" t="s">
        <v>11</v>
      </c>
      <c r="T2489">
        <v>10</v>
      </c>
      <c r="V2489" t="s">
        <v>18</v>
      </c>
    </row>
    <row r="2490" spans="1:22" x14ac:dyDescent="0.25">
      <c r="A2490">
        <v>139</v>
      </c>
      <c r="B2490" t="s">
        <v>92</v>
      </c>
      <c r="C2490" t="s">
        <v>724</v>
      </c>
      <c r="E2490" t="s">
        <v>724</v>
      </c>
      <c r="L2490" t="s">
        <v>93</v>
      </c>
      <c r="M2490">
        <v>20</v>
      </c>
      <c r="N2490" t="s">
        <v>132</v>
      </c>
      <c r="Q2490">
        <v>2.98</v>
      </c>
      <c r="R2490" t="s">
        <v>14</v>
      </c>
      <c r="T2490">
        <v>10</v>
      </c>
      <c r="V2490" t="s">
        <v>15</v>
      </c>
    </row>
    <row r="2491" spans="1:22" x14ac:dyDescent="0.25">
      <c r="A2491">
        <v>139</v>
      </c>
      <c r="B2491" t="s">
        <v>92</v>
      </c>
      <c r="C2491" t="s">
        <v>724</v>
      </c>
      <c r="E2491" t="s">
        <v>724</v>
      </c>
      <c r="L2491" t="s">
        <v>93</v>
      </c>
      <c r="M2491">
        <v>30</v>
      </c>
      <c r="N2491" t="s">
        <v>102</v>
      </c>
      <c r="Q2491">
        <v>0.82</v>
      </c>
      <c r="R2491" t="s">
        <v>103</v>
      </c>
      <c r="T2491">
        <v>10</v>
      </c>
      <c r="V2491" t="s">
        <v>15</v>
      </c>
    </row>
    <row r="2492" spans="1:22" x14ac:dyDescent="0.25">
      <c r="A2492">
        <v>139</v>
      </c>
      <c r="B2492" t="s">
        <v>92</v>
      </c>
      <c r="C2492" t="s">
        <v>724</v>
      </c>
      <c r="E2492" t="s">
        <v>724</v>
      </c>
      <c r="L2492" t="s">
        <v>93</v>
      </c>
      <c r="M2492">
        <v>40</v>
      </c>
      <c r="N2492" t="s">
        <v>597</v>
      </c>
      <c r="Q2492">
        <v>2.0569999999999999</v>
      </c>
      <c r="R2492" t="s">
        <v>11</v>
      </c>
      <c r="T2492">
        <v>10</v>
      </c>
      <c r="V2492" t="s">
        <v>18</v>
      </c>
    </row>
    <row r="2493" spans="1:22" x14ac:dyDescent="0.25">
      <c r="A2493">
        <v>139</v>
      </c>
      <c r="B2493" t="s">
        <v>92</v>
      </c>
      <c r="C2493" t="s">
        <v>724</v>
      </c>
      <c r="E2493" t="s">
        <v>724</v>
      </c>
      <c r="L2493" t="s">
        <v>93</v>
      </c>
      <c r="M2493">
        <v>50</v>
      </c>
      <c r="N2493" t="s">
        <v>139</v>
      </c>
      <c r="Q2493">
        <v>2.0569999999999999</v>
      </c>
      <c r="R2493" t="s">
        <v>17</v>
      </c>
      <c r="T2493">
        <v>10</v>
      </c>
      <c r="V2493" t="s">
        <v>18</v>
      </c>
    </row>
    <row r="2494" spans="1:22" x14ac:dyDescent="0.25">
      <c r="A2494">
        <v>139</v>
      </c>
      <c r="B2494" t="s">
        <v>92</v>
      </c>
      <c r="C2494" t="s">
        <v>724</v>
      </c>
      <c r="E2494" t="s">
        <v>724</v>
      </c>
      <c r="L2494" t="s">
        <v>93</v>
      </c>
      <c r="M2494">
        <v>60</v>
      </c>
      <c r="N2494" t="s">
        <v>725</v>
      </c>
      <c r="Q2494">
        <v>1</v>
      </c>
      <c r="R2494" t="s">
        <v>11</v>
      </c>
      <c r="T2494">
        <v>10</v>
      </c>
      <c r="V2494" t="s">
        <v>18</v>
      </c>
    </row>
    <row r="2495" spans="1:22" x14ac:dyDescent="0.25">
      <c r="A2495">
        <v>139</v>
      </c>
      <c r="B2495" t="s">
        <v>92</v>
      </c>
      <c r="C2495" t="s">
        <v>724</v>
      </c>
      <c r="E2495" t="s">
        <v>724</v>
      </c>
      <c r="L2495" t="s">
        <v>93</v>
      </c>
      <c r="M2495">
        <v>70</v>
      </c>
      <c r="N2495" t="s">
        <v>599</v>
      </c>
      <c r="Q2495">
        <v>19.202000000000002</v>
      </c>
      <c r="R2495" t="s">
        <v>17</v>
      </c>
      <c r="T2495">
        <v>10</v>
      </c>
      <c r="V2495" t="s">
        <v>15</v>
      </c>
    </row>
    <row r="2496" spans="1:22" x14ac:dyDescent="0.25">
      <c r="A2496">
        <v>139</v>
      </c>
      <c r="B2496" t="s">
        <v>92</v>
      </c>
      <c r="C2496" t="s">
        <v>724</v>
      </c>
      <c r="E2496" t="s">
        <v>724</v>
      </c>
      <c r="L2496" t="s">
        <v>93</v>
      </c>
      <c r="M2496">
        <v>80</v>
      </c>
      <c r="N2496" t="s">
        <v>20</v>
      </c>
      <c r="Q2496">
        <v>157.46</v>
      </c>
      <c r="R2496" t="s">
        <v>17</v>
      </c>
      <c r="T2496">
        <v>10</v>
      </c>
      <c r="V2496" t="s">
        <v>15</v>
      </c>
    </row>
    <row r="2497" spans="1:22" x14ac:dyDescent="0.25">
      <c r="A2497">
        <v>139</v>
      </c>
      <c r="B2497" t="s">
        <v>92</v>
      </c>
      <c r="C2497" t="s">
        <v>724</v>
      </c>
      <c r="E2497" t="s">
        <v>724</v>
      </c>
      <c r="L2497" t="s">
        <v>93</v>
      </c>
      <c r="M2497">
        <v>90</v>
      </c>
      <c r="N2497" t="s">
        <v>24</v>
      </c>
      <c r="Q2497">
        <v>1</v>
      </c>
      <c r="R2497" t="s">
        <v>11</v>
      </c>
      <c r="T2497">
        <v>10</v>
      </c>
      <c r="V2497" t="s">
        <v>15</v>
      </c>
    </row>
    <row r="2498" spans="1:22" x14ac:dyDescent="0.25">
      <c r="A2498">
        <v>139</v>
      </c>
      <c r="B2498" t="s">
        <v>92</v>
      </c>
      <c r="C2498" t="s">
        <v>724</v>
      </c>
      <c r="E2498" t="s">
        <v>724</v>
      </c>
      <c r="L2498" t="s">
        <v>93</v>
      </c>
      <c r="M2498">
        <v>100</v>
      </c>
      <c r="N2498" t="s">
        <v>141</v>
      </c>
      <c r="Q2498">
        <v>9.7000000000000003E-2</v>
      </c>
      <c r="R2498" t="s">
        <v>14</v>
      </c>
      <c r="T2498">
        <v>10</v>
      </c>
      <c r="V2498" t="s">
        <v>15</v>
      </c>
    </row>
    <row r="2499" spans="1:22" x14ac:dyDescent="0.25">
      <c r="A2499">
        <v>139</v>
      </c>
      <c r="B2499" t="s">
        <v>92</v>
      </c>
      <c r="C2499" t="s">
        <v>724</v>
      </c>
      <c r="E2499" t="s">
        <v>724</v>
      </c>
      <c r="L2499" t="s">
        <v>93</v>
      </c>
      <c r="M2499">
        <v>110</v>
      </c>
      <c r="N2499" t="s">
        <v>140</v>
      </c>
      <c r="Q2499">
        <v>4</v>
      </c>
      <c r="R2499" t="s">
        <v>11</v>
      </c>
      <c r="T2499">
        <v>10</v>
      </c>
      <c r="V2499" t="s">
        <v>15</v>
      </c>
    </row>
    <row r="2500" spans="1:22" x14ac:dyDescent="0.25">
      <c r="A2500">
        <v>139</v>
      </c>
      <c r="B2500" t="s">
        <v>92</v>
      </c>
      <c r="C2500" t="s">
        <v>724</v>
      </c>
      <c r="E2500" t="s">
        <v>724</v>
      </c>
      <c r="L2500" t="s">
        <v>93</v>
      </c>
      <c r="M2500">
        <v>120</v>
      </c>
      <c r="N2500" t="s">
        <v>25</v>
      </c>
      <c r="Q2500">
        <v>1</v>
      </c>
      <c r="R2500" t="s">
        <v>11</v>
      </c>
      <c r="T2500">
        <v>10</v>
      </c>
      <c r="V2500" t="s">
        <v>15</v>
      </c>
    </row>
    <row r="2501" spans="1:22" x14ac:dyDescent="0.25">
      <c r="A2501">
        <v>139</v>
      </c>
      <c r="B2501" t="s">
        <v>92</v>
      </c>
      <c r="C2501" t="s">
        <v>724</v>
      </c>
      <c r="E2501" t="s">
        <v>724</v>
      </c>
      <c r="L2501" t="s">
        <v>93</v>
      </c>
      <c r="M2501">
        <v>130</v>
      </c>
      <c r="N2501" t="s">
        <v>26</v>
      </c>
      <c r="Q2501">
        <v>1</v>
      </c>
      <c r="R2501" t="s">
        <v>11</v>
      </c>
      <c r="T2501">
        <v>10</v>
      </c>
      <c r="V2501" t="s">
        <v>15</v>
      </c>
    </row>
    <row r="2502" spans="1:22" x14ac:dyDescent="0.25">
      <c r="A2502">
        <v>139</v>
      </c>
      <c r="B2502" t="s">
        <v>92</v>
      </c>
      <c r="C2502" t="s">
        <v>724</v>
      </c>
      <c r="E2502" t="s">
        <v>724</v>
      </c>
      <c r="L2502" t="s">
        <v>93</v>
      </c>
      <c r="M2502">
        <v>140</v>
      </c>
      <c r="N2502" t="s">
        <v>100</v>
      </c>
      <c r="Q2502">
        <v>1.216</v>
      </c>
      <c r="R2502" t="s">
        <v>14</v>
      </c>
      <c r="T2502">
        <v>10</v>
      </c>
      <c r="V2502" t="s">
        <v>15</v>
      </c>
    </row>
    <row r="2503" spans="1:22" x14ac:dyDescent="0.25">
      <c r="A2503">
        <v>139</v>
      </c>
      <c r="B2503" t="s">
        <v>92</v>
      </c>
      <c r="C2503" t="s">
        <v>724</v>
      </c>
      <c r="E2503" t="s">
        <v>724</v>
      </c>
      <c r="L2503" t="s">
        <v>93</v>
      </c>
      <c r="M2503">
        <v>150</v>
      </c>
      <c r="N2503" t="s">
        <v>527</v>
      </c>
      <c r="Q2503">
        <v>1</v>
      </c>
      <c r="R2503" t="s">
        <v>11</v>
      </c>
      <c r="T2503">
        <v>10</v>
      </c>
      <c r="V2503" t="s">
        <v>18</v>
      </c>
    </row>
    <row r="2504" spans="1:22" x14ac:dyDescent="0.25">
      <c r="A2504">
        <v>139</v>
      </c>
      <c r="B2504" t="s">
        <v>92</v>
      </c>
      <c r="C2504" t="s">
        <v>724</v>
      </c>
      <c r="E2504" t="s">
        <v>724</v>
      </c>
      <c r="L2504" t="s">
        <v>93</v>
      </c>
      <c r="M2504">
        <v>160</v>
      </c>
      <c r="N2504" t="s">
        <v>528</v>
      </c>
      <c r="Q2504">
        <v>1</v>
      </c>
      <c r="R2504" t="s">
        <v>11</v>
      </c>
      <c r="T2504">
        <v>10</v>
      </c>
      <c r="V2504" t="s">
        <v>18</v>
      </c>
    </row>
    <row r="2505" spans="1:22" x14ac:dyDescent="0.25">
      <c r="A2505">
        <v>139</v>
      </c>
      <c r="B2505" t="s">
        <v>92</v>
      </c>
      <c r="C2505" t="s">
        <v>724</v>
      </c>
      <c r="E2505" t="s">
        <v>724</v>
      </c>
      <c r="L2505" t="s">
        <v>93</v>
      </c>
      <c r="M2505">
        <v>170</v>
      </c>
      <c r="N2505" t="s">
        <v>142</v>
      </c>
      <c r="Q2505">
        <v>6.4009999999999998</v>
      </c>
      <c r="R2505" t="s">
        <v>11</v>
      </c>
      <c r="T2505">
        <v>10</v>
      </c>
      <c r="V2505" t="s">
        <v>15</v>
      </c>
    </row>
    <row r="2506" spans="1:22" x14ac:dyDescent="0.25">
      <c r="A2506">
        <v>139</v>
      </c>
      <c r="B2506" t="s">
        <v>92</v>
      </c>
      <c r="C2506" t="s">
        <v>724</v>
      </c>
      <c r="E2506" t="s">
        <v>724</v>
      </c>
      <c r="L2506" t="s">
        <v>93</v>
      </c>
      <c r="M2506">
        <v>180</v>
      </c>
      <c r="N2506" t="s">
        <v>529</v>
      </c>
      <c r="Q2506">
        <v>1</v>
      </c>
      <c r="R2506" t="s">
        <v>11</v>
      </c>
      <c r="T2506">
        <v>10</v>
      </c>
      <c r="V2506" t="s">
        <v>18</v>
      </c>
    </row>
    <row r="2507" spans="1:22" x14ac:dyDescent="0.25">
      <c r="A2507">
        <v>140</v>
      </c>
      <c r="B2507" t="s">
        <v>92</v>
      </c>
      <c r="C2507" t="s">
        <v>726</v>
      </c>
      <c r="E2507" t="s">
        <v>726</v>
      </c>
      <c r="L2507" t="s">
        <v>93</v>
      </c>
      <c r="M2507">
        <v>10</v>
      </c>
      <c r="N2507" t="s">
        <v>531</v>
      </c>
      <c r="Q2507">
        <v>1</v>
      </c>
      <c r="R2507" t="s">
        <v>11</v>
      </c>
      <c r="T2507">
        <v>10</v>
      </c>
      <c r="V2507" t="s">
        <v>18</v>
      </c>
    </row>
    <row r="2508" spans="1:22" x14ac:dyDescent="0.25">
      <c r="A2508">
        <v>140</v>
      </c>
      <c r="B2508" t="s">
        <v>92</v>
      </c>
      <c r="C2508" t="s">
        <v>726</v>
      </c>
      <c r="E2508" t="s">
        <v>726</v>
      </c>
      <c r="L2508" t="s">
        <v>93</v>
      </c>
      <c r="M2508">
        <v>20</v>
      </c>
      <c r="N2508" t="s">
        <v>132</v>
      </c>
      <c r="Q2508">
        <v>3.411</v>
      </c>
      <c r="R2508" t="s">
        <v>14</v>
      </c>
      <c r="T2508">
        <v>10</v>
      </c>
      <c r="V2508" t="s">
        <v>15</v>
      </c>
    </row>
    <row r="2509" spans="1:22" x14ac:dyDescent="0.25">
      <c r="A2509">
        <v>140</v>
      </c>
      <c r="B2509" t="s">
        <v>92</v>
      </c>
      <c r="C2509" t="s">
        <v>726</v>
      </c>
      <c r="E2509" t="s">
        <v>726</v>
      </c>
      <c r="L2509" t="s">
        <v>93</v>
      </c>
      <c r="M2509">
        <v>30</v>
      </c>
      <c r="N2509" t="s">
        <v>102</v>
      </c>
      <c r="Q2509">
        <v>0.94</v>
      </c>
      <c r="R2509" t="s">
        <v>103</v>
      </c>
      <c r="T2509">
        <v>10</v>
      </c>
      <c r="V2509" t="s">
        <v>15</v>
      </c>
    </row>
    <row r="2510" spans="1:22" x14ac:dyDescent="0.25">
      <c r="A2510">
        <v>140</v>
      </c>
      <c r="B2510" t="s">
        <v>92</v>
      </c>
      <c r="C2510" t="s">
        <v>726</v>
      </c>
      <c r="E2510" t="s">
        <v>726</v>
      </c>
      <c r="L2510" t="s">
        <v>93</v>
      </c>
      <c r="M2510">
        <v>40</v>
      </c>
      <c r="N2510" t="s">
        <v>597</v>
      </c>
      <c r="Q2510">
        <v>2.0569999999999999</v>
      </c>
      <c r="R2510" t="s">
        <v>11</v>
      </c>
      <c r="T2510">
        <v>10</v>
      </c>
      <c r="V2510" t="s">
        <v>18</v>
      </c>
    </row>
    <row r="2511" spans="1:22" x14ac:dyDescent="0.25">
      <c r="A2511">
        <v>140</v>
      </c>
      <c r="B2511" t="s">
        <v>92</v>
      </c>
      <c r="C2511" t="s">
        <v>726</v>
      </c>
      <c r="E2511" t="s">
        <v>726</v>
      </c>
      <c r="L2511" t="s">
        <v>93</v>
      </c>
      <c r="M2511">
        <v>50</v>
      </c>
      <c r="N2511" t="s">
        <v>139</v>
      </c>
      <c r="Q2511">
        <v>2.0569999999999999</v>
      </c>
      <c r="R2511" t="s">
        <v>17</v>
      </c>
      <c r="T2511">
        <v>10</v>
      </c>
      <c r="V2511" t="s">
        <v>18</v>
      </c>
    </row>
    <row r="2512" spans="1:22" x14ac:dyDescent="0.25">
      <c r="A2512">
        <v>140</v>
      </c>
      <c r="B2512" t="s">
        <v>92</v>
      </c>
      <c r="C2512" t="s">
        <v>726</v>
      </c>
      <c r="E2512" t="s">
        <v>726</v>
      </c>
      <c r="L2512" t="s">
        <v>93</v>
      </c>
      <c r="M2512">
        <v>60</v>
      </c>
      <c r="N2512" t="s">
        <v>727</v>
      </c>
      <c r="Q2512">
        <v>1</v>
      </c>
      <c r="R2512" t="s">
        <v>11</v>
      </c>
      <c r="T2512">
        <v>10</v>
      </c>
      <c r="V2512" t="s">
        <v>18</v>
      </c>
    </row>
    <row r="2513" spans="1:22" x14ac:dyDescent="0.25">
      <c r="A2513">
        <v>140</v>
      </c>
      <c r="B2513" t="s">
        <v>92</v>
      </c>
      <c r="C2513" t="s">
        <v>726</v>
      </c>
      <c r="E2513" t="s">
        <v>726</v>
      </c>
      <c r="L2513" t="s">
        <v>93</v>
      </c>
      <c r="M2513">
        <v>70</v>
      </c>
      <c r="N2513" t="s">
        <v>599</v>
      </c>
      <c r="Q2513">
        <v>20.117000000000001</v>
      </c>
      <c r="R2513" t="s">
        <v>17</v>
      </c>
      <c r="T2513">
        <v>10</v>
      </c>
      <c r="V2513" t="s">
        <v>15</v>
      </c>
    </row>
    <row r="2514" spans="1:22" x14ac:dyDescent="0.25">
      <c r="A2514">
        <v>140</v>
      </c>
      <c r="B2514" t="s">
        <v>92</v>
      </c>
      <c r="C2514" t="s">
        <v>726</v>
      </c>
      <c r="E2514" t="s">
        <v>726</v>
      </c>
      <c r="L2514" t="s">
        <v>93</v>
      </c>
      <c r="M2514">
        <v>80</v>
      </c>
      <c r="N2514" t="s">
        <v>20</v>
      </c>
      <c r="Q2514">
        <v>164.958</v>
      </c>
      <c r="R2514" t="s">
        <v>17</v>
      </c>
      <c r="T2514">
        <v>10</v>
      </c>
      <c r="V2514" t="s">
        <v>15</v>
      </c>
    </row>
    <row r="2515" spans="1:22" x14ac:dyDescent="0.25">
      <c r="A2515">
        <v>140</v>
      </c>
      <c r="B2515" t="s">
        <v>92</v>
      </c>
      <c r="C2515" t="s">
        <v>726</v>
      </c>
      <c r="E2515" t="s">
        <v>726</v>
      </c>
      <c r="L2515" t="s">
        <v>93</v>
      </c>
      <c r="M2515">
        <v>90</v>
      </c>
      <c r="N2515" t="s">
        <v>24</v>
      </c>
      <c r="Q2515">
        <v>1</v>
      </c>
      <c r="R2515" t="s">
        <v>11</v>
      </c>
      <c r="T2515">
        <v>10</v>
      </c>
      <c r="V2515" t="s">
        <v>15</v>
      </c>
    </row>
    <row r="2516" spans="1:22" x14ac:dyDescent="0.25">
      <c r="A2516">
        <v>140</v>
      </c>
      <c r="B2516" t="s">
        <v>92</v>
      </c>
      <c r="C2516" t="s">
        <v>726</v>
      </c>
      <c r="E2516" t="s">
        <v>726</v>
      </c>
      <c r="L2516" t="s">
        <v>93</v>
      </c>
      <c r="M2516">
        <v>100</v>
      </c>
      <c r="N2516" t="s">
        <v>141</v>
      </c>
      <c r="Q2516">
        <v>0.107</v>
      </c>
      <c r="R2516" t="s">
        <v>14</v>
      </c>
      <c r="T2516">
        <v>10</v>
      </c>
      <c r="V2516" t="s">
        <v>15</v>
      </c>
    </row>
    <row r="2517" spans="1:22" x14ac:dyDescent="0.25">
      <c r="A2517">
        <v>140</v>
      </c>
      <c r="B2517" t="s">
        <v>92</v>
      </c>
      <c r="C2517" t="s">
        <v>726</v>
      </c>
      <c r="E2517" t="s">
        <v>726</v>
      </c>
      <c r="L2517" t="s">
        <v>93</v>
      </c>
      <c r="M2517">
        <v>110</v>
      </c>
      <c r="N2517" t="s">
        <v>140</v>
      </c>
      <c r="Q2517">
        <v>4</v>
      </c>
      <c r="R2517" t="s">
        <v>11</v>
      </c>
      <c r="T2517">
        <v>10</v>
      </c>
      <c r="V2517" t="s">
        <v>15</v>
      </c>
    </row>
    <row r="2518" spans="1:22" x14ac:dyDescent="0.25">
      <c r="A2518">
        <v>140</v>
      </c>
      <c r="B2518" t="s">
        <v>92</v>
      </c>
      <c r="C2518" t="s">
        <v>726</v>
      </c>
      <c r="E2518" t="s">
        <v>726</v>
      </c>
      <c r="L2518" t="s">
        <v>93</v>
      </c>
      <c r="M2518">
        <v>120</v>
      </c>
      <c r="N2518" t="s">
        <v>25</v>
      </c>
      <c r="Q2518">
        <v>1</v>
      </c>
      <c r="R2518" t="s">
        <v>11</v>
      </c>
      <c r="T2518">
        <v>10</v>
      </c>
      <c r="V2518" t="s">
        <v>15</v>
      </c>
    </row>
    <row r="2519" spans="1:22" x14ac:dyDescent="0.25">
      <c r="A2519">
        <v>140</v>
      </c>
      <c r="B2519" t="s">
        <v>92</v>
      </c>
      <c r="C2519" t="s">
        <v>726</v>
      </c>
      <c r="E2519" t="s">
        <v>726</v>
      </c>
      <c r="L2519" t="s">
        <v>93</v>
      </c>
      <c r="M2519">
        <v>130</v>
      </c>
      <c r="N2519" t="s">
        <v>26</v>
      </c>
      <c r="Q2519">
        <v>1</v>
      </c>
      <c r="R2519" t="s">
        <v>11</v>
      </c>
      <c r="T2519">
        <v>10</v>
      </c>
      <c r="V2519" t="s">
        <v>15</v>
      </c>
    </row>
    <row r="2520" spans="1:22" x14ac:dyDescent="0.25">
      <c r="A2520">
        <v>140</v>
      </c>
      <c r="B2520" t="s">
        <v>92</v>
      </c>
      <c r="C2520" t="s">
        <v>726</v>
      </c>
      <c r="E2520" t="s">
        <v>726</v>
      </c>
      <c r="L2520" t="s">
        <v>93</v>
      </c>
      <c r="M2520">
        <v>140</v>
      </c>
      <c r="N2520" t="s">
        <v>100</v>
      </c>
      <c r="Q2520">
        <v>1.216</v>
      </c>
      <c r="R2520" t="s">
        <v>14</v>
      </c>
      <c r="T2520">
        <v>10</v>
      </c>
      <c r="V2520" t="s">
        <v>15</v>
      </c>
    </row>
    <row r="2521" spans="1:22" x14ac:dyDescent="0.25">
      <c r="A2521">
        <v>140</v>
      </c>
      <c r="B2521" t="s">
        <v>92</v>
      </c>
      <c r="C2521" t="s">
        <v>726</v>
      </c>
      <c r="E2521" t="s">
        <v>726</v>
      </c>
      <c r="L2521" t="s">
        <v>93</v>
      </c>
      <c r="M2521">
        <v>150</v>
      </c>
      <c r="N2521" t="s">
        <v>533</v>
      </c>
      <c r="Q2521">
        <v>1</v>
      </c>
      <c r="R2521" t="s">
        <v>11</v>
      </c>
      <c r="T2521">
        <v>10</v>
      </c>
      <c r="V2521" t="s">
        <v>18</v>
      </c>
    </row>
    <row r="2522" spans="1:22" x14ac:dyDescent="0.25">
      <c r="A2522">
        <v>140</v>
      </c>
      <c r="B2522" t="s">
        <v>92</v>
      </c>
      <c r="C2522" t="s">
        <v>726</v>
      </c>
      <c r="E2522" t="s">
        <v>726</v>
      </c>
      <c r="L2522" t="s">
        <v>93</v>
      </c>
      <c r="M2522">
        <v>160</v>
      </c>
      <c r="N2522" t="s">
        <v>534</v>
      </c>
      <c r="Q2522">
        <v>1</v>
      </c>
      <c r="R2522" t="s">
        <v>11</v>
      </c>
      <c r="T2522">
        <v>10</v>
      </c>
      <c r="V2522" t="s">
        <v>18</v>
      </c>
    </row>
    <row r="2523" spans="1:22" x14ac:dyDescent="0.25">
      <c r="A2523">
        <v>140</v>
      </c>
      <c r="B2523" t="s">
        <v>92</v>
      </c>
      <c r="C2523" t="s">
        <v>726</v>
      </c>
      <c r="E2523" t="s">
        <v>726</v>
      </c>
      <c r="L2523" t="s">
        <v>93</v>
      </c>
      <c r="M2523">
        <v>170</v>
      </c>
      <c r="N2523" t="s">
        <v>142</v>
      </c>
      <c r="Q2523">
        <v>6.7060000000000004</v>
      </c>
      <c r="R2523" t="s">
        <v>11</v>
      </c>
      <c r="T2523">
        <v>10</v>
      </c>
      <c r="V2523" t="s">
        <v>15</v>
      </c>
    </row>
    <row r="2524" spans="1:22" x14ac:dyDescent="0.25">
      <c r="A2524">
        <v>140</v>
      </c>
      <c r="B2524" t="s">
        <v>92</v>
      </c>
      <c r="C2524" t="s">
        <v>726</v>
      </c>
      <c r="E2524" t="s">
        <v>726</v>
      </c>
      <c r="L2524" t="s">
        <v>93</v>
      </c>
      <c r="M2524">
        <v>180</v>
      </c>
      <c r="N2524" t="s">
        <v>535</v>
      </c>
      <c r="Q2524">
        <v>1</v>
      </c>
      <c r="R2524" t="s">
        <v>11</v>
      </c>
      <c r="T2524">
        <v>10</v>
      </c>
      <c r="V2524" t="s">
        <v>18</v>
      </c>
    </row>
    <row r="2525" spans="1:22" x14ac:dyDescent="0.25">
      <c r="A2525">
        <v>141</v>
      </c>
      <c r="B2525" t="s">
        <v>92</v>
      </c>
      <c r="C2525" t="s">
        <v>728</v>
      </c>
      <c r="E2525" t="s">
        <v>728</v>
      </c>
      <c r="L2525" t="s">
        <v>93</v>
      </c>
      <c r="M2525">
        <v>10</v>
      </c>
      <c r="N2525" t="s">
        <v>537</v>
      </c>
      <c r="Q2525">
        <v>1</v>
      </c>
      <c r="R2525" t="s">
        <v>11</v>
      </c>
      <c r="T2525">
        <v>10</v>
      </c>
      <c r="V2525" t="s">
        <v>18</v>
      </c>
    </row>
    <row r="2526" spans="1:22" x14ac:dyDescent="0.25">
      <c r="A2526">
        <v>141</v>
      </c>
      <c r="B2526" t="s">
        <v>92</v>
      </c>
      <c r="C2526" t="s">
        <v>728</v>
      </c>
      <c r="E2526" t="s">
        <v>728</v>
      </c>
      <c r="L2526" t="s">
        <v>93</v>
      </c>
      <c r="M2526">
        <v>20</v>
      </c>
      <c r="N2526" t="s">
        <v>132</v>
      </c>
      <c r="Q2526">
        <v>4.2720000000000002</v>
      </c>
      <c r="R2526" t="s">
        <v>14</v>
      </c>
      <c r="T2526">
        <v>10</v>
      </c>
      <c r="V2526" t="s">
        <v>15</v>
      </c>
    </row>
    <row r="2527" spans="1:22" x14ac:dyDescent="0.25">
      <c r="A2527">
        <v>141</v>
      </c>
      <c r="B2527" t="s">
        <v>92</v>
      </c>
      <c r="C2527" t="s">
        <v>728</v>
      </c>
      <c r="E2527" t="s">
        <v>728</v>
      </c>
      <c r="L2527" t="s">
        <v>93</v>
      </c>
      <c r="M2527">
        <v>30</v>
      </c>
      <c r="N2527" t="s">
        <v>102</v>
      </c>
      <c r="Q2527">
        <v>1.18</v>
      </c>
      <c r="R2527" t="s">
        <v>103</v>
      </c>
      <c r="T2527">
        <v>10</v>
      </c>
      <c r="V2527" t="s">
        <v>15</v>
      </c>
    </row>
    <row r="2528" spans="1:22" x14ac:dyDescent="0.25">
      <c r="A2528">
        <v>141</v>
      </c>
      <c r="B2528" t="s">
        <v>92</v>
      </c>
      <c r="C2528" t="s">
        <v>728</v>
      </c>
      <c r="E2528" t="s">
        <v>728</v>
      </c>
      <c r="L2528" t="s">
        <v>93</v>
      </c>
      <c r="M2528">
        <v>40</v>
      </c>
      <c r="N2528" t="s">
        <v>597</v>
      </c>
      <c r="Q2528">
        <v>2.0569999999999999</v>
      </c>
      <c r="R2528" t="s">
        <v>11</v>
      </c>
      <c r="T2528">
        <v>10</v>
      </c>
      <c r="V2528" t="s">
        <v>18</v>
      </c>
    </row>
    <row r="2529" spans="1:22" x14ac:dyDescent="0.25">
      <c r="A2529">
        <v>141</v>
      </c>
      <c r="B2529" t="s">
        <v>92</v>
      </c>
      <c r="C2529" t="s">
        <v>728</v>
      </c>
      <c r="E2529" t="s">
        <v>728</v>
      </c>
      <c r="L2529" t="s">
        <v>93</v>
      </c>
      <c r="M2529">
        <v>50</v>
      </c>
      <c r="N2529" t="s">
        <v>139</v>
      </c>
      <c r="Q2529">
        <v>2.0569999999999999</v>
      </c>
      <c r="R2529" t="s">
        <v>17</v>
      </c>
      <c r="T2529">
        <v>10</v>
      </c>
      <c r="V2529" t="s">
        <v>18</v>
      </c>
    </row>
    <row r="2530" spans="1:22" x14ac:dyDescent="0.25">
      <c r="A2530">
        <v>141</v>
      </c>
      <c r="B2530" t="s">
        <v>92</v>
      </c>
      <c r="C2530" t="s">
        <v>728</v>
      </c>
      <c r="E2530" t="s">
        <v>728</v>
      </c>
      <c r="L2530" t="s">
        <v>93</v>
      </c>
      <c r="M2530">
        <v>60</v>
      </c>
      <c r="N2530" t="s">
        <v>729</v>
      </c>
      <c r="Q2530">
        <v>1</v>
      </c>
      <c r="R2530" t="s">
        <v>11</v>
      </c>
      <c r="T2530">
        <v>10</v>
      </c>
      <c r="V2530" t="s">
        <v>18</v>
      </c>
    </row>
    <row r="2531" spans="1:22" x14ac:dyDescent="0.25">
      <c r="A2531">
        <v>141</v>
      </c>
      <c r="B2531" t="s">
        <v>92</v>
      </c>
      <c r="C2531" t="s">
        <v>728</v>
      </c>
      <c r="E2531" t="s">
        <v>728</v>
      </c>
      <c r="L2531" t="s">
        <v>93</v>
      </c>
      <c r="M2531">
        <v>70</v>
      </c>
      <c r="N2531" t="s">
        <v>599</v>
      </c>
      <c r="Q2531">
        <v>21.946000000000002</v>
      </c>
      <c r="R2531" t="s">
        <v>17</v>
      </c>
      <c r="T2531">
        <v>10</v>
      </c>
      <c r="V2531" t="s">
        <v>15</v>
      </c>
    </row>
    <row r="2532" spans="1:22" x14ac:dyDescent="0.25">
      <c r="A2532">
        <v>141</v>
      </c>
      <c r="B2532" t="s">
        <v>92</v>
      </c>
      <c r="C2532" t="s">
        <v>728</v>
      </c>
      <c r="E2532" t="s">
        <v>728</v>
      </c>
      <c r="L2532" t="s">
        <v>93</v>
      </c>
      <c r="M2532">
        <v>80</v>
      </c>
      <c r="N2532" t="s">
        <v>20</v>
      </c>
      <c r="Q2532">
        <v>179.95400000000001</v>
      </c>
      <c r="R2532" t="s">
        <v>17</v>
      </c>
      <c r="T2532">
        <v>10</v>
      </c>
      <c r="V2532" t="s">
        <v>15</v>
      </c>
    </row>
    <row r="2533" spans="1:22" x14ac:dyDescent="0.25">
      <c r="A2533">
        <v>141</v>
      </c>
      <c r="B2533" t="s">
        <v>92</v>
      </c>
      <c r="C2533" t="s">
        <v>728</v>
      </c>
      <c r="E2533" t="s">
        <v>728</v>
      </c>
      <c r="L2533" t="s">
        <v>93</v>
      </c>
      <c r="M2533">
        <v>90</v>
      </c>
      <c r="N2533" t="s">
        <v>24</v>
      </c>
      <c r="Q2533">
        <v>1</v>
      </c>
      <c r="R2533" t="s">
        <v>11</v>
      </c>
      <c r="T2533">
        <v>10</v>
      </c>
      <c r="V2533" t="s">
        <v>15</v>
      </c>
    </row>
    <row r="2534" spans="1:22" x14ac:dyDescent="0.25">
      <c r="A2534">
        <v>141</v>
      </c>
      <c r="B2534" t="s">
        <v>92</v>
      </c>
      <c r="C2534" t="s">
        <v>728</v>
      </c>
      <c r="E2534" t="s">
        <v>728</v>
      </c>
      <c r="L2534" t="s">
        <v>93</v>
      </c>
      <c r="M2534">
        <v>100</v>
      </c>
      <c r="N2534" t="s">
        <v>141</v>
      </c>
      <c r="Q2534">
        <v>0.128</v>
      </c>
      <c r="R2534" t="s">
        <v>14</v>
      </c>
      <c r="T2534">
        <v>10</v>
      </c>
      <c r="V2534" t="s">
        <v>15</v>
      </c>
    </row>
    <row r="2535" spans="1:22" x14ac:dyDescent="0.25">
      <c r="A2535">
        <v>141</v>
      </c>
      <c r="B2535" t="s">
        <v>92</v>
      </c>
      <c r="C2535" t="s">
        <v>728</v>
      </c>
      <c r="E2535" t="s">
        <v>728</v>
      </c>
      <c r="L2535" t="s">
        <v>93</v>
      </c>
      <c r="M2535">
        <v>110</v>
      </c>
      <c r="N2535" t="s">
        <v>140</v>
      </c>
      <c r="Q2535">
        <v>4</v>
      </c>
      <c r="R2535" t="s">
        <v>11</v>
      </c>
      <c r="T2535">
        <v>10</v>
      </c>
      <c r="V2535" t="s">
        <v>15</v>
      </c>
    </row>
    <row r="2536" spans="1:22" x14ac:dyDescent="0.25">
      <c r="A2536">
        <v>141</v>
      </c>
      <c r="B2536" t="s">
        <v>92</v>
      </c>
      <c r="C2536" t="s">
        <v>728</v>
      </c>
      <c r="E2536" t="s">
        <v>728</v>
      </c>
      <c r="L2536" t="s">
        <v>93</v>
      </c>
      <c r="M2536">
        <v>120</v>
      </c>
      <c r="N2536" t="s">
        <v>25</v>
      </c>
      <c r="Q2536">
        <v>1</v>
      </c>
      <c r="R2536" t="s">
        <v>11</v>
      </c>
      <c r="T2536">
        <v>10</v>
      </c>
      <c r="V2536" t="s">
        <v>15</v>
      </c>
    </row>
    <row r="2537" spans="1:22" x14ac:dyDescent="0.25">
      <c r="A2537">
        <v>141</v>
      </c>
      <c r="B2537" t="s">
        <v>92</v>
      </c>
      <c r="C2537" t="s">
        <v>728</v>
      </c>
      <c r="E2537" t="s">
        <v>728</v>
      </c>
      <c r="L2537" t="s">
        <v>93</v>
      </c>
      <c r="M2537">
        <v>130</v>
      </c>
      <c r="N2537" t="s">
        <v>26</v>
      </c>
      <c r="Q2537">
        <v>1</v>
      </c>
      <c r="R2537" t="s">
        <v>11</v>
      </c>
      <c r="T2537">
        <v>10</v>
      </c>
      <c r="V2537" t="s">
        <v>15</v>
      </c>
    </row>
    <row r="2538" spans="1:22" x14ac:dyDescent="0.25">
      <c r="A2538">
        <v>141</v>
      </c>
      <c r="B2538" t="s">
        <v>92</v>
      </c>
      <c r="C2538" t="s">
        <v>728</v>
      </c>
      <c r="E2538" t="s">
        <v>728</v>
      </c>
      <c r="L2538" t="s">
        <v>93</v>
      </c>
      <c r="M2538">
        <v>140</v>
      </c>
      <c r="N2538" t="s">
        <v>100</v>
      </c>
      <c r="Q2538">
        <v>1.216</v>
      </c>
      <c r="R2538" t="s">
        <v>14</v>
      </c>
      <c r="T2538">
        <v>10</v>
      </c>
      <c r="V2538" t="s">
        <v>15</v>
      </c>
    </row>
    <row r="2539" spans="1:22" x14ac:dyDescent="0.25">
      <c r="A2539">
        <v>141</v>
      </c>
      <c r="B2539" t="s">
        <v>92</v>
      </c>
      <c r="C2539" t="s">
        <v>728</v>
      </c>
      <c r="E2539" t="s">
        <v>728</v>
      </c>
      <c r="L2539" t="s">
        <v>93</v>
      </c>
      <c r="M2539">
        <v>150</v>
      </c>
      <c r="N2539" t="s">
        <v>539</v>
      </c>
      <c r="Q2539">
        <v>1</v>
      </c>
      <c r="R2539" t="s">
        <v>11</v>
      </c>
      <c r="T2539">
        <v>10</v>
      </c>
      <c r="V2539" t="s">
        <v>18</v>
      </c>
    </row>
    <row r="2540" spans="1:22" x14ac:dyDescent="0.25">
      <c r="A2540">
        <v>141</v>
      </c>
      <c r="B2540" t="s">
        <v>92</v>
      </c>
      <c r="C2540" t="s">
        <v>728</v>
      </c>
      <c r="E2540" t="s">
        <v>728</v>
      </c>
      <c r="L2540" t="s">
        <v>93</v>
      </c>
      <c r="M2540">
        <v>160</v>
      </c>
      <c r="N2540" t="s">
        <v>540</v>
      </c>
      <c r="Q2540">
        <v>1</v>
      </c>
      <c r="R2540" t="s">
        <v>11</v>
      </c>
      <c r="T2540">
        <v>10</v>
      </c>
      <c r="V2540" t="s">
        <v>18</v>
      </c>
    </row>
    <row r="2541" spans="1:22" x14ac:dyDescent="0.25">
      <c r="A2541">
        <v>141</v>
      </c>
      <c r="B2541" t="s">
        <v>92</v>
      </c>
      <c r="C2541" t="s">
        <v>728</v>
      </c>
      <c r="E2541" t="s">
        <v>728</v>
      </c>
      <c r="L2541" t="s">
        <v>93</v>
      </c>
      <c r="M2541">
        <v>170</v>
      </c>
      <c r="N2541" t="s">
        <v>142</v>
      </c>
      <c r="Q2541">
        <v>7.3150000000000004</v>
      </c>
      <c r="R2541" t="s">
        <v>11</v>
      </c>
      <c r="T2541">
        <v>10</v>
      </c>
      <c r="V2541" t="s">
        <v>15</v>
      </c>
    </row>
    <row r="2542" spans="1:22" x14ac:dyDescent="0.25">
      <c r="A2542">
        <v>141</v>
      </c>
      <c r="B2542" t="s">
        <v>92</v>
      </c>
      <c r="C2542" t="s">
        <v>728</v>
      </c>
      <c r="E2542" t="s">
        <v>728</v>
      </c>
      <c r="L2542" t="s">
        <v>93</v>
      </c>
      <c r="M2542">
        <v>180</v>
      </c>
      <c r="N2542" t="s">
        <v>541</v>
      </c>
      <c r="Q2542">
        <v>1</v>
      </c>
      <c r="R2542" t="s">
        <v>11</v>
      </c>
      <c r="T2542">
        <v>10</v>
      </c>
      <c r="V2542" t="s">
        <v>18</v>
      </c>
    </row>
    <row r="2543" spans="1:22" x14ac:dyDescent="0.25">
      <c r="A2543">
        <v>142</v>
      </c>
      <c r="B2543" t="s">
        <v>92</v>
      </c>
      <c r="C2543" t="s">
        <v>730</v>
      </c>
      <c r="E2543" t="s">
        <v>730</v>
      </c>
      <c r="L2543" t="s">
        <v>93</v>
      </c>
      <c r="M2543">
        <v>10</v>
      </c>
      <c r="N2543" t="s">
        <v>543</v>
      </c>
      <c r="Q2543">
        <v>1</v>
      </c>
      <c r="R2543" t="s">
        <v>11</v>
      </c>
      <c r="T2543">
        <v>10</v>
      </c>
      <c r="V2543" t="s">
        <v>18</v>
      </c>
    </row>
    <row r="2544" spans="1:22" x14ac:dyDescent="0.25">
      <c r="A2544">
        <v>142</v>
      </c>
      <c r="B2544" t="s">
        <v>92</v>
      </c>
      <c r="C2544" t="s">
        <v>730</v>
      </c>
      <c r="E2544" t="s">
        <v>730</v>
      </c>
      <c r="L2544" t="s">
        <v>93</v>
      </c>
      <c r="M2544">
        <v>20</v>
      </c>
      <c r="N2544" t="s">
        <v>132</v>
      </c>
      <c r="Q2544">
        <v>4.7030000000000003</v>
      </c>
      <c r="R2544" t="s">
        <v>14</v>
      </c>
      <c r="T2544">
        <v>10</v>
      </c>
      <c r="V2544" t="s">
        <v>15</v>
      </c>
    </row>
    <row r="2545" spans="1:22" x14ac:dyDescent="0.25">
      <c r="A2545">
        <v>142</v>
      </c>
      <c r="B2545" t="s">
        <v>92</v>
      </c>
      <c r="C2545" t="s">
        <v>730</v>
      </c>
      <c r="E2545" t="s">
        <v>730</v>
      </c>
      <c r="L2545" t="s">
        <v>93</v>
      </c>
      <c r="M2545">
        <v>30</v>
      </c>
      <c r="N2545" t="s">
        <v>102</v>
      </c>
      <c r="Q2545">
        <v>1.3</v>
      </c>
      <c r="R2545" t="s">
        <v>103</v>
      </c>
      <c r="T2545">
        <v>10</v>
      </c>
      <c r="V2545" t="s">
        <v>15</v>
      </c>
    </row>
    <row r="2546" spans="1:22" x14ac:dyDescent="0.25">
      <c r="A2546">
        <v>142</v>
      </c>
      <c r="B2546" t="s">
        <v>92</v>
      </c>
      <c r="C2546" t="s">
        <v>730</v>
      </c>
      <c r="E2546" t="s">
        <v>730</v>
      </c>
      <c r="L2546" t="s">
        <v>93</v>
      </c>
      <c r="M2546">
        <v>40</v>
      </c>
      <c r="N2546" t="s">
        <v>597</v>
      </c>
      <c r="Q2546">
        <v>2.0569999999999999</v>
      </c>
      <c r="R2546" t="s">
        <v>11</v>
      </c>
      <c r="T2546">
        <v>10</v>
      </c>
      <c r="V2546" t="s">
        <v>18</v>
      </c>
    </row>
    <row r="2547" spans="1:22" x14ac:dyDescent="0.25">
      <c r="A2547">
        <v>142</v>
      </c>
      <c r="B2547" t="s">
        <v>92</v>
      </c>
      <c r="C2547" t="s">
        <v>730</v>
      </c>
      <c r="E2547" t="s">
        <v>730</v>
      </c>
      <c r="L2547" t="s">
        <v>93</v>
      </c>
      <c r="M2547">
        <v>50</v>
      </c>
      <c r="N2547" t="s">
        <v>139</v>
      </c>
      <c r="Q2547">
        <v>2.0569999999999999</v>
      </c>
      <c r="R2547" t="s">
        <v>17</v>
      </c>
      <c r="T2547">
        <v>10</v>
      </c>
      <c r="V2547" t="s">
        <v>18</v>
      </c>
    </row>
    <row r="2548" spans="1:22" x14ac:dyDescent="0.25">
      <c r="A2548">
        <v>142</v>
      </c>
      <c r="B2548" t="s">
        <v>92</v>
      </c>
      <c r="C2548" t="s">
        <v>730</v>
      </c>
      <c r="E2548" t="s">
        <v>730</v>
      </c>
      <c r="L2548" t="s">
        <v>93</v>
      </c>
      <c r="M2548">
        <v>60</v>
      </c>
      <c r="N2548" t="s">
        <v>731</v>
      </c>
      <c r="Q2548">
        <v>1</v>
      </c>
      <c r="R2548" t="s">
        <v>11</v>
      </c>
      <c r="T2548">
        <v>10</v>
      </c>
      <c r="V2548" t="s">
        <v>18</v>
      </c>
    </row>
    <row r="2549" spans="1:22" x14ac:dyDescent="0.25">
      <c r="A2549">
        <v>142</v>
      </c>
      <c r="B2549" t="s">
        <v>92</v>
      </c>
      <c r="C2549" t="s">
        <v>730</v>
      </c>
      <c r="E2549" t="s">
        <v>730</v>
      </c>
      <c r="L2549" t="s">
        <v>93</v>
      </c>
      <c r="M2549">
        <v>70</v>
      </c>
      <c r="N2549" t="s">
        <v>599</v>
      </c>
      <c r="Q2549">
        <v>22.86</v>
      </c>
      <c r="R2549" t="s">
        <v>17</v>
      </c>
      <c r="T2549">
        <v>10</v>
      </c>
      <c r="V2549" t="s">
        <v>15</v>
      </c>
    </row>
    <row r="2550" spans="1:22" x14ac:dyDescent="0.25">
      <c r="A2550">
        <v>142</v>
      </c>
      <c r="B2550" t="s">
        <v>92</v>
      </c>
      <c r="C2550" t="s">
        <v>730</v>
      </c>
      <c r="E2550" t="s">
        <v>730</v>
      </c>
      <c r="L2550" t="s">
        <v>93</v>
      </c>
      <c r="M2550">
        <v>80</v>
      </c>
      <c r="N2550" t="s">
        <v>20</v>
      </c>
      <c r="Q2550">
        <v>187.452</v>
      </c>
      <c r="R2550" t="s">
        <v>17</v>
      </c>
      <c r="T2550">
        <v>10</v>
      </c>
      <c r="V2550" t="s">
        <v>15</v>
      </c>
    </row>
    <row r="2551" spans="1:22" x14ac:dyDescent="0.25">
      <c r="A2551">
        <v>142</v>
      </c>
      <c r="B2551" t="s">
        <v>92</v>
      </c>
      <c r="C2551" t="s">
        <v>730</v>
      </c>
      <c r="E2551" t="s">
        <v>730</v>
      </c>
      <c r="L2551" t="s">
        <v>93</v>
      </c>
      <c r="M2551">
        <v>90</v>
      </c>
      <c r="N2551" t="s">
        <v>24</v>
      </c>
      <c r="Q2551">
        <v>1</v>
      </c>
      <c r="R2551" t="s">
        <v>11</v>
      </c>
      <c r="T2551">
        <v>10</v>
      </c>
      <c r="V2551" t="s">
        <v>15</v>
      </c>
    </row>
    <row r="2552" spans="1:22" x14ac:dyDescent="0.25">
      <c r="A2552">
        <v>142</v>
      </c>
      <c r="B2552" t="s">
        <v>92</v>
      </c>
      <c r="C2552" t="s">
        <v>730</v>
      </c>
      <c r="E2552" t="s">
        <v>730</v>
      </c>
      <c r="L2552" t="s">
        <v>93</v>
      </c>
      <c r="M2552">
        <v>100</v>
      </c>
      <c r="N2552" t="s">
        <v>141</v>
      </c>
      <c r="Q2552">
        <v>0.13800000000000001</v>
      </c>
      <c r="R2552" t="s">
        <v>14</v>
      </c>
      <c r="T2552">
        <v>10</v>
      </c>
      <c r="V2552" t="s">
        <v>15</v>
      </c>
    </row>
    <row r="2553" spans="1:22" x14ac:dyDescent="0.25">
      <c r="A2553">
        <v>142</v>
      </c>
      <c r="B2553" t="s">
        <v>92</v>
      </c>
      <c r="C2553" t="s">
        <v>730</v>
      </c>
      <c r="E2553" t="s">
        <v>730</v>
      </c>
      <c r="L2553" t="s">
        <v>93</v>
      </c>
      <c r="M2553">
        <v>110</v>
      </c>
      <c r="N2553" t="s">
        <v>140</v>
      </c>
      <c r="Q2553">
        <v>4</v>
      </c>
      <c r="R2553" t="s">
        <v>11</v>
      </c>
      <c r="T2553">
        <v>10</v>
      </c>
      <c r="V2553" t="s">
        <v>15</v>
      </c>
    </row>
    <row r="2554" spans="1:22" x14ac:dyDescent="0.25">
      <c r="A2554">
        <v>142</v>
      </c>
      <c r="B2554" t="s">
        <v>92</v>
      </c>
      <c r="C2554" t="s">
        <v>730</v>
      </c>
      <c r="E2554" t="s">
        <v>730</v>
      </c>
      <c r="L2554" t="s">
        <v>93</v>
      </c>
      <c r="M2554">
        <v>120</v>
      </c>
      <c r="N2554" t="s">
        <v>25</v>
      </c>
      <c r="Q2554">
        <v>1</v>
      </c>
      <c r="R2554" t="s">
        <v>11</v>
      </c>
      <c r="T2554">
        <v>10</v>
      </c>
      <c r="V2554" t="s">
        <v>15</v>
      </c>
    </row>
    <row r="2555" spans="1:22" x14ac:dyDescent="0.25">
      <c r="A2555">
        <v>142</v>
      </c>
      <c r="B2555" t="s">
        <v>92</v>
      </c>
      <c r="C2555" t="s">
        <v>730</v>
      </c>
      <c r="E2555" t="s">
        <v>730</v>
      </c>
      <c r="L2555" t="s">
        <v>93</v>
      </c>
      <c r="M2555">
        <v>130</v>
      </c>
      <c r="N2555" t="s">
        <v>26</v>
      </c>
      <c r="Q2555">
        <v>1</v>
      </c>
      <c r="R2555" t="s">
        <v>11</v>
      </c>
      <c r="T2555">
        <v>10</v>
      </c>
      <c r="V2555" t="s">
        <v>15</v>
      </c>
    </row>
    <row r="2556" spans="1:22" x14ac:dyDescent="0.25">
      <c r="A2556">
        <v>142</v>
      </c>
      <c r="B2556" t="s">
        <v>92</v>
      </c>
      <c r="C2556" t="s">
        <v>730</v>
      </c>
      <c r="E2556" t="s">
        <v>730</v>
      </c>
      <c r="L2556" t="s">
        <v>93</v>
      </c>
      <c r="M2556">
        <v>140</v>
      </c>
      <c r="N2556" t="s">
        <v>100</v>
      </c>
      <c r="Q2556">
        <v>1.216</v>
      </c>
      <c r="R2556" t="s">
        <v>14</v>
      </c>
      <c r="T2556">
        <v>10</v>
      </c>
      <c r="V2556" t="s">
        <v>15</v>
      </c>
    </row>
    <row r="2557" spans="1:22" x14ac:dyDescent="0.25">
      <c r="A2557">
        <v>142</v>
      </c>
      <c r="B2557" t="s">
        <v>92</v>
      </c>
      <c r="C2557" t="s">
        <v>730</v>
      </c>
      <c r="E2557" t="s">
        <v>730</v>
      </c>
      <c r="L2557" t="s">
        <v>93</v>
      </c>
      <c r="M2557">
        <v>150</v>
      </c>
      <c r="N2557" t="s">
        <v>545</v>
      </c>
      <c r="Q2557">
        <v>1</v>
      </c>
      <c r="R2557" t="s">
        <v>11</v>
      </c>
      <c r="T2557">
        <v>10</v>
      </c>
      <c r="V2557" t="s">
        <v>18</v>
      </c>
    </row>
    <row r="2558" spans="1:22" x14ac:dyDescent="0.25">
      <c r="A2558">
        <v>142</v>
      </c>
      <c r="B2558" t="s">
        <v>92</v>
      </c>
      <c r="C2558" t="s">
        <v>730</v>
      </c>
      <c r="E2558" t="s">
        <v>730</v>
      </c>
      <c r="L2558" t="s">
        <v>93</v>
      </c>
      <c r="M2558">
        <v>160</v>
      </c>
      <c r="N2558" t="s">
        <v>546</v>
      </c>
      <c r="Q2558">
        <v>1</v>
      </c>
      <c r="R2558" t="s">
        <v>11</v>
      </c>
      <c r="T2558">
        <v>10</v>
      </c>
      <c r="V2558" t="s">
        <v>18</v>
      </c>
    </row>
    <row r="2559" spans="1:22" x14ac:dyDescent="0.25">
      <c r="A2559">
        <v>142</v>
      </c>
      <c r="B2559" t="s">
        <v>92</v>
      </c>
      <c r="C2559" t="s">
        <v>730</v>
      </c>
      <c r="E2559" t="s">
        <v>730</v>
      </c>
      <c r="L2559" t="s">
        <v>93</v>
      </c>
      <c r="M2559">
        <v>170</v>
      </c>
      <c r="N2559" t="s">
        <v>142</v>
      </c>
      <c r="Q2559">
        <v>7.62</v>
      </c>
      <c r="R2559" t="s">
        <v>11</v>
      </c>
      <c r="T2559">
        <v>10</v>
      </c>
      <c r="V2559" t="s">
        <v>15</v>
      </c>
    </row>
    <row r="2560" spans="1:22" x14ac:dyDescent="0.25">
      <c r="A2560">
        <v>142</v>
      </c>
      <c r="B2560" t="s">
        <v>92</v>
      </c>
      <c r="C2560" t="s">
        <v>730</v>
      </c>
      <c r="E2560" t="s">
        <v>730</v>
      </c>
      <c r="L2560" t="s">
        <v>93</v>
      </c>
      <c r="M2560">
        <v>180</v>
      </c>
      <c r="N2560" t="s">
        <v>547</v>
      </c>
      <c r="Q2560">
        <v>1</v>
      </c>
      <c r="R2560" t="s">
        <v>11</v>
      </c>
      <c r="T2560">
        <v>10</v>
      </c>
      <c r="V2560" t="s">
        <v>18</v>
      </c>
    </row>
    <row r="2561" spans="1:22" x14ac:dyDescent="0.25">
      <c r="A2561">
        <v>143</v>
      </c>
      <c r="B2561" t="s">
        <v>92</v>
      </c>
      <c r="C2561" t="s">
        <v>732</v>
      </c>
      <c r="E2561" t="s">
        <v>732</v>
      </c>
      <c r="L2561" t="s">
        <v>93</v>
      </c>
      <c r="M2561">
        <v>10</v>
      </c>
      <c r="N2561" t="s">
        <v>549</v>
      </c>
      <c r="Q2561">
        <v>1</v>
      </c>
      <c r="R2561" t="s">
        <v>11</v>
      </c>
      <c r="T2561">
        <v>10</v>
      </c>
      <c r="V2561" t="s">
        <v>18</v>
      </c>
    </row>
    <row r="2562" spans="1:22" x14ac:dyDescent="0.25">
      <c r="A2562">
        <v>143</v>
      </c>
      <c r="B2562" t="s">
        <v>92</v>
      </c>
      <c r="C2562" t="s">
        <v>732</v>
      </c>
      <c r="E2562" t="s">
        <v>732</v>
      </c>
      <c r="L2562" t="s">
        <v>93</v>
      </c>
      <c r="M2562">
        <v>20</v>
      </c>
      <c r="N2562" t="s">
        <v>132</v>
      </c>
      <c r="Q2562">
        <v>5.1340000000000003</v>
      </c>
      <c r="R2562" t="s">
        <v>14</v>
      </c>
      <c r="T2562">
        <v>10</v>
      </c>
      <c r="V2562" t="s">
        <v>15</v>
      </c>
    </row>
    <row r="2563" spans="1:22" x14ac:dyDescent="0.25">
      <c r="A2563">
        <v>143</v>
      </c>
      <c r="B2563" t="s">
        <v>92</v>
      </c>
      <c r="C2563" t="s">
        <v>732</v>
      </c>
      <c r="E2563" t="s">
        <v>732</v>
      </c>
      <c r="L2563" t="s">
        <v>93</v>
      </c>
      <c r="M2563">
        <v>30</v>
      </c>
      <c r="N2563" t="s">
        <v>102</v>
      </c>
      <c r="Q2563">
        <v>1.42</v>
      </c>
      <c r="R2563" t="s">
        <v>103</v>
      </c>
      <c r="T2563">
        <v>10</v>
      </c>
      <c r="V2563" t="s">
        <v>15</v>
      </c>
    </row>
    <row r="2564" spans="1:22" x14ac:dyDescent="0.25">
      <c r="A2564">
        <v>143</v>
      </c>
      <c r="B2564" t="s">
        <v>92</v>
      </c>
      <c r="C2564" t="s">
        <v>732</v>
      </c>
      <c r="E2564" t="s">
        <v>732</v>
      </c>
      <c r="L2564" t="s">
        <v>93</v>
      </c>
      <c r="M2564">
        <v>40</v>
      </c>
      <c r="N2564" t="s">
        <v>597</v>
      </c>
      <c r="Q2564">
        <v>2.0569999999999999</v>
      </c>
      <c r="R2564" t="s">
        <v>11</v>
      </c>
      <c r="T2564">
        <v>10</v>
      </c>
      <c r="V2564" t="s">
        <v>18</v>
      </c>
    </row>
    <row r="2565" spans="1:22" x14ac:dyDescent="0.25">
      <c r="A2565">
        <v>143</v>
      </c>
      <c r="B2565" t="s">
        <v>92</v>
      </c>
      <c r="C2565" t="s">
        <v>732</v>
      </c>
      <c r="E2565" t="s">
        <v>732</v>
      </c>
      <c r="L2565" t="s">
        <v>93</v>
      </c>
      <c r="M2565">
        <v>50</v>
      </c>
      <c r="N2565" t="s">
        <v>139</v>
      </c>
      <c r="Q2565">
        <v>2.0569999999999999</v>
      </c>
      <c r="R2565" t="s">
        <v>17</v>
      </c>
      <c r="T2565">
        <v>10</v>
      </c>
      <c r="V2565" t="s">
        <v>18</v>
      </c>
    </row>
    <row r="2566" spans="1:22" x14ac:dyDescent="0.25">
      <c r="A2566">
        <v>143</v>
      </c>
      <c r="B2566" t="s">
        <v>92</v>
      </c>
      <c r="C2566" t="s">
        <v>732</v>
      </c>
      <c r="E2566" t="s">
        <v>732</v>
      </c>
      <c r="L2566" t="s">
        <v>93</v>
      </c>
      <c r="M2566">
        <v>60</v>
      </c>
      <c r="N2566" t="s">
        <v>733</v>
      </c>
      <c r="Q2566">
        <v>1</v>
      </c>
      <c r="R2566" t="s">
        <v>11</v>
      </c>
      <c r="T2566">
        <v>10</v>
      </c>
      <c r="V2566" t="s">
        <v>18</v>
      </c>
    </row>
    <row r="2567" spans="1:22" x14ac:dyDescent="0.25">
      <c r="A2567">
        <v>143</v>
      </c>
      <c r="B2567" t="s">
        <v>92</v>
      </c>
      <c r="C2567" t="s">
        <v>732</v>
      </c>
      <c r="E2567" t="s">
        <v>732</v>
      </c>
      <c r="L2567" t="s">
        <v>93</v>
      </c>
      <c r="M2567">
        <v>70</v>
      </c>
      <c r="N2567" t="s">
        <v>599</v>
      </c>
      <c r="Q2567">
        <v>23.774000000000001</v>
      </c>
      <c r="R2567" t="s">
        <v>17</v>
      </c>
      <c r="T2567">
        <v>10</v>
      </c>
      <c r="V2567" t="s">
        <v>15</v>
      </c>
    </row>
    <row r="2568" spans="1:22" x14ac:dyDescent="0.25">
      <c r="A2568">
        <v>143</v>
      </c>
      <c r="B2568" t="s">
        <v>92</v>
      </c>
      <c r="C2568" t="s">
        <v>732</v>
      </c>
      <c r="E2568" t="s">
        <v>732</v>
      </c>
      <c r="L2568" t="s">
        <v>93</v>
      </c>
      <c r="M2568">
        <v>80</v>
      </c>
      <c r="N2568" t="s">
        <v>20</v>
      </c>
      <c r="Q2568">
        <v>194.95</v>
      </c>
      <c r="R2568" t="s">
        <v>17</v>
      </c>
      <c r="T2568">
        <v>10</v>
      </c>
      <c r="V2568" t="s">
        <v>15</v>
      </c>
    </row>
    <row r="2569" spans="1:22" x14ac:dyDescent="0.25">
      <c r="A2569">
        <v>143</v>
      </c>
      <c r="B2569" t="s">
        <v>92</v>
      </c>
      <c r="C2569" t="s">
        <v>732</v>
      </c>
      <c r="E2569" t="s">
        <v>732</v>
      </c>
      <c r="L2569" t="s">
        <v>93</v>
      </c>
      <c r="M2569">
        <v>90</v>
      </c>
      <c r="N2569" t="s">
        <v>24</v>
      </c>
      <c r="Q2569">
        <v>1</v>
      </c>
      <c r="R2569" t="s">
        <v>11</v>
      </c>
      <c r="T2569">
        <v>10</v>
      </c>
      <c r="V2569" t="s">
        <v>15</v>
      </c>
    </row>
    <row r="2570" spans="1:22" x14ac:dyDescent="0.25">
      <c r="A2570">
        <v>143</v>
      </c>
      <c r="B2570" t="s">
        <v>92</v>
      </c>
      <c r="C2570" t="s">
        <v>732</v>
      </c>
      <c r="E2570" t="s">
        <v>732</v>
      </c>
      <c r="L2570" t="s">
        <v>93</v>
      </c>
      <c r="M2570">
        <v>100</v>
      </c>
      <c r="N2570" t="s">
        <v>141</v>
      </c>
      <c r="Q2570">
        <v>0.14899999999999999</v>
      </c>
      <c r="R2570" t="s">
        <v>14</v>
      </c>
      <c r="T2570">
        <v>10</v>
      </c>
      <c r="V2570" t="s">
        <v>15</v>
      </c>
    </row>
    <row r="2571" spans="1:22" x14ac:dyDescent="0.25">
      <c r="A2571">
        <v>143</v>
      </c>
      <c r="B2571" t="s">
        <v>92</v>
      </c>
      <c r="C2571" t="s">
        <v>732</v>
      </c>
      <c r="E2571" t="s">
        <v>732</v>
      </c>
      <c r="L2571" t="s">
        <v>93</v>
      </c>
      <c r="M2571">
        <v>110</v>
      </c>
      <c r="N2571" t="s">
        <v>140</v>
      </c>
      <c r="Q2571">
        <v>4</v>
      </c>
      <c r="R2571" t="s">
        <v>11</v>
      </c>
      <c r="T2571">
        <v>10</v>
      </c>
      <c r="V2571" t="s">
        <v>15</v>
      </c>
    </row>
    <row r="2572" spans="1:22" x14ac:dyDescent="0.25">
      <c r="A2572">
        <v>143</v>
      </c>
      <c r="B2572" t="s">
        <v>92</v>
      </c>
      <c r="C2572" t="s">
        <v>732</v>
      </c>
      <c r="E2572" t="s">
        <v>732</v>
      </c>
      <c r="L2572" t="s">
        <v>93</v>
      </c>
      <c r="M2572">
        <v>120</v>
      </c>
      <c r="N2572" t="s">
        <v>25</v>
      </c>
      <c r="Q2572">
        <v>1</v>
      </c>
      <c r="R2572" t="s">
        <v>11</v>
      </c>
      <c r="T2572">
        <v>10</v>
      </c>
      <c r="V2572" t="s">
        <v>15</v>
      </c>
    </row>
    <row r="2573" spans="1:22" x14ac:dyDescent="0.25">
      <c r="A2573">
        <v>143</v>
      </c>
      <c r="B2573" t="s">
        <v>92</v>
      </c>
      <c r="C2573" t="s">
        <v>732</v>
      </c>
      <c r="E2573" t="s">
        <v>732</v>
      </c>
      <c r="L2573" t="s">
        <v>93</v>
      </c>
      <c r="M2573">
        <v>130</v>
      </c>
      <c r="N2573" t="s">
        <v>26</v>
      </c>
      <c r="Q2573">
        <v>1</v>
      </c>
      <c r="R2573" t="s">
        <v>11</v>
      </c>
      <c r="T2573">
        <v>10</v>
      </c>
      <c r="V2573" t="s">
        <v>15</v>
      </c>
    </row>
    <row r="2574" spans="1:22" x14ac:dyDescent="0.25">
      <c r="A2574">
        <v>143</v>
      </c>
      <c r="B2574" t="s">
        <v>92</v>
      </c>
      <c r="C2574" t="s">
        <v>732</v>
      </c>
      <c r="E2574" t="s">
        <v>732</v>
      </c>
      <c r="L2574" t="s">
        <v>93</v>
      </c>
      <c r="M2574">
        <v>140</v>
      </c>
      <c r="N2574" t="s">
        <v>100</v>
      </c>
      <c r="Q2574">
        <v>1.216</v>
      </c>
      <c r="R2574" t="s">
        <v>14</v>
      </c>
      <c r="T2574">
        <v>10</v>
      </c>
      <c r="V2574" t="s">
        <v>15</v>
      </c>
    </row>
    <row r="2575" spans="1:22" x14ac:dyDescent="0.25">
      <c r="A2575">
        <v>143</v>
      </c>
      <c r="B2575" t="s">
        <v>92</v>
      </c>
      <c r="C2575" t="s">
        <v>732</v>
      </c>
      <c r="E2575" t="s">
        <v>732</v>
      </c>
      <c r="L2575" t="s">
        <v>93</v>
      </c>
      <c r="M2575">
        <v>150</v>
      </c>
      <c r="N2575" t="s">
        <v>551</v>
      </c>
      <c r="Q2575">
        <v>1</v>
      </c>
      <c r="R2575" t="s">
        <v>11</v>
      </c>
      <c r="T2575">
        <v>10</v>
      </c>
      <c r="V2575" t="s">
        <v>18</v>
      </c>
    </row>
    <row r="2576" spans="1:22" x14ac:dyDescent="0.25">
      <c r="A2576">
        <v>143</v>
      </c>
      <c r="B2576" t="s">
        <v>92</v>
      </c>
      <c r="C2576" t="s">
        <v>732</v>
      </c>
      <c r="E2576" t="s">
        <v>732</v>
      </c>
      <c r="L2576" t="s">
        <v>93</v>
      </c>
      <c r="M2576">
        <v>160</v>
      </c>
      <c r="N2576" t="s">
        <v>552</v>
      </c>
      <c r="Q2576">
        <v>1</v>
      </c>
      <c r="R2576" t="s">
        <v>11</v>
      </c>
      <c r="T2576">
        <v>10</v>
      </c>
      <c r="V2576" t="s">
        <v>18</v>
      </c>
    </row>
    <row r="2577" spans="1:22" x14ac:dyDescent="0.25">
      <c r="A2577">
        <v>143</v>
      </c>
      <c r="B2577" t="s">
        <v>92</v>
      </c>
      <c r="C2577" t="s">
        <v>732</v>
      </c>
      <c r="E2577" t="s">
        <v>732</v>
      </c>
      <c r="L2577" t="s">
        <v>93</v>
      </c>
      <c r="M2577">
        <v>170</v>
      </c>
      <c r="N2577" t="s">
        <v>142</v>
      </c>
      <c r="Q2577">
        <v>7.9249999999999998</v>
      </c>
      <c r="R2577" t="s">
        <v>11</v>
      </c>
      <c r="T2577">
        <v>10</v>
      </c>
      <c r="V2577" t="s">
        <v>15</v>
      </c>
    </row>
    <row r="2578" spans="1:22" x14ac:dyDescent="0.25">
      <c r="A2578">
        <v>143</v>
      </c>
      <c r="B2578" t="s">
        <v>92</v>
      </c>
      <c r="C2578" t="s">
        <v>732</v>
      </c>
      <c r="E2578" t="s">
        <v>732</v>
      </c>
      <c r="L2578" t="s">
        <v>93</v>
      </c>
      <c r="M2578">
        <v>180</v>
      </c>
      <c r="N2578" t="s">
        <v>553</v>
      </c>
      <c r="Q2578">
        <v>1</v>
      </c>
      <c r="R2578" t="s">
        <v>11</v>
      </c>
      <c r="T2578">
        <v>10</v>
      </c>
      <c r="V2578" t="s">
        <v>18</v>
      </c>
    </row>
    <row r="2579" spans="1:22" x14ac:dyDescent="0.25">
      <c r="A2579">
        <v>144</v>
      </c>
      <c r="B2579" t="s">
        <v>92</v>
      </c>
      <c r="C2579" t="s">
        <v>734</v>
      </c>
      <c r="E2579" t="s">
        <v>734</v>
      </c>
      <c r="L2579" t="s">
        <v>93</v>
      </c>
      <c r="M2579">
        <v>10</v>
      </c>
      <c r="N2579" t="s">
        <v>555</v>
      </c>
      <c r="Q2579">
        <v>1</v>
      </c>
      <c r="R2579" t="s">
        <v>11</v>
      </c>
      <c r="T2579">
        <v>10</v>
      </c>
      <c r="V2579" t="s">
        <v>18</v>
      </c>
    </row>
    <row r="2580" spans="1:22" x14ac:dyDescent="0.25">
      <c r="A2580">
        <v>144</v>
      </c>
      <c r="B2580" t="s">
        <v>92</v>
      </c>
      <c r="C2580" t="s">
        <v>734</v>
      </c>
      <c r="E2580" t="s">
        <v>734</v>
      </c>
      <c r="L2580" t="s">
        <v>93</v>
      </c>
      <c r="M2580">
        <v>20</v>
      </c>
      <c r="N2580" t="s">
        <v>132</v>
      </c>
      <c r="Q2580">
        <v>2.2250000000000001</v>
      </c>
      <c r="R2580" t="s">
        <v>14</v>
      </c>
      <c r="T2580">
        <v>10</v>
      </c>
      <c r="V2580" t="s">
        <v>15</v>
      </c>
    </row>
    <row r="2581" spans="1:22" x14ac:dyDescent="0.25">
      <c r="A2581">
        <v>144</v>
      </c>
      <c r="B2581" t="s">
        <v>92</v>
      </c>
      <c r="C2581" t="s">
        <v>734</v>
      </c>
      <c r="E2581" t="s">
        <v>734</v>
      </c>
      <c r="L2581" t="s">
        <v>93</v>
      </c>
      <c r="M2581">
        <v>30</v>
      </c>
      <c r="N2581" t="s">
        <v>102</v>
      </c>
      <c r="Q2581">
        <v>0.60899999999999999</v>
      </c>
      <c r="R2581" t="s">
        <v>103</v>
      </c>
      <c r="T2581">
        <v>10</v>
      </c>
      <c r="V2581" t="s">
        <v>15</v>
      </c>
    </row>
    <row r="2582" spans="1:22" x14ac:dyDescent="0.25">
      <c r="A2582">
        <v>144</v>
      </c>
      <c r="B2582" t="s">
        <v>92</v>
      </c>
      <c r="C2582" t="s">
        <v>734</v>
      </c>
      <c r="E2582" t="s">
        <v>734</v>
      </c>
      <c r="L2582" t="s">
        <v>93</v>
      </c>
      <c r="M2582">
        <v>40</v>
      </c>
      <c r="N2582" t="s">
        <v>597</v>
      </c>
      <c r="Q2582">
        <v>2.1589999999999998</v>
      </c>
      <c r="R2582" t="s">
        <v>11</v>
      </c>
      <c r="T2582">
        <v>10</v>
      </c>
      <c r="V2582" t="s">
        <v>18</v>
      </c>
    </row>
    <row r="2583" spans="1:22" x14ac:dyDescent="0.25">
      <c r="A2583">
        <v>144</v>
      </c>
      <c r="B2583" t="s">
        <v>92</v>
      </c>
      <c r="C2583" t="s">
        <v>734</v>
      </c>
      <c r="E2583" t="s">
        <v>734</v>
      </c>
      <c r="L2583" t="s">
        <v>93</v>
      </c>
      <c r="M2583">
        <v>50</v>
      </c>
      <c r="N2583" t="s">
        <v>139</v>
      </c>
      <c r="Q2583">
        <v>2.1589999999999998</v>
      </c>
      <c r="R2583" t="s">
        <v>17</v>
      </c>
      <c r="T2583">
        <v>10</v>
      </c>
      <c r="V2583" t="s">
        <v>18</v>
      </c>
    </row>
    <row r="2584" spans="1:22" x14ac:dyDescent="0.25">
      <c r="A2584">
        <v>144</v>
      </c>
      <c r="B2584" t="s">
        <v>92</v>
      </c>
      <c r="C2584" t="s">
        <v>734</v>
      </c>
      <c r="E2584" t="s">
        <v>734</v>
      </c>
      <c r="L2584" t="s">
        <v>93</v>
      </c>
      <c r="M2584">
        <v>60</v>
      </c>
      <c r="N2584" t="s">
        <v>735</v>
      </c>
      <c r="Q2584">
        <v>1</v>
      </c>
      <c r="R2584" t="s">
        <v>11</v>
      </c>
      <c r="T2584">
        <v>10</v>
      </c>
      <c r="V2584" t="s">
        <v>18</v>
      </c>
    </row>
    <row r="2585" spans="1:22" x14ac:dyDescent="0.25">
      <c r="A2585">
        <v>144</v>
      </c>
      <c r="B2585" t="s">
        <v>92</v>
      </c>
      <c r="C2585" t="s">
        <v>734</v>
      </c>
      <c r="E2585" t="s">
        <v>734</v>
      </c>
      <c r="L2585" t="s">
        <v>93</v>
      </c>
      <c r="M2585">
        <v>70</v>
      </c>
      <c r="N2585" t="s">
        <v>599</v>
      </c>
      <c r="Q2585">
        <v>17.983000000000001</v>
      </c>
      <c r="R2585" t="s">
        <v>17</v>
      </c>
      <c r="T2585">
        <v>10</v>
      </c>
      <c r="V2585" t="s">
        <v>15</v>
      </c>
    </row>
    <row r="2586" spans="1:22" x14ac:dyDescent="0.25">
      <c r="A2586">
        <v>144</v>
      </c>
      <c r="B2586" t="s">
        <v>92</v>
      </c>
      <c r="C2586" t="s">
        <v>734</v>
      </c>
      <c r="E2586" t="s">
        <v>734</v>
      </c>
      <c r="L2586" t="s">
        <v>93</v>
      </c>
      <c r="M2586">
        <v>80</v>
      </c>
      <c r="N2586" t="s">
        <v>20</v>
      </c>
      <c r="Q2586">
        <v>147.46199999999999</v>
      </c>
      <c r="R2586" t="s">
        <v>17</v>
      </c>
      <c r="T2586">
        <v>10</v>
      </c>
      <c r="V2586" t="s">
        <v>15</v>
      </c>
    </row>
    <row r="2587" spans="1:22" x14ac:dyDescent="0.25">
      <c r="A2587">
        <v>144</v>
      </c>
      <c r="B2587" t="s">
        <v>92</v>
      </c>
      <c r="C2587" t="s">
        <v>734</v>
      </c>
      <c r="E2587" t="s">
        <v>734</v>
      </c>
      <c r="L2587" t="s">
        <v>93</v>
      </c>
      <c r="M2587">
        <v>90</v>
      </c>
      <c r="N2587" t="s">
        <v>24</v>
      </c>
      <c r="Q2587">
        <v>1</v>
      </c>
      <c r="R2587" t="s">
        <v>11</v>
      </c>
      <c r="T2587">
        <v>10</v>
      </c>
      <c r="V2587" t="s">
        <v>15</v>
      </c>
    </row>
    <row r="2588" spans="1:22" x14ac:dyDescent="0.25">
      <c r="A2588">
        <v>144</v>
      </c>
      <c r="B2588" t="s">
        <v>92</v>
      </c>
      <c r="C2588" t="s">
        <v>734</v>
      </c>
      <c r="E2588" t="s">
        <v>734</v>
      </c>
      <c r="L2588" t="s">
        <v>93</v>
      </c>
      <c r="M2588">
        <v>100</v>
      </c>
      <c r="N2588" t="s">
        <v>141</v>
      </c>
      <c r="Q2588">
        <v>7.5999999999999998E-2</v>
      </c>
      <c r="R2588" t="s">
        <v>14</v>
      </c>
      <c r="T2588">
        <v>10</v>
      </c>
      <c r="V2588" t="s">
        <v>15</v>
      </c>
    </row>
    <row r="2589" spans="1:22" x14ac:dyDescent="0.25">
      <c r="A2589">
        <v>144</v>
      </c>
      <c r="B2589" t="s">
        <v>92</v>
      </c>
      <c r="C2589" t="s">
        <v>734</v>
      </c>
      <c r="E2589" t="s">
        <v>734</v>
      </c>
      <c r="L2589" t="s">
        <v>93</v>
      </c>
      <c r="M2589">
        <v>110</v>
      </c>
      <c r="N2589" t="s">
        <v>140</v>
      </c>
      <c r="Q2589">
        <v>4</v>
      </c>
      <c r="R2589" t="s">
        <v>11</v>
      </c>
      <c r="T2589">
        <v>10</v>
      </c>
      <c r="V2589" t="s">
        <v>15</v>
      </c>
    </row>
    <row r="2590" spans="1:22" x14ac:dyDescent="0.25">
      <c r="A2590">
        <v>144</v>
      </c>
      <c r="B2590" t="s">
        <v>92</v>
      </c>
      <c r="C2590" t="s">
        <v>734</v>
      </c>
      <c r="E2590" t="s">
        <v>734</v>
      </c>
      <c r="L2590" t="s">
        <v>93</v>
      </c>
      <c r="M2590">
        <v>120</v>
      </c>
      <c r="N2590" t="s">
        <v>25</v>
      </c>
      <c r="Q2590">
        <v>1</v>
      </c>
      <c r="R2590" t="s">
        <v>11</v>
      </c>
      <c r="T2590">
        <v>10</v>
      </c>
      <c r="V2590" t="s">
        <v>15</v>
      </c>
    </row>
    <row r="2591" spans="1:22" x14ac:dyDescent="0.25">
      <c r="A2591">
        <v>144</v>
      </c>
      <c r="B2591" t="s">
        <v>92</v>
      </c>
      <c r="C2591" t="s">
        <v>734</v>
      </c>
      <c r="E2591" t="s">
        <v>734</v>
      </c>
      <c r="L2591" t="s">
        <v>93</v>
      </c>
      <c r="M2591">
        <v>130</v>
      </c>
      <c r="N2591" t="s">
        <v>26</v>
      </c>
      <c r="Q2591">
        <v>1</v>
      </c>
      <c r="R2591" t="s">
        <v>11</v>
      </c>
      <c r="T2591">
        <v>10</v>
      </c>
      <c r="V2591" t="s">
        <v>15</v>
      </c>
    </row>
    <row r="2592" spans="1:22" x14ac:dyDescent="0.25">
      <c r="A2592">
        <v>144</v>
      </c>
      <c r="B2592" t="s">
        <v>92</v>
      </c>
      <c r="C2592" t="s">
        <v>734</v>
      </c>
      <c r="E2592" t="s">
        <v>734</v>
      </c>
      <c r="L2592" t="s">
        <v>93</v>
      </c>
      <c r="M2592">
        <v>140</v>
      </c>
      <c r="N2592" t="s">
        <v>100</v>
      </c>
      <c r="Q2592">
        <v>1.27</v>
      </c>
      <c r="R2592" t="s">
        <v>14</v>
      </c>
      <c r="T2592">
        <v>10</v>
      </c>
      <c r="V2592" t="s">
        <v>15</v>
      </c>
    </row>
    <row r="2593" spans="1:22" x14ac:dyDescent="0.25">
      <c r="A2593">
        <v>144</v>
      </c>
      <c r="B2593" t="s">
        <v>92</v>
      </c>
      <c r="C2593" t="s">
        <v>734</v>
      </c>
      <c r="E2593" t="s">
        <v>734</v>
      </c>
      <c r="L2593" t="s">
        <v>93</v>
      </c>
      <c r="M2593">
        <v>150</v>
      </c>
      <c r="N2593" t="s">
        <v>557</v>
      </c>
      <c r="Q2593">
        <v>1</v>
      </c>
      <c r="R2593" t="s">
        <v>11</v>
      </c>
      <c r="T2593">
        <v>10</v>
      </c>
      <c r="V2593" t="s">
        <v>18</v>
      </c>
    </row>
    <row r="2594" spans="1:22" x14ac:dyDescent="0.25">
      <c r="A2594">
        <v>144</v>
      </c>
      <c r="B2594" t="s">
        <v>92</v>
      </c>
      <c r="C2594" t="s">
        <v>734</v>
      </c>
      <c r="E2594" t="s">
        <v>734</v>
      </c>
      <c r="L2594" t="s">
        <v>93</v>
      </c>
      <c r="M2594">
        <v>160</v>
      </c>
      <c r="N2594" t="s">
        <v>558</v>
      </c>
      <c r="Q2594">
        <v>1</v>
      </c>
      <c r="R2594" t="s">
        <v>11</v>
      </c>
      <c r="T2594">
        <v>10</v>
      </c>
      <c r="V2594" t="s">
        <v>18</v>
      </c>
    </row>
    <row r="2595" spans="1:22" x14ac:dyDescent="0.25">
      <c r="A2595">
        <v>144</v>
      </c>
      <c r="B2595" t="s">
        <v>92</v>
      </c>
      <c r="C2595" t="s">
        <v>734</v>
      </c>
      <c r="E2595" t="s">
        <v>734</v>
      </c>
      <c r="L2595" t="s">
        <v>93</v>
      </c>
      <c r="M2595">
        <v>170</v>
      </c>
      <c r="N2595" t="s">
        <v>142</v>
      </c>
      <c r="Q2595">
        <v>5.9939999999999998</v>
      </c>
      <c r="R2595" t="s">
        <v>11</v>
      </c>
      <c r="T2595">
        <v>10</v>
      </c>
      <c r="V2595" t="s">
        <v>15</v>
      </c>
    </row>
    <row r="2596" spans="1:22" x14ac:dyDescent="0.25">
      <c r="A2596">
        <v>144</v>
      </c>
      <c r="B2596" t="s">
        <v>92</v>
      </c>
      <c r="C2596" t="s">
        <v>734</v>
      </c>
      <c r="E2596" t="s">
        <v>734</v>
      </c>
      <c r="L2596" t="s">
        <v>93</v>
      </c>
      <c r="M2596">
        <v>180</v>
      </c>
      <c r="N2596" t="s">
        <v>559</v>
      </c>
      <c r="Q2596">
        <v>1</v>
      </c>
      <c r="R2596" t="s">
        <v>11</v>
      </c>
      <c r="T2596">
        <v>10</v>
      </c>
      <c r="V2596" t="s">
        <v>18</v>
      </c>
    </row>
    <row r="2597" spans="1:22" x14ac:dyDescent="0.25">
      <c r="A2597">
        <v>145</v>
      </c>
      <c r="B2597" t="s">
        <v>92</v>
      </c>
      <c r="C2597" t="s">
        <v>736</v>
      </c>
      <c r="E2597" t="s">
        <v>736</v>
      </c>
      <c r="L2597" t="s">
        <v>93</v>
      </c>
      <c r="M2597">
        <v>10</v>
      </c>
      <c r="N2597" t="s">
        <v>561</v>
      </c>
      <c r="Q2597">
        <v>1</v>
      </c>
      <c r="R2597" t="s">
        <v>11</v>
      </c>
      <c r="T2597">
        <v>10</v>
      </c>
      <c r="V2597" t="s">
        <v>18</v>
      </c>
    </row>
    <row r="2598" spans="1:22" x14ac:dyDescent="0.25">
      <c r="A2598">
        <v>145</v>
      </c>
      <c r="B2598" t="s">
        <v>92</v>
      </c>
      <c r="C2598" t="s">
        <v>736</v>
      </c>
      <c r="E2598" t="s">
        <v>736</v>
      </c>
      <c r="L2598" t="s">
        <v>93</v>
      </c>
      <c r="M2598">
        <v>20</v>
      </c>
      <c r="N2598" t="s">
        <v>132</v>
      </c>
      <c r="Q2598">
        <v>2.677</v>
      </c>
      <c r="R2598" t="s">
        <v>14</v>
      </c>
      <c r="T2598">
        <v>10</v>
      </c>
      <c r="V2598" t="s">
        <v>15</v>
      </c>
    </row>
    <row r="2599" spans="1:22" x14ac:dyDescent="0.25">
      <c r="A2599">
        <v>145</v>
      </c>
      <c r="B2599" t="s">
        <v>92</v>
      </c>
      <c r="C2599" t="s">
        <v>736</v>
      </c>
      <c r="E2599" t="s">
        <v>736</v>
      </c>
      <c r="L2599" t="s">
        <v>93</v>
      </c>
      <c r="M2599">
        <v>30</v>
      </c>
      <c r="N2599" t="s">
        <v>102</v>
      </c>
      <c r="Q2599">
        <v>0.73499999999999999</v>
      </c>
      <c r="R2599" t="s">
        <v>103</v>
      </c>
      <c r="T2599">
        <v>10</v>
      </c>
      <c r="V2599" t="s">
        <v>15</v>
      </c>
    </row>
    <row r="2600" spans="1:22" x14ac:dyDescent="0.25">
      <c r="A2600">
        <v>145</v>
      </c>
      <c r="B2600" t="s">
        <v>92</v>
      </c>
      <c r="C2600" t="s">
        <v>736</v>
      </c>
      <c r="E2600" t="s">
        <v>736</v>
      </c>
      <c r="L2600" t="s">
        <v>93</v>
      </c>
      <c r="M2600">
        <v>40</v>
      </c>
      <c r="N2600" t="s">
        <v>597</v>
      </c>
      <c r="Q2600">
        <v>2.1589999999999998</v>
      </c>
      <c r="R2600" t="s">
        <v>11</v>
      </c>
      <c r="T2600">
        <v>10</v>
      </c>
      <c r="V2600" t="s">
        <v>18</v>
      </c>
    </row>
    <row r="2601" spans="1:22" x14ac:dyDescent="0.25">
      <c r="A2601">
        <v>145</v>
      </c>
      <c r="B2601" t="s">
        <v>92</v>
      </c>
      <c r="C2601" t="s">
        <v>736</v>
      </c>
      <c r="E2601" t="s">
        <v>736</v>
      </c>
      <c r="L2601" t="s">
        <v>93</v>
      </c>
      <c r="M2601">
        <v>50</v>
      </c>
      <c r="N2601" t="s">
        <v>139</v>
      </c>
      <c r="Q2601">
        <v>2.1589999999999998</v>
      </c>
      <c r="R2601" t="s">
        <v>17</v>
      </c>
      <c r="T2601">
        <v>10</v>
      </c>
      <c r="V2601" t="s">
        <v>18</v>
      </c>
    </row>
    <row r="2602" spans="1:22" x14ac:dyDescent="0.25">
      <c r="A2602">
        <v>145</v>
      </c>
      <c r="B2602" t="s">
        <v>92</v>
      </c>
      <c r="C2602" t="s">
        <v>736</v>
      </c>
      <c r="E2602" t="s">
        <v>736</v>
      </c>
      <c r="L2602" t="s">
        <v>93</v>
      </c>
      <c r="M2602">
        <v>60</v>
      </c>
      <c r="N2602" t="s">
        <v>737</v>
      </c>
      <c r="Q2602">
        <v>1</v>
      </c>
      <c r="R2602" t="s">
        <v>11</v>
      </c>
      <c r="T2602">
        <v>10</v>
      </c>
      <c r="V2602" t="s">
        <v>18</v>
      </c>
    </row>
    <row r="2603" spans="1:22" x14ac:dyDescent="0.25">
      <c r="A2603">
        <v>145</v>
      </c>
      <c r="B2603" t="s">
        <v>92</v>
      </c>
      <c r="C2603" t="s">
        <v>736</v>
      </c>
      <c r="E2603" t="s">
        <v>736</v>
      </c>
      <c r="L2603" t="s">
        <v>93</v>
      </c>
      <c r="M2603">
        <v>70</v>
      </c>
      <c r="N2603" t="s">
        <v>599</v>
      </c>
      <c r="Q2603">
        <v>18.898</v>
      </c>
      <c r="R2603" t="s">
        <v>17</v>
      </c>
      <c r="T2603">
        <v>10</v>
      </c>
      <c r="V2603" t="s">
        <v>15</v>
      </c>
    </row>
    <row r="2604" spans="1:22" x14ac:dyDescent="0.25">
      <c r="A2604">
        <v>145</v>
      </c>
      <c r="B2604" t="s">
        <v>92</v>
      </c>
      <c r="C2604" t="s">
        <v>736</v>
      </c>
      <c r="E2604" t="s">
        <v>736</v>
      </c>
      <c r="L2604" t="s">
        <v>93</v>
      </c>
      <c r="M2604">
        <v>80</v>
      </c>
      <c r="N2604" t="s">
        <v>20</v>
      </c>
      <c r="Q2604">
        <v>154.96</v>
      </c>
      <c r="R2604" t="s">
        <v>17</v>
      </c>
      <c r="T2604">
        <v>10</v>
      </c>
      <c r="V2604" t="s">
        <v>15</v>
      </c>
    </row>
    <row r="2605" spans="1:22" x14ac:dyDescent="0.25">
      <c r="A2605">
        <v>145</v>
      </c>
      <c r="B2605" t="s">
        <v>92</v>
      </c>
      <c r="C2605" t="s">
        <v>736</v>
      </c>
      <c r="E2605" t="s">
        <v>736</v>
      </c>
      <c r="L2605" t="s">
        <v>93</v>
      </c>
      <c r="M2605">
        <v>90</v>
      </c>
      <c r="N2605" t="s">
        <v>24</v>
      </c>
      <c r="Q2605">
        <v>1</v>
      </c>
      <c r="R2605" t="s">
        <v>11</v>
      </c>
      <c r="T2605">
        <v>10</v>
      </c>
      <c r="V2605" t="s">
        <v>15</v>
      </c>
    </row>
    <row r="2606" spans="1:22" x14ac:dyDescent="0.25">
      <c r="A2606">
        <v>145</v>
      </c>
      <c r="B2606" t="s">
        <v>92</v>
      </c>
      <c r="C2606" t="s">
        <v>736</v>
      </c>
      <c r="E2606" t="s">
        <v>736</v>
      </c>
      <c r="L2606" t="s">
        <v>93</v>
      </c>
      <c r="M2606">
        <v>100</v>
      </c>
      <c r="N2606" t="s">
        <v>141</v>
      </c>
      <c r="Q2606">
        <v>8.5999999999999993E-2</v>
      </c>
      <c r="R2606" t="s">
        <v>14</v>
      </c>
      <c r="T2606">
        <v>10</v>
      </c>
      <c r="V2606" t="s">
        <v>15</v>
      </c>
    </row>
    <row r="2607" spans="1:22" x14ac:dyDescent="0.25">
      <c r="A2607">
        <v>145</v>
      </c>
      <c r="B2607" t="s">
        <v>92</v>
      </c>
      <c r="C2607" t="s">
        <v>736</v>
      </c>
      <c r="E2607" t="s">
        <v>736</v>
      </c>
      <c r="L2607" t="s">
        <v>93</v>
      </c>
      <c r="M2607">
        <v>110</v>
      </c>
      <c r="N2607" t="s">
        <v>140</v>
      </c>
      <c r="Q2607">
        <v>4</v>
      </c>
      <c r="R2607" t="s">
        <v>11</v>
      </c>
      <c r="T2607">
        <v>10</v>
      </c>
      <c r="V2607" t="s">
        <v>15</v>
      </c>
    </row>
    <row r="2608" spans="1:22" x14ac:dyDescent="0.25">
      <c r="A2608">
        <v>145</v>
      </c>
      <c r="B2608" t="s">
        <v>92</v>
      </c>
      <c r="C2608" t="s">
        <v>736</v>
      </c>
      <c r="E2608" t="s">
        <v>736</v>
      </c>
      <c r="L2608" t="s">
        <v>93</v>
      </c>
      <c r="M2608">
        <v>120</v>
      </c>
      <c r="N2608" t="s">
        <v>25</v>
      </c>
      <c r="Q2608">
        <v>1</v>
      </c>
      <c r="R2608" t="s">
        <v>11</v>
      </c>
      <c r="T2608">
        <v>10</v>
      </c>
      <c r="V2608" t="s">
        <v>15</v>
      </c>
    </row>
    <row r="2609" spans="1:22" x14ac:dyDescent="0.25">
      <c r="A2609">
        <v>145</v>
      </c>
      <c r="B2609" t="s">
        <v>92</v>
      </c>
      <c r="C2609" t="s">
        <v>736</v>
      </c>
      <c r="E2609" t="s">
        <v>736</v>
      </c>
      <c r="L2609" t="s">
        <v>93</v>
      </c>
      <c r="M2609">
        <v>130</v>
      </c>
      <c r="N2609" t="s">
        <v>26</v>
      </c>
      <c r="Q2609">
        <v>1</v>
      </c>
      <c r="R2609" t="s">
        <v>11</v>
      </c>
      <c r="T2609">
        <v>10</v>
      </c>
      <c r="V2609" t="s">
        <v>15</v>
      </c>
    </row>
    <row r="2610" spans="1:22" x14ac:dyDescent="0.25">
      <c r="A2610">
        <v>145</v>
      </c>
      <c r="B2610" t="s">
        <v>92</v>
      </c>
      <c r="C2610" t="s">
        <v>736</v>
      </c>
      <c r="E2610" t="s">
        <v>736</v>
      </c>
      <c r="L2610" t="s">
        <v>93</v>
      </c>
      <c r="M2610">
        <v>140</v>
      </c>
      <c r="N2610" t="s">
        <v>100</v>
      </c>
      <c r="Q2610">
        <v>1.27</v>
      </c>
      <c r="R2610" t="s">
        <v>14</v>
      </c>
      <c r="T2610">
        <v>10</v>
      </c>
      <c r="V2610" t="s">
        <v>15</v>
      </c>
    </row>
    <row r="2611" spans="1:22" x14ac:dyDescent="0.25">
      <c r="A2611">
        <v>145</v>
      </c>
      <c r="B2611" t="s">
        <v>92</v>
      </c>
      <c r="C2611" t="s">
        <v>736</v>
      </c>
      <c r="E2611" t="s">
        <v>736</v>
      </c>
      <c r="L2611" t="s">
        <v>93</v>
      </c>
      <c r="M2611">
        <v>150</v>
      </c>
      <c r="N2611" t="s">
        <v>563</v>
      </c>
      <c r="Q2611">
        <v>1</v>
      </c>
      <c r="R2611" t="s">
        <v>11</v>
      </c>
      <c r="T2611">
        <v>10</v>
      </c>
      <c r="V2611" t="s">
        <v>18</v>
      </c>
    </row>
    <row r="2612" spans="1:22" x14ac:dyDescent="0.25">
      <c r="A2612">
        <v>145</v>
      </c>
      <c r="B2612" t="s">
        <v>92</v>
      </c>
      <c r="C2612" t="s">
        <v>736</v>
      </c>
      <c r="E2612" t="s">
        <v>736</v>
      </c>
      <c r="L2612" t="s">
        <v>93</v>
      </c>
      <c r="M2612">
        <v>160</v>
      </c>
      <c r="N2612" t="s">
        <v>564</v>
      </c>
      <c r="Q2612">
        <v>1</v>
      </c>
      <c r="R2612" t="s">
        <v>11</v>
      </c>
      <c r="T2612">
        <v>10</v>
      </c>
      <c r="V2612" t="s">
        <v>18</v>
      </c>
    </row>
    <row r="2613" spans="1:22" x14ac:dyDescent="0.25">
      <c r="A2613">
        <v>145</v>
      </c>
      <c r="B2613" t="s">
        <v>92</v>
      </c>
      <c r="C2613" t="s">
        <v>736</v>
      </c>
      <c r="E2613" t="s">
        <v>736</v>
      </c>
      <c r="L2613" t="s">
        <v>93</v>
      </c>
      <c r="M2613">
        <v>170</v>
      </c>
      <c r="N2613" t="s">
        <v>142</v>
      </c>
      <c r="Q2613">
        <v>6.2990000000000004</v>
      </c>
      <c r="R2613" t="s">
        <v>11</v>
      </c>
      <c r="T2613">
        <v>10</v>
      </c>
      <c r="V2613" t="s">
        <v>15</v>
      </c>
    </row>
    <row r="2614" spans="1:22" x14ac:dyDescent="0.25">
      <c r="A2614">
        <v>145</v>
      </c>
      <c r="B2614" t="s">
        <v>92</v>
      </c>
      <c r="C2614" t="s">
        <v>736</v>
      </c>
      <c r="E2614" t="s">
        <v>736</v>
      </c>
      <c r="L2614" t="s">
        <v>93</v>
      </c>
      <c r="M2614">
        <v>180</v>
      </c>
      <c r="N2614" t="s">
        <v>565</v>
      </c>
      <c r="Q2614">
        <v>1</v>
      </c>
      <c r="R2614" t="s">
        <v>11</v>
      </c>
      <c r="T2614">
        <v>10</v>
      </c>
      <c r="V2614" t="s">
        <v>18</v>
      </c>
    </row>
    <row r="2615" spans="1:22" x14ac:dyDescent="0.25">
      <c r="A2615">
        <v>146</v>
      </c>
      <c r="B2615" t="s">
        <v>92</v>
      </c>
      <c r="C2615" t="s">
        <v>738</v>
      </c>
      <c r="E2615" t="s">
        <v>738</v>
      </c>
      <c r="L2615" t="s">
        <v>93</v>
      </c>
      <c r="M2615">
        <v>10</v>
      </c>
      <c r="N2615" t="s">
        <v>567</v>
      </c>
      <c r="Q2615">
        <v>1</v>
      </c>
      <c r="R2615" t="s">
        <v>11</v>
      </c>
      <c r="T2615">
        <v>10</v>
      </c>
      <c r="V2615" t="s">
        <v>18</v>
      </c>
    </row>
    <row r="2616" spans="1:22" x14ac:dyDescent="0.25">
      <c r="A2616">
        <v>146</v>
      </c>
      <c r="B2616" t="s">
        <v>92</v>
      </c>
      <c r="C2616" t="s">
        <v>738</v>
      </c>
      <c r="E2616" t="s">
        <v>738</v>
      </c>
      <c r="L2616" t="s">
        <v>93</v>
      </c>
      <c r="M2616">
        <v>20</v>
      </c>
      <c r="N2616" t="s">
        <v>132</v>
      </c>
      <c r="Q2616">
        <v>3.13</v>
      </c>
      <c r="R2616" t="s">
        <v>14</v>
      </c>
      <c r="T2616">
        <v>10</v>
      </c>
      <c r="V2616" t="s">
        <v>15</v>
      </c>
    </row>
    <row r="2617" spans="1:22" x14ac:dyDescent="0.25">
      <c r="A2617">
        <v>146</v>
      </c>
      <c r="B2617" t="s">
        <v>92</v>
      </c>
      <c r="C2617" t="s">
        <v>738</v>
      </c>
      <c r="E2617" t="s">
        <v>738</v>
      </c>
      <c r="L2617" t="s">
        <v>93</v>
      </c>
      <c r="M2617">
        <v>30</v>
      </c>
      <c r="N2617" t="s">
        <v>102</v>
      </c>
      <c r="Q2617">
        <v>0.86099999999999999</v>
      </c>
      <c r="R2617" t="s">
        <v>103</v>
      </c>
      <c r="T2617">
        <v>10</v>
      </c>
      <c r="V2617" t="s">
        <v>15</v>
      </c>
    </row>
    <row r="2618" spans="1:22" x14ac:dyDescent="0.25">
      <c r="A2618">
        <v>146</v>
      </c>
      <c r="B2618" t="s">
        <v>92</v>
      </c>
      <c r="C2618" t="s">
        <v>738</v>
      </c>
      <c r="E2618" t="s">
        <v>738</v>
      </c>
      <c r="L2618" t="s">
        <v>93</v>
      </c>
      <c r="M2618">
        <v>40</v>
      </c>
      <c r="N2618" t="s">
        <v>597</v>
      </c>
      <c r="Q2618">
        <v>2.1589999999999998</v>
      </c>
      <c r="R2618" t="s">
        <v>11</v>
      </c>
      <c r="T2618">
        <v>10</v>
      </c>
      <c r="V2618" t="s">
        <v>18</v>
      </c>
    </row>
    <row r="2619" spans="1:22" x14ac:dyDescent="0.25">
      <c r="A2619">
        <v>146</v>
      </c>
      <c r="B2619" t="s">
        <v>92</v>
      </c>
      <c r="C2619" t="s">
        <v>738</v>
      </c>
      <c r="E2619" t="s">
        <v>738</v>
      </c>
      <c r="L2619" t="s">
        <v>93</v>
      </c>
      <c r="M2619">
        <v>50</v>
      </c>
      <c r="N2619" t="s">
        <v>139</v>
      </c>
      <c r="Q2619">
        <v>2.1589999999999998</v>
      </c>
      <c r="R2619" t="s">
        <v>17</v>
      </c>
      <c r="T2619">
        <v>10</v>
      </c>
      <c r="V2619" t="s">
        <v>18</v>
      </c>
    </row>
    <row r="2620" spans="1:22" x14ac:dyDescent="0.25">
      <c r="A2620">
        <v>146</v>
      </c>
      <c r="B2620" t="s">
        <v>92</v>
      </c>
      <c r="C2620" t="s">
        <v>738</v>
      </c>
      <c r="E2620" t="s">
        <v>738</v>
      </c>
      <c r="L2620" t="s">
        <v>93</v>
      </c>
      <c r="M2620">
        <v>60</v>
      </c>
      <c r="N2620" t="s">
        <v>739</v>
      </c>
      <c r="Q2620">
        <v>1</v>
      </c>
      <c r="R2620" t="s">
        <v>11</v>
      </c>
      <c r="T2620">
        <v>10</v>
      </c>
      <c r="V2620" t="s">
        <v>18</v>
      </c>
    </row>
    <row r="2621" spans="1:22" x14ac:dyDescent="0.25">
      <c r="A2621">
        <v>146</v>
      </c>
      <c r="B2621" t="s">
        <v>92</v>
      </c>
      <c r="C2621" t="s">
        <v>738</v>
      </c>
      <c r="E2621" t="s">
        <v>738</v>
      </c>
      <c r="L2621" t="s">
        <v>93</v>
      </c>
      <c r="M2621">
        <v>70</v>
      </c>
      <c r="N2621" t="s">
        <v>599</v>
      </c>
      <c r="Q2621">
        <v>19.812000000000001</v>
      </c>
      <c r="R2621" t="s">
        <v>17</v>
      </c>
      <c r="T2621">
        <v>10</v>
      </c>
      <c r="V2621" t="s">
        <v>15</v>
      </c>
    </row>
    <row r="2622" spans="1:22" x14ac:dyDescent="0.25">
      <c r="A2622">
        <v>146</v>
      </c>
      <c r="B2622" t="s">
        <v>92</v>
      </c>
      <c r="C2622" t="s">
        <v>738</v>
      </c>
      <c r="E2622" t="s">
        <v>738</v>
      </c>
      <c r="L2622" t="s">
        <v>93</v>
      </c>
      <c r="M2622">
        <v>80</v>
      </c>
      <c r="N2622" t="s">
        <v>20</v>
      </c>
      <c r="Q2622">
        <v>162.458</v>
      </c>
      <c r="R2622" t="s">
        <v>17</v>
      </c>
      <c r="T2622">
        <v>10</v>
      </c>
      <c r="V2622" t="s">
        <v>15</v>
      </c>
    </row>
    <row r="2623" spans="1:22" x14ac:dyDescent="0.25">
      <c r="A2623">
        <v>146</v>
      </c>
      <c r="B2623" t="s">
        <v>92</v>
      </c>
      <c r="C2623" t="s">
        <v>738</v>
      </c>
      <c r="E2623" t="s">
        <v>738</v>
      </c>
      <c r="L2623" t="s">
        <v>93</v>
      </c>
      <c r="M2623">
        <v>90</v>
      </c>
      <c r="N2623" t="s">
        <v>24</v>
      </c>
      <c r="Q2623">
        <v>1</v>
      </c>
      <c r="R2623" t="s">
        <v>11</v>
      </c>
      <c r="T2623">
        <v>10</v>
      </c>
      <c r="V2623" t="s">
        <v>15</v>
      </c>
    </row>
    <row r="2624" spans="1:22" x14ac:dyDescent="0.25">
      <c r="A2624">
        <v>146</v>
      </c>
      <c r="B2624" t="s">
        <v>92</v>
      </c>
      <c r="C2624" t="s">
        <v>738</v>
      </c>
      <c r="E2624" t="s">
        <v>738</v>
      </c>
      <c r="L2624" t="s">
        <v>93</v>
      </c>
      <c r="M2624">
        <v>100</v>
      </c>
      <c r="N2624" t="s">
        <v>141</v>
      </c>
      <c r="Q2624">
        <v>9.7000000000000003E-2</v>
      </c>
      <c r="R2624" t="s">
        <v>14</v>
      </c>
      <c r="T2624">
        <v>10</v>
      </c>
      <c r="V2624" t="s">
        <v>15</v>
      </c>
    </row>
    <row r="2625" spans="1:22" x14ac:dyDescent="0.25">
      <c r="A2625">
        <v>146</v>
      </c>
      <c r="B2625" t="s">
        <v>92</v>
      </c>
      <c r="C2625" t="s">
        <v>738</v>
      </c>
      <c r="E2625" t="s">
        <v>738</v>
      </c>
      <c r="L2625" t="s">
        <v>93</v>
      </c>
      <c r="M2625">
        <v>110</v>
      </c>
      <c r="N2625" t="s">
        <v>140</v>
      </c>
      <c r="Q2625">
        <v>4</v>
      </c>
      <c r="R2625" t="s">
        <v>11</v>
      </c>
      <c r="T2625">
        <v>10</v>
      </c>
      <c r="V2625" t="s">
        <v>15</v>
      </c>
    </row>
    <row r="2626" spans="1:22" x14ac:dyDescent="0.25">
      <c r="A2626">
        <v>146</v>
      </c>
      <c r="B2626" t="s">
        <v>92</v>
      </c>
      <c r="C2626" t="s">
        <v>738</v>
      </c>
      <c r="E2626" t="s">
        <v>738</v>
      </c>
      <c r="L2626" t="s">
        <v>93</v>
      </c>
      <c r="M2626">
        <v>120</v>
      </c>
      <c r="N2626" t="s">
        <v>25</v>
      </c>
      <c r="Q2626">
        <v>1</v>
      </c>
      <c r="R2626" t="s">
        <v>11</v>
      </c>
      <c r="T2626">
        <v>10</v>
      </c>
      <c r="V2626" t="s">
        <v>15</v>
      </c>
    </row>
    <row r="2627" spans="1:22" x14ac:dyDescent="0.25">
      <c r="A2627">
        <v>146</v>
      </c>
      <c r="B2627" t="s">
        <v>92</v>
      </c>
      <c r="C2627" t="s">
        <v>738</v>
      </c>
      <c r="E2627" t="s">
        <v>738</v>
      </c>
      <c r="L2627" t="s">
        <v>93</v>
      </c>
      <c r="M2627">
        <v>130</v>
      </c>
      <c r="N2627" t="s">
        <v>26</v>
      </c>
      <c r="Q2627">
        <v>1</v>
      </c>
      <c r="R2627" t="s">
        <v>11</v>
      </c>
      <c r="T2627">
        <v>10</v>
      </c>
      <c r="V2627" t="s">
        <v>15</v>
      </c>
    </row>
    <row r="2628" spans="1:22" x14ac:dyDescent="0.25">
      <c r="A2628">
        <v>146</v>
      </c>
      <c r="B2628" t="s">
        <v>92</v>
      </c>
      <c r="C2628" t="s">
        <v>738</v>
      </c>
      <c r="E2628" t="s">
        <v>738</v>
      </c>
      <c r="L2628" t="s">
        <v>93</v>
      </c>
      <c r="M2628">
        <v>140</v>
      </c>
      <c r="N2628" t="s">
        <v>100</v>
      </c>
      <c r="Q2628">
        <v>1.27</v>
      </c>
      <c r="R2628" t="s">
        <v>14</v>
      </c>
      <c r="T2628">
        <v>10</v>
      </c>
      <c r="V2628" t="s">
        <v>15</v>
      </c>
    </row>
    <row r="2629" spans="1:22" x14ac:dyDescent="0.25">
      <c r="A2629">
        <v>146</v>
      </c>
      <c r="B2629" t="s">
        <v>92</v>
      </c>
      <c r="C2629" t="s">
        <v>738</v>
      </c>
      <c r="E2629" t="s">
        <v>738</v>
      </c>
      <c r="L2629" t="s">
        <v>93</v>
      </c>
      <c r="M2629">
        <v>150</v>
      </c>
      <c r="N2629" t="s">
        <v>569</v>
      </c>
      <c r="Q2629">
        <v>1</v>
      </c>
      <c r="R2629" t="s">
        <v>11</v>
      </c>
      <c r="T2629">
        <v>10</v>
      </c>
      <c r="V2629" t="s">
        <v>18</v>
      </c>
    </row>
    <row r="2630" spans="1:22" x14ac:dyDescent="0.25">
      <c r="A2630">
        <v>146</v>
      </c>
      <c r="B2630" t="s">
        <v>92</v>
      </c>
      <c r="C2630" t="s">
        <v>738</v>
      </c>
      <c r="E2630" t="s">
        <v>738</v>
      </c>
      <c r="L2630" t="s">
        <v>93</v>
      </c>
      <c r="M2630">
        <v>160</v>
      </c>
      <c r="N2630" t="s">
        <v>570</v>
      </c>
      <c r="Q2630">
        <v>1</v>
      </c>
      <c r="R2630" t="s">
        <v>11</v>
      </c>
      <c r="T2630">
        <v>10</v>
      </c>
      <c r="V2630" t="s">
        <v>18</v>
      </c>
    </row>
    <row r="2631" spans="1:22" x14ac:dyDescent="0.25">
      <c r="A2631">
        <v>146</v>
      </c>
      <c r="B2631" t="s">
        <v>92</v>
      </c>
      <c r="C2631" t="s">
        <v>738</v>
      </c>
      <c r="E2631" t="s">
        <v>738</v>
      </c>
      <c r="L2631" t="s">
        <v>93</v>
      </c>
      <c r="M2631">
        <v>170</v>
      </c>
      <c r="N2631" t="s">
        <v>142</v>
      </c>
      <c r="Q2631">
        <v>6.6040000000000001</v>
      </c>
      <c r="R2631" t="s">
        <v>11</v>
      </c>
      <c r="T2631">
        <v>10</v>
      </c>
      <c r="V2631" t="s">
        <v>15</v>
      </c>
    </row>
    <row r="2632" spans="1:22" x14ac:dyDescent="0.25">
      <c r="A2632">
        <v>146</v>
      </c>
      <c r="B2632" t="s">
        <v>92</v>
      </c>
      <c r="C2632" t="s">
        <v>738</v>
      </c>
      <c r="E2632" t="s">
        <v>738</v>
      </c>
      <c r="L2632" t="s">
        <v>93</v>
      </c>
      <c r="M2632">
        <v>180</v>
      </c>
      <c r="N2632" t="s">
        <v>571</v>
      </c>
      <c r="Q2632">
        <v>1</v>
      </c>
      <c r="R2632" t="s">
        <v>11</v>
      </c>
      <c r="T2632">
        <v>10</v>
      </c>
      <c r="V2632" t="s">
        <v>18</v>
      </c>
    </row>
    <row r="2633" spans="1:22" x14ac:dyDescent="0.25">
      <c r="A2633">
        <v>147</v>
      </c>
      <c r="B2633" t="s">
        <v>92</v>
      </c>
      <c r="C2633" t="s">
        <v>740</v>
      </c>
      <c r="E2633" t="s">
        <v>740</v>
      </c>
      <c r="L2633" t="s">
        <v>93</v>
      </c>
      <c r="M2633">
        <v>10</v>
      </c>
      <c r="N2633" t="s">
        <v>573</v>
      </c>
      <c r="Q2633">
        <v>1</v>
      </c>
      <c r="R2633" t="s">
        <v>11</v>
      </c>
      <c r="T2633">
        <v>10</v>
      </c>
      <c r="V2633" t="s">
        <v>18</v>
      </c>
    </row>
    <row r="2634" spans="1:22" x14ac:dyDescent="0.25">
      <c r="A2634">
        <v>147</v>
      </c>
      <c r="B2634" t="s">
        <v>92</v>
      </c>
      <c r="C2634" t="s">
        <v>740</v>
      </c>
      <c r="E2634" t="s">
        <v>740</v>
      </c>
      <c r="L2634" t="s">
        <v>93</v>
      </c>
      <c r="M2634">
        <v>20</v>
      </c>
      <c r="N2634" t="s">
        <v>132</v>
      </c>
      <c r="Q2634">
        <v>3.5819999999999999</v>
      </c>
      <c r="R2634" t="s">
        <v>14</v>
      </c>
      <c r="T2634">
        <v>10</v>
      </c>
      <c r="V2634" t="s">
        <v>15</v>
      </c>
    </row>
    <row r="2635" spans="1:22" x14ac:dyDescent="0.25">
      <c r="A2635">
        <v>147</v>
      </c>
      <c r="B2635" t="s">
        <v>92</v>
      </c>
      <c r="C2635" t="s">
        <v>740</v>
      </c>
      <c r="E2635" t="s">
        <v>740</v>
      </c>
      <c r="L2635" t="s">
        <v>93</v>
      </c>
      <c r="M2635">
        <v>30</v>
      </c>
      <c r="N2635" t="s">
        <v>102</v>
      </c>
      <c r="Q2635">
        <v>0.98699999999999999</v>
      </c>
      <c r="R2635" t="s">
        <v>103</v>
      </c>
      <c r="T2635">
        <v>10</v>
      </c>
      <c r="V2635" t="s">
        <v>15</v>
      </c>
    </row>
    <row r="2636" spans="1:22" x14ac:dyDescent="0.25">
      <c r="A2636">
        <v>147</v>
      </c>
      <c r="B2636" t="s">
        <v>92</v>
      </c>
      <c r="C2636" t="s">
        <v>740</v>
      </c>
      <c r="E2636" t="s">
        <v>740</v>
      </c>
      <c r="L2636" t="s">
        <v>93</v>
      </c>
      <c r="M2636">
        <v>40</v>
      </c>
      <c r="N2636" t="s">
        <v>597</v>
      </c>
      <c r="Q2636">
        <v>2.1589999999999998</v>
      </c>
      <c r="R2636" t="s">
        <v>11</v>
      </c>
      <c r="T2636">
        <v>10</v>
      </c>
      <c r="V2636" t="s">
        <v>18</v>
      </c>
    </row>
    <row r="2637" spans="1:22" x14ac:dyDescent="0.25">
      <c r="A2637">
        <v>147</v>
      </c>
      <c r="B2637" t="s">
        <v>92</v>
      </c>
      <c r="C2637" t="s">
        <v>740</v>
      </c>
      <c r="E2637" t="s">
        <v>740</v>
      </c>
      <c r="L2637" t="s">
        <v>93</v>
      </c>
      <c r="M2637">
        <v>50</v>
      </c>
      <c r="N2637" t="s">
        <v>139</v>
      </c>
      <c r="Q2637">
        <v>2.1589999999999998</v>
      </c>
      <c r="R2637" t="s">
        <v>17</v>
      </c>
      <c r="T2637">
        <v>10</v>
      </c>
      <c r="V2637" t="s">
        <v>18</v>
      </c>
    </row>
    <row r="2638" spans="1:22" x14ac:dyDescent="0.25">
      <c r="A2638">
        <v>147</v>
      </c>
      <c r="B2638" t="s">
        <v>92</v>
      </c>
      <c r="C2638" t="s">
        <v>740</v>
      </c>
      <c r="E2638" t="s">
        <v>740</v>
      </c>
      <c r="L2638" t="s">
        <v>93</v>
      </c>
      <c r="M2638">
        <v>60</v>
      </c>
      <c r="N2638" t="s">
        <v>741</v>
      </c>
      <c r="Q2638">
        <v>1</v>
      </c>
      <c r="R2638" t="s">
        <v>11</v>
      </c>
      <c r="T2638">
        <v>10</v>
      </c>
      <c r="V2638" t="s">
        <v>18</v>
      </c>
    </row>
    <row r="2639" spans="1:22" x14ac:dyDescent="0.25">
      <c r="A2639">
        <v>147</v>
      </c>
      <c r="B2639" t="s">
        <v>92</v>
      </c>
      <c r="C2639" t="s">
        <v>740</v>
      </c>
      <c r="E2639" t="s">
        <v>740</v>
      </c>
      <c r="L2639" t="s">
        <v>93</v>
      </c>
      <c r="M2639">
        <v>70</v>
      </c>
      <c r="N2639" t="s">
        <v>599</v>
      </c>
      <c r="Q2639">
        <v>20.725999999999999</v>
      </c>
      <c r="R2639" t="s">
        <v>17</v>
      </c>
      <c r="T2639">
        <v>10</v>
      </c>
      <c r="V2639" t="s">
        <v>15</v>
      </c>
    </row>
    <row r="2640" spans="1:22" x14ac:dyDescent="0.25">
      <c r="A2640">
        <v>147</v>
      </c>
      <c r="B2640" t="s">
        <v>92</v>
      </c>
      <c r="C2640" t="s">
        <v>740</v>
      </c>
      <c r="E2640" t="s">
        <v>740</v>
      </c>
      <c r="L2640" t="s">
        <v>93</v>
      </c>
      <c r="M2640">
        <v>80</v>
      </c>
      <c r="N2640" t="s">
        <v>20</v>
      </c>
      <c r="Q2640">
        <v>169.95599999999999</v>
      </c>
      <c r="R2640" t="s">
        <v>17</v>
      </c>
      <c r="T2640">
        <v>10</v>
      </c>
      <c r="V2640" t="s">
        <v>15</v>
      </c>
    </row>
    <row r="2641" spans="1:22" x14ac:dyDescent="0.25">
      <c r="A2641">
        <v>147</v>
      </c>
      <c r="B2641" t="s">
        <v>92</v>
      </c>
      <c r="C2641" t="s">
        <v>740</v>
      </c>
      <c r="E2641" t="s">
        <v>740</v>
      </c>
      <c r="L2641" t="s">
        <v>93</v>
      </c>
      <c r="M2641">
        <v>90</v>
      </c>
      <c r="N2641" t="s">
        <v>24</v>
      </c>
      <c r="Q2641">
        <v>1</v>
      </c>
      <c r="R2641" t="s">
        <v>11</v>
      </c>
      <c r="T2641">
        <v>10</v>
      </c>
      <c r="V2641" t="s">
        <v>15</v>
      </c>
    </row>
    <row r="2642" spans="1:22" x14ac:dyDescent="0.25">
      <c r="A2642">
        <v>147</v>
      </c>
      <c r="B2642" t="s">
        <v>92</v>
      </c>
      <c r="C2642" t="s">
        <v>740</v>
      </c>
      <c r="E2642" t="s">
        <v>740</v>
      </c>
      <c r="L2642" t="s">
        <v>93</v>
      </c>
      <c r="M2642">
        <v>100</v>
      </c>
      <c r="N2642" t="s">
        <v>141</v>
      </c>
      <c r="Q2642">
        <v>0.107</v>
      </c>
      <c r="R2642" t="s">
        <v>14</v>
      </c>
      <c r="T2642">
        <v>10</v>
      </c>
      <c r="V2642" t="s">
        <v>15</v>
      </c>
    </row>
    <row r="2643" spans="1:22" x14ac:dyDescent="0.25">
      <c r="A2643">
        <v>147</v>
      </c>
      <c r="B2643" t="s">
        <v>92</v>
      </c>
      <c r="C2643" t="s">
        <v>740</v>
      </c>
      <c r="E2643" t="s">
        <v>740</v>
      </c>
      <c r="L2643" t="s">
        <v>93</v>
      </c>
      <c r="M2643">
        <v>110</v>
      </c>
      <c r="N2643" t="s">
        <v>140</v>
      </c>
      <c r="Q2643">
        <v>4</v>
      </c>
      <c r="R2643" t="s">
        <v>11</v>
      </c>
      <c r="T2643">
        <v>10</v>
      </c>
      <c r="V2643" t="s">
        <v>15</v>
      </c>
    </row>
    <row r="2644" spans="1:22" x14ac:dyDescent="0.25">
      <c r="A2644">
        <v>147</v>
      </c>
      <c r="B2644" t="s">
        <v>92</v>
      </c>
      <c r="C2644" t="s">
        <v>740</v>
      </c>
      <c r="E2644" t="s">
        <v>740</v>
      </c>
      <c r="L2644" t="s">
        <v>93</v>
      </c>
      <c r="M2644">
        <v>120</v>
      </c>
      <c r="N2644" t="s">
        <v>25</v>
      </c>
      <c r="Q2644">
        <v>1</v>
      </c>
      <c r="R2644" t="s">
        <v>11</v>
      </c>
      <c r="T2644">
        <v>10</v>
      </c>
      <c r="V2644" t="s">
        <v>15</v>
      </c>
    </row>
    <row r="2645" spans="1:22" x14ac:dyDescent="0.25">
      <c r="A2645">
        <v>147</v>
      </c>
      <c r="B2645" t="s">
        <v>92</v>
      </c>
      <c r="C2645" t="s">
        <v>740</v>
      </c>
      <c r="E2645" t="s">
        <v>740</v>
      </c>
      <c r="L2645" t="s">
        <v>93</v>
      </c>
      <c r="M2645">
        <v>130</v>
      </c>
      <c r="N2645" t="s">
        <v>26</v>
      </c>
      <c r="Q2645">
        <v>1</v>
      </c>
      <c r="R2645" t="s">
        <v>11</v>
      </c>
      <c r="T2645">
        <v>10</v>
      </c>
      <c r="V2645" t="s">
        <v>15</v>
      </c>
    </row>
    <row r="2646" spans="1:22" x14ac:dyDescent="0.25">
      <c r="A2646">
        <v>147</v>
      </c>
      <c r="B2646" t="s">
        <v>92</v>
      </c>
      <c r="C2646" t="s">
        <v>740</v>
      </c>
      <c r="E2646" t="s">
        <v>740</v>
      </c>
      <c r="L2646" t="s">
        <v>93</v>
      </c>
      <c r="M2646">
        <v>140</v>
      </c>
      <c r="N2646" t="s">
        <v>100</v>
      </c>
      <c r="Q2646">
        <v>1.27</v>
      </c>
      <c r="R2646" t="s">
        <v>14</v>
      </c>
      <c r="T2646">
        <v>10</v>
      </c>
      <c r="V2646" t="s">
        <v>15</v>
      </c>
    </row>
    <row r="2647" spans="1:22" x14ac:dyDescent="0.25">
      <c r="A2647">
        <v>147</v>
      </c>
      <c r="B2647" t="s">
        <v>92</v>
      </c>
      <c r="C2647" t="s">
        <v>740</v>
      </c>
      <c r="E2647" t="s">
        <v>740</v>
      </c>
      <c r="L2647" t="s">
        <v>93</v>
      </c>
      <c r="M2647">
        <v>150</v>
      </c>
      <c r="N2647" t="s">
        <v>575</v>
      </c>
      <c r="Q2647">
        <v>1</v>
      </c>
      <c r="R2647" t="s">
        <v>11</v>
      </c>
      <c r="T2647">
        <v>10</v>
      </c>
      <c r="V2647" t="s">
        <v>18</v>
      </c>
    </row>
    <row r="2648" spans="1:22" x14ac:dyDescent="0.25">
      <c r="A2648">
        <v>147</v>
      </c>
      <c r="B2648" t="s">
        <v>92</v>
      </c>
      <c r="C2648" t="s">
        <v>740</v>
      </c>
      <c r="E2648" t="s">
        <v>740</v>
      </c>
      <c r="L2648" t="s">
        <v>93</v>
      </c>
      <c r="M2648">
        <v>160</v>
      </c>
      <c r="N2648" t="s">
        <v>576</v>
      </c>
      <c r="Q2648">
        <v>1</v>
      </c>
      <c r="R2648" t="s">
        <v>11</v>
      </c>
      <c r="T2648">
        <v>10</v>
      </c>
      <c r="V2648" t="s">
        <v>18</v>
      </c>
    </row>
    <row r="2649" spans="1:22" x14ac:dyDescent="0.25">
      <c r="A2649">
        <v>147</v>
      </c>
      <c r="B2649" t="s">
        <v>92</v>
      </c>
      <c r="C2649" t="s">
        <v>740</v>
      </c>
      <c r="E2649" t="s">
        <v>740</v>
      </c>
      <c r="L2649" t="s">
        <v>93</v>
      </c>
      <c r="M2649">
        <v>170</v>
      </c>
      <c r="N2649" t="s">
        <v>142</v>
      </c>
      <c r="Q2649">
        <v>6.9089999999999998</v>
      </c>
      <c r="R2649" t="s">
        <v>11</v>
      </c>
      <c r="T2649">
        <v>10</v>
      </c>
      <c r="V2649" t="s">
        <v>15</v>
      </c>
    </row>
    <row r="2650" spans="1:22" x14ac:dyDescent="0.25">
      <c r="A2650">
        <v>147</v>
      </c>
      <c r="B2650" t="s">
        <v>92</v>
      </c>
      <c r="C2650" t="s">
        <v>740</v>
      </c>
      <c r="E2650" t="s">
        <v>740</v>
      </c>
      <c r="L2650" t="s">
        <v>93</v>
      </c>
      <c r="M2650">
        <v>180</v>
      </c>
      <c r="N2650" t="s">
        <v>577</v>
      </c>
      <c r="Q2650">
        <v>1</v>
      </c>
      <c r="R2650" t="s">
        <v>11</v>
      </c>
      <c r="T2650">
        <v>10</v>
      </c>
      <c r="V2650" t="s">
        <v>18</v>
      </c>
    </row>
    <row r="2651" spans="1:22" x14ac:dyDescent="0.25">
      <c r="A2651">
        <v>148</v>
      </c>
      <c r="B2651" t="s">
        <v>92</v>
      </c>
      <c r="C2651" t="s">
        <v>742</v>
      </c>
      <c r="E2651" t="s">
        <v>742</v>
      </c>
      <c r="L2651" t="s">
        <v>93</v>
      </c>
      <c r="M2651">
        <v>10</v>
      </c>
      <c r="N2651" t="s">
        <v>579</v>
      </c>
      <c r="Q2651">
        <v>1</v>
      </c>
      <c r="R2651" t="s">
        <v>11</v>
      </c>
      <c r="T2651">
        <v>10</v>
      </c>
      <c r="V2651" t="s">
        <v>18</v>
      </c>
    </row>
    <row r="2652" spans="1:22" x14ac:dyDescent="0.25">
      <c r="A2652">
        <v>148</v>
      </c>
      <c r="B2652" t="s">
        <v>92</v>
      </c>
      <c r="C2652" t="s">
        <v>742</v>
      </c>
      <c r="E2652" t="s">
        <v>742</v>
      </c>
      <c r="L2652" t="s">
        <v>93</v>
      </c>
      <c r="M2652">
        <v>20</v>
      </c>
      <c r="N2652" t="s">
        <v>132</v>
      </c>
      <c r="Q2652">
        <v>4.4870000000000001</v>
      </c>
      <c r="R2652" t="s">
        <v>14</v>
      </c>
      <c r="T2652">
        <v>10</v>
      </c>
      <c r="V2652" t="s">
        <v>15</v>
      </c>
    </row>
    <row r="2653" spans="1:22" x14ac:dyDescent="0.25">
      <c r="A2653">
        <v>148</v>
      </c>
      <c r="B2653" t="s">
        <v>92</v>
      </c>
      <c r="C2653" t="s">
        <v>742</v>
      </c>
      <c r="E2653" t="s">
        <v>742</v>
      </c>
      <c r="L2653" t="s">
        <v>93</v>
      </c>
      <c r="M2653">
        <v>30</v>
      </c>
      <c r="N2653" t="s">
        <v>102</v>
      </c>
      <c r="Q2653">
        <v>1.24</v>
      </c>
      <c r="R2653" t="s">
        <v>103</v>
      </c>
      <c r="T2653">
        <v>10</v>
      </c>
      <c r="V2653" t="s">
        <v>15</v>
      </c>
    </row>
    <row r="2654" spans="1:22" x14ac:dyDescent="0.25">
      <c r="A2654">
        <v>148</v>
      </c>
      <c r="B2654" t="s">
        <v>92</v>
      </c>
      <c r="C2654" t="s">
        <v>742</v>
      </c>
      <c r="E2654" t="s">
        <v>742</v>
      </c>
      <c r="L2654" t="s">
        <v>93</v>
      </c>
      <c r="M2654">
        <v>40</v>
      </c>
      <c r="N2654" t="s">
        <v>597</v>
      </c>
      <c r="Q2654">
        <v>2.1589999999999998</v>
      </c>
      <c r="R2654" t="s">
        <v>11</v>
      </c>
      <c r="T2654">
        <v>10</v>
      </c>
      <c r="V2654" t="s">
        <v>18</v>
      </c>
    </row>
    <row r="2655" spans="1:22" x14ac:dyDescent="0.25">
      <c r="A2655">
        <v>148</v>
      </c>
      <c r="B2655" t="s">
        <v>92</v>
      </c>
      <c r="C2655" t="s">
        <v>742</v>
      </c>
      <c r="E2655" t="s">
        <v>742</v>
      </c>
      <c r="L2655" t="s">
        <v>93</v>
      </c>
      <c r="M2655">
        <v>50</v>
      </c>
      <c r="N2655" t="s">
        <v>139</v>
      </c>
      <c r="Q2655">
        <v>2.1589999999999998</v>
      </c>
      <c r="R2655" t="s">
        <v>17</v>
      </c>
      <c r="T2655">
        <v>10</v>
      </c>
      <c r="V2655" t="s">
        <v>18</v>
      </c>
    </row>
    <row r="2656" spans="1:22" x14ac:dyDescent="0.25">
      <c r="A2656">
        <v>148</v>
      </c>
      <c r="B2656" t="s">
        <v>92</v>
      </c>
      <c r="C2656" t="s">
        <v>742</v>
      </c>
      <c r="E2656" t="s">
        <v>742</v>
      </c>
      <c r="L2656" t="s">
        <v>93</v>
      </c>
      <c r="M2656">
        <v>60</v>
      </c>
      <c r="N2656" t="s">
        <v>743</v>
      </c>
      <c r="Q2656">
        <v>1</v>
      </c>
      <c r="R2656" t="s">
        <v>11</v>
      </c>
      <c r="T2656">
        <v>10</v>
      </c>
      <c r="V2656" t="s">
        <v>18</v>
      </c>
    </row>
    <row r="2657" spans="1:22" x14ac:dyDescent="0.25">
      <c r="A2657">
        <v>148</v>
      </c>
      <c r="B2657" t="s">
        <v>92</v>
      </c>
      <c r="C2657" t="s">
        <v>742</v>
      </c>
      <c r="E2657" t="s">
        <v>742</v>
      </c>
      <c r="L2657" t="s">
        <v>93</v>
      </c>
      <c r="M2657">
        <v>70</v>
      </c>
      <c r="N2657" t="s">
        <v>599</v>
      </c>
      <c r="Q2657">
        <v>22.555</v>
      </c>
      <c r="R2657" t="s">
        <v>17</v>
      </c>
      <c r="T2657">
        <v>10</v>
      </c>
      <c r="V2657" t="s">
        <v>15</v>
      </c>
    </row>
    <row r="2658" spans="1:22" x14ac:dyDescent="0.25">
      <c r="A2658">
        <v>148</v>
      </c>
      <c r="B2658" t="s">
        <v>92</v>
      </c>
      <c r="C2658" t="s">
        <v>742</v>
      </c>
      <c r="E2658" t="s">
        <v>742</v>
      </c>
      <c r="L2658" t="s">
        <v>93</v>
      </c>
      <c r="M2658">
        <v>80</v>
      </c>
      <c r="N2658" t="s">
        <v>20</v>
      </c>
      <c r="Q2658">
        <v>184.953</v>
      </c>
      <c r="R2658" t="s">
        <v>17</v>
      </c>
      <c r="T2658">
        <v>10</v>
      </c>
      <c r="V2658" t="s">
        <v>15</v>
      </c>
    </row>
    <row r="2659" spans="1:22" x14ac:dyDescent="0.25">
      <c r="A2659">
        <v>148</v>
      </c>
      <c r="B2659" t="s">
        <v>92</v>
      </c>
      <c r="C2659" t="s">
        <v>742</v>
      </c>
      <c r="E2659" t="s">
        <v>742</v>
      </c>
      <c r="L2659" t="s">
        <v>93</v>
      </c>
      <c r="M2659">
        <v>90</v>
      </c>
      <c r="N2659" t="s">
        <v>24</v>
      </c>
      <c r="Q2659">
        <v>1</v>
      </c>
      <c r="R2659" t="s">
        <v>11</v>
      </c>
      <c r="T2659">
        <v>10</v>
      </c>
      <c r="V2659" t="s">
        <v>15</v>
      </c>
    </row>
    <row r="2660" spans="1:22" x14ac:dyDescent="0.25">
      <c r="A2660">
        <v>148</v>
      </c>
      <c r="B2660" t="s">
        <v>92</v>
      </c>
      <c r="C2660" t="s">
        <v>742</v>
      </c>
      <c r="E2660" t="s">
        <v>742</v>
      </c>
      <c r="L2660" t="s">
        <v>93</v>
      </c>
      <c r="M2660">
        <v>100</v>
      </c>
      <c r="N2660" t="s">
        <v>141</v>
      </c>
      <c r="Q2660">
        <v>0.128</v>
      </c>
      <c r="R2660" t="s">
        <v>14</v>
      </c>
      <c r="T2660">
        <v>10</v>
      </c>
      <c r="V2660" t="s">
        <v>15</v>
      </c>
    </row>
    <row r="2661" spans="1:22" x14ac:dyDescent="0.25">
      <c r="A2661">
        <v>148</v>
      </c>
      <c r="B2661" t="s">
        <v>92</v>
      </c>
      <c r="C2661" t="s">
        <v>742</v>
      </c>
      <c r="E2661" t="s">
        <v>742</v>
      </c>
      <c r="L2661" t="s">
        <v>93</v>
      </c>
      <c r="M2661">
        <v>110</v>
      </c>
      <c r="N2661" t="s">
        <v>140</v>
      </c>
      <c r="Q2661">
        <v>4</v>
      </c>
      <c r="R2661" t="s">
        <v>11</v>
      </c>
      <c r="T2661">
        <v>10</v>
      </c>
      <c r="V2661" t="s">
        <v>15</v>
      </c>
    </row>
    <row r="2662" spans="1:22" x14ac:dyDescent="0.25">
      <c r="A2662">
        <v>148</v>
      </c>
      <c r="B2662" t="s">
        <v>92</v>
      </c>
      <c r="C2662" t="s">
        <v>742</v>
      </c>
      <c r="E2662" t="s">
        <v>742</v>
      </c>
      <c r="L2662" t="s">
        <v>93</v>
      </c>
      <c r="M2662">
        <v>120</v>
      </c>
      <c r="N2662" t="s">
        <v>25</v>
      </c>
      <c r="Q2662">
        <v>1</v>
      </c>
      <c r="R2662" t="s">
        <v>11</v>
      </c>
      <c r="T2662">
        <v>10</v>
      </c>
      <c r="V2662" t="s">
        <v>15</v>
      </c>
    </row>
    <row r="2663" spans="1:22" x14ac:dyDescent="0.25">
      <c r="A2663">
        <v>148</v>
      </c>
      <c r="B2663" t="s">
        <v>92</v>
      </c>
      <c r="C2663" t="s">
        <v>742</v>
      </c>
      <c r="E2663" t="s">
        <v>742</v>
      </c>
      <c r="L2663" t="s">
        <v>93</v>
      </c>
      <c r="M2663">
        <v>130</v>
      </c>
      <c r="N2663" t="s">
        <v>26</v>
      </c>
      <c r="Q2663">
        <v>1</v>
      </c>
      <c r="R2663" t="s">
        <v>11</v>
      </c>
      <c r="T2663">
        <v>10</v>
      </c>
      <c r="V2663" t="s">
        <v>15</v>
      </c>
    </row>
    <row r="2664" spans="1:22" x14ac:dyDescent="0.25">
      <c r="A2664">
        <v>148</v>
      </c>
      <c r="B2664" t="s">
        <v>92</v>
      </c>
      <c r="C2664" t="s">
        <v>742</v>
      </c>
      <c r="E2664" t="s">
        <v>742</v>
      </c>
      <c r="L2664" t="s">
        <v>93</v>
      </c>
      <c r="M2664">
        <v>140</v>
      </c>
      <c r="N2664" t="s">
        <v>100</v>
      </c>
      <c r="Q2664">
        <v>1.27</v>
      </c>
      <c r="R2664" t="s">
        <v>14</v>
      </c>
      <c r="T2664">
        <v>10</v>
      </c>
      <c r="V2664" t="s">
        <v>15</v>
      </c>
    </row>
    <row r="2665" spans="1:22" x14ac:dyDescent="0.25">
      <c r="A2665">
        <v>148</v>
      </c>
      <c r="B2665" t="s">
        <v>92</v>
      </c>
      <c r="C2665" t="s">
        <v>742</v>
      </c>
      <c r="E2665" t="s">
        <v>742</v>
      </c>
      <c r="L2665" t="s">
        <v>93</v>
      </c>
      <c r="M2665">
        <v>150</v>
      </c>
      <c r="N2665" t="s">
        <v>581</v>
      </c>
      <c r="Q2665">
        <v>1</v>
      </c>
      <c r="R2665" t="s">
        <v>11</v>
      </c>
      <c r="T2665">
        <v>10</v>
      </c>
      <c r="V2665" t="s">
        <v>18</v>
      </c>
    </row>
    <row r="2666" spans="1:22" x14ac:dyDescent="0.25">
      <c r="A2666">
        <v>148</v>
      </c>
      <c r="B2666" t="s">
        <v>92</v>
      </c>
      <c r="C2666" t="s">
        <v>742</v>
      </c>
      <c r="E2666" t="s">
        <v>742</v>
      </c>
      <c r="L2666" t="s">
        <v>93</v>
      </c>
      <c r="M2666">
        <v>160</v>
      </c>
      <c r="N2666" t="s">
        <v>582</v>
      </c>
      <c r="Q2666">
        <v>1</v>
      </c>
      <c r="R2666" t="s">
        <v>11</v>
      </c>
      <c r="T2666">
        <v>10</v>
      </c>
      <c r="V2666" t="s">
        <v>18</v>
      </c>
    </row>
    <row r="2667" spans="1:22" x14ac:dyDescent="0.25">
      <c r="A2667">
        <v>148</v>
      </c>
      <c r="B2667" t="s">
        <v>92</v>
      </c>
      <c r="C2667" t="s">
        <v>742</v>
      </c>
      <c r="E2667" t="s">
        <v>742</v>
      </c>
      <c r="L2667" t="s">
        <v>93</v>
      </c>
      <c r="M2667">
        <v>170</v>
      </c>
      <c r="N2667" t="s">
        <v>142</v>
      </c>
      <c r="Q2667">
        <v>7.5179999999999998</v>
      </c>
      <c r="R2667" t="s">
        <v>11</v>
      </c>
      <c r="T2667">
        <v>10</v>
      </c>
      <c r="V2667" t="s">
        <v>15</v>
      </c>
    </row>
    <row r="2668" spans="1:22" x14ac:dyDescent="0.25">
      <c r="A2668">
        <v>148</v>
      </c>
      <c r="B2668" t="s">
        <v>92</v>
      </c>
      <c r="C2668" t="s">
        <v>742</v>
      </c>
      <c r="E2668" t="s">
        <v>742</v>
      </c>
      <c r="L2668" t="s">
        <v>93</v>
      </c>
      <c r="M2668">
        <v>180</v>
      </c>
      <c r="N2668" t="s">
        <v>583</v>
      </c>
      <c r="Q2668">
        <v>1</v>
      </c>
      <c r="R2668" t="s">
        <v>11</v>
      </c>
      <c r="T2668">
        <v>10</v>
      </c>
      <c r="V2668" t="s">
        <v>18</v>
      </c>
    </row>
    <row r="2669" spans="1:22" x14ac:dyDescent="0.25">
      <c r="A2669">
        <v>149</v>
      </c>
      <c r="B2669" t="s">
        <v>92</v>
      </c>
      <c r="C2669" t="s">
        <v>744</v>
      </c>
      <c r="E2669" t="s">
        <v>744</v>
      </c>
      <c r="L2669" t="s">
        <v>93</v>
      </c>
      <c r="M2669">
        <v>10</v>
      </c>
      <c r="N2669" t="s">
        <v>585</v>
      </c>
      <c r="Q2669">
        <v>1</v>
      </c>
      <c r="R2669" t="s">
        <v>11</v>
      </c>
      <c r="T2669">
        <v>10</v>
      </c>
      <c r="V2669" t="s">
        <v>18</v>
      </c>
    </row>
    <row r="2670" spans="1:22" x14ac:dyDescent="0.25">
      <c r="A2670">
        <v>149</v>
      </c>
      <c r="B2670" t="s">
        <v>92</v>
      </c>
      <c r="C2670" t="s">
        <v>744</v>
      </c>
      <c r="E2670" t="s">
        <v>744</v>
      </c>
      <c r="L2670" t="s">
        <v>93</v>
      </c>
      <c r="M2670">
        <v>20</v>
      </c>
      <c r="N2670" t="s">
        <v>132</v>
      </c>
      <c r="Q2670">
        <v>4.9400000000000004</v>
      </c>
      <c r="R2670" t="s">
        <v>14</v>
      </c>
      <c r="T2670">
        <v>10</v>
      </c>
      <c r="V2670" t="s">
        <v>15</v>
      </c>
    </row>
    <row r="2671" spans="1:22" x14ac:dyDescent="0.25">
      <c r="A2671">
        <v>149</v>
      </c>
      <c r="B2671" t="s">
        <v>92</v>
      </c>
      <c r="C2671" t="s">
        <v>744</v>
      </c>
      <c r="E2671" t="s">
        <v>744</v>
      </c>
      <c r="L2671" t="s">
        <v>93</v>
      </c>
      <c r="M2671">
        <v>30</v>
      </c>
      <c r="N2671" t="s">
        <v>102</v>
      </c>
      <c r="Q2671">
        <v>1.3660000000000001</v>
      </c>
      <c r="R2671" t="s">
        <v>103</v>
      </c>
      <c r="T2671">
        <v>10</v>
      </c>
      <c r="V2671" t="s">
        <v>15</v>
      </c>
    </row>
    <row r="2672" spans="1:22" x14ac:dyDescent="0.25">
      <c r="A2672">
        <v>149</v>
      </c>
      <c r="B2672" t="s">
        <v>92</v>
      </c>
      <c r="C2672" t="s">
        <v>744</v>
      </c>
      <c r="E2672" t="s">
        <v>744</v>
      </c>
      <c r="L2672" t="s">
        <v>93</v>
      </c>
      <c r="M2672">
        <v>40</v>
      </c>
      <c r="N2672" t="s">
        <v>597</v>
      </c>
      <c r="Q2672">
        <v>2.1589999999999998</v>
      </c>
      <c r="R2672" t="s">
        <v>11</v>
      </c>
      <c r="T2672">
        <v>10</v>
      </c>
      <c r="V2672" t="s">
        <v>18</v>
      </c>
    </row>
    <row r="2673" spans="1:22" x14ac:dyDescent="0.25">
      <c r="A2673">
        <v>149</v>
      </c>
      <c r="B2673" t="s">
        <v>92</v>
      </c>
      <c r="C2673" t="s">
        <v>744</v>
      </c>
      <c r="E2673" t="s">
        <v>744</v>
      </c>
      <c r="L2673" t="s">
        <v>93</v>
      </c>
      <c r="M2673">
        <v>50</v>
      </c>
      <c r="N2673" t="s">
        <v>139</v>
      </c>
      <c r="Q2673">
        <v>2.1589999999999998</v>
      </c>
      <c r="R2673" t="s">
        <v>17</v>
      </c>
      <c r="T2673">
        <v>10</v>
      </c>
      <c r="V2673" t="s">
        <v>18</v>
      </c>
    </row>
    <row r="2674" spans="1:22" x14ac:dyDescent="0.25">
      <c r="A2674">
        <v>149</v>
      </c>
      <c r="B2674" t="s">
        <v>92</v>
      </c>
      <c r="C2674" t="s">
        <v>744</v>
      </c>
      <c r="E2674" t="s">
        <v>744</v>
      </c>
      <c r="L2674" t="s">
        <v>93</v>
      </c>
      <c r="M2674">
        <v>60</v>
      </c>
      <c r="N2674" t="s">
        <v>745</v>
      </c>
      <c r="Q2674">
        <v>1</v>
      </c>
      <c r="R2674" t="s">
        <v>11</v>
      </c>
      <c r="T2674">
        <v>10</v>
      </c>
      <c r="V2674" t="s">
        <v>18</v>
      </c>
    </row>
    <row r="2675" spans="1:22" x14ac:dyDescent="0.25">
      <c r="A2675">
        <v>149</v>
      </c>
      <c r="B2675" t="s">
        <v>92</v>
      </c>
      <c r="C2675" t="s">
        <v>744</v>
      </c>
      <c r="E2675" t="s">
        <v>744</v>
      </c>
      <c r="L2675" t="s">
        <v>93</v>
      </c>
      <c r="M2675">
        <v>70</v>
      </c>
      <c r="N2675" t="s">
        <v>599</v>
      </c>
      <c r="Q2675">
        <v>23.47</v>
      </c>
      <c r="R2675" t="s">
        <v>17</v>
      </c>
      <c r="T2675">
        <v>10</v>
      </c>
      <c r="V2675" t="s">
        <v>15</v>
      </c>
    </row>
    <row r="2676" spans="1:22" x14ac:dyDescent="0.25">
      <c r="A2676">
        <v>149</v>
      </c>
      <c r="B2676" t="s">
        <v>92</v>
      </c>
      <c r="C2676" t="s">
        <v>744</v>
      </c>
      <c r="E2676" t="s">
        <v>744</v>
      </c>
      <c r="L2676" t="s">
        <v>93</v>
      </c>
      <c r="M2676">
        <v>80</v>
      </c>
      <c r="N2676" t="s">
        <v>20</v>
      </c>
      <c r="Q2676">
        <v>192.45099999999999</v>
      </c>
      <c r="R2676" t="s">
        <v>17</v>
      </c>
      <c r="T2676">
        <v>10</v>
      </c>
      <c r="V2676" t="s">
        <v>15</v>
      </c>
    </row>
    <row r="2677" spans="1:22" x14ac:dyDescent="0.25">
      <c r="A2677">
        <v>149</v>
      </c>
      <c r="B2677" t="s">
        <v>92</v>
      </c>
      <c r="C2677" t="s">
        <v>744</v>
      </c>
      <c r="E2677" t="s">
        <v>744</v>
      </c>
      <c r="L2677" t="s">
        <v>93</v>
      </c>
      <c r="M2677">
        <v>90</v>
      </c>
      <c r="N2677" t="s">
        <v>24</v>
      </c>
      <c r="Q2677">
        <v>1</v>
      </c>
      <c r="R2677" t="s">
        <v>11</v>
      </c>
      <c r="T2677">
        <v>10</v>
      </c>
      <c r="V2677" t="s">
        <v>15</v>
      </c>
    </row>
    <row r="2678" spans="1:22" x14ac:dyDescent="0.25">
      <c r="A2678">
        <v>149</v>
      </c>
      <c r="B2678" t="s">
        <v>92</v>
      </c>
      <c r="C2678" t="s">
        <v>744</v>
      </c>
      <c r="E2678" t="s">
        <v>744</v>
      </c>
      <c r="L2678" t="s">
        <v>93</v>
      </c>
      <c r="M2678">
        <v>100</v>
      </c>
      <c r="N2678" t="s">
        <v>141</v>
      </c>
      <c r="Q2678">
        <v>0.13800000000000001</v>
      </c>
      <c r="R2678" t="s">
        <v>14</v>
      </c>
      <c r="T2678">
        <v>10</v>
      </c>
      <c r="V2678" t="s">
        <v>15</v>
      </c>
    </row>
    <row r="2679" spans="1:22" x14ac:dyDescent="0.25">
      <c r="A2679">
        <v>149</v>
      </c>
      <c r="B2679" t="s">
        <v>92</v>
      </c>
      <c r="C2679" t="s">
        <v>744</v>
      </c>
      <c r="E2679" t="s">
        <v>744</v>
      </c>
      <c r="L2679" t="s">
        <v>93</v>
      </c>
      <c r="M2679">
        <v>110</v>
      </c>
      <c r="N2679" t="s">
        <v>140</v>
      </c>
      <c r="Q2679">
        <v>4</v>
      </c>
      <c r="R2679" t="s">
        <v>11</v>
      </c>
      <c r="T2679">
        <v>10</v>
      </c>
      <c r="V2679" t="s">
        <v>15</v>
      </c>
    </row>
    <row r="2680" spans="1:22" x14ac:dyDescent="0.25">
      <c r="A2680">
        <v>149</v>
      </c>
      <c r="B2680" t="s">
        <v>92</v>
      </c>
      <c r="C2680" t="s">
        <v>744</v>
      </c>
      <c r="E2680" t="s">
        <v>744</v>
      </c>
      <c r="L2680" t="s">
        <v>93</v>
      </c>
      <c r="M2680">
        <v>120</v>
      </c>
      <c r="N2680" t="s">
        <v>25</v>
      </c>
      <c r="Q2680">
        <v>1</v>
      </c>
      <c r="R2680" t="s">
        <v>11</v>
      </c>
      <c r="T2680">
        <v>10</v>
      </c>
      <c r="V2680" t="s">
        <v>15</v>
      </c>
    </row>
    <row r="2681" spans="1:22" x14ac:dyDescent="0.25">
      <c r="A2681">
        <v>149</v>
      </c>
      <c r="B2681" t="s">
        <v>92</v>
      </c>
      <c r="C2681" t="s">
        <v>744</v>
      </c>
      <c r="E2681" t="s">
        <v>744</v>
      </c>
      <c r="L2681" t="s">
        <v>93</v>
      </c>
      <c r="M2681">
        <v>130</v>
      </c>
      <c r="N2681" t="s">
        <v>26</v>
      </c>
      <c r="Q2681">
        <v>1</v>
      </c>
      <c r="R2681" t="s">
        <v>11</v>
      </c>
      <c r="T2681">
        <v>10</v>
      </c>
      <c r="V2681" t="s">
        <v>15</v>
      </c>
    </row>
    <row r="2682" spans="1:22" x14ac:dyDescent="0.25">
      <c r="A2682">
        <v>149</v>
      </c>
      <c r="B2682" t="s">
        <v>92</v>
      </c>
      <c r="C2682" t="s">
        <v>744</v>
      </c>
      <c r="E2682" t="s">
        <v>744</v>
      </c>
      <c r="L2682" t="s">
        <v>93</v>
      </c>
      <c r="M2682">
        <v>140</v>
      </c>
      <c r="N2682" t="s">
        <v>100</v>
      </c>
      <c r="Q2682">
        <v>1.27</v>
      </c>
      <c r="R2682" t="s">
        <v>14</v>
      </c>
      <c r="T2682">
        <v>10</v>
      </c>
      <c r="V2682" t="s">
        <v>15</v>
      </c>
    </row>
    <row r="2683" spans="1:22" x14ac:dyDescent="0.25">
      <c r="A2683">
        <v>149</v>
      </c>
      <c r="B2683" t="s">
        <v>92</v>
      </c>
      <c r="C2683" t="s">
        <v>744</v>
      </c>
      <c r="E2683" t="s">
        <v>744</v>
      </c>
      <c r="L2683" t="s">
        <v>93</v>
      </c>
      <c r="M2683">
        <v>150</v>
      </c>
      <c r="N2683" t="s">
        <v>587</v>
      </c>
      <c r="Q2683">
        <v>1</v>
      </c>
      <c r="R2683" t="s">
        <v>11</v>
      </c>
      <c r="T2683">
        <v>10</v>
      </c>
      <c r="V2683" t="s">
        <v>18</v>
      </c>
    </row>
    <row r="2684" spans="1:22" x14ac:dyDescent="0.25">
      <c r="A2684">
        <v>149</v>
      </c>
      <c r="B2684" t="s">
        <v>92</v>
      </c>
      <c r="C2684" t="s">
        <v>744</v>
      </c>
      <c r="E2684" t="s">
        <v>744</v>
      </c>
      <c r="L2684" t="s">
        <v>93</v>
      </c>
      <c r="M2684">
        <v>160</v>
      </c>
      <c r="N2684" t="s">
        <v>588</v>
      </c>
      <c r="Q2684">
        <v>1</v>
      </c>
      <c r="R2684" t="s">
        <v>11</v>
      </c>
      <c r="T2684">
        <v>10</v>
      </c>
      <c r="V2684" t="s">
        <v>18</v>
      </c>
    </row>
    <row r="2685" spans="1:22" x14ac:dyDescent="0.25">
      <c r="A2685">
        <v>149</v>
      </c>
      <c r="B2685" t="s">
        <v>92</v>
      </c>
      <c r="C2685" t="s">
        <v>744</v>
      </c>
      <c r="E2685" t="s">
        <v>744</v>
      </c>
      <c r="L2685" t="s">
        <v>93</v>
      </c>
      <c r="M2685">
        <v>170</v>
      </c>
      <c r="N2685" t="s">
        <v>142</v>
      </c>
      <c r="Q2685">
        <v>7.8230000000000004</v>
      </c>
      <c r="R2685" t="s">
        <v>11</v>
      </c>
      <c r="T2685">
        <v>10</v>
      </c>
      <c r="V2685" t="s">
        <v>15</v>
      </c>
    </row>
    <row r="2686" spans="1:22" x14ac:dyDescent="0.25">
      <c r="A2686">
        <v>149</v>
      </c>
      <c r="B2686" t="s">
        <v>92</v>
      </c>
      <c r="C2686" t="s">
        <v>744</v>
      </c>
      <c r="E2686" t="s">
        <v>744</v>
      </c>
      <c r="L2686" t="s">
        <v>93</v>
      </c>
      <c r="M2686">
        <v>180</v>
      </c>
      <c r="N2686" t="s">
        <v>589</v>
      </c>
      <c r="Q2686">
        <v>1</v>
      </c>
      <c r="R2686" t="s">
        <v>11</v>
      </c>
      <c r="T2686">
        <v>10</v>
      </c>
      <c r="V2686" t="s">
        <v>18</v>
      </c>
    </row>
    <row r="2687" spans="1:22" x14ac:dyDescent="0.25">
      <c r="A2687">
        <v>150</v>
      </c>
      <c r="B2687" t="s">
        <v>92</v>
      </c>
      <c r="C2687" t="s">
        <v>746</v>
      </c>
      <c r="E2687" t="s">
        <v>746</v>
      </c>
      <c r="L2687" t="s">
        <v>93</v>
      </c>
      <c r="M2687">
        <v>10</v>
      </c>
      <c r="N2687" t="s">
        <v>591</v>
      </c>
      <c r="Q2687">
        <v>1</v>
      </c>
      <c r="R2687" t="s">
        <v>11</v>
      </c>
      <c r="T2687">
        <v>10</v>
      </c>
      <c r="V2687" t="s">
        <v>18</v>
      </c>
    </row>
    <row r="2688" spans="1:22" x14ac:dyDescent="0.25">
      <c r="A2688">
        <v>150</v>
      </c>
      <c r="B2688" t="s">
        <v>92</v>
      </c>
      <c r="C2688" t="s">
        <v>746</v>
      </c>
      <c r="E2688" t="s">
        <v>746</v>
      </c>
      <c r="L2688" t="s">
        <v>93</v>
      </c>
      <c r="M2688">
        <v>20</v>
      </c>
      <c r="N2688" t="s">
        <v>132</v>
      </c>
      <c r="Q2688">
        <v>5.3920000000000003</v>
      </c>
      <c r="R2688" t="s">
        <v>14</v>
      </c>
      <c r="T2688">
        <v>10</v>
      </c>
      <c r="V2688" t="s">
        <v>15</v>
      </c>
    </row>
    <row r="2689" spans="1:22" x14ac:dyDescent="0.25">
      <c r="A2689">
        <v>150</v>
      </c>
      <c r="B2689" t="s">
        <v>92</v>
      </c>
      <c r="C2689" t="s">
        <v>746</v>
      </c>
      <c r="E2689" t="s">
        <v>746</v>
      </c>
      <c r="L2689" t="s">
        <v>93</v>
      </c>
      <c r="M2689">
        <v>30</v>
      </c>
      <c r="N2689" t="s">
        <v>102</v>
      </c>
      <c r="Q2689">
        <v>1.492</v>
      </c>
      <c r="R2689" t="s">
        <v>103</v>
      </c>
      <c r="T2689">
        <v>10</v>
      </c>
      <c r="V2689" t="s">
        <v>15</v>
      </c>
    </row>
    <row r="2690" spans="1:22" x14ac:dyDescent="0.25">
      <c r="A2690">
        <v>150</v>
      </c>
      <c r="B2690" t="s">
        <v>92</v>
      </c>
      <c r="C2690" t="s">
        <v>746</v>
      </c>
      <c r="E2690" t="s">
        <v>746</v>
      </c>
      <c r="L2690" t="s">
        <v>93</v>
      </c>
      <c r="M2690">
        <v>40</v>
      </c>
      <c r="N2690" t="s">
        <v>597</v>
      </c>
      <c r="Q2690">
        <v>2.1589999999999998</v>
      </c>
      <c r="R2690" t="s">
        <v>11</v>
      </c>
      <c r="T2690">
        <v>10</v>
      </c>
      <c r="V2690" t="s">
        <v>18</v>
      </c>
    </row>
    <row r="2691" spans="1:22" x14ac:dyDescent="0.25">
      <c r="A2691">
        <v>150</v>
      </c>
      <c r="B2691" t="s">
        <v>92</v>
      </c>
      <c r="C2691" t="s">
        <v>746</v>
      </c>
      <c r="E2691" t="s">
        <v>746</v>
      </c>
      <c r="L2691" t="s">
        <v>93</v>
      </c>
      <c r="M2691">
        <v>50</v>
      </c>
      <c r="N2691" t="s">
        <v>139</v>
      </c>
      <c r="Q2691">
        <v>2.1589999999999998</v>
      </c>
      <c r="R2691" t="s">
        <v>17</v>
      </c>
      <c r="T2691">
        <v>10</v>
      </c>
      <c r="V2691" t="s">
        <v>18</v>
      </c>
    </row>
    <row r="2692" spans="1:22" x14ac:dyDescent="0.25">
      <c r="A2692">
        <v>150</v>
      </c>
      <c r="B2692" t="s">
        <v>92</v>
      </c>
      <c r="C2692" t="s">
        <v>746</v>
      </c>
      <c r="E2692" t="s">
        <v>746</v>
      </c>
      <c r="L2692" t="s">
        <v>93</v>
      </c>
      <c r="M2692">
        <v>60</v>
      </c>
      <c r="N2692" t="s">
        <v>747</v>
      </c>
      <c r="Q2692">
        <v>1</v>
      </c>
      <c r="R2692" t="s">
        <v>11</v>
      </c>
      <c r="T2692">
        <v>10</v>
      </c>
      <c r="V2692" t="s">
        <v>18</v>
      </c>
    </row>
    <row r="2693" spans="1:22" x14ac:dyDescent="0.25">
      <c r="A2693">
        <v>150</v>
      </c>
      <c r="B2693" t="s">
        <v>92</v>
      </c>
      <c r="C2693" t="s">
        <v>746</v>
      </c>
      <c r="E2693" t="s">
        <v>746</v>
      </c>
      <c r="L2693" t="s">
        <v>93</v>
      </c>
      <c r="M2693">
        <v>70</v>
      </c>
      <c r="N2693" t="s">
        <v>599</v>
      </c>
      <c r="Q2693">
        <v>24.384</v>
      </c>
      <c r="R2693" t="s">
        <v>17</v>
      </c>
      <c r="T2693">
        <v>10</v>
      </c>
      <c r="V2693" t="s">
        <v>15</v>
      </c>
    </row>
    <row r="2694" spans="1:22" x14ac:dyDescent="0.25">
      <c r="A2694">
        <v>150</v>
      </c>
      <c r="B2694" t="s">
        <v>92</v>
      </c>
      <c r="C2694" t="s">
        <v>746</v>
      </c>
      <c r="E2694" t="s">
        <v>746</v>
      </c>
      <c r="L2694" t="s">
        <v>93</v>
      </c>
      <c r="M2694">
        <v>80</v>
      </c>
      <c r="N2694" t="s">
        <v>20</v>
      </c>
      <c r="Q2694">
        <v>199.94900000000001</v>
      </c>
      <c r="R2694" t="s">
        <v>17</v>
      </c>
      <c r="T2694">
        <v>10</v>
      </c>
      <c r="V2694" t="s">
        <v>15</v>
      </c>
    </row>
    <row r="2695" spans="1:22" x14ac:dyDescent="0.25">
      <c r="A2695">
        <v>150</v>
      </c>
      <c r="B2695" t="s">
        <v>92</v>
      </c>
      <c r="C2695" t="s">
        <v>746</v>
      </c>
      <c r="E2695" t="s">
        <v>746</v>
      </c>
      <c r="L2695" t="s">
        <v>93</v>
      </c>
      <c r="M2695">
        <v>90</v>
      </c>
      <c r="N2695" t="s">
        <v>24</v>
      </c>
      <c r="Q2695">
        <v>1</v>
      </c>
      <c r="R2695" t="s">
        <v>11</v>
      </c>
      <c r="T2695">
        <v>10</v>
      </c>
      <c r="V2695" t="s">
        <v>15</v>
      </c>
    </row>
    <row r="2696" spans="1:22" x14ac:dyDescent="0.25">
      <c r="A2696">
        <v>150</v>
      </c>
      <c r="B2696" t="s">
        <v>92</v>
      </c>
      <c r="C2696" t="s">
        <v>746</v>
      </c>
      <c r="E2696" t="s">
        <v>746</v>
      </c>
      <c r="L2696" t="s">
        <v>93</v>
      </c>
      <c r="M2696">
        <v>100</v>
      </c>
      <c r="N2696" t="s">
        <v>141</v>
      </c>
      <c r="Q2696">
        <v>0.14899999999999999</v>
      </c>
      <c r="R2696" t="s">
        <v>14</v>
      </c>
      <c r="T2696">
        <v>10</v>
      </c>
      <c r="V2696" t="s">
        <v>15</v>
      </c>
    </row>
    <row r="2697" spans="1:22" x14ac:dyDescent="0.25">
      <c r="A2697">
        <v>150</v>
      </c>
      <c r="B2697" t="s">
        <v>92</v>
      </c>
      <c r="C2697" t="s">
        <v>746</v>
      </c>
      <c r="E2697" t="s">
        <v>746</v>
      </c>
      <c r="L2697" t="s">
        <v>93</v>
      </c>
      <c r="M2697">
        <v>110</v>
      </c>
      <c r="N2697" t="s">
        <v>140</v>
      </c>
      <c r="Q2697">
        <v>4</v>
      </c>
      <c r="R2697" t="s">
        <v>11</v>
      </c>
      <c r="T2697">
        <v>10</v>
      </c>
      <c r="V2697" t="s">
        <v>15</v>
      </c>
    </row>
    <row r="2698" spans="1:22" x14ac:dyDescent="0.25">
      <c r="A2698">
        <v>150</v>
      </c>
      <c r="B2698" t="s">
        <v>92</v>
      </c>
      <c r="C2698" t="s">
        <v>746</v>
      </c>
      <c r="E2698" t="s">
        <v>746</v>
      </c>
      <c r="L2698" t="s">
        <v>93</v>
      </c>
      <c r="M2698">
        <v>120</v>
      </c>
      <c r="N2698" t="s">
        <v>25</v>
      </c>
      <c r="Q2698">
        <v>1</v>
      </c>
      <c r="R2698" t="s">
        <v>11</v>
      </c>
      <c r="T2698">
        <v>10</v>
      </c>
      <c r="V2698" t="s">
        <v>15</v>
      </c>
    </row>
    <row r="2699" spans="1:22" x14ac:dyDescent="0.25">
      <c r="A2699">
        <v>150</v>
      </c>
      <c r="B2699" t="s">
        <v>92</v>
      </c>
      <c r="C2699" t="s">
        <v>746</v>
      </c>
      <c r="E2699" t="s">
        <v>746</v>
      </c>
      <c r="L2699" t="s">
        <v>93</v>
      </c>
      <c r="M2699">
        <v>130</v>
      </c>
      <c r="N2699" t="s">
        <v>26</v>
      </c>
      <c r="Q2699">
        <v>1</v>
      </c>
      <c r="R2699" t="s">
        <v>11</v>
      </c>
      <c r="T2699">
        <v>10</v>
      </c>
      <c r="V2699" t="s">
        <v>15</v>
      </c>
    </row>
    <row r="2700" spans="1:22" x14ac:dyDescent="0.25">
      <c r="A2700">
        <v>150</v>
      </c>
      <c r="B2700" t="s">
        <v>92</v>
      </c>
      <c r="C2700" t="s">
        <v>746</v>
      </c>
      <c r="E2700" t="s">
        <v>746</v>
      </c>
      <c r="L2700" t="s">
        <v>93</v>
      </c>
      <c r="M2700">
        <v>140</v>
      </c>
      <c r="N2700" t="s">
        <v>100</v>
      </c>
      <c r="Q2700">
        <v>1.27</v>
      </c>
      <c r="R2700" t="s">
        <v>14</v>
      </c>
      <c r="T2700">
        <v>10</v>
      </c>
      <c r="V2700" t="s">
        <v>15</v>
      </c>
    </row>
    <row r="2701" spans="1:22" x14ac:dyDescent="0.25">
      <c r="A2701">
        <v>150</v>
      </c>
      <c r="B2701" t="s">
        <v>92</v>
      </c>
      <c r="C2701" t="s">
        <v>746</v>
      </c>
      <c r="E2701" t="s">
        <v>746</v>
      </c>
      <c r="L2701" t="s">
        <v>93</v>
      </c>
      <c r="M2701">
        <v>150</v>
      </c>
      <c r="N2701" t="s">
        <v>593</v>
      </c>
      <c r="Q2701">
        <v>1</v>
      </c>
      <c r="R2701" t="s">
        <v>11</v>
      </c>
      <c r="T2701">
        <v>10</v>
      </c>
      <c r="V2701" t="s">
        <v>18</v>
      </c>
    </row>
    <row r="2702" spans="1:22" x14ac:dyDescent="0.25">
      <c r="A2702">
        <v>150</v>
      </c>
      <c r="B2702" t="s">
        <v>92</v>
      </c>
      <c r="C2702" t="s">
        <v>746</v>
      </c>
      <c r="E2702" t="s">
        <v>746</v>
      </c>
      <c r="L2702" t="s">
        <v>93</v>
      </c>
      <c r="M2702">
        <v>160</v>
      </c>
      <c r="N2702" t="s">
        <v>594</v>
      </c>
      <c r="Q2702">
        <v>1</v>
      </c>
      <c r="R2702" t="s">
        <v>11</v>
      </c>
      <c r="T2702">
        <v>10</v>
      </c>
      <c r="V2702" t="s">
        <v>18</v>
      </c>
    </row>
    <row r="2703" spans="1:22" x14ac:dyDescent="0.25">
      <c r="A2703">
        <v>150</v>
      </c>
      <c r="B2703" t="s">
        <v>92</v>
      </c>
      <c r="C2703" t="s">
        <v>746</v>
      </c>
      <c r="E2703" t="s">
        <v>746</v>
      </c>
      <c r="L2703" t="s">
        <v>93</v>
      </c>
      <c r="M2703">
        <v>170</v>
      </c>
      <c r="N2703" t="s">
        <v>142</v>
      </c>
      <c r="Q2703">
        <v>8.1280000000000001</v>
      </c>
      <c r="R2703" t="s">
        <v>11</v>
      </c>
      <c r="T2703">
        <v>10</v>
      </c>
      <c r="V2703" t="s">
        <v>15</v>
      </c>
    </row>
    <row r="2704" spans="1:22" x14ac:dyDescent="0.25">
      <c r="A2704">
        <v>150</v>
      </c>
      <c r="B2704" t="s">
        <v>92</v>
      </c>
      <c r="C2704" t="s">
        <v>746</v>
      </c>
      <c r="E2704" t="s">
        <v>746</v>
      </c>
      <c r="L2704" t="s">
        <v>93</v>
      </c>
      <c r="M2704">
        <v>180</v>
      </c>
      <c r="N2704" t="s">
        <v>595</v>
      </c>
      <c r="Q2704">
        <v>1</v>
      </c>
      <c r="R2704" t="s">
        <v>11</v>
      </c>
      <c r="T2704">
        <v>10</v>
      </c>
      <c r="V2704" t="s">
        <v>18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2025-12-05T10:06:03Z</dcterms:modified>
</cp:coreProperties>
</file>