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PU Foam Soft Top ET- 2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3" l="1"/>
  <c r="E11" i="13"/>
  <c r="E15" i="13"/>
  <c r="G9" i="13" l="1"/>
  <c r="G8" i="13"/>
  <c r="H4" i="13" l="1"/>
  <c r="E4" i="13"/>
  <c r="E3" i="13" l="1"/>
  <c r="G5" i="13" l="1"/>
  <c r="D5" i="13"/>
  <c r="H5" i="13"/>
  <c r="D3" i="13"/>
  <c r="D4" i="13"/>
  <c r="D6" i="13"/>
  <c r="D7" i="13"/>
  <c r="D8" i="13"/>
  <c r="D9" i="13"/>
  <c r="D10" i="13"/>
  <c r="D11" i="13"/>
  <c r="D12" i="13"/>
  <c r="D13" i="13"/>
  <c r="D14" i="13"/>
  <c r="D15" i="13"/>
  <c r="D2" i="13"/>
  <c r="G2" i="13" l="1"/>
  <c r="G14" i="13"/>
  <c r="G10" i="13" l="1"/>
  <c r="H6" i="13"/>
  <c r="E2" i="13" l="1"/>
  <c r="H15" i="13" l="1"/>
  <c r="H14" i="13"/>
  <c r="H13" i="13"/>
  <c r="H12" i="13"/>
  <c r="H11" i="13"/>
  <c r="H10" i="13"/>
  <c r="H9" i="13"/>
  <c r="H8" i="13"/>
  <c r="H7" i="13"/>
  <c r="H3" i="13"/>
  <c r="H2" i="13"/>
</calcChain>
</file>

<file path=xl/sharedStrings.xml><?xml version="1.0" encoding="utf-8"?>
<sst xmlns="http://schemas.openxmlformats.org/spreadsheetml/2006/main" count="6206" uniqueCount="271">
  <si>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</si>
  <si>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</si>
  <si>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</si>
  <si>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</si>
  <si>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</si>
  <si>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</si>
  <si>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</si>
  <si>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</si>
  <si>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</si>
  <si>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</si>
  <si>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</si>
  <si>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</si>
  <si>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</si>
  <si>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</si>
  <si>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</si>
  <si>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</si>
  <si>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</si>
  <si>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</si>
  <si>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</si>
  <si>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</si>
  <si>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</si>
  <si>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</si>
  <si>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</si>
  <si>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</si>
  <si>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</si>
  <si>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</si>
  <si>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</si>
  <si>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</si>
  <si>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</si>
  <si>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</si>
  <si>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</si>
  <si>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</si>
  <si>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</si>
  <si>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</si>
  <si>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</si>
  <si>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</si>
  <si>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</si>
  <si>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</si>
  <si>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</si>
  <si>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</si>
  <si>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</si>
  <si>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</si>
  <si>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</si>
  <si>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</si>
  <si>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</si>
  <si>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</si>
  <si>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</si>
  <si>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</si>
  <si>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</si>
  <si>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</si>
  <si>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</si>
  <si>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</si>
  <si>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</si>
  <si>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</si>
  <si>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</si>
  <si>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</si>
  <si>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</si>
  <si>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</si>
  <si>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</si>
  <si>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</si>
  <si>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</si>
  <si>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</si>
  <si>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</si>
  <si>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</si>
  <si>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</si>
  <si>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</si>
  <si>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</si>
  <si>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</si>
  <si>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</si>
  <si>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</si>
  <si>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</si>
  <si>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</si>
  <si>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</si>
  <si>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</si>
  <si>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</si>
  <si>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</si>
  <si>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</si>
  <si>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</si>
  <si>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</si>
  <si>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</si>
  <si>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</si>
  <si>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</si>
  <si>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</si>
  <si>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</si>
  <si>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</si>
  <si>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</si>
  <si>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</si>
  <si>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</si>
  <si>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</si>
  <si>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</si>
  <si>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</si>
  <si>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</si>
  <si>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</si>
  <si>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</si>
  <si>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</si>
  <si>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</si>
  <si>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</si>
  <si>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</si>
  <si>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</si>
  <si>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</si>
  <si>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</si>
  <si>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MR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</si>
  <si>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</si>
  <si>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</si>
  <si>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</si>
  <si>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</si>
  <si>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</si>
  <si>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</si>
  <si>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</si>
  <si>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</si>
  <si>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</si>
  <si>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</si>
  <si>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</si>
  <si>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</si>
  <si>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</si>
  <si>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</si>
  <si>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MR-only</t>
  </si>
  <si>
    <t>5,6,8</t>
  </si>
  <si>
    <t>HYPINSFMETMR72X30X05-90D</t>
  </si>
  <si>
    <t>SFG-INSRBMR-ST-QUILT-90D</t>
  </si>
  <si>
    <t>SFG-INSRBMR-ST-ETBOR-72X30X05</t>
  </si>
  <si>
    <t>SFG-INSRBMR-ST-ETCVR-72X30</t>
  </si>
  <si>
    <t>RML-CS-HYP-5.25"</t>
  </si>
  <si>
    <t>90D-HYP-INSPREE-BLOCK-72X30X05</t>
  </si>
  <si>
    <t>HYPINSFMETMR72X36X05-90D</t>
  </si>
  <si>
    <t>SFG-INSRBMR-ST-ETBOR-72X36X05</t>
  </si>
  <si>
    <t>SFG-INSRBMR-ST-ETCVR-72X36</t>
  </si>
  <si>
    <t>90D-HYP-INSPREE-BLOCK-72X36X05</t>
  </si>
  <si>
    <t>HYPINSFMETMR72X42X05-90D</t>
  </si>
  <si>
    <t>SFG-INSRBMR-ST-ETBOR-72X42X05</t>
  </si>
  <si>
    <t>SFG-INSRBMR-ST-ETCVR-72X42</t>
  </si>
  <si>
    <t>90D-HYP-INSPREE-BLOCK-72X42X05</t>
  </si>
  <si>
    <t>HYPINSFMETMR72X48X05-90D</t>
  </si>
  <si>
    <t>SFG-INSRBMR-ST-ETBOR-72X48X05</t>
  </si>
  <si>
    <t>SFG-INSRBMR-ST-ETCVR-72X48</t>
  </si>
  <si>
    <t>90D-HYP-INSPREE-BLOCK-72X48X05</t>
  </si>
  <si>
    <t>HYPINSFMETMR72X60X05-90D</t>
  </si>
  <si>
    <t>SFG-INSRBMR-ST-ETBOR-72X60X05</t>
  </si>
  <si>
    <t>SFG-INSRBMR-ST-ETCVR-72X60</t>
  </si>
  <si>
    <t>90D-HYP-INSPREE-BLOCK-72X60X05</t>
  </si>
  <si>
    <t>HYPINSFMETMR72X66X05-90D</t>
  </si>
  <si>
    <t>SFG-INSRBMR-ST-ETBOR-72X66X05</t>
  </si>
  <si>
    <t>SFG-INSRBMR-ST-ETCVR-72X66</t>
  </si>
  <si>
    <t>90D-HYP-INSPREE-BLOCK-72X66X05</t>
  </si>
  <si>
    <t>HYPINSFMETMR72X72X05-90D</t>
  </si>
  <si>
    <t>SFG-INSRBMR-ST-ETBOR-72X72X05</t>
  </si>
  <si>
    <t>SFG-INSRBMR-ST-ETCVR-72X72</t>
  </si>
  <si>
    <t>90D-HYP-INSPREE-BLOCK-72X72X05</t>
  </si>
  <si>
    <t>HYPINSFMETMR75X30X05-90D</t>
  </si>
  <si>
    <t>SFG-INSRBMR-ST-ETBOR-75X30X05</t>
  </si>
  <si>
    <t>SFG-INSRBMR-ST-ETCVR-75X30</t>
  </si>
  <si>
    <t>90D-HYP-INSPREE-BLOCK-75X30X05</t>
  </si>
  <si>
    <t>HYPINSFMETMR75X36X05-90D</t>
  </si>
  <si>
    <t>SFG-INSRBMR-ST-ETBOR-75X36X05</t>
  </si>
  <si>
    <t>SFG-INSRBMR-ST-ETCVR-75X36</t>
  </si>
  <si>
    <t>90D-HYP-INSPREE-BLOCK-75X36X05</t>
  </si>
  <si>
    <t>HYPINSFMETMR75X42X05-90D</t>
  </si>
  <si>
    <t>SFG-INSRBMR-ST-ETBOR-75X42X05</t>
  </si>
  <si>
    <t>SFG-INSRBMR-ST-ETCVR-75X42</t>
  </si>
  <si>
    <t>90D-HYP-INSPREE-BLOCK-75X42X05</t>
  </si>
  <si>
    <t>HYPINSFMETMR75X48X05-90D</t>
  </si>
  <si>
    <t>SFG-INSRBMR-ST-ETBOR-75X48X05</t>
  </si>
  <si>
    <t>SFG-INSRBMR-ST-ETCVR-75X48</t>
  </si>
  <si>
    <t>90D-HYP-INSPREE-BLOCK-75X48X05</t>
  </si>
  <si>
    <t>HYPINSFMETMR75X60X05-90D</t>
  </si>
  <si>
    <t>SFG-INSRBMR-ST-ETBOR-75X60X05</t>
  </si>
  <si>
    <t>SFG-INSRBMR-ST-ETCVR-75X60</t>
  </si>
  <si>
    <t>90D-HYP-INSPREE-BLOCK-75X60X05</t>
  </si>
  <si>
    <t>HYPINSFMETMR75X66X05-90D</t>
  </si>
  <si>
    <t>SFG-INSRBMR-ST-ETBOR-75X66X05</t>
  </si>
  <si>
    <t>SFG-INSRBMR-ST-ETCVR-75X66</t>
  </si>
  <si>
    <t>90D-HYP-INSPREE-BLOCK-75X66X05</t>
  </si>
  <si>
    <t>HYPINSFMETMR75X72X05-90D</t>
  </si>
  <si>
    <t>SFG-INSRBMR-ST-ETBOR-75X72X05</t>
  </si>
  <si>
    <t>SFG-INSRBMR-ST-ETCVR-75X72</t>
  </si>
  <si>
    <t>90D-HYP-INSPREE-BLOCK-75X72X05</t>
  </si>
  <si>
    <t>HYPINSFMETMR78X30X05-90D</t>
  </si>
  <si>
    <t>SFG-INSRBMR-ST-ETBOR-78X30X05</t>
  </si>
  <si>
    <t>SFG-INSRBMR-ST-ETCVR-78X30</t>
  </si>
  <si>
    <t>90D-HYP-INSPREE-BLOCK-78X30X05</t>
  </si>
  <si>
    <t>HYPINSFMETMR78X36X05-90D</t>
  </si>
  <si>
    <t>SFG-INSRBMR-ST-ETBOR-78X36X05</t>
  </si>
  <si>
    <t>SFG-INSRBMR-ST-ETCVR-78X36</t>
  </si>
  <si>
    <t>90D-HYP-INSPREE-BLOCK-78X36X05</t>
  </si>
  <si>
    <t>HYPINSFMETMR78X42X05-90D</t>
  </si>
  <si>
    <t>SFG-INSRBMR-ST-ETBOR-78X42X05</t>
  </si>
  <si>
    <t>SFG-INSRBMR-ST-ETCVR-78X42</t>
  </si>
  <si>
    <t>90D-HYP-INSPREE-BLOCK-78X42X05</t>
  </si>
  <si>
    <t>HYPINSFMETMR78X48X05-90D</t>
  </si>
  <si>
    <t>SFG-INSRBMR-ST-ETBOR-78X48X05</t>
  </si>
  <si>
    <t>SFG-INSRBMR-ST-ETCVR-78X48</t>
  </si>
  <si>
    <t>90D-HYP-INSPREE-BLOCK-78X48X05</t>
  </si>
  <si>
    <t>HYPINSFMETMR78X60X05-90D</t>
  </si>
  <si>
    <t>SFG-INSRBMR-ST-ETBOR-78X60X05</t>
  </si>
  <si>
    <t>SFG-INSRBMR-ST-ETCVR-78X60</t>
  </si>
  <si>
    <t>90D-HYP-INSPREE-BLOCK-78X60X05</t>
  </si>
  <si>
    <t>HYPINSFMETMR78X66X05-90D</t>
  </si>
  <si>
    <t>SFG-INSRBMR-ST-ETBOR-78X66X05</t>
  </si>
  <si>
    <t>SFG-INSRBMR-ST-ETCVR-78X66</t>
  </si>
  <si>
    <t>90D-HYP-INSPREE-BLOCK-78X66X05</t>
  </si>
  <si>
    <t>HYPINSFMETMR78X72X05-90D</t>
  </si>
  <si>
    <t>SFG-INSRBMR-ST-ETBOR-78X72X05</t>
  </si>
  <si>
    <t>SFG-INSRBMR-ST-ETCVR-78X72</t>
  </si>
  <si>
    <t>90D-HYP-INSPREE-BLOCK-78X72X05</t>
  </si>
  <si>
    <t>HYPINSFMETMR80X30X05-90D</t>
  </si>
  <si>
    <t>SFG-INSRBMR-ST-ETBOR-80X30X05</t>
  </si>
  <si>
    <t>SFG-INSRBMR-ST-ETCVR-80X30</t>
  </si>
  <si>
    <t>90D-HYP-INSPREE-BLOCK-80X30X05</t>
  </si>
  <si>
    <t>HYPINSFMETMR80X36X05-90D</t>
  </si>
  <si>
    <t>SFG-INSRBMR-ST-ETBOR-80X36X05</t>
  </si>
  <si>
    <t>SFG-INSRBMR-ST-ETCVR-80X36</t>
  </si>
  <si>
    <t>90D-HYP-INSPREE-BLOCK-80X36X05</t>
  </si>
  <si>
    <t>HYPINSFMETMR80X42X05-90D</t>
  </si>
  <si>
    <t>SFG-INSRBMR-ST-ETBOR-80X42X05</t>
  </si>
  <si>
    <t>SFG-INSRBMR-ST-ETCVR-80X42</t>
  </si>
  <si>
    <t>90D-HYP-INSPREE-BLOCK-80X42X05</t>
  </si>
  <si>
    <t>HYPINSFMETMR80X48X05-90D</t>
  </si>
  <si>
    <t>SFG-INSRBMR-ST-ETBOR-80X48X05</t>
  </si>
  <si>
    <t>SFG-INSRBMR-ST-ETCVR-80X48</t>
  </si>
  <si>
    <t>90D-HYP-INSPREE-BLOCK-80X48X05</t>
  </si>
  <si>
    <t>HYPINSFMETMR80X60X05-90D</t>
  </si>
  <si>
    <t>SFG-INSRBMR-ST-ETBOR-80X60X05</t>
  </si>
  <si>
    <t>SFG-INSRBMR-ST-ETCVR-80X60</t>
  </si>
  <si>
    <t>90D-HYP-INSPREE-BLOCK-80X60X05</t>
  </si>
  <si>
    <t>HYPINSFMETMR80X66X05-90D</t>
  </si>
  <si>
    <t>SFG-INSRBMR-ST-ETBOR-80X66X05</t>
  </si>
  <si>
    <t>SFG-INSRBMR-ST-ETCVR-80X66</t>
  </si>
  <si>
    <t>90D-HYP-INSPREE-BLOCK-80X66X05</t>
  </si>
  <si>
    <t>HYPINSFMETMR80X72X05-90D</t>
  </si>
  <si>
    <t>SFG-INSRBMR-ST-ETBOR-80X72X05</t>
  </si>
  <si>
    <t>SFG-INSRBMR-ST-ETCVR-80X72</t>
  </si>
  <si>
    <t>90D-HYP-INSPREE-BLOCK-80X72X05</t>
  </si>
  <si>
    <t>HYPINSFMETMR84X30X05-90D</t>
  </si>
  <si>
    <t>SFG-INSRBMR-ST-ETBOR-84X30X05</t>
  </si>
  <si>
    <t>SFG-INSRBMR-ST-ETCVR-84X30</t>
  </si>
  <si>
    <t>90D-HYP-INSPREE-BLOCK-84X30X05</t>
  </si>
  <si>
    <t>HYPINSFMETMR84X36X05-90D</t>
  </si>
  <si>
    <t>SFG-INSRBMR-ST-ETBOR-84X36X05</t>
  </si>
  <si>
    <t>SFG-INSRBMR-ST-ETCVR-84X36</t>
  </si>
  <si>
    <t>90D-HYP-INSPREE-BLOCK-84X36X05</t>
  </si>
  <si>
    <t>HYPINSFMETMR84X42X05-90D</t>
  </si>
  <si>
    <t>SFG-INSRBMR-ST-ETBOR-84X42X05</t>
  </si>
  <si>
    <t>SFG-INSRBMR-ST-ETCVR-84X42</t>
  </si>
  <si>
    <t>90D-HYP-INSPREE-BLOCK-84X42X05</t>
  </si>
  <si>
    <t>HYPINSFMETMR84X48X05-90D</t>
  </si>
  <si>
    <t>SFG-INSRBMR-ST-ETBOR-84X48X05</t>
  </si>
  <si>
    <t>SFG-INSRBMR-ST-ETCVR-84X48</t>
  </si>
  <si>
    <t>90D-HYP-INSPREE-BLOCK-84X48X05</t>
  </si>
  <si>
    <t>HYPINSFMETMR84X60X05-90D</t>
  </si>
  <si>
    <t>SFG-INSRBMR-ST-ETBOR-84X60X05</t>
  </si>
  <si>
    <t>SFG-INSRBMR-ST-ETCVR-84X60</t>
  </si>
  <si>
    <t>90D-HYP-INSPREE-BLOCK-84X60X05</t>
  </si>
  <si>
    <t>HYPINSFMETMR84X66X05-90D</t>
  </si>
  <si>
    <t>SFG-INSRBMR-ST-ETBOR-84X66X05</t>
  </si>
  <si>
    <t>SFG-INSRBMR-ST-ETCVR-84X66</t>
  </si>
  <si>
    <t>90D-HYP-INSPREE-BLOCK-84X66X05</t>
  </si>
  <si>
    <t>HYPINSFMETMR84X72X05-90D</t>
  </si>
  <si>
    <t>SFG-INSRBMR-ST-ETBOR-84X72X05</t>
  </si>
  <si>
    <t>SFG-INSRBMR-ST-ETCVR-84X72</t>
  </si>
  <si>
    <t>90D-HYP-INSPREE-BLOCK-84X72X05</t>
  </si>
  <si>
    <t>33</t>
  </si>
  <si>
    <t>39</t>
  </si>
  <si>
    <t>45</t>
  </si>
  <si>
    <t>51</t>
  </si>
  <si>
    <t>54</t>
  </si>
  <si>
    <t>57</t>
  </si>
  <si>
    <t>63</t>
  </si>
  <si>
    <t>69</t>
  </si>
  <si>
    <t>RML-CIR-MRP-LBL</t>
  </si>
  <si>
    <t>RML-CB-CIR</t>
  </si>
  <si>
    <t>SFG-MEM-BP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</si>
</sst>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6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5" fillId="7" borderId="2" xfId="0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4" sqref="E14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855468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108</v>
      </c>
      <c r="D2" s="9" t="str">
        <f>"HYPINSFMET"&amp;IF($N$2="MR","MR",IF($N$2="MR","MR","MR"))&amp;$K$2&amp;"X"&amp;$L$2&amp;"X0"&amp;$M$2&amp;"-90D"</f>
        <v>HYPINSFMETMR75X36X05-90D</v>
      </c>
      <c r="E2" s="38" t="str">
        <f>"SFG-INSRB"&amp;IF(N2="MR","MR",IF(N2="MR","MR",IF(N2="MR","MR",0)))&amp;"-ST-QUILT-90D"</f>
        <v>SFG-INSRBMR-ST-QUILT-90D</v>
      </c>
      <c r="F2" s="39" t="s">
        <v>14</v>
      </c>
      <c r="G2" s="35">
        <f>IF(K2&lt;81,(L2+1),(K2+1))*0.0254</f>
        <v>0.93979999999999997</v>
      </c>
      <c r="H2" s="10">
        <f t="shared" ref="H2:H3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101</v>
      </c>
      <c r="P2" s="4" t="s">
        <v>117</v>
      </c>
      <c r="R2" s="28" t="s">
        <v>89</v>
      </c>
      <c r="S2" s="28" t="s">
        <v>102</v>
      </c>
      <c r="T2" s="28">
        <v>5</v>
      </c>
      <c r="U2" s="29" t="s">
        <v>101</v>
      </c>
    </row>
    <row r="3" spans="1:21" s="16" customFormat="1" x14ac:dyDescent="0.25">
      <c r="A3" s="32">
        <v>2</v>
      </c>
      <c r="B3" s="7" t="s">
        <v>94</v>
      </c>
      <c r="C3" s="9" t="s">
        <v>109</v>
      </c>
      <c r="D3" s="9" t="str">
        <f t="shared" ref="D3:D16" si="1">"HYPINSFMET"&amp;IF($N$2="MR","MR",IF($N$2="MR","MR","MR"))&amp;$K$2&amp;"X"&amp;$L$2&amp;"X0"&amp;$M$2&amp;"-90D"</f>
        <v>HYPINSFMETMR75X36X05-90D</v>
      </c>
      <c r="E3" s="36" t="str">
        <f>"SFG-INSRB"&amp;IF(N2="MR","MR",IF(N2="MR","MR",IF(N2="MR","MR",IF(N2="MR","MR",IF(N2="MR","MR",IF(N2="MR","MR",0))))))&amp;"-ST-ETBOR-"&amp;K2&amp;"X"&amp;L2&amp;"X"&amp;IF(M2=10,10,"0"&amp;M2)</f>
        <v>SFG-INSRBMR-ST-ETBOR-75X36X05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116</v>
      </c>
      <c r="R3" s="28" t="s">
        <v>89</v>
      </c>
      <c r="S3" s="28" t="s">
        <v>103</v>
      </c>
      <c r="T3" s="28">
        <v>5</v>
      </c>
      <c r="U3" s="29" t="s">
        <v>101</v>
      </c>
    </row>
    <row r="4" spans="1:21" x14ac:dyDescent="0.25">
      <c r="A4" s="32">
        <v>3</v>
      </c>
      <c r="B4" s="7" t="s">
        <v>94</v>
      </c>
      <c r="C4" s="9" t="s">
        <v>109</v>
      </c>
      <c r="D4" s="9" t="str">
        <f t="shared" si="1"/>
        <v>HYPINSFMETMR75X36X05-90D</v>
      </c>
      <c r="E4" s="42" t="str">
        <f>"SFG-INSRB"&amp;IF(N2="MR","MR",IF(N2="MR","MR",IF(N2="MR","MR",IF(N2="MR","MR",IF(N2="MR","MR",IF(N2="MR","MR",0))))))&amp;"-ST-ETCVR-"&amp;K2&amp;"X"&amp;L2</f>
        <v>SFG-INSRBMR-ST-ETCVR-75X36</v>
      </c>
      <c r="F4" s="39" t="s">
        <v>11</v>
      </c>
      <c r="G4" s="10">
        <v>1</v>
      </c>
      <c r="H4" s="10">
        <f t="shared" ref="H4" si="2">ROUND(G4,3)</f>
        <v>1</v>
      </c>
      <c r="I4" s="33" t="s">
        <v>15</v>
      </c>
      <c r="J4" s="12"/>
      <c r="O4" s="16"/>
      <c r="R4" s="28" t="s">
        <v>89</v>
      </c>
      <c r="S4" s="28" t="s">
        <v>104</v>
      </c>
      <c r="T4" s="28">
        <v>5</v>
      </c>
      <c r="U4" s="29" t="s">
        <v>101</v>
      </c>
    </row>
    <row r="5" spans="1:21" x14ac:dyDescent="0.25">
      <c r="A5" s="32">
        <v>4</v>
      </c>
      <c r="B5" s="7" t="s">
        <v>94</v>
      </c>
      <c r="C5" s="9" t="s">
        <v>109</v>
      </c>
      <c r="D5" s="9" t="str">
        <f t="shared" si="1"/>
        <v>HYPINSFMETMR75X36X05-90D</v>
      </c>
      <c r="E5" s="53" t="s">
        <v>270</v>
      </c>
      <c r="F5" s="39" t="s">
        <v>14</v>
      </c>
      <c r="G5" s="10">
        <f>IF(K2&lt;81,(L2+1),(K2+1))*0.0254</f>
        <v>0.93979999999999997</v>
      </c>
      <c r="H5" s="10">
        <f t="shared" ref="H5" si="3">ROUND(G5,3)</f>
        <v>0.94</v>
      </c>
      <c r="I5" s="33" t="s">
        <v>15</v>
      </c>
      <c r="J5" s="12"/>
      <c r="O5" s="16"/>
      <c r="R5" s="28" t="s">
        <v>89</v>
      </c>
      <c r="S5" s="28" t="s">
        <v>105</v>
      </c>
      <c r="T5" s="28">
        <v>5</v>
      </c>
      <c r="U5" s="29" t="s">
        <v>101</v>
      </c>
    </row>
    <row r="6" spans="1:21" x14ac:dyDescent="0.25">
      <c r="A6" s="32">
        <v>5</v>
      </c>
      <c r="B6" s="7" t="s">
        <v>94</v>
      </c>
      <c r="C6" s="9" t="s">
        <v>110</v>
      </c>
      <c r="D6" s="9" t="str">
        <f t="shared" si="1"/>
        <v>HYPINSFMETMR75X36X05-90D</v>
      </c>
      <c r="E6" s="41" t="s">
        <v>111</v>
      </c>
      <c r="F6" s="11" t="s">
        <v>112</v>
      </c>
      <c r="G6" s="34">
        <f>((((K2*L2))/144)*0.00729*4)</f>
        <v>0.54674999999999996</v>
      </c>
      <c r="H6" s="10">
        <f t="shared" ref="H6:H16" si="4">ROUND(G6,3)</f>
        <v>0.54700000000000004</v>
      </c>
      <c r="I6" s="11" t="s">
        <v>13</v>
      </c>
      <c r="J6" s="12"/>
      <c r="R6" s="28" t="s">
        <v>89</v>
      </c>
      <c r="S6" s="28" t="s">
        <v>106</v>
      </c>
      <c r="T6" s="28">
        <v>5</v>
      </c>
      <c r="U6" s="29" t="s">
        <v>101</v>
      </c>
    </row>
    <row r="7" spans="1:21" x14ac:dyDescent="0.25">
      <c r="A7" s="32">
        <v>6</v>
      </c>
      <c r="B7" s="7" t="s">
        <v>98</v>
      </c>
      <c r="C7" s="9" t="s">
        <v>99</v>
      </c>
      <c r="D7" s="9" t="str">
        <f t="shared" si="1"/>
        <v>HYPINSFMETMR75X36X05-90D</v>
      </c>
      <c r="E7" s="53" t="s">
        <v>268</v>
      </c>
      <c r="F7" s="11" t="s">
        <v>11</v>
      </c>
      <c r="G7" s="40">
        <v>1</v>
      </c>
      <c r="H7" s="10">
        <f t="shared" si="4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107</v>
      </c>
      <c r="T7" s="28">
        <v>5</v>
      </c>
      <c r="U7" s="29" t="s">
        <v>101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HYPINSFMETMR75X36X05-90D</v>
      </c>
      <c r="E8" s="44" t="s">
        <v>114</v>
      </c>
      <c r="F8" s="11" t="s">
        <v>14</v>
      </c>
      <c r="G8" s="10">
        <f>((K2+L2+K2+L2)+2)*0.0254*3</f>
        <v>17.0688</v>
      </c>
      <c r="H8" s="10">
        <f t="shared" si="4"/>
        <v>17.068999999999999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5</v>
      </c>
      <c r="U8" s="29" t="s">
        <v>101</v>
      </c>
    </row>
    <row r="9" spans="1:21" x14ac:dyDescent="0.25">
      <c r="A9" s="32">
        <v>8</v>
      </c>
      <c r="B9" s="7" t="s">
        <v>17</v>
      </c>
      <c r="C9" s="9" t="s">
        <v>18</v>
      </c>
      <c r="D9" s="9" t="str">
        <f t="shared" si="1"/>
        <v>HYPINSFMETMR75X36X05-90D</v>
      </c>
      <c r="E9" s="43" t="s">
        <v>16</v>
      </c>
      <c r="F9" s="11" t="s">
        <v>14</v>
      </c>
      <c r="G9" s="35">
        <f>(K2+L2+2)*2*0.0254*(4.73+1.42)*3</f>
        <v>105.91038</v>
      </c>
      <c r="H9" s="10">
        <f t="shared" si="4"/>
        <v>105.91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102</v>
      </c>
      <c r="T9" s="28">
        <v>5</v>
      </c>
      <c r="U9" s="29" t="s">
        <v>101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HYPINSFMETMR75X36X05-90D</v>
      </c>
      <c r="E10" s="53" t="s">
        <v>269</v>
      </c>
      <c r="F10" s="11" t="s">
        <v>12</v>
      </c>
      <c r="G10" s="40">
        <f>(L2+M2+6)*2*0.0254*0.035</f>
        <v>8.3566000000000001E-2</v>
      </c>
      <c r="H10" s="10">
        <f t="shared" si="4"/>
        <v>8.4000000000000005E-2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103</v>
      </c>
      <c r="T10" s="28">
        <v>5</v>
      </c>
      <c r="U10" s="29" t="s">
        <v>101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HYPINSFMETMR75X36X05-90D</v>
      </c>
      <c r="E11" s="17" t="str">
        <f>IF(M2=5,"RML-CS-CIR-5.5",IF(M2=6,"RML-CS-CIR-6.5","RML-CS-CIR-8.5"))</f>
        <v>RML-CS-CIR-5.5</v>
      </c>
      <c r="F11" s="11" t="s">
        <v>11</v>
      </c>
      <c r="G11" s="40">
        <v>4</v>
      </c>
      <c r="H11" s="10">
        <f t="shared" si="4"/>
        <v>4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104</v>
      </c>
      <c r="T11" s="28">
        <v>5</v>
      </c>
      <c r="U11" s="29" t="s">
        <v>101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HYPINSFMETMR75X36X05-90D</v>
      </c>
      <c r="E12" s="17" t="s">
        <v>20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105</v>
      </c>
      <c r="T12" s="28">
        <v>5</v>
      </c>
      <c r="U12" s="29" t="s">
        <v>101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HYPINSFMETMR75X36X05-90D</v>
      </c>
      <c r="E13" s="17" t="s">
        <v>21</v>
      </c>
      <c r="F13" s="11" t="s">
        <v>11</v>
      </c>
      <c r="G13" s="40">
        <v>1</v>
      </c>
      <c r="H13" s="10">
        <f>ROUND(G13,3)</f>
        <v>1</v>
      </c>
      <c r="I13" s="8" t="s">
        <v>13</v>
      </c>
      <c r="J13" s="12"/>
      <c r="K13" s="18"/>
      <c r="R13" s="28" t="s">
        <v>90</v>
      </c>
      <c r="S13" s="28" t="s">
        <v>106</v>
      </c>
      <c r="T13" s="28">
        <v>5</v>
      </c>
      <c r="U13" s="29" t="s">
        <v>101</v>
      </c>
    </row>
    <row r="14" spans="1:21" x14ac:dyDescent="0.25">
      <c r="A14" s="32">
        <v>13</v>
      </c>
      <c r="B14" s="7" t="s">
        <v>19</v>
      </c>
      <c r="C14" s="9" t="s">
        <v>19</v>
      </c>
      <c r="D14" s="9" t="str">
        <f t="shared" si="1"/>
        <v>HYPINSFMETMR75X36X05-90D</v>
      </c>
      <c r="E14" s="17" t="s">
        <v>115</v>
      </c>
      <c r="F14" s="11" t="s">
        <v>12</v>
      </c>
      <c r="G14" s="40">
        <f>(IF(K2&lt;=79,(L2*2)+(M2*2),(K2*2)+(M2*2))+4)*89.5*0.0254*0.0254*0.00009*1300</f>
        <v>0.58099819283999998</v>
      </c>
      <c r="H14" s="10">
        <f>ROUND(G14,3)</f>
        <v>0.58099999999999996</v>
      </c>
      <c r="I14" s="8" t="s">
        <v>13</v>
      </c>
      <c r="J14" s="12"/>
      <c r="M14" s="18"/>
      <c r="O14" s="18"/>
      <c r="R14" s="28" t="s">
        <v>90</v>
      </c>
      <c r="S14" s="28" t="s">
        <v>107</v>
      </c>
      <c r="T14" s="28">
        <v>5</v>
      </c>
      <c r="U14" s="29" t="s">
        <v>101</v>
      </c>
    </row>
    <row r="15" spans="1:21" x14ac:dyDescent="0.25">
      <c r="A15" s="32">
        <v>14</v>
      </c>
      <c r="B15" s="7" t="s">
        <v>17</v>
      </c>
      <c r="C15" s="9" t="s">
        <v>97</v>
      </c>
      <c r="D15" s="9" t="str">
        <f t="shared" si="1"/>
        <v>HYPINSFMETMR75X36X05-90D</v>
      </c>
      <c r="E15" s="37" t="str">
        <f>"90D-HYP-INS-ET-BLOCK-"&amp;K2&amp;"X"&amp;L2&amp;"X0"&amp;M2</f>
        <v>90D-HYP-INS-ET-BLOCK-75X36X05</v>
      </c>
      <c r="F15" s="11" t="s">
        <v>11</v>
      </c>
      <c r="G15" s="10">
        <v>1</v>
      </c>
      <c r="H15" s="10">
        <f>ROUND(G15,3)</f>
        <v>1</v>
      </c>
      <c r="I15" s="33" t="s">
        <v>15</v>
      </c>
      <c r="J15" s="12"/>
      <c r="N15"/>
      <c r="O15"/>
      <c r="R15" s="28" t="s">
        <v>90</v>
      </c>
      <c r="S15" s="28" t="s">
        <v>89</v>
      </c>
      <c r="T15" s="28">
        <v>5</v>
      </c>
      <c r="U15" s="29" t="s">
        <v>101</v>
      </c>
    </row>
    <row r="16" spans="1:21" x14ac:dyDescent="0.25">
      <c r="J16" s="12"/>
      <c r="M16" s="18"/>
      <c r="N16"/>
      <c r="O16"/>
      <c r="R16" s="28" t="s">
        <v>91</v>
      </c>
      <c r="S16" s="28" t="s">
        <v>102</v>
      </c>
      <c r="T16" s="28">
        <v>5</v>
      </c>
      <c r="U16" s="29" t="s">
        <v>101</v>
      </c>
    </row>
    <row r="17" spans="5:21" x14ac:dyDescent="0.25">
      <c r="H17" s="45"/>
      <c r="J17" s="12"/>
      <c r="N17"/>
      <c r="O17"/>
      <c r="R17" s="28" t="s">
        <v>91</v>
      </c>
      <c r="S17" s="28" t="s">
        <v>103</v>
      </c>
      <c r="T17" s="28">
        <v>5</v>
      </c>
      <c r="U17" s="29" t="s">
        <v>101</v>
      </c>
    </row>
    <row r="18" spans="5:21" x14ac:dyDescent="0.25">
      <c r="G18" s="18"/>
      <c r="H18" s="45"/>
      <c r="J18" s="12"/>
      <c r="N18"/>
      <c r="O18"/>
      <c r="R18" s="28" t="s">
        <v>91</v>
      </c>
      <c r="S18" s="28" t="s">
        <v>104</v>
      </c>
      <c r="T18" s="28">
        <v>5</v>
      </c>
      <c r="U18" s="29" t="s">
        <v>101</v>
      </c>
    </row>
    <row r="19" spans="5:21" x14ac:dyDescent="0.25">
      <c r="H19" s="46"/>
      <c r="J19" s="12"/>
      <c r="N19"/>
      <c r="O19"/>
      <c r="R19" s="28" t="s">
        <v>91</v>
      </c>
      <c r="S19" s="28" t="s">
        <v>105</v>
      </c>
      <c r="T19" s="28">
        <v>5</v>
      </c>
      <c r="U19" s="29" t="s">
        <v>101</v>
      </c>
    </row>
    <row r="20" spans="5:21" x14ac:dyDescent="0.25">
      <c r="J20" s="12"/>
      <c r="N20" s="27"/>
      <c r="O20"/>
      <c r="R20" s="28" t="s">
        <v>91</v>
      </c>
      <c r="S20" s="28" t="s">
        <v>106</v>
      </c>
      <c r="T20" s="28">
        <v>5</v>
      </c>
      <c r="U20" s="29" t="s">
        <v>101</v>
      </c>
    </row>
    <row r="21" spans="5:21" x14ac:dyDescent="0.25">
      <c r="J21" s="12"/>
      <c r="N21"/>
      <c r="O21"/>
      <c r="R21" s="28" t="s">
        <v>91</v>
      </c>
      <c r="S21" s="28" t="s">
        <v>107</v>
      </c>
      <c r="T21" s="28">
        <v>5</v>
      </c>
      <c r="U21" s="29" t="s">
        <v>101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5</v>
      </c>
      <c r="U22" s="29" t="s">
        <v>101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102</v>
      </c>
      <c r="T23" s="28">
        <v>5</v>
      </c>
      <c r="U23" s="29" t="s">
        <v>101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103</v>
      </c>
      <c r="T24" s="28">
        <v>5</v>
      </c>
      <c r="U24" s="29" t="s">
        <v>101</v>
      </c>
    </row>
    <row r="25" spans="5:21" x14ac:dyDescent="0.25">
      <c r="N25"/>
      <c r="O25"/>
      <c r="R25" s="28" t="s">
        <v>92</v>
      </c>
      <c r="S25" s="28" t="s">
        <v>104</v>
      </c>
      <c r="T25" s="28">
        <v>5</v>
      </c>
      <c r="U25" s="29" t="s">
        <v>101</v>
      </c>
    </row>
    <row r="26" spans="5:21" x14ac:dyDescent="0.25">
      <c r="N26"/>
      <c r="O26"/>
      <c r="R26" s="28" t="s">
        <v>92</v>
      </c>
      <c r="S26" s="28" t="s">
        <v>105</v>
      </c>
      <c r="T26" s="28">
        <v>5</v>
      </c>
      <c r="U26" s="29" t="s">
        <v>101</v>
      </c>
    </row>
    <row r="27" spans="5:21" x14ac:dyDescent="0.25">
      <c r="N27"/>
      <c r="O27"/>
      <c r="R27" s="28" t="s">
        <v>92</v>
      </c>
      <c r="S27" s="28" t="s">
        <v>106</v>
      </c>
      <c r="T27" s="28">
        <v>5</v>
      </c>
      <c r="U27" s="29" t="s">
        <v>101</v>
      </c>
    </row>
    <row r="28" spans="5:21" x14ac:dyDescent="0.25">
      <c r="M28" s="18"/>
      <c r="N28"/>
      <c r="O28"/>
      <c r="R28" s="28" t="s">
        <v>92</v>
      </c>
      <c r="S28" s="28" t="s">
        <v>107</v>
      </c>
      <c r="T28" s="28">
        <v>5</v>
      </c>
      <c r="U28" s="29" t="s">
        <v>101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5</v>
      </c>
      <c r="U29" s="29" t="s">
        <v>101</v>
      </c>
    </row>
    <row r="30" spans="5:21" x14ac:dyDescent="0.25">
      <c r="H30" s="18"/>
      <c r="N30"/>
      <c r="O30"/>
      <c r="R30" s="28" t="s">
        <v>93</v>
      </c>
      <c r="S30" s="28" t="s">
        <v>102</v>
      </c>
      <c r="T30" s="28">
        <v>5</v>
      </c>
      <c r="U30" s="29" t="s">
        <v>101</v>
      </c>
    </row>
    <row r="31" spans="5:21" x14ac:dyDescent="0.25">
      <c r="N31"/>
      <c r="O31"/>
      <c r="R31" s="28" t="s">
        <v>93</v>
      </c>
      <c r="S31" s="28" t="s">
        <v>103</v>
      </c>
      <c r="T31" s="28">
        <v>5</v>
      </c>
      <c r="U31" s="29" t="s">
        <v>101</v>
      </c>
    </row>
    <row r="32" spans="5:21" x14ac:dyDescent="0.25">
      <c r="N32"/>
      <c r="O32"/>
      <c r="R32" s="28" t="s">
        <v>93</v>
      </c>
      <c r="S32" s="28" t="s">
        <v>104</v>
      </c>
      <c r="T32" s="28">
        <v>5</v>
      </c>
      <c r="U32" s="29" t="s">
        <v>101</v>
      </c>
    </row>
    <row r="33" spans="14:21" x14ac:dyDescent="0.25">
      <c r="N33"/>
      <c r="O33"/>
      <c r="R33" s="28" t="s">
        <v>93</v>
      </c>
      <c r="S33" s="28" t="s">
        <v>105</v>
      </c>
      <c r="T33" s="28">
        <v>5</v>
      </c>
      <c r="U33" s="29" t="s">
        <v>101</v>
      </c>
    </row>
    <row r="34" spans="14:21" x14ac:dyDescent="0.25">
      <c r="N34"/>
      <c r="O34"/>
      <c r="R34" s="28" t="s">
        <v>93</v>
      </c>
      <c r="S34" s="28" t="s">
        <v>106</v>
      </c>
      <c r="T34" s="28">
        <v>5</v>
      </c>
      <c r="U34" s="29" t="s">
        <v>101</v>
      </c>
    </row>
    <row r="35" spans="14:21" x14ac:dyDescent="0.25">
      <c r="N35"/>
      <c r="O35"/>
      <c r="R35" s="28" t="s">
        <v>93</v>
      </c>
      <c r="S35" s="28" t="s">
        <v>107</v>
      </c>
      <c r="T35" s="28">
        <v>5</v>
      </c>
      <c r="U35" s="29" t="s">
        <v>101</v>
      </c>
    </row>
    <row r="36" spans="14:21" x14ac:dyDescent="0.25">
      <c r="N36"/>
      <c r="O36"/>
      <c r="R36" s="28" t="s">
        <v>93</v>
      </c>
      <c r="S36" s="28" t="s">
        <v>89</v>
      </c>
      <c r="T36" s="28">
        <v>5</v>
      </c>
      <c r="U36" s="29" t="s">
        <v>101</v>
      </c>
    </row>
    <row r="37" spans="14:21" x14ac:dyDescent="0.25">
      <c r="N37"/>
      <c r="O37"/>
      <c r="R37" s="28" t="s">
        <v>89</v>
      </c>
      <c r="S37" s="28" t="s">
        <v>260</v>
      </c>
      <c r="T37" s="28">
        <v>5</v>
      </c>
      <c r="U37" s="29" t="s">
        <v>101</v>
      </c>
    </row>
    <row r="38" spans="14:21" x14ac:dyDescent="0.25">
      <c r="N38"/>
      <c r="O38"/>
      <c r="R38" s="28" t="s">
        <v>89</v>
      </c>
      <c r="S38" s="28" t="s">
        <v>261</v>
      </c>
      <c r="T38" s="28">
        <v>5</v>
      </c>
      <c r="U38" s="29" t="s">
        <v>101</v>
      </c>
    </row>
    <row r="39" spans="14:21" x14ac:dyDescent="0.25">
      <c r="N39"/>
      <c r="O39"/>
      <c r="R39" s="28" t="s">
        <v>89</v>
      </c>
      <c r="S39" s="28" t="s">
        <v>262</v>
      </c>
      <c r="T39" s="28">
        <v>5</v>
      </c>
      <c r="U39" s="29" t="s">
        <v>101</v>
      </c>
    </row>
    <row r="40" spans="14:21" x14ac:dyDescent="0.25">
      <c r="N40"/>
      <c r="O40"/>
      <c r="R40" s="28" t="s">
        <v>89</v>
      </c>
      <c r="S40" s="28" t="s">
        <v>263</v>
      </c>
      <c r="T40" s="28">
        <v>5</v>
      </c>
      <c r="U40" s="29" t="s">
        <v>101</v>
      </c>
    </row>
    <row r="41" spans="14:21" x14ac:dyDescent="0.25">
      <c r="N41"/>
      <c r="O41"/>
      <c r="R41" s="28" t="s">
        <v>89</v>
      </c>
      <c r="S41" s="28" t="s">
        <v>264</v>
      </c>
      <c r="T41" s="28">
        <v>5</v>
      </c>
      <c r="U41" s="29" t="s">
        <v>101</v>
      </c>
    </row>
    <row r="42" spans="14:21" x14ac:dyDescent="0.25">
      <c r="N42"/>
      <c r="O42"/>
      <c r="R42" s="28" t="s">
        <v>89</v>
      </c>
      <c r="S42" s="28" t="s">
        <v>265</v>
      </c>
      <c r="T42" s="28">
        <v>5</v>
      </c>
      <c r="U42" s="29" t="s">
        <v>101</v>
      </c>
    </row>
    <row r="43" spans="14:21" x14ac:dyDescent="0.25">
      <c r="N43"/>
      <c r="O43"/>
      <c r="R43" s="28" t="s">
        <v>89</v>
      </c>
      <c r="S43" s="28" t="s">
        <v>266</v>
      </c>
      <c r="T43" s="28">
        <v>5</v>
      </c>
      <c r="U43" s="29" t="s">
        <v>101</v>
      </c>
    </row>
    <row r="44" spans="14:21" x14ac:dyDescent="0.25">
      <c r="N44"/>
      <c r="O44"/>
      <c r="R44" s="28" t="s">
        <v>89</v>
      </c>
      <c r="S44" s="28" t="s">
        <v>267</v>
      </c>
      <c r="T44" s="28">
        <v>5</v>
      </c>
      <c r="U44" s="29" t="s">
        <v>101</v>
      </c>
    </row>
    <row r="45" spans="14:21" x14ac:dyDescent="0.25">
      <c r="N45"/>
      <c r="O45"/>
      <c r="R45" s="28" t="s">
        <v>90</v>
      </c>
      <c r="S45" s="28" t="s">
        <v>260</v>
      </c>
      <c r="T45" s="28">
        <v>5</v>
      </c>
      <c r="U45" s="29" t="s">
        <v>101</v>
      </c>
    </row>
    <row r="46" spans="14:21" x14ac:dyDescent="0.25">
      <c r="N46"/>
      <c r="O46"/>
      <c r="R46" s="28" t="s">
        <v>90</v>
      </c>
      <c r="S46" s="28" t="s">
        <v>261</v>
      </c>
      <c r="T46" s="28">
        <v>5</v>
      </c>
      <c r="U46" s="29" t="s">
        <v>101</v>
      </c>
    </row>
    <row r="47" spans="14:21" x14ac:dyDescent="0.25">
      <c r="N47"/>
      <c r="O47"/>
      <c r="R47" s="28" t="s">
        <v>90</v>
      </c>
      <c r="S47" s="28" t="s">
        <v>262</v>
      </c>
      <c r="T47" s="28">
        <v>5</v>
      </c>
      <c r="U47" s="29" t="s">
        <v>101</v>
      </c>
    </row>
    <row r="48" spans="14:21" x14ac:dyDescent="0.25">
      <c r="N48"/>
      <c r="O48"/>
      <c r="R48" s="28" t="s">
        <v>90</v>
      </c>
      <c r="S48" s="28" t="s">
        <v>263</v>
      </c>
      <c r="T48" s="28">
        <v>5</v>
      </c>
      <c r="U48" s="29" t="s">
        <v>101</v>
      </c>
    </row>
    <row r="49" spans="14:21" x14ac:dyDescent="0.25">
      <c r="N49"/>
      <c r="O49"/>
      <c r="R49" s="28" t="s">
        <v>90</v>
      </c>
      <c r="S49" s="28" t="s">
        <v>264</v>
      </c>
      <c r="T49" s="28">
        <v>5</v>
      </c>
      <c r="U49" s="29" t="s">
        <v>101</v>
      </c>
    </row>
    <row r="50" spans="14:21" x14ac:dyDescent="0.25">
      <c r="R50" s="28" t="s">
        <v>90</v>
      </c>
      <c r="S50" s="28" t="s">
        <v>265</v>
      </c>
      <c r="T50" s="28">
        <v>5</v>
      </c>
      <c r="U50" s="29" t="s">
        <v>101</v>
      </c>
    </row>
    <row r="51" spans="14:21" x14ac:dyDescent="0.25">
      <c r="R51" s="28" t="s">
        <v>90</v>
      </c>
      <c r="S51" s="28" t="s">
        <v>266</v>
      </c>
      <c r="T51" s="28">
        <v>5</v>
      </c>
      <c r="U51" s="29" t="s">
        <v>101</v>
      </c>
    </row>
    <row r="52" spans="14:21" x14ac:dyDescent="0.25">
      <c r="R52" s="28" t="s">
        <v>90</v>
      </c>
      <c r="S52" s="28" t="s">
        <v>267</v>
      </c>
      <c r="T52" s="28">
        <v>5</v>
      </c>
      <c r="U52" s="29" t="s">
        <v>101</v>
      </c>
    </row>
    <row r="53" spans="14:21" x14ac:dyDescent="0.25">
      <c r="R53" s="28" t="s">
        <v>91</v>
      </c>
      <c r="S53" s="28" t="s">
        <v>260</v>
      </c>
      <c r="T53" s="28">
        <v>5</v>
      </c>
      <c r="U53" s="29" t="s">
        <v>101</v>
      </c>
    </row>
    <row r="54" spans="14:21" x14ac:dyDescent="0.25">
      <c r="R54" s="28" t="s">
        <v>91</v>
      </c>
      <c r="S54" s="28" t="s">
        <v>261</v>
      </c>
      <c r="T54" s="28">
        <v>5</v>
      </c>
      <c r="U54" s="29" t="s">
        <v>101</v>
      </c>
    </row>
    <row r="55" spans="14:21" x14ac:dyDescent="0.25">
      <c r="R55" s="28" t="s">
        <v>91</v>
      </c>
      <c r="S55" s="28" t="s">
        <v>262</v>
      </c>
      <c r="T55" s="28">
        <v>5</v>
      </c>
      <c r="U55" s="29" t="s">
        <v>101</v>
      </c>
    </row>
    <row r="56" spans="14:21" x14ac:dyDescent="0.25">
      <c r="R56" s="28" t="s">
        <v>91</v>
      </c>
      <c r="S56" s="28" t="s">
        <v>263</v>
      </c>
      <c r="T56" s="28">
        <v>5</v>
      </c>
      <c r="U56" s="29" t="s">
        <v>101</v>
      </c>
    </row>
    <row r="57" spans="14:21" x14ac:dyDescent="0.25">
      <c r="R57" s="28" t="s">
        <v>91</v>
      </c>
      <c r="S57" s="28" t="s">
        <v>264</v>
      </c>
      <c r="T57" s="28">
        <v>5</v>
      </c>
      <c r="U57" s="29" t="s">
        <v>101</v>
      </c>
    </row>
    <row r="58" spans="14:21" x14ac:dyDescent="0.25">
      <c r="R58" s="28" t="s">
        <v>91</v>
      </c>
      <c r="S58" s="28" t="s">
        <v>265</v>
      </c>
      <c r="T58" s="28">
        <v>5</v>
      </c>
      <c r="U58" s="29" t="s">
        <v>101</v>
      </c>
    </row>
    <row r="59" spans="14:21" x14ac:dyDescent="0.25">
      <c r="R59" s="28" t="s">
        <v>91</v>
      </c>
      <c r="S59" s="28" t="s">
        <v>266</v>
      </c>
      <c r="T59" s="28">
        <v>5</v>
      </c>
      <c r="U59" s="29" t="s">
        <v>101</v>
      </c>
    </row>
    <row r="60" spans="14:21" x14ac:dyDescent="0.25">
      <c r="R60" s="28" t="s">
        <v>91</v>
      </c>
      <c r="S60" s="28" t="s">
        <v>267</v>
      </c>
      <c r="T60" s="28">
        <v>5</v>
      </c>
      <c r="U60" s="29" t="s">
        <v>101</v>
      </c>
    </row>
    <row r="61" spans="14:21" x14ac:dyDescent="0.25">
      <c r="R61" s="28" t="s">
        <v>92</v>
      </c>
      <c r="S61" s="28" t="s">
        <v>260</v>
      </c>
      <c r="T61" s="28">
        <v>5</v>
      </c>
      <c r="U61" s="29" t="s">
        <v>101</v>
      </c>
    </row>
    <row r="62" spans="14:21" x14ac:dyDescent="0.25">
      <c r="R62" s="28" t="s">
        <v>92</v>
      </c>
      <c r="S62" s="28" t="s">
        <v>261</v>
      </c>
      <c r="T62" s="28">
        <v>5</v>
      </c>
      <c r="U62" s="29" t="s">
        <v>101</v>
      </c>
    </row>
    <row r="63" spans="14:21" x14ac:dyDescent="0.25">
      <c r="R63" s="28" t="s">
        <v>92</v>
      </c>
      <c r="S63" s="28" t="s">
        <v>262</v>
      </c>
      <c r="T63" s="28">
        <v>5</v>
      </c>
      <c r="U63" s="29" t="s">
        <v>101</v>
      </c>
    </row>
    <row r="64" spans="14:21" x14ac:dyDescent="0.25">
      <c r="R64" s="28" t="s">
        <v>92</v>
      </c>
      <c r="S64" s="28" t="s">
        <v>263</v>
      </c>
      <c r="T64" s="28">
        <v>5</v>
      </c>
      <c r="U64" s="29" t="s">
        <v>101</v>
      </c>
    </row>
    <row r="65" spans="18:21" x14ac:dyDescent="0.25">
      <c r="R65" s="28" t="s">
        <v>92</v>
      </c>
      <c r="S65" s="28" t="s">
        <v>264</v>
      </c>
      <c r="T65" s="28">
        <v>5</v>
      </c>
      <c r="U65" s="29" t="s">
        <v>101</v>
      </c>
    </row>
    <row r="66" spans="18:21" x14ac:dyDescent="0.25">
      <c r="R66" s="28" t="s">
        <v>92</v>
      </c>
      <c r="S66" s="28" t="s">
        <v>265</v>
      </c>
      <c r="T66" s="28">
        <v>5</v>
      </c>
      <c r="U66" s="29" t="s">
        <v>101</v>
      </c>
    </row>
    <row r="67" spans="18:21" x14ac:dyDescent="0.25">
      <c r="R67" s="28" t="s">
        <v>92</v>
      </c>
      <c r="S67" s="28" t="s">
        <v>266</v>
      </c>
      <c r="T67" s="28">
        <v>5</v>
      </c>
      <c r="U67" s="29" t="s">
        <v>101</v>
      </c>
    </row>
    <row r="68" spans="18:21" x14ac:dyDescent="0.25">
      <c r="R68" s="28" t="s">
        <v>92</v>
      </c>
      <c r="S68" s="28" t="s">
        <v>267</v>
      </c>
      <c r="T68" s="28">
        <v>5</v>
      </c>
      <c r="U68" s="29" t="s">
        <v>101</v>
      </c>
    </row>
    <row r="69" spans="18:21" x14ac:dyDescent="0.25">
      <c r="R69" s="28" t="s">
        <v>93</v>
      </c>
      <c r="S69" s="28" t="s">
        <v>260</v>
      </c>
      <c r="T69" s="28">
        <v>5</v>
      </c>
      <c r="U69" s="29" t="s">
        <v>101</v>
      </c>
    </row>
    <row r="70" spans="18:21" x14ac:dyDescent="0.25">
      <c r="R70" s="28" t="s">
        <v>93</v>
      </c>
      <c r="S70" s="28" t="s">
        <v>261</v>
      </c>
      <c r="T70" s="28">
        <v>5</v>
      </c>
      <c r="U70" s="29" t="s">
        <v>101</v>
      </c>
    </row>
    <row r="71" spans="18:21" x14ac:dyDescent="0.25">
      <c r="R71" s="28" t="s">
        <v>93</v>
      </c>
      <c r="S71" s="28" t="s">
        <v>262</v>
      </c>
      <c r="T71" s="28">
        <v>5</v>
      </c>
      <c r="U71" s="29" t="s">
        <v>101</v>
      </c>
    </row>
    <row r="72" spans="18:21" x14ac:dyDescent="0.25">
      <c r="R72" s="28" t="s">
        <v>93</v>
      </c>
      <c r="S72" s="28" t="s">
        <v>263</v>
      </c>
      <c r="T72" s="28">
        <v>5</v>
      </c>
      <c r="U72" s="29" t="s">
        <v>101</v>
      </c>
    </row>
    <row r="73" spans="18:21" x14ac:dyDescent="0.25">
      <c r="R73" s="28" t="s">
        <v>93</v>
      </c>
      <c r="S73" s="28" t="s">
        <v>264</v>
      </c>
      <c r="T73" s="28">
        <v>5</v>
      </c>
      <c r="U73" s="29" t="s">
        <v>101</v>
      </c>
    </row>
    <row r="74" spans="18:21" x14ac:dyDescent="0.25">
      <c r="R74" s="28" t="s">
        <v>93</v>
      </c>
      <c r="S74" s="28" t="s">
        <v>265</v>
      </c>
      <c r="T74" s="28">
        <v>5</v>
      </c>
      <c r="U74" s="29" t="s">
        <v>101</v>
      </c>
    </row>
    <row r="75" spans="18:21" x14ac:dyDescent="0.25">
      <c r="R75" s="28" t="s">
        <v>93</v>
      </c>
      <c r="S75" s="28" t="s">
        <v>266</v>
      </c>
      <c r="T75" s="28">
        <v>5</v>
      </c>
      <c r="U75" s="29" t="s">
        <v>101</v>
      </c>
    </row>
    <row r="76" spans="18:21" x14ac:dyDescent="0.25">
      <c r="R76" s="28" t="s">
        <v>93</v>
      </c>
      <c r="S76" s="28" t="s">
        <v>267</v>
      </c>
      <c r="T76" s="28">
        <v>5</v>
      </c>
      <c r="U76" s="29" t="s">
        <v>101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118</v>
      </c>
      <c r="C2">
        <v>10</v>
      </c>
      <c r="D2" t="s">
        <v>119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118</v>
      </c>
      <c r="C3">
        <v>20</v>
      </c>
      <c r="D3" t="s">
        <v>120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118</v>
      </c>
      <c r="C4">
        <v>30</v>
      </c>
      <c r="D4" t="s">
        <v>121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118</v>
      </c>
      <c r="C5">
        <v>40</v>
      </c>
      <c r="D5" t="s">
        <v>113</v>
      </c>
      <c r="E5" t="s">
        <v>14</v>
      </c>
      <c r="F5">
        <v>0.78700000000000003</v>
      </c>
      <c r="G5" t="s">
        <v>15</v>
      </c>
    </row>
    <row r="6" spans="1:7" x14ac:dyDescent="0.25">
      <c r="A6">
        <v>1</v>
      </c>
      <c r="B6" t="s">
        <v>118</v>
      </c>
      <c r="C6">
        <v>50</v>
      </c>
      <c r="D6" t="s">
        <v>111</v>
      </c>
      <c r="E6" t="s">
        <v>112</v>
      </c>
      <c r="F6">
        <v>0.22600000000000001</v>
      </c>
      <c r="G6" t="s">
        <v>13</v>
      </c>
    </row>
    <row r="7" spans="1:7" x14ac:dyDescent="0.25">
      <c r="A7">
        <v>1</v>
      </c>
      <c r="B7" t="s">
        <v>118</v>
      </c>
      <c r="C7">
        <v>60</v>
      </c>
      <c r="D7" t="s">
        <v>95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118</v>
      </c>
      <c r="C8">
        <v>70</v>
      </c>
      <c r="D8" t="s">
        <v>114</v>
      </c>
      <c r="E8" t="s">
        <v>14</v>
      </c>
      <c r="F8">
        <v>15.696999999999999</v>
      </c>
      <c r="G8" t="s">
        <v>13</v>
      </c>
    </row>
    <row r="9" spans="1:7" x14ac:dyDescent="0.25">
      <c r="A9">
        <v>1</v>
      </c>
      <c r="B9" t="s">
        <v>118</v>
      </c>
      <c r="C9">
        <v>80</v>
      </c>
      <c r="D9" t="s">
        <v>16</v>
      </c>
      <c r="E9" t="s">
        <v>14</v>
      </c>
      <c r="F9">
        <v>97.474999999999994</v>
      </c>
      <c r="G9" t="s">
        <v>13</v>
      </c>
    </row>
    <row r="10" spans="1:7" x14ac:dyDescent="0.25">
      <c r="A10">
        <v>1</v>
      </c>
      <c r="B10" t="s">
        <v>118</v>
      </c>
      <c r="C10">
        <v>90</v>
      </c>
      <c r="D10" t="s">
        <v>96</v>
      </c>
      <c r="E10" t="s">
        <v>12</v>
      </c>
      <c r="F10">
        <v>7.2999999999999995E-2</v>
      </c>
      <c r="G10" t="s">
        <v>13</v>
      </c>
    </row>
    <row r="11" spans="1:7" x14ac:dyDescent="0.25">
      <c r="A11">
        <v>1</v>
      </c>
      <c r="B11" t="s">
        <v>118</v>
      </c>
      <c r="C11">
        <v>100</v>
      </c>
      <c r="D11" t="s">
        <v>122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118</v>
      </c>
      <c r="C12">
        <v>110</v>
      </c>
      <c r="D12" t="s">
        <v>100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118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118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118</v>
      </c>
      <c r="C15">
        <v>140</v>
      </c>
      <c r="D15" t="s">
        <v>115</v>
      </c>
      <c r="E15" t="s">
        <v>12</v>
      </c>
      <c r="F15">
        <v>0.5</v>
      </c>
      <c r="G15" t="s">
        <v>13</v>
      </c>
    </row>
    <row r="16" spans="1:7" x14ac:dyDescent="0.25">
      <c r="A16">
        <v>1</v>
      </c>
      <c r="B16" t="s">
        <v>118</v>
      </c>
      <c r="C16">
        <v>150</v>
      </c>
      <c r="D16" t="s">
        <v>123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124</v>
      </c>
      <c r="C17">
        <v>10</v>
      </c>
      <c r="D17" t="s">
        <v>119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124</v>
      </c>
      <c r="C18">
        <v>20</v>
      </c>
      <c r="D18" t="s">
        <v>125</v>
      </c>
      <c r="E18" t="s">
        <v>11</v>
      </c>
      <c r="F18">
        <v>1</v>
      </c>
      <c r="G18" t="s">
        <v>15</v>
      </c>
    </row>
    <row r="19" spans="1:7" x14ac:dyDescent="0.25">
      <c r="A19">
        <v>2</v>
      </c>
      <c r="B19" t="s">
        <v>124</v>
      </c>
      <c r="C19">
        <v>30</v>
      </c>
      <c r="D19" t="s">
        <v>126</v>
      </c>
      <c r="E19" t="s">
        <v>11</v>
      </c>
      <c r="F19">
        <v>1</v>
      </c>
      <c r="G19" t="s">
        <v>15</v>
      </c>
    </row>
    <row r="20" spans="1:7" x14ac:dyDescent="0.25">
      <c r="A20">
        <v>2</v>
      </c>
      <c r="B20" t="s">
        <v>124</v>
      </c>
      <c r="C20">
        <v>40</v>
      </c>
      <c r="D20" t="s">
        <v>113</v>
      </c>
      <c r="E20" t="s">
        <v>14</v>
      </c>
      <c r="F20">
        <v>0.94</v>
      </c>
      <c r="G20" t="s">
        <v>15</v>
      </c>
    </row>
    <row r="21" spans="1:7" x14ac:dyDescent="0.25">
      <c r="A21">
        <v>2</v>
      </c>
      <c r="B21" t="s">
        <v>124</v>
      </c>
      <c r="C21">
        <v>50</v>
      </c>
      <c r="D21" t="s">
        <v>111</v>
      </c>
      <c r="E21" t="s">
        <v>112</v>
      </c>
      <c r="F21">
        <v>0.27</v>
      </c>
      <c r="G21" t="s">
        <v>13</v>
      </c>
    </row>
    <row r="22" spans="1:7" x14ac:dyDescent="0.25">
      <c r="A22">
        <v>2</v>
      </c>
      <c r="B22" t="s">
        <v>124</v>
      </c>
      <c r="C22">
        <v>60</v>
      </c>
      <c r="D22" t="s">
        <v>95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124</v>
      </c>
      <c r="C23">
        <v>70</v>
      </c>
      <c r="D23" t="s">
        <v>114</v>
      </c>
      <c r="E23" t="s">
        <v>14</v>
      </c>
      <c r="F23">
        <v>16.611999999999998</v>
      </c>
      <c r="G23" t="s">
        <v>13</v>
      </c>
    </row>
    <row r="24" spans="1:7" x14ac:dyDescent="0.25">
      <c r="A24">
        <v>2</v>
      </c>
      <c r="B24" t="s">
        <v>124</v>
      </c>
      <c r="C24">
        <v>80</v>
      </c>
      <c r="D24" t="s">
        <v>16</v>
      </c>
      <c r="E24" t="s">
        <v>14</v>
      </c>
      <c r="F24">
        <v>103.099</v>
      </c>
      <c r="G24" t="s">
        <v>13</v>
      </c>
    </row>
    <row r="25" spans="1:7" x14ac:dyDescent="0.25">
      <c r="A25">
        <v>2</v>
      </c>
      <c r="B25" t="s">
        <v>124</v>
      </c>
      <c r="C25">
        <v>90</v>
      </c>
      <c r="D25" t="s">
        <v>96</v>
      </c>
      <c r="E25" t="s">
        <v>12</v>
      </c>
      <c r="F25">
        <v>8.4000000000000005E-2</v>
      </c>
      <c r="G25" t="s">
        <v>13</v>
      </c>
    </row>
    <row r="26" spans="1:7" x14ac:dyDescent="0.25">
      <c r="A26">
        <v>2</v>
      </c>
      <c r="B26" t="s">
        <v>124</v>
      </c>
      <c r="C26">
        <v>100</v>
      </c>
      <c r="D26" t="s">
        <v>122</v>
      </c>
      <c r="E26" t="s">
        <v>11</v>
      </c>
      <c r="F26">
        <v>4</v>
      </c>
      <c r="G26" t="s">
        <v>13</v>
      </c>
    </row>
    <row r="27" spans="1:7" x14ac:dyDescent="0.25">
      <c r="A27">
        <v>2</v>
      </c>
      <c r="B27" t="s">
        <v>124</v>
      </c>
      <c r="C27">
        <v>110</v>
      </c>
      <c r="D27" t="s">
        <v>100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124</v>
      </c>
      <c r="C28">
        <v>120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124</v>
      </c>
      <c r="C29">
        <v>130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124</v>
      </c>
      <c r="C30">
        <v>140</v>
      </c>
      <c r="D30" t="s">
        <v>115</v>
      </c>
      <c r="E30" t="s">
        <v>12</v>
      </c>
      <c r="F30">
        <v>0.58099999999999996</v>
      </c>
      <c r="G30" t="s">
        <v>13</v>
      </c>
    </row>
    <row r="31" spans="1:7" x14ac:dyDescent="0.25">
      <c r="A31">
        <v>2</v>
      </c>
      <c r="B31" t="s">
        <v>124</v>
      </c>
      <c r="C31">
        <v>150</v>
      </c>
      <c r="D31" t="s">
        <v>127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128</v>
      </c>
      <c r="C32">
        <v>10</v>
      </c>
      <c r="D32" t="s">
        <v>119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128</v>
      </c>
      <c r="C33">
        <v>20</v>
      </c>
      <c r="D33" t="s">
        <v>129</v>
      </c>
      <c r="E33" t="s">
        <v>11</v>
      </c>
      <c r="F33">
        <v>1</v>
      </c>
      <c r="G33" t="s">
        <v>15</v>
      </c>
    </row>
    <row r="34" spans="1:7" x14ac:dyDescent="0.25">
      <c r="A34">
        <v>3</v>
      </c>
      <c r="B34" t="s">
        <v>128</v>
      </c>
      <c r="C34">
        <v>30</v>
      </c>
      <c r="D34" t="s">
        <v>130</v>
      </c>
      <c r="E34" t="s">
        <v>11</v>
      </c>
      <c r="F34">
        <v>1</v>
      </c>
      <c r="G34" t="s">
        <v>15</v>
      </c>
    </row>
    <row r="35" spans="1:7" x14ac:dyDescent="0.25">
      <c r="A35">
        <v>3</v>
      </c>
      <c r="B35" t="s">
        <v>128</v>
      </c>
      <c r="C35">
        <v>40</v>
      </c>
      <c r="D35" t="s">
        <v>113</v>
      </c>
      <c r="E35" t="s">
        <v>14</v>
      </c>
      <c r="F35">
        <v>1.0920000000000001</v>
      </c>
      <c r="G35" t="s">
        <v>15</v>
      </c>
    </row>
    <row r="36" spans="1:7" x14ac:dyDescent="0.25">
      <c r="A36">
        <v>3</v>
      </c>
      <c r="B36" t="s">
        <v>128</v>
      </c>
      <c r="C36">
        <v>50</v>
      </c>
      <c r="D36" t="s">
        <v>111</v>
      </c>
      <c r="E36" t="s">
        <v>112</v>
      </c>
      <c r="F36">
        <v>0.313</v>
      </c>
      <c r="G36" t="s">
        <v>13</v>
      </c>
    </row>
    <row r="37" spans="1:7" x14ac:dyDescent="0.25">
      <c r="A37">
        <v>3</v>
      </c>
      <c r="B37" t="s">
        <v>128</v>
      </c>
      <c r="C37">
        <v>60</v>
      </c>
      <c r="D37" t="s">
        <v>95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128</v>
      </c>
      <c r="C38">
        <v>70</v>
      </c>
      <c r="D38" t="s">
        <v>114</v>
      </c>
      <c r="E38" t="s">
        <v>14</v>
      </c>
      <c r="F38">
        <v>17.526</v>
      </c>
      <c r="G38" t="s">
        <v>13</v>
      </c>
    </row>
    <row r="39" spans="1:7" x14ac:dyDescent="0.25">
      <c r="A39">
        <v>3</v>
      </c>
      <c r="B39" t="s">
        <v>128</v>
      </c>
      <c r="C39">
        <v>80</v>
      </c>
      <c r="D39" t="s">
        <v>16</v>
      </c>
      <c r="E39" t="s">
        <v>14</v>
      </c>
      <c r="F39">
        <v>108.72199999999999</v>
      </c>
      <c r="G39" t="s">
        <v>13</v>
      </c>
    </row>
    <row r="40" spans="1:7" x14ac:dyDescent="0.25">
      <c r="A40">
        <v>3</v>
      </c>
      <c r="B40" t="s">
        <v>128</v>
      </c>
      <c r="C40">
        <v>90</v>
      </c>
      <c r="D40" t="s">
        <v>96</v>
      </c>
      <c r="E40" t="s">
        <v>12</v>
      </c>
      <c r="F40">
        <v>9.4E-2</v>
      </c>
      <c r="G40" t="s">
        <v>13</v>
      </c>
    </row>
    <row r="41" spans="1:7" x14ac:dyDescent="0.25">
      <c r="A41">
        <v>3</v>
      </c>
      <c r="B41" t="s">
        <v>128</v>
      </c>
      <c r="C41">
        <v>100</v>
      </c>
      <c r="D41" t="s">
        <v>122</v>
      </c>
      <c r="E41" t="s">
        <v>11</v>
      </c>
      <c r="F41">
        <v>4</v>
      </c>
      <c r="G41" t="s">
        <v>13</v>
      </c>
    </row>
    <row r="42" spans="1:7" x14ac:dyDescent="0.25">
      <c r="A42">
        <v>3</v>
      </c>
      <c r="B42" t="s">
        <v>128</v>
      </c>
      <c r="C42">
        <v>110</v>
      </c>
      <c r="D42" t="s">
        <v>100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128</v>
      </c>
      <c r="C43">
        <v>120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128</v>
      </c>
      <c r="C44">
        <v>130</v>
      </c>
      <c r="D44" t="s">
        <v>21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128</v>
      </c>
      <c r="C45">
        <v>140</v>
      </c>
      <c r="D45" t="s">
        <v>115</v>
      </c>
      <c r="E45" t="s">
        <v>12</v>
      </c>
      <c r="F45">
        <v>0.66200000000000003</v>
      </c>
      <c r="G45" t="s">
        <v>13</v>
      </c>
    </row>
    <row r="46" spans="1:7" x14ac:dyDescent="0.25">
      <c r="A46">
        <v>3</v>
      </c>
      <c r="B46" t="s">
        <v>128</v>
      </c>
      <c r="C46">
        <v>150</v>
      </c>
      <c r="D46" t="s">
        <v>131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132</v>
      </c>
      <c r="C47">
        <v>10</v>
      </c>
      <c r="D47" t="s">
        <v>119</v>
      </c>
      <c r="E47" t="s">
        <v>14</v>
      </c>
      <c r="F47">
        <v>1.2450000000000001</v>
      </c>
      <c r="G47" t="s">
        <v>15</v>
      </c>
    </row>
    <row r="48" spans="1:7" x14ac:dyDescent="0.25">
      <c r="A48">
        <v>4</v>
      </c>
      <c r="B48" t="s">
        <v>132</v>
      </c>
      <c r="C48">
        <v>20</v>
      </c>
      <c r="D48" t="s">
        <v>133</v>
      </c>
      <c r="E48" t="s">
        <v>11</v>
      </c>
      <c r="F48">
        <v>1</v>
      </c>
      <c r="G48" t="s">
        <v>15</v>
      </c>
    </row>
    <row r="49" spans="1:7" x14ac:dyDescent="0.25">
      <c r="A49">
        <v>4</v>
      </c>
      <c r="B49" t="s">
        <v>132</v>
      </c>
      <c r="C49">
        <v>30</v>
      </c>
      <c r="D49" t="s">
        <v>134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132</v>
      </c>
      <c r="C50">
        <v>40</v>
      </c>
      <c r="D50" t="s">
        <v>113</v>
      </c>
      <c r="E50" t="s">
        <v>14</v>
      </c>
      <c r="F50">
        <v>1.2450000000000001</v>
      </c>
      <c r="G50" t="s">
        <v>15</v>
      </c>
    </row>
    <row r="51" spans="1:7" x14ac:dyDescent="0.25">
      <c r="A51">
        <v>4</v>
      </c>
      <c r="B51" t="s">
        <v>132</v>
      </c>
      <c r="C51">
        <v>50</v>
      </c>
      <c r="D51" t="s">
        <v>111</v>
      </c>
      <c r="E51" t="s">
        <v>112</v>
      </c>
      <c r="F51">
        <v>0.35699999999999998</v>
      </c>
      <c r="G51" t="s">
        <v>13</v>
      </c>
    </row>
    <row r="52" spans="1:7" x14ac:dyDescent="0.25">
      <c r="A52">
        <v>4</v>
      </c>
      <c r="B52" t="s">
        <v>132</v>
      </c>
      <c r="C52">
        <v>60</v>
      </c>
      <c r="D52" t="s">
        <v>95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132</v>
      </c>
      <c r="C53">
        <v>70</v>
      </c>
      <c r="D53" t="s">
        <v>114</v>
      </c>
      <c r="E53" t="s">
        <v>14</v>
      </c>
      <c r="F53">
        <v>18.440000000000001</v>
      </c>
      <c r="G53" t="s">
        <v>13</v>
      </c>
    </row>
    <row r="54" spans="1:7" x14ac:dyDescent="0.25">
      <c r="A54">
        <v>4</v>
      </c>
      <c r="B54" t="s">
        <v>132</v>
      </c>
      <c r="C54">
        <v>80</v>
      </c>
      <c r="D54" t="s">
        <v>16</v>
      </c>
      <c r="E54" t="s">
        <v>14</v>
      </c>
      <c r="F54">
        <v>114.346</v>
      </c>
      <c r="G54" t="s">
        <v>13</v>
      </c>
    </row>
    <row r="55" spans="1:7" x14ac:dyDescent="0.25">
      <c r="A55">
        <v>4</v>
      </c>
      <c r="B55" t="s">
        <v>132</v>
      </c>
      <c r="C55">
        <v>90</v>
      </c>
      <c r="D55" t="s">
        <v>96</v>
      </c>
      <c r="E55" t="s">
        <v>12</v>
      </c>
      <c r="F55">
        <v>0.105</v>
      </c>
      <c r="G55" t="s">
        <v>13</v>
      </c>
    </row>
    <row r="56" spans="1:7" x14ac:dyDescent="0.25">
      <c r="A56">
        <v>4</v>
      </c>
      <c r="B56" t="s">
        <v>132</v>
      </c>
      <c r="C56">
        <v>100</v>
      </c>
      <c r="D56" t="s">
        <v>122</v>
      </c>
      <c r="E56" t="s">
        <v>11</v>
      </c>
      <c r="F56">
        <v>4</v>
      </c>
      <c r="G56" t="s">
        <v>13</v>
      </c>
    </row>
    <row r="57" spans="1:7" x14ac:dyDescent="0.25">
      <c r="A57">
        <v>4</v>
      </c>
      <c r="B57" t="s">
        <v>132</v>
      </c>
      <c r="C57">
        <v>110</v>
      </c>
      <c r="D57" t="s">
        <v>100</v>
      </c>
      <c r="E57" t="s">
        <v>11</v>
      </c>
      <c r="F57">
        <v>1</v>
      </c>
      <c r="G57" t="s">
        <v>13</v>
      </c>
    </row>
    <row r="58" spans="1:7" x14ac:dyDescent="0.25">
      <c r="A58">
        <v>4</v>
      </c>
      <c r="B58" t="s">
        <v>132</v>
      </c>
      <c r="C58">
        <v>120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132</v>
      </c>
      <c r="C59">
        <v>130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132</v>
      </c>
      <c r="C60">
        <v>140</v>
      </c>
      <c r="D60" t="s">
        <v>115</v>
      </c>
      <c r="E60" t="s">
        <v>12</v>
      </c>
      <c r="F60">
        <v>0.74299999999999999</v>
      </c>
      <c r="G60" t="s">
        <v>13</v>
      </c>
    </row>
    <row r="61" spans="1:7" x14ac:dyDescent="0.25">
      <c r="A61">
        <v>4</v>
      </c>
      <c r="B61" t="s">
        <v>132</v>
      </c>
      <c r="C61">
        <v>150</v>
      </c>
      <c r="D61" t="s">
        <v>135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136</v>
      </c>
      <c r="C62">
        <v>10</v>
      </c>
      <c r="D62" t="s">
        <v>119</v>
      </c>
      <c r="E62" t="s">
        <v>14</v>
      </c>
      <c r="F62">
        <v>1.5489999999999999</v>
      </c>
      <c r="G62" t="s">
        <v>15</v>
      </c>
    </row>
    <row r="63" spans="1:7" x14ac:dyDescent="0.25">
      <c r="A63">
        <v>5</v>
      </c>
      <c r="B63" t="s">
        <v>136</v>
      </c>
      <c r="C63">
        <v>20</v>
      </c>
      <c r="D63" t="s">
        <v>137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136</v>
      </c>
      <c r="C64">
        <v>30</v>
      </c>
      <c r="D64" t="s">
        <v>138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136</v>
      </c>
      <c r="C65">
        <v>40</v>
      </c>
      <c r="D65" t="s">
        <v>113</v>
      </c>
      <c r="E65" t="s">
        <v>14</v>
      </c>
      <c r="F65">
        <v>1.5489999999999999</v>
      </c>
      <c r="G65" t="s">
        <v>15</v>
      </c>
    </row>
    <row r="66" spans="1:7" x14ac:dyDescent="0.25">
      <c r="A66">
        <v>5</v>
      </c>
      <c r="B66" t="s">
        <v>136</v>
      </c>
      <c r="C66">
        <v>50</v>
      </c>
      <c r="D66" t="s">
        <v>111</v>
      </c>
      <c r="E66" t="s">
        <v>112</v>
      </c>
      <c r="F66">
        <v>0.44500000000000001</v>
      </c>
      <c r="G66" t="s">
        <v>13</v>
      </c>
    </row>
    <row r="67" spans="1:7" x14ac:dyDescent="0.25">
      <c r="A67">
        <v>5</v>
      </c>
      <c r="B67" t="s">
        <v>136</v>
      </c>
      <c r="C67">
        <v>60</v>
      </c>
      <c r="D67" t="s">
        <v>95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136</v>
      </c>
      <c r="C68">
        <v>70</v>
      </c>
      <c r="D68" t="s">
        <v>114</v>
      </c>
      <c r="E68" t="s">
        <v>14</v>
      </c>
      <c r="F68">
        <v>20.268999999999998</v>
      </c>
      <c r="G68" t="s">
        <v>13</v>
      </c>
    </row>
    <row r="69" spans="1:7" x14ac:dyDescent="0.25">
      <c r="A69">
        <v>5</v>
      </c>
      <c r="B69" t="s">
        <v>136</v>
      </c>
      <c r="C69">
        <v>80</v>
      </c>
      <c r="D69" t="s">
        <v>16</v>
      </c>
      <c r="E69" t="s">
        <v>14</v>
      </c>
      <c r="F69">
        <v>125.593</v>
      </c>
      <c r="G69" t="s">
        <v>13</v>
      </c>
    </row>
    <row r="70" spans="1:7" x14ac:dyDescent="0.25">
      <c r="A70">
        <v>5</v>
      </c>
      <c r="B70" t="s">
        <v>136</v>
      </c>
      <c r="C70">
        <v>90</v>
      </c>
      <c r="D70" t="s">
        <v>96</v>
      </c>
      <c r="E70" t="s">
        <v>12</v>
      </c>
      <c r="F70">
        <v>0.126</v>
      </c>
      <c r="G70" t="s">
        <v>13</v>
      </c>
    </row>
    <row r="71" spans="1:7" x14ac:dyDescent="0.25">
      <c r="A71">
        <v>5</v>
      </c>
      <c r="B71" t="s">
        <v>136</v>
      </c>
      <c r="C71">
        <v>100</v>
      </c>
      <c r="D71" t="s">
        <v>122</v>
      </c>
      <c r="E71" t="s">
        <v>11</v>
      </c>
      <c r="F71">
        <v>4</v>
      </c>
      <c r="G71" t="s">
        <v>13</v>
      </c>
    </row>
    <row r="72" spans="1:7" x14ac:dyDescent="0.25">
      <c r="A72">
        <v>5</v>
      </c>
      <c r="B72" t="s">
        <v>136</v>
      </c>
      <c r="C72">
        <v>110</v>
      </c>
      <c r="D72" t="s">
        <v>100</v>
      </c>
      <c r="E72" t="s">
        <v>11</v>
      </c>
      <c r="F72">
        <v>1</v>
      </c>
      <c r="G72" t="s">
        <v>13</v>
      </c>
    </row>
    <row r="73" spans="1:7" x14ac:dyDescent="0.25">
      <c r="A73">
        <v>5</v>
      </c>
      <c r="B73" t="s">
        <v>136</v>
      </c>
      <c r="C73">
        <v>120</v>
      </c>
      <c r="D73" t="s">
        <v>20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136</v>
      </c>
      <c r="C74">
        <v>130</v>
      </c>
      <c r="D74" t="s">
        <v>21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136</v>
      </c>
      <c r="C75">
        <v>140</v>
      </c>
      <c r="D75" t="s">
        <v>115</v>
      </c>
      <c r="E75" t="s">
        <v>12</v>
      </c>
      <c r="F75">
        <v>0.90500000000000003</v>
      </c>
      <c r="G75" t="s">
        <v>13</v>
      </c>
    </row>
    <row r="76" spans="1:7" x14ac:dyDescent="0.25">
      <c r="A76">
        <v>5</v>
      </c>
      <c r="B76" t="s">
        <v>136</v>
      </c>
      <c r="C76">
        <v>150</v>
      </c>
      <c r="D76" t="s">
        <v>139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140</v>
      </c>
      <c r="C77">
        <v>10</v>
      </c>
      <c r="D77" t="s">
        <v>119</v>
      </c>
      <c r="E77" t="s">
        <v>14</v>
      </c>
      <c r="F77">
        <v>1.702</v>
      </c>
      <c r="G77" t="s">
        <v>15</v>
      </c>
    </row>
    <row r="78" spans="1:7" x14ac:dyDescent="0.25">
      <c r="A78">
        <v>6</v>
      </c>
      <c r="B78" t="s">
        <v>140</v>
      </c>
      <c r="C78">
        <v>20</v>
      </c>
      <c r="D78" t="s">
        <v>141</v>
      </c>
      <c r="E78" t="s">
        <v>11</v>
      </c>
      <c r="F78">
        <v>1</v>
      </c>
      <c r="G78" t="s">
        <v>15</v>
      </c>
    </row>
    <row r="79" spans="1:7" x14ac:dyDescent="0.25">
      <c r="A79">
        <v>6</v>
      </c>
      <c r="B79" t="s">
        <v>140</v>
      </c>
      <c r="C79">
        <v>30</v>
      </c>
      <c r="D79" t="s">
        <v>142</v>
      </c>
      <c r="E79" t="s">
        <v>11</v>
      </c>
      <c r="F79">
        <v>1</v>
      </c>
      <c r="G79" t="s">
        <v>15</v>
      </c>
    </row>
    <row r="80" spans="1:7" x14ac:dyDescent="0.25">
      <c r="A80">
        <v>6</v>
      </c>
      <c r="B80" t="s">
        <v>140</v>
      </c>
      <c r="C80">
        <v>40</v>
      </c>
      <c r="D80" t="s">
        <v>113</v>
      </c>
      <c r="E80" t="s">
        <v>14</v>
      </c>
      <c r="F80">
        <v>1.702</v>
      </c>
      <c r="G80" t="s">
        <v>15</v>
      </c>
    </row>
    <row r="81" spans="1:7" x14ac:dyDescent="0.25">
      <c r="A81">
        <v>6</v>
      </c>
      <c r="B81" t="s">
        <v>140</v>
      </c>
      <c r="C81">
        <v>50</v>
      </c>
      <c r="D81" t="s">
        <v>111</v>
      </c>
      <c r="E81" t="s">
        <v>112</v>
      </c>
      <c r="F81">
        <v>0.48799999999999999</v>
      </c>
      <c r="G81" t="s">
        <v>13</v>
      </c>
    </row>
    <row r="82" spans="1:7" x14ac:dyDescent="0.25">
      <c r="A82">
        <v>6</v>
      </c>
      <c r="B82" t="s">
        <v>140</v>
      </c>
      <c r="C82">
        <v>60</v>
      </c>
      <c r="D82" t="s">
        <v>95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140</v>
      </c>
      <c r="C83">
        <v>70</v>
      </c>
      <c r="D83" t="s">
        <v>114</v>
      </c>
      <c r="E83" t="s">
        <v>14</v>
      </c>
      <c r="F83">
        <v>21.184000000000001</v>
      </c>
      <c r="G83" t="s">
        <v>13</v>
      </c>
    </row>
    <row r="84" spans="1:7" x14ac:dyDescent="0.25">
      <c r="A84">
        <v>6</v>
      </c>
      <c r="B84" t="s">
        <v>140</v>
      </c>
      <c r="C84">
        <v>80</v>
      </c>
      <c r="D84" t="s">
        <v>16</v>
      </c>
      <c r="E84" t="s">
        <v>14</v>
      </c>
      <c r="F84">
        <v>131.21600000000001</v>
      </c>
      <c r="G84" t="s">
        <v>13</v>
      </c>
    </row>
    <row r="85" spans="1:7" x14ac:dyDescent="0.25">
      <c r="A85">
        <v>6</v>
      </c>
      <c r="B85" t="s">
        <v>140</v>
      </c>
      <c r="C85">
        <v>90</v>
      </c>
      <c r="D85" t="s">
        <v>96</v>
      </c>
      <c r="E85" t="s">
        <v>12</v>
      </c>
      <c r="F85">
        <v>0.13700000000000001</v>
      </c>
      <c r="G85" t="s">
        <v>13</v>
      </c>
    </row>
    <row r="86" spans="1:7" x14ac:dyDescent="0.25">
      <c r="A86">
        <v>6</v>
      </c>
      <c r="B86" t="s">
        <v>140</v>
      </c>
      <c r="C86">
        <v>100</v>
      </c>
      <c r="D86" t="s">
        <v>122</v>
      </c>
      <c r="E86" t="s">
        <v>11</v>
      </c>
      <c r="F86">
        <v>4</v>
      </c>
      <c r="G86" t="s">
        <v>13</v>
      </c>
    </row>
    <row r="87" spans="1:7" x14ac:dyDescent="0.25">
      <c r="A87">
        <v>6</v>
      </c>
      <c r="B87" t="s">
        <v>140</v>
      </c>
      <c r="C87">
        <v>110</v>
      </c>
      <c r="D87" t="s">
        <v>100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140</v>
      </c>
      <c r="C88">
        <v>120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140</v>
      </c>
      <c r="C89">
        <v>130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140</v>
      </c>
      <c r="C90">
        <v>140</v>
      </c>
      <c r="D90" t="s">
        <v>115</v>
      </c>
      <c r="E90" t="s">
        <v>12</v>
      </c>
      <c r="F90">
        <v>0.98599999999999999</v>
      </c>
      <c r="G90" t="s">
        <v>13</v>
      </c>
    </row>
    <row r="91" spans="1:7" x14ac:dyDescent="0.25">
      <c r="A91">
        <v>6</v>
      </c>
      <c r="B91" t="s">
        <v>140</v>
      </c>
      <c r="C91">
        <v>150</v>
      </c>
      <c r="D91" t="s">
        <v>143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144</v>
      </c>
      <c r="C92">
        <v>10</v>
      </c>
      <c r="D92" t="s">
        <v>119</v>
      </c>
      <c r="E92" t="s">
        <v>14</v>
      </c>
      <c r="F92">
        <v>1.8540000000000001</v>
      </c>
      <c r="G92" t="s">
        <v>15</v>
      </c>
    </row>
    <row r="93" spans="1:7" x14ac:dyDescent="0.25">
      <c r="A93">
        <v>7</v>
      </c>
      <c r="B93" t="s">
        <v>144</v>
      </c>
      <c r="C93">
        <v>20</v>
      </c>
      <c r="D93" t="s">
        <v>145</v>
      </c>
      <c r="E93" t="s">
        <v>11</v>
      </c>
      <c r="F93">
        <v>1</v>
      </c>
      <c r="G93" t="s">
        <v>15</v>
      </c>
    </row>
    <row r="94" spans="1:7" x14ac:dyDescent="0.25">
      <c r="A94">
        <v>7</v>
      </c>
      <c r="B94" t="s">
        <v>144</v>
      </c>
      <c r="C94">
        <v>30</v>
      </c>
      <c r="D94" t="s">
        <v>146</v>
      </c>
      <c r="E94" t="s">
        <v>11</v>
      </c>
      <c r="F94">
        <v>1</v>
      </c>
      <c r="G94" t="s">
        <v>15</v>
      </c>
    </row>
    <row r="95" spans="1:7" x14ac:dyDescent="0.25">
      <c r="A95">
        <v>7</v>
      </c>
      <c r="B95" t="s">
        <v>144</v>
      </c>
      <c r="C95">
        <v>40</v>
      </c>
      <c r="D95" t="s">
        <v>113</v>
      </c>
      <c r="E95" t="s">
        <v>14</v>
      </c>
      <c r="F95">
        <v>1.8540000000000001</v>
      </c>
      <c r="G95" t="s">
        <v>15</v>
      </c>
    </row>
    <row r="96" spans="1:7" x14ac:dyDescent="0.25">
      <c r="A96">
        <v>7</v>
      </c>
      <c r="B96" t="s">
        <v>144</v>
      </c>
      <c r="C96">
        <v>50</v>
      </c>
      <c r="D96" t="s">
        <v>111</v>
      </c>
      <c r="E96" t="s">
        <v>112</v>
      </c>
      <c r="F96">
        <v>0.53200000000000003</v>
      </c>
      <c r="G96" t="s">
        <v>13</v>
      </c>
    </row>
    <row r="97" spans="1:7" x14ac:dyDescent="0.25">
      <c r="A97">
        <v>7</v>
      </c>
      <c r="B97" t="s">
        <v>144</v>
      </c>
      <c r="C97">
        <v>60</v>
      </c>
      <c r="D97" t="s">
        <v>95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144</v>
      </c>
      <c r="C98">
        <v>70</v>
      </c>
      <c r="D98" t="s">
        <v>114</v>
      </c>
      <c r="E98" t="s">
        <v>14</v>
      </c>
      <c r="F98">
        <v>22.097999999999999</v>
      </c>
      <c r="G98" t="s">
        <v>13</v>
      </c>
    </row>
    <row r="99" spans="1:7" x14ac:dyDescent="0.25">
      <c r="A99">
        <v>7</v>
      </c>
      <c r="B99" t="s">
        <v>144</v>
      </c>
      <c r="C99">
        <v>80</v>
      </c>
      <c r="D99" t="s">
        <v>16</v>
      </c>
      <c r="E99" t="s">
        <v>14</v>
      </c>
      <c r="F99">
        <v>136.84</v>
      </c>
      <c r="G99" t="s">
        <v>13</v>
      </c>
    </row>
    <row r="100" spans="1:7" x14ac:dyDescent="0.25">
      <c r="A100">
        <v>7</v>
      </c>
      <c r="B100" t="s">
        <v>144</v>
      </c>
      <c r="C100">
        <v>90</v>
      </c>
      <c r="D100" t="s">
        <v>96</v>
      </c>
      <c r="E100" t="s">
        <v>12</v>
      </c>
      <c r="F100">
        <v>0.14799999999999999</v>
      </c>
      <c r="G100" t="s">
        <v>13</v>
      </c>
    </row>
    <row r="101" spans="1:7" x14ac:dyDescent="0.25">
      <c r="A101">
        <v>7</v>
      </c>
      <c r="B101" t="s">
        <v>144</v>
      </c>
      <c r="C101">
        <v>100</v>
      </c>
      <c r="D101" t="s">
        <v>122</v>
      </c>
      <c r="E101" t="s">
        <v>11</v>
      </c>
      <c r="F101">
        <v>4</v>
      </c>
      <c r="G101" t="s">
        <v>13</v>
      </c>
    </row>
    <row r="102" spans="1:7" x14ac:dyDescent="0.25">
      <c r="A102">
        <v>7</v>
      </c>
      <c r="B102" t="s">
        <v>144</v>
      </c>
      <c r="C102">
        <v>110</v>
      </c>
      <c r="D102" t="s">
        <v>100</v>
      </c>
      <c r="E102" t="s">
        <v>11</v>
      </c>
      <c r="F102">
        <v>1</v>
      </c>
      <c r="G102" t="s">
        <v>13</v>
      </c>
    </row>
    <row r="103" spans="1:7" x14ac:dyDescent="0.25">
      <c r="A103">
        <v>7</v>
      </c>
      <c r="B103" t="s">
        <v>144</v>
      </c>
      <c r="C103">
        <v>120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144</v>
      </c>
      <c r="C104">
        <v>130</v>
      </c>
      <c r="D104" t="s">
        <v>21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144</v>
      </c>
      <c r="C105">
        <v>140</v>
      </c>
      <c r="D105" t="s">
        <v>115</v>
      </c>
      <c r="E105" t="s">
        <v>12</v>
      </c>
      <c r="F105">
        <v>1.0669999999999999</v>
      </c>
      <c r="G105" t="s">
        <v>13</v>
      </c>
    </row>
    <row r="106" spans="1:7" x14ac:dyDescent="0.25">
      <c r="A106">
        <v>7</v>
      </c>
      <c r="B106" t="s">
        <v>144</v>
      </c>
      <c r="C106">
        <v>150</v>
      </c>
      <c r="D106" t="s">
        <v>147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148</v>
      </c>
      <c r="C107">
        <v>10</v>
      </c>
      <c r="D107" t="s">
        <v>119</v>
      </c>
      <c r="E107" t="s">
        <v>14</v>
      </c>
      <c r="F107">
        <v>0.78700000000000003</v>
      </c>
      <c r="G107" t="s">
        <v>15</v>
      </c>
    </row>
    <row r="108" spans="1:7" x14ac:dyDescent="0.25">
      <c r="A108">
        <v>8</v>
      </c>
      <c r="B108" t="s">
        <v>148</v>
      </c>
      <c r="C108">
        <v>20</v>
      </c>
      <c r="D108" t="s">
        <v>149</v>
      </c>
      <c r="E108" t="s">
        <v>11</v>
      </c>
      <c r="F108">
        <v>1</v>
      </c>
      <c r="G108" t="s">
        <v>15</v>
      </c>
    </row>
    <row r="109" spans="1:7" x14ac:dyDescent="0.25">
      <c r="A109">
        <v>8</v>
      </c>
      <c r="B109" t="s">
        <v>148</v>
      </c>
      <c r="C109">
        <v>30</v>
      </c>
      <c r="D109" t="s">
        <v>150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148</v>
      </c>
      <c r="C110">
        <v>40</v>
      </c>
      <c r="D110" t="s">
        <v>113</v>
      </c>
      <c r="E110" t="s">
        <v>14</v>
      </c>
      <c r="F110">
        <v>0.78700000000000003</v>
      </c>
      <c r="G110" t="s">
        <v>15</v>
      </c>
    </row>
    <row r="111" spans="1:7" x14ac:dyDescent="0.25">
      <c r="A111">
        <v>8</v>
      </c>
      <c r="B111" t="s">
        <v>148</v>
      </c>
      <c r="C111">
        <v>50</v>
      </c>
      <c r="D111" t="s">
        <v>111</v>
      </c>
      <c r="E111" t="s">
        <v>112</v>
      </c>
      <c r="F111">
        <v>0.23499999999999999</v>
      </c>
      <c r="G111" t="s">
        <v>13</v>
      </c>
    </row>
    <row r="112" spans="1:7" x14ac:dyDescent="0.25">
      <c r="A112">
        <v>8</v>
      </c>
      <c r="B112" t="s">
        <v>148</v>
      </c>
      <c r="C112">
        <v>60</v>
      </c>
      <c r="D112" t="s">
        <v>95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148</v>
      </c>
      <c r="C113">
        <v>70</v>
      </c>
      <c r="D113" t="s">
        <v>114</v>
      </c>
      <c r="E113" t="s">
        <v>14</v>
      </c>
      <c r="F113">
        <v>16.154</v>
      </c>
      <c r="G113" t="s">
        <v>13</v>
      </c>
    </row>
    <row r="114" spans="1:7" x14ac:dyDescent="0.25">
      <c r="A114">
        <v>8</v>
      </c>
      <c r="B114" t="s">
        <v>148</v>
      </c>
      <c r="C114">
        <v>80</v>
      </c>
      <c r="D114" t="s">
        <v>16</v>
      </c>
      <c r="E114" t="s">
        <v>14</v>
      </c>
      <c r="F114">
        <v>100.28700000000001</v>
      </c>
      <c r="G114" t="s">
        <v>13</v>
      </c>
    </row>
    <row r="115" spans="1:7" x14ac:dyDescent="0.25">
      <c r="A115">
        <v>8</v>
      </c>
      <c r="B115" t="s">
        <v>148</v>
      </c>
      <c r="C115">
        <v>90</v>
      </c>
      <c r="D115" t="s">
        <v>96</v>
      </c>
      <c r="E115" t="s">
        <v>12</v>
      </c>
      <c r="F115">
        <v>7.2999999999999995E-2</v>
      </c>
      <c r="G115" t="s">
        <v>13</v>
      </c>
    </row>
    <row r="116" spans="1:7" x14ac:dyDescent="0.25">
      <c r="A116">
        <v>8</v>
      </c>
      <c r="B116" t="s">
        <v>148</v>
      </c>
      <c r="C116">
        <v>100</v>
      </c>
      <c r="D116" t="s">
        <v>122</v>
      </c>
      <c r="E116" t="s">
        <v>11</v>
      </c>
      <c r="F116">
        <v>4</v>
      </c>
      <c r="G116" t="s">
        <v>13</v>
      </c>
    </row>
    <row r="117" spans="1:7" x14ac:dyDescent="0.25">
      <c r="A117">
        <v>8</v>
      </c>
      <c r="B117" t="s">
        <v>148</v>
      </c>
      <c r="C117">
        <v>110</v>
      </c>
      <c r="D117" t="s">
        <v>100</v>
      </c>
      <c r="E117" t="s">
        <v>11</v>
      </c>
      <c r="F117">
        <v>1</v>
      </c>
      <c r="G117" t="s">
        <v>13</v>
      </c>
    </row>
    <row r="118" spans="1:7" x14ac:dyDescent="0.25">
      <c r="A118">
        <v>8</v>
      </c>
      <c r="B118" t="s">
        <v>148</v>
      </c>
      <c r="C118">
        <v>120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148</v>
      </c>
      <c r="C119">
        <v>130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148</v>
      </c>
      <c r="C120">
        <v>140</v>
      </c>
      <c r="D120" t="s">
        <v>115</v>
      </c>
      <c r="E120" t="s">
        <v>12</v>
      </c>
      <c r="F120">
        <v>0.5</v>
      </c>
      <c r="G120" t="s">
        <v>13</v>
      </c>
    </row>
    <row r="121" spans="1:7" x14ac:dyDescent="0.25">
      <c r="A121">
        <v>8</v>
      </c>
      <c r="B121" t="s">
        <v>148</v>
      </c>
      <c r="C121">
        <v>150</v>
      </c>
      <c r="D121" t="s">
        <v>151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152</v>
      </c>
      <c r="C122">
        <v>10</v>
      </c>
      <c r="D122" t="s">
        <v>119</v>
      </c>
      <c r="E122" t="s">
        <v>14</v>
      </c>
      <c r="F122">
        <v>0.94</v>
      </c>
      <c r="G122" t="s">
        <v>15</v>
      </c>
    </row>
    <row r="123" spans="1:7" x14ac:dyDescent="0.25">
      <c r="A123">
        <v>9</v>
      </c>
      <c r="B123" t="s">
        <v>152</v>
      </c>
      <c r="C123">
        <v>20</v>
      </c>
      <c r="D123" t="s">
        <v>153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152</v>
      </c>
      <c r="C124">
        <v>30</v>
      </c>
      <c r="D124" t="s">
        <v>154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152</v>
      </c>
      <c r="C125">
        <v>40</v>
      </c>
      <c r="D125" t="s">
        <v>113</v>
      </c>
      <c r="E125" t="s">
        <v>14</v>
      </c>
      <c r="F125">
        <v>0.94</v>
      </c>
      <c r="G125" t="s">
        <v>15</v>
      </c>
    </row>
    <row r="126" spans="1:7" x14ac:dyDescent="0.25">
      <c r="A126">
        <v>9</v>
      </c>
      <c r="B126" t="s">
        <v>152</v>
      </c>
      <c r="C126">
        <v>50</v>
      </c>
      <c r="D126" t="s">
        <v>111</v>
      </c>
      <c r="E126" t="s">
        <v>112</v>
      </c>
      <c r="F126">
        <v>0.28100000000000003</v>
      </c>
      <c r="G126" t="s">
        <v>13</v>
      </c>
    </row>
    <row r="127" spans="1:7" x14ac:dyDescent="0.25">
      <c r="A127">
        <v>9</v>
      </c>
      <c r="B127" t="s">
        <v>152</v>
      </c>
      <c r="C127">
        <v>60</v>
      </c>
      <c r="D127" t="s">
        <v>95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152</v>
      </c>
      <c r="C128">
        <v>70</v>
      </c>
      <c r="D128" t="s">
        <v>114</v>
      </c>
      <c r="E128" t="s">
        <v>14</v>
      </c>
      <c r="F128">
        <v>17.068999999999999</v>
      </c>
      <c r="G128" t="s">
        <v>13</v>
      </c>
    </row>
    <row r="129" spans="1:7" x14ac:dyDescent="0.25">
      <c r="A129">
        <v>9</v>
      </c>
      <c r="B129" t="s">
        <v>152</v>
      </c>
      <c r="C129">
        <v>80</v>
      </c>
      <c r="D129" t="s">
        <v>16</v>
      </c>
      <c r="E129" t="s">
        <v>14</v>
      </c>
      <c r="F129">
        <v>105.91</v>
      </c>
      <c r="G129" t="s">
        <v>13</v>
      </c>
    </row>
    <row r="130" spans="1:7" x14ac:dyDescent="0.25">
      <c r="A130">
        <v>9</v>
      </c>
      <c r="B130" t="s">
        <v>152</v>
      </c>
      <c r="C130">
        <v>90</v>
      </c>
      <c r="D130" t="s">
        <v>96</v>
      </c>
      <c r="E130" t="s">
        <v>12</v>
      </c>
      <c r="F130">
        <v>8.4000000000000005E-2</v>
      </c>
      <c r="G130" t="s">
        <v>13</v>
      </c>
    </row>
    <row r="131" spans="1:7" x14ac:dyDescent="0.25">
      <c r="A131">
        <v>9</v>
      </c>
      <c r="B131" t="s">
        <v>152</v>
      </c>
      <c r="C131">
        <v>100</v>
      </c>
      <c r="D131" t="s">
        <v>122</v>
      </c>
      <c r="E131" t="s">
        <v>11</v>
      </c>
      <c r="F131">
        <v>4</v>
      </c>
      <c r="G131" t="s">
        <v>13</v>
      </c>
    </row>
    <row r="132" spans="1:7" x14ac:dyDescent="0.25">
      <c r="A132">
        <v>9</v>
      </c>
      <c r="B132" t="s">
        <v>152</v>
      </c>
      <c r="C132">
        <v>110</v>
      </c>
      <c r="D132" t="s">
        <v>100</v>
      </c>
      <c r="E132" t="s">
        <v>11</v>
      </c>
      <c r="F132">
        <v>1</v>
      </c>
      <c r="G132" t="s">
        <v>13</v>
      </c>
    </row>
    <row r="133" spans="1:7" x14ac:dyDescent="0.25">
      <c r="A133">
        <v>9</v>
      </c>
      <c r="B133" t="s">
        <v>152</v>
      </c>
      <c r="C133">
        <v>120</v>
      </c>
      <c r="D133" t="s">
        <v>20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152</v>
      </c>
      <c r="C134">
        <v>130</v>
      </c>
      <c r="D134" t="s">
        <v>21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152</v>
      </c>
      <c r="C135">
        <v>140</v>
      </c>
      <c r="D135" t="s">
        <v>115</v>
      </c>
      <c r="E135" t="s">
        <v>12</v>
      </c>
      <c r="F135">
        <v>0.58099999999999996</v>
      </c>
      <c r="G135" t="s">
        <v>13</v>
      </c>
    </row>
    <row r="136" spans="1:7" x14ac:dyDescent="0.25">
      <c r="A136">
        <v>9</v>
      </c>
      <c r="B136" t="s">
        <v>152</v>
      </c>
      <c r="C136">
        <v>150</v>
      </c>
      <c r="D136" t="s">
        <v>155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156</v>
      </c>
      <c r="C137">
        <v>10</v>
      </c>
      <c r="D137" t="s">
        <v>119</v>
      </c>
      <c r="E137" t="s">
        <v>14</v>
      </c>
      <c r="F137">
        <v>1.0920000000000001</v>
      </c>
      <c r="G137" t="s">
        <v>15</v>
      </c>
    </row>
    <row r="138" spans="1:7" x14ac:dyDescent="0.25">
      <c r="A138">
        <v>10</v>
      </c>
      <c r="B138" t="s">
        <v>156</v>
      </c>
      <c r="C138">
        <v>20</v>
      </c>
      <c r="D138" t="s">
        <v>157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156</v>
      </c>
      <c r="C139">
        <v>30</v>
      </c>
      <c r="D139" t="s">
        <v>158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156</v>
      </c>
      <c r="C140">
        <v>40</v>
      </c>
      <c r="D140" t="s">
        <v>113</v>
      </c>
      <c r="E140" t="s">
        <v>14</v>
      </c>
      <c r="F140">
        <v>1.0920000000000001</v>
      </c>
      <c r="G140" t="s">
        <v>15</v>
      </c>
    </row>
    <row r="141" spans="1:7" x14ac:dyDescent="0.25">
      <c r="A141">
        <v>10</v>
      </c>
      <c r="B141" t="s">
        <v>156</v>
      </c>
      <c r="C141">
        <v>50</v>
      </c>
      <c r="D141" t="s">
        <v>111</v>
      </c>
      <c r="E141" t="s">
        <v>112</v>
      </c>
      <c r="F141">
        <v>0.32600000000000001</v>
      </c>
      <c r="G141" t="s">
        <v>13</v>
      </c>
    </row>
    <row r="142" spans="1:7" x14ac:dyDescent="0.25">
      <c r="A142">
        <v>10</v>
      </c>
      <c r="B142" t="s">
        <v>156</v>
      </c>
      <c r="C142">
        <v>60</v>
      </c>
      <c r="D142" t="s">
        <v>95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156</v>
      </c>
      <c r="C143">
        <v>70</v>
      </c>
      <c r="D143" t="s">
        <v>114</v>
      </c>
      <c r="E143" t="s">
        <v>14</v>
      </c>
      <c r="F143">
        <v>17.983000000000001</v>
      </c>
      <c r="G143" t="s">
        <v>13</v>
      </c>
    </row>
    <row r="144" spans="1:7" x14ac:dyDescent="0.25">
      <c r="A144">
        <v>10</v>
      </c>
      <c r="B144" t="s">
        <v>156</v>
      </c>
      <c r="C144">
        <v>80</v>
      </c>
      <c r="D144" t="s">
        <v>16</v>
      </c>
      <c r="E144" t="s">
        <v>14</v>
      </c>
      <c r="F144">
        <v>111.53400000000001</v>
      </c>
      <c r="G144" t="s">
        <v>13</v>
      </c>
    </row>
    <row r="145" spans="1:7" x14ac:dyDescent="0.25">
      <c r="A145">
        <v>10</v>
      </c>
      <c r="B145" t="s">
        <v>156</v>
      </c>
      <c r="C145">
        <v>90</v>
      </c>
      <c r="D145" t="s">
        <v>96</v>
      </c>
      <c r="E145" t="s">
        <v>12</v>
      </c>
      <c r="F145">
        <v>9.4E-2</v>
      </c>
      <c r="G145" t="s">
        <v>13</v>
      </c>
    </row>
    <row r="146" spans="1:7" x14ac:dyDescent="0.25">
      <c r="A146">
        <v>10</v>
      </c>
      <c r="B146" t="s">
        <v>156</v>
      </c>
      <c r="C146">
        <v>100</v>
      </c>
      <c r="D146" t="s">
        <v>122</v>
      </c>
      <c r="E146" t="s">
        <v>11</v>
      </c>
      <c r="F146">
        <v>4</v>
      </c>
      <c r="G146" t="s">
        <v>13</v>
      </c>
    </row>
    <row r="147" spans="1:7" x14ac:dyDescent="0.25">
      <c r="A147">
        <v>10</v>
      </c>
      <c r="B147" t="s">
        <v>156</v>
      </c>
      <c r="C147">
        <v>110</v>
      </c>
      <c r="D147" t="s">
        <v>100</v>
      </c>
      <c r="E147" t="s">
        <v>11</v>
      </c>
      <c r="F147">
        <v>1</v>
      </c>
      <c r="G147" t="s">
        <v>13</v>
      </c>
    </row>
    <row r="148" spans="1:7" x14ac:dyDescent="0.25">
      <c r="A148">
        <v>10</v>
      </c>
      <c r="B148" t="s">
        <v>156</v>
      </c>
      <c r="C148">
        <v>120</v>
      </c>
      <c r="D148" t="s">
        <v>20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156</v>
      </c>
      <c r="C149">
        <v>130</v>
      </c>
      <c r="D149" t="s">
        <v>21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156</v>
      </c>
      <c r="C150">
        <v>140</v>
      </c>
      <c r="D150" t="s">
        <v>115</v>
      </c>
      <c r="E150" t="s">
        <v>12</v>
      </c>
      <c r="F150">
        <v>0.66200000000000003</v>
      </c>
      <c r="G150" t="s">
        <v>13</v>
      </c>
    </row>
    <row r="151" spans="1:7" x14ac:dyDescent="0.25">
      <c r="A151">
        <v>10</v>
      </c>
      <c r="B151" t="s">
        <v>156</v>
      </c>
      <c r="C151">
        <v>150</v>
      </c>
      <c r="D151" t="s">
        <v>159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160</v>
      </c>
      <c r="C152">
        <v>10</v>
      </c>
      <c r="D152" t="s">
        <v>119</v>
      </c>
      <c r="E152" t="s">
        <v>14</v>
      </c>
      <c r="F152">
        <v>1.2450000000000001</v>
      </c>
      <c r="G152" t="s">
        <v>15</v>
      </c>
    </row>
    <row r="153" spans="1:7" x14ac:dyDescent="0.25">
      <c r="A153">
        <v>11</v>
      </c>
      <c r="B153" t="s">
        <v>160</v>
      </c>
      <c r="C153">
        <v>20</v>
      </c>
      <c r="D153" t="s">
        <v>161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160</v>
      </c>
      <c r="C154">
        <v>30</v>
      </c>
      <c r="D154" t="s">
        <v>162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160</v>
      </c>
      <c r="C155">
        <v>40</v>
      </c>
      <c r="D155" t="s">
        <v>113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11</v>
      </c>
      <c r="B156" t="s">
        <v>160</v>
      </c>
      <c r="C156">
        <v>50</v>
      </c>
      <c r="D156" t="s">
        <v>111</v>
      </c>
      <c r="E156" t="s">
        <v>112</v>
      </c>
      <c r="F156">
        <v>0.372</v>
      </c>
      <c r="G156" t="s">
        <v>13</v>
      </c>
    </row>
    <row r="157" spans="1:7" x14ac:dyDescent="0.25">
      <c r="A157">
        <v>11</v>
      </c>
      <c r="B157" t="s">
        <v>160</v>
      </c>
      <c r="C157">
        <v>60</v>
      </c>
      <c r="D157" t="s">
        <v>95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160</v>
      </c>
      <c r="C158">
        <v>70</v>
      </c>
      <c r="D158" t="s">
        <v>114</v>
      </c>
      <c r="E158" t="s">
        <v>14</v>
      </c>
      <c r="F158">
        <v>18.898</v>
      </c>
      <c r="G158" t="s">
        <v>13</v>
      </c>
    </row>
    <row r="159" spans="1:7" x14ac:dyDescent="0.25">
      <c r="A159">
        <v>11</v>
      </c>
      <c r="B159" t="s">
        <v>160</v>
      </c>
      <c r="C159">
        <v>80</v>
      </c>
      <c r="D159" t="s">
        <v>16</v>
      </c>
      <c r="E159" t="s">
        <v>14</v>
      </c>
      <c r="F159">
        <v>117.158</v>
      </c>
      <c r="G159" t="s">
        <v>13</v>
      </c>
    </row>
    <row r="160" spans="1:7" x14ac:dyDescent="0.25">
      <c r="A160">
        <v>11</v>
      </c>
      <c r="B160" t="s">
        <v>160</v>
      </c>
      <c r="C160">
        <v>90</v>
      </c>
      <c r="D160" t="s">
        <v>96</v>
      </c>
      <c r="E160" t="s">
        <v>12</v>
      </c>
      <c r="F160">
        <v>0.105</v>
      </c>
      <c r="G160" t="s">
        <v>13</v>
      </c>
    </row>
    <row r="161" spans="1:7" x14ac:dyDescent="0.25">
      <c r="A161">
        <v>11</v>
      </c>
      <c r="B161" t="s">
        <v>160</v>
      </c>
      <c r="C161">
        <v>100</v>
      </c>
      <c r="D161" t="s">
        <v>122</v>
      </c>
      <c r="E161" t="s">
        <v>11</v>
      </c>
      <c r="F161">
        <v>4</v>
      </c>
      <c r="G161" t="s">
        <v>13</v>
      </c>
    </row>
    <row r="162" spans="1:7" x14ac:dyDescent="0.25">
      <c r="A162">
        <v>11</v>
      </c>
      <c r="B162" t="s">
        <v>160</v>
      </c>
      <c r="C162">
        <v>110</v>
      </c>
      <c r="D162" t="s">
        <v>100</v>
      </c>
      <c r="E162" t="s">
        <v>11</v>
      </c>
      <c r="F162">
        <v>1</v>
      </c>
      <c r="G162" t="s">
        <v>13</v>
      </c>
    </row>
    <row r="163" spans="1:7" x14ac:dyDescent="0.25">
      <c r="A163">
        <v>11</v>
      </c>
      <c r="B163" t="s">
        <v>160</v>
      </c>
      <c r="C163">
        <v>120</v>
      </c>
      <c r="D163" t="s">
        <v>20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160</v>
      </c>
      <c r="C164">
        <v>130</v>
      </c>
      <c r="D164" t="s">
        <v>21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160</v>
      </c>
      <c r="C165">
        <v>140</v>
      </c>
      <c r="D165" t="s">
        <v>115</v>
      </c>
      <c r="E165" t="s">
        <v>12</v>
      </c>
      <c r="F165">
        <v>0.74299999999999999</v>
      </c>
      <c r="G165" t="s">
        <v>13</v>
      </c>
    </row>
    <row r="166" spans="1:7" x14ac:dyDescent="0.25">
      <c r="A166">
        <v>11</v>
      </c>
      <c r="B166" t="s">
        <v>160</v>
      </c>
      <c r="C166">
        <v>150</v>
      </c>
      <c r="D166" t="s">
        <v>163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164</v>
      </c>
      <c r="C167">
        <v>10</v>
      </c>
      <c r="D167" t="s">
        <v>119</v>
      </c>
      <c r="E167" t="s">
        <v>14</v>
      </c>
      <c r="F167">
        <v>1.5489999999999999</v>
      </c>
      <c r="G167" t="s">
        <v>15</v>
      </c>
    </row>
    <row r="168" spans="1:7" x14ac:dyDescent="0.25">
      <c r="A168">
        <v>12</v>
      </c>
      <c r="B168" t="s">
        <v>164</v>
      </c>
      <c r="C168">
        <v>20</v>
      </c>
      <c r="D168" t="s">
        <v>165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164</v>
      </c>
      <c r="C169">
        <v>30</v>
      </c>
      <c r="D169" t="s">
        <v>166</v>
      </c>
      <c r="E169" t="s">
        <v>11</v>
      </c>
      <c r="F169">
        <v>1</v>
      </c>
      <c r="G169" t="s">
        <v>15</v>
      </c>
    </row>
    <row r="170" spans="1:7" x14ac:dyDescent="0.25">
      <c r="A170">
        <v>12</v>
      </c>
      <c r="B170" t="s">
        <v>164</v>
      </c>
      <c r="C170">
        <v>40</v>
      </c>
      <c r="D170" t="s">
        <v>113</v>
      </c>
      <c r="E170" t="s">
        <v>14</v>
      </c>
      <c r="F170">
        <v>1.5489999999999999</v>
      </c>
      <c r="G170" t="s">
        <v>15</v>
      </c>
    </row>
    <row r="171" spans="1:7" x14ac:dyDescent="0.25">
      <c r="A171">
        <v>12</v>
      </c>
      <c r="B171" t="s">
        <v>164</v>
      </c>
      <c r="C171">
        <v>50</v>
      </c>
      <c r="D171" t="s">
        <v>111</v>
      </c>
      <c r="E171" t="s">
        <v>112</v>
      </c>
      <c r="F171">
        <v>0.46300000000000002</v>
      </c>
      <c r="G171" t="s">
        <v>13</v>
      </c>
    </row>
    <row r="172" spans="1:7" x14ac:dyDescent="0.25">
      <c r="A172">
        <v>12</v>
      </c>
      <c r="B172" t="s">
        <v>164</v>
      </c>
      <c r="C172">
        <v>60</v>
      </c>
      <c r="D172" t="s">
        <v>95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164</v>
      </c>
      <c r="C173">
        <v>70</v>
      </c>
      <c r="D173" t="s">
        <v>114</v>
      </c>
      <c r="E173" t="s">
        <v>14</v>
      </c>
      <c r="F173">
        <v>20.725999999999999</v>
      </c>
      <c r="G173" t="s">
        <v>13</v>
      </c>
    </row>
    <row r="174" spans="1:7" x14ac:dyDescent="0.25">
      <c r="A174">
        <v>12</v>
      </c>
      <c r="B174" t="s">
        <v>164</v>
      </c>
      <c r="C174">
        <v>80</v>
      </c>
      <c r="D174" t="s">
        <v>16</v>
      </c>
      <c r="E174" t="s">
        <v>14</v>
      </c>
      <c r="F174">
        <v>128.405</v>
      </c>
      <c r="G174" t="s">
        <v>13</v>
      </c>
    </row>
    <row r="175" spans="1:7" x14ac:dyDescent="0.25">
      <c r="A175">
        <v>12</v>
      </c>
      <c r="B175" t="s">
        <v>164</v>
      </c>
      <c r="C175">
        <v>90</v>
      </c>
      <c r="D175" t="s">
        <v>96</v>
      </c>
      <c r="E175" t="s">
        <v>12</v>
      </c>
      <c r="F175">
        <v>0.126</v>
      </c>
      <c r="G175" t="s">
        <v>13</v>
      </c>
    </row>
    <row r="176" spans="1:7" x14ac:dyDescent="0.25">
      <c r="A176">
        <v>12</v>
      </c>
      <c r="B176" t="s">
        <v>164</v>
      </c>
      <c r="C176">
        <v>100</v>
      </c>
      <c r="D176" t="s">
        <v>122</v>
      </c>
      <c r="E176" t="s">
        <v>11</v>
      </c>
      <c r="F176">
        <v>4</v>
      </c>
      <c r="G176" t="s">
        <v>13</v>
      </c>
    </row>
    <row r="177" spans="1:7" x14ac:dyDescent="0.25">
      <c r="A177">
        <v>12</v>
      </c>
      <c r="B177" t="s">
        <v>164</v>
      </c>
      <c r="C177">
        <v>110</v>
      </c>
      <c r="D177" t="s">
        <v>100</v>
      </c>
      <c r="E177" t="s">
        <v>11</v>
      </c>
      <c r="F177">
        <v>1</v>
      </c>
      <c r="G177" t="s">
        <v>13</v>
      </c>
    </row>
    <row r="178" spans="1:7" x14ac:dyDescent="0.25">
      <c r="A178">
        <v>12</v>
      </c>
      <c r="B178" t="s">
        <v>164</v>
      </c>
      <c r="C178">
        <v>120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164</v>
      </c>
      <c r="C179">
        <v>130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164</v>
      </c>
      <c r="C180">
        <v>140</v>
      </c>
      <c r="D180" t="s">
        <v>115</v>
      </c>
      <c r="E180" t="s">
        <v>12</v>
      </c>
      <c r="F180">
        <v>0.90500000000000003</v>
      </c>
      <c r="G180" t="s">
        <v>13</v>
      </c>
    </row>
    <row r="181" spans="1:7" x14ac:dyDescent="0.25">
      <c r="A181">
        <v>12</v>
      </c>
      <c r="B181" t="s">
        <v>164</v>
      </c>
      <c r="C181">
        <v>150</v>
      </c>
      <c r="D181" t="s">
        <v>167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168</v>
      </c>
      <c r="C182">
        <v>10</v>
      </c>
      <c r="D182" t="s">
        <v>119</v>
      </c>
      <c r="E182" t="s">
        <v>14</v>
      </c>
      <c r="F182">
        <v>1.702</v>
      </c>
      <c r="G182" t="s">
        <v>15</v>
      </c>
    </row>
    <row r="183" spans="1:7" x14ac:dyDescent="0.25">
      <c r="A183">
        <v>13</v>
      </c>
      <c r="B183" t="s">
        <v>168</v>
      </c>
      <c r="C183">
        <v>20</v>
      </c>
      <c r="D183" t="s">
        <v>169</v>
      </c>
      <c r="E183" t="s">
        <v>11</v>
      </c>
      <c r="F183">
        <v>1</v>
      </c>
      <c r="G183" t="s">
        <v>15</v>
      </c>
    </row>
    <row r="184" spans="1:7" x14ac:dyDescent="0.25">
      <c r="A184">
        <v>13</v>
      </c>
      <c r="B184" t="s">
        <v>168</v>
      </c>
      <c r="C184">
        <v>30</v>
      </c>
      <c r="D184" t="s">
        <v>170</v>
      </c>
      <c r="E184" t="s">
        <v>11</v>
      </c>
      <c r="F184">
        <v>1</v>
      </c>
      <c r="G184" t="s">
        <v>15</v>
      </c>
    </row>
    <row r="185" spans="1:7" x14ac:dyDescent="0.25">
      <c r="A185">
        <v>13</v>
      </c>
      <c r="B185" t="s">
        <v>168</v>
      </c>
      <c r="C185">
        <v>40</v>
      </c>
      <c r="D185" t="s">
        <v>113</v>
      </c>
      <c r="E185" t="s">
        <v>14</v>
      </c>
      <c r="F185">
        <v>1.702</v>
      </c>
      <c r="G185" t="s">
        <v>15</v>
      </c>
    </row>
    <row r="186" spans="1:7" x14ac:dyDescent="0.25">
      <c r="A186">
        <v>13</v>
      </c>
      <c r="B186" t="s">
        <v>168</v>
      </c>
      <c r="C186">
        <v>50</v>
      </c>
      <c r="D186" t="s">
        <v>111</v>
      </c>
      <c r="E186" t="s">
        <v>112</v>
      </c>
      <c r="F186">
        <v>0.50800000000000001</v>
      </c>
      <c r="G186" t="s">
        <v>13</v>
      </c>
    </row>
    <row r="187" spans="1:7" x14ac:dyDescent="0.25">
      <c r="A187">
        <v>13</v>
      </c>
      <c r="B187" t="s">
        <v>168</v>
      </c>
      <c r="C187">
        <v>60</v>
      </c>
      <c r="D187" t="s">
        <v>95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168</v>
      </c>
      <c r="C188">
        <v>70</v>
      </c>
      <c r="D188" t="s">
        <v>114</v>
      </c>
      <c r="E188" t="s">
        <v>14</v>
      </c>
      <c r="F188">
        <v>21.640999999999998</v>
      </c>
      <c r="G188" t="s">
        <v>13</v>
      </c>
    </row>
    <row r="189" spans="1:7" x14ac:dyDescent="0.25">
      <c r="A189">
        <v>13</v>
      </c>
      <c r="B189" t="s">
        <v>168</v>
      </c>
      <c r="C189">
        <v>80</v>
      </c>
      <c r="D189" t="s">
        <v>16</v>
      </c>
      <c r="E189" t="s">
        <v>14</v>
      </c>
      <c r="F189">
        <v>134.02799999999999</v>
      </c>
      <c r="G189" t="s">
        <v>13</v>
      </c>
    </row>
    <row r="190" spans="1:7" x14ac:dyDescent="0.25">
      <c r="A190">
        <v>13</v>
      </c>
      <c r="B190" t="s">
        <v>168</v>
      </c>
      <c r="C190">
        <v>90</v>
      </c>
      <c r="D190" t="s">
        <v>96</v>
      </c>
      <c r="E190" t="s">
        <v>12</v>
      </c>
      <c r="F190">
        <v>0.13700000000000001</v>
      </c>
      <c r="G190" t="s">
        <v>13</v>
      </c>
    </row>
    <row r="191" spans="1:7" x14ac:dyDescent="0.25">
      <c r="A191">
        <v>13</v>
      </c>
      <c r="B191" t="s">
        <v>168</v>
      </c>
      <c r="C191">
        <v>100</v>
      </c>
      <c r="D191" t="s">
        <v>122</v>
      </c>
      <c r="E191" t="s">
        <v>11</v>
      </c>
      <c r="F191">
        <v>4</v>
      </c>
      <c r="G191" t="s">
        <v>13</v>
      </c>
    </row>
    <row r="192" spans="1:7" x14ac:dyDescent="0.25">
      <c r="A192">
        <v>13</v>
      </c>
      <c r="B192" t="s">
        <v>168</v>
      </c>
      <c r="C192">
        <v>110</v>
      </c>
      <c r="D192" t="s">
        <v>100</v>
      </c>
      <c r="E192" t="s">
        <v>11</v>
      </c>
      <c r="F192">
        <v>1</v>
      </c>
      <c r="G192" t="s">
        <v>13</v>
      </c>
    </row>
    <row r="193" spans="1:7" x14ac:dyDescent="0.25">
      <c r="A193">
        <v>13</v>
      </c>
      <c r="B193" t="s">
        <v>168</v>
      </c>
      <c r="C193">
        <v>120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168</v>
      </c>
      <c r="C194">
        <v>130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168</v>
      </c>
      <c r="C195">
        <v>140</v>
      </c>
      <c r="D195" t="s">
        <v>115</v>
      </c>
      <c r="E195" t="s">
        <v>12</v>
      </c>
      <c r="F195">
        <v>0.98599999999999999</v>
      </c>
      <c r="G195" t="s">
        <v>13</v>
      </c>
    </row>
    <row r="196" spans="1:7" x14ac:dyDescent="0.25">
      <c r="A196">
        <v>13</v>
      </c>
      <c r="B196" t="s">
        <v>168</v>
      </c>
      <c r="C196">
        <v>150</v>
      </c>
      <c r="D196" t="s">
        <v>171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172</v>
      </c>
      <c r="C197">
        <v>10</v>
      </c>
      <c r="D197" t="s">
        <v>119</v>
      </c>
      <c r="E197" t="s">
        <v>14</v>
      </c>
      <c r="F197">
        <v>1.8540000000000001</v>
      </c>
      <c r="G197" t="s">
        <v>15</v>
      </c>
    </row>
    <row r="198" spans="1:7" x14ac:dyDescent="0.25">
      <c r="A198">
        <v>14</v>
      </c>
      <c r="B198" t="s">
        <v>172</v>
      </c>
      <c r="C198">
        <v>20</v>
      </c>
      <c r="D198" t="s">
        <v>173</v>
      </c>
      <c r="E198" t="s">
        <v>11</v>
      </c>
      <c r="F198">
        <v>1</v>
      </c>
      <c r="G198" t="s">
        <v>15</v>
      </c>
    </row>
    <row r="199" spans="1:7" x14ac:dyDescent="0.25">
      <c r="A199">
        <v>14</v>
      </c>
      <c r="B199" t="s">
        <v>172</v>
      </c>
      <c r="C199">
        <v>30</v>
      </c>
      <c r="D199" t="s">
        <v>174</v>
      </c>
      <c r="E199" t="s">
        <v>11</v>
      </c>
      <c r="F199">
        <v>1</v>
      </c>
      <c r="G199" t="s">
        <v>15</v>
      </c>
    </row>
    <row r="200" spans="1:7" x14ac:dyDescent="0.25">
      <c r="A200">
        <v>14</v>
      </c>
      <c r="B200" t="s">
        <v>172</v>
      </c>
      <c r="C200">
        <v>40</v>
      </c>
      <c r="D200" t="s">
        <v>113</v>
      </c>
      <c r="E200" t="s">
        <v>14</v>
      </c>
      <c r="F200">
        <v>1.8540000000000001</v>
      </c>
      <c r="G200" t="s">
        <v>15</v>
      </c>
    </row>
    <row r="201" spans="1:7" x14ac:dyDescent="0.25">
      <c r="A201">
        <v>14</v>
      </c>
      <c r="B201" t="s">
        <v>172</v>
      </c>
      <c r="C201">
        <v>50</v>
      </c>
      <c r="D201" t="s">
        <v>111</v>
      </c>
      <c r="E201" t="s">
        <v>112</v>
      </c>
      <c r="F201">
        <v>0.55400000000000005</v>
      </c>
      <c r="G201" t="s">
        <v>13</v>
      </c>
    </row>
    <row r="202" spans="1:7" x14ac:dyDescent="0.25">
      <c r="A202">
        <v>14</v>
      </c>
      <c r="B202" t="s">
        <v>172</v>
      </c>
      <c r="C202">
        <v>60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172</v>
      </c>
      <c r="C203">
        <v>70</v>
      </c>
      <c r="D203" t="s">
        <v>114</v>
      </c>
      <c r="E203" t="s">
        <v>14</v>
      </c>
      <c r="F203">
        <v>22.555</v>
      </c>
      <c r="G203" t="s">
        <v>13</v>
      </c>
    </row>
    <row r="204" spans="1:7" x14ac:dyDescent="0.25">
      <c r="A204">
        <v>14</v>
      </c>
      <c r="B204" t="s">
        <v>172</v>
      </c>
      <c r="C204">
        <v>80</v>
      </c>
      <c r="D204" t="s">
        <v>16</v>
      </c>
      <c r="E204" t="s">
        <v>14</v>
      </c>
      <c r="F204">
        <v>139.65199999999999</v>
      </c>
      <c r="G204" t="s">
        <v>13</v>
      </c>
    </row>
    <row r="205" spans="1:7" x14ac:dyDescent="0.25">
      <c r="A205">
        <v>14</v>
      </c>
      <c r="B205" t="s">
        <v>172</v>
      </c>
      <c r="C205">
        <v>90</v>
      </c>
      <c r="D205" t="s">
        <v>96</v>
      </c>
      <c r="E205" t="s">
        <v>12</v>
      </c>
      <c r="F205">
        <v>0.14799999999999999</v>
      </c>
      <c r="G205" t="s">
        <v>13</v>
      </c>
    </row>
    <row r="206" spans="1:7" x14ac:dyDescent="0.25">
      <c r="A206">
        <v>14</v>
      </c>
      <c r="B206" t="s">
        <v>172</v>
      </c>
      <c r="C206">
        <v>100</v>
      </c>
      <c r="D206" t="s">
        <v>122</v>
      </c>
      <c r="E206" t="s">
        <v>11</v>
      </c>
      <c r="F206">
        <v>4</v>
      </c>
      <c r="G206" t="s">
        <v>13</v>
      </c>
    </row>
    <row r="207" spans="1:7" x14ac:dyDescent="0.25">
      <c r="A207">
        <v>14</v>
      </c>
      <c r="B207" t="s">
        <v>172</v>
      </c>
      <c r="C207">
        <v>110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14</v>
      </c>
      <c r="B208" t="s">
        <v>172</v>
      </c>
      <c r="C208">
        <v>120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172</v>
      </c>
      <c r="C209">
        <v>130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172</v>
      </c>
      <c r="C210">
        <v>140</v>
      </c>
      <c r="D210" t="s">
        <v>115</v>
      </c>
      <c r="E210" t="s">
        <v>12</v>
      </c>
      <c r="F210">
        <v>1.0669999999999999</v>
      </c>
      <c r="G210" t="s">
        <v>13</v>
      </c>
    </row>
    <row r="211" spans="1:7" x14ac:dyDescent="0.25">
      <c r="A211">
        <v>14</v>
      </c>
      <c r="B211" t="s">
        <v>172</v>
      </c>
      <c r="C211">
        <v>150</v>
      </c>
      <c r="D211" t="s">
        <v>175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176</v>
      </c>
      <c r="C212">
        <v>10</v>
      </c>
      <c r="D212" t="s">
        <v>119</v>
      </c>
      <c r="E212" t="s">
        <v>14</v>
      </c>
      <c r="F212">
        <v>0.78700000000000003</v>
      </c>
      <c r="G212" t="s">
        <v>15</v>
      </c>
    </row>
    <row r="213" spans="1:7" x14ac:dyDescent="0.25">
      <c r="A213">
        <v>15</v>
      </c>
      <c r="B213" t="s">
        <v>176</v>
      </c>
      <c r="C213">
        <v>20</v>
      </c>
      <c r="D213" t="s">
        <v>177</v>
      </c>
      <c r="E213" t="s">
        <v>11</v>
      </c>
      <c r="F213">
        <v>1</v>
      </c>
      <c r="G213" t="s">
        <v>15</v>
      </c>
    </row>
    <row r="214" spans="1:7" x14ac:dyDescent="0.25">
      <c r="A214">
        <v>15</v>
      </c>
      <c r="B214" t="s">
        <v>176</v>
      </c>
      <c r="C214">
        <v>30</v>
      </c>
      <c r="D214" t="s">
        <v>178</v>
      </c>
      <c r="E214" t="s">
        <v>11</v>
      </c>
      <c r="F214">
        <v>1</v>
      </c>
      <c r="G214" t="s">
        <v>15</v>
      </c>
    </row>
    <row r="215" spans="1:7" x14ac:dyDescent="0.25">
      <c r="A215">
        <v>15</v>
      </c>
      <c r="B215" t="s">
        <v>176</v>
      </c>
      <c r="C215">
        <v>40</v>
      </c>
      <c r="D215" t="s">
        <v>113</v>
      </c>
      <c r="E215" t="s">
        <v>14</v>
      </c>
      <c r="F215">
        <v>0.78700000000000003</v>
      </c>
      <c r="G215" t="s">
        <v>15</v>
      </c>
    </row>
    <row r="216" spans="1:7" x14ac:dyDescent="0.25">
      <c r="A216">
        <v>15</v>
      </c>
      <c r="B216" t="s">
        <v>176</v>
      </c>
      <c r="C216">
        <v>50</v>
      </c>
      <c r="D216" t="s">
        <v>111</v>
      </c>
      <c r="E216" t="s">
        <v>112</v>
      </c>
      <c r="F216">
        <v>0.24399999999999999</v>
      </c>
      <c r="G216" t="s">
        <v>13</v>
      </c>
    </row>
    <row r="217" spans="1:7" x14ac:dyDescent="0.25">
      <c r="A217">
        <v>15</v>
      </c>
      <c r="B217" t="s">
        <v>176</v>
      </c>
      <c r="C217">
        <v>60</v>
      </c>
      <c r="D217" t="s">
        <v>95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176</v>
      </c>
      <c r="C218">
        <v>70</v>
      </c>
      <c r="D218" t="s">
        <v>114</v>
      </c>
      <c r="E218" t="s">
        <v>14</v>
      </c>
      <c r="F218">
        <v>16.611999999999998</v>
      </c>
      <c r="G218" t="s">
        <v>13</v>
      </c>
    </row>
    <row r="219" spans="1:7" x14ac:dyDescent="0.25">
      <c r="A219">
        <v>15</v>
      </c>
      <c r="B219" t="s">
        <v>176</v>
      </c>
      <c r="C219">
        <v>80</v>
      </c>
      <c r="D219" t="s">
        <v>16</v>
      </c>
      <c r="E219" t="s">
        <v>14</v>
      </c>
      <c r="F219">
        <v>103.099</v>
      </c>
      <c r="G219" t="s">
        <v>13</v>
      </c>
    </row>
    <row r="220" spans="1:7" x14ac:dyDescent="0.25">
      <c r="A220">
        <v>15</v>
      </c>
      <c r="B220" t="s">
        <v>176</v>
      </c>
      <c r="C220">
        <v>90</v>
      </c>
      <c r="D220" t="s">
        <v>96</v>
      </c>
      <c r="E220" t="s">
        <v>12</v>
      </c>
      <c r="F220">
        <v>7.2999999999999995E-2</v>
      </c>
      <c r="G220" t="s">
        <v>13</v>
      </c>
    </row>
    <row r="221" spans="1:7" x14ac:dyDescent="0.25">
      <c r="A221">
        <v>15</v>
      </c>
      <c r="B221" t="s">
        <v>176</v>
      </c>
      <c r="C221">
        <v>100</v>
      </c>
      <c r="D221" t="s">
        <v>122</v>
      </c>
      <c r="E221" t="s">
        <v>11</v>
      </c>
      <c r="F221">
        <v>4</v>
      </c>
      <c r="G221" t="s">
        <v>13</v>
      </c>
    </row>
    <row r="222" spans="1:7" x14ac:dyDescent="0.25">
      <c r="A222">
        <v>15</v>
      </c>
      <c r="B222" t="s">
        <v>176</v>
      </c>
      <c r="C222">
        <v>110</v>
      </c>
      <c r="D222" t="s">
        <v>100</v>
      </c>
      <c r="E222" t="s">
        <v>11</v>
      </c>
      <c r="F222">
        <v>1</v>
      </c>
      <c r="G222" t="s">
        <v>13</v>
      </c>
    </row>
    <row r="223" spans="1:7" x14ac:dyDescent="0.25">
      <c r="A223">
        <v>15</v>
      </c>
      <c r="B223" t="s">
        <v>176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176</v>
      </c>
      <c r="C224">
        <v>130</v>
      </c>
      <c r="D224" t="s">
        <v>21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176</v>
      </c>
      <c r="C225">
        <v>140</v>
      </c>
      <c r="D225" t="s">
        <v>115</v>
      </c>
      <c r="E225" t="s">
        <v>12</v>
      </c>
      <c r="F225">
        <v>0.5</v>
      </c>
      <c r="G225" t="s">
        <v>13</v>
      </c>
    </row>
    <row r="226" spans="1:7" x14ac:dyDescent="0.25">
      <c r="A226">
        <v>15</v>
      </c>
      <c r="B226" t="s">
        <v>176</v>
      </c>
      <c r="C226">
        <v>150</v>
      </c>
      <c r="D226" t="s">
        <v>179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180</v>
      </c>
      <c r="C227">
        <v>10</v>
      </c>
      <c r="D227" t="s">
        <v>119</v>
      </c>
      <c r="E227" t="s">
        <v>14</v>
      </c>
      <c r="F227">
        <v>0.94</v>
      </c>
      <c r="G227" t="s">
        <v>15</v>
      </c>
    </row>
    <row r="228" spans="1:7" x14ac:dyDescent="0.25">
      <c r="A228">
        <v>16</v>
      </c>
      <c r="B228" t="s">
        <v>180</v>
      </c>
      <c r="C228">
        <v>20</v>
      </c>
      <c r="D228" t="s">
        <v>181</v>
      </c>
      <c r="E228" t="s">
        <v>11</v>
      </c>
      <c r="F228">
        <v>1</v>
      </c>
      <c r="G228" t="s">
        <v>15</v>
      </c>
    </row>
    <row r="229" spans="1:7" x14ac:dyDescent="0.25">
      <c r="A229">
        <v>16</v>
      </c>
      <c r="B229" t="s">
        <v>180</v>
      </c>
      <c r="C229">
        <v>30</v>
      </c>
      <c r="D229" t="s">
        <v>182</v>
      </c>
      <c r="E229" t="s">
        <v>11</v>
      </c>
      <c r="F229">
        <v>1</v>
      </c>
      <c r="G229" t="s">
        <v>15</v>
      </c>
    </row>
    <row r="230" spans="1:7" x14ac:dyDescent="0.25">
      <c r="A230">
        <v>16</v>
      </c>
      <c r="B230" t="s">
        <v>180</v>
      </c>
      <c r="C230">
        <v>40</v>
      </c>
      <c r="D230" t="s">
        <v>113</v>
      </c>
      <c r="E230" t="s">
        <v>14</v>
      </c>
      <c r="F230">
        <v>0.94</v>
      </c>
      <c r="G230" t="s">
        <v>15</v>
      </c>
    </row>
    <row r="231" spans="1:7" x14ac:dyDescent="0.25">
      <c r="A231">
        <v>16</v>
      </c>
      <c r="B231" t="s">
        <v>180</v>
      </c>
      <c r="C231">
        <v>50</v>
      </c>
      <c r="D231" t="s">
        <v>111</v>
      </c>
      <c r="E231" t="s">
        <v>112</v>
      </c>
      <c r="F231">
        <v>0.29199999999999998</v>
      </c>
      <c r="G231" t="s">
        <v>13</v>
      </c>
    </row>
    <row r="232" spans="1:7" x14ac:dyDescent="0.25">
      <c r="A232">
        <v>16</v>
      </c>
      <c r="B232" t="s">
        <v>180</v>
      </c>
      <c r="C232">
        <v>60</v>
      </c>
      <c r="D232" t="s">
        <v>95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180</v>
      </c>
      <c r="C233">
        <v>70</v>
      </c>
      <c r="D233" t="s">
        <v>114</v>
      </c>
      <c r="E233" t="s">
        <v>14</v>
      </c>
      <c r="F233">
        <v>17.526</v>
      </c>
      <c r="G233" t="s">
        <v>13</v>
      </c>
    </row>
    <row r="234" spans="1:7" x14ac:dyDescent="0.25">
      <c r="A234">
        <v>16</v>
      </c>
      <c r="B234" t="s">
        <v>180</v>
      </c>
      <c r="C234">
        <v>80</v>
      </c>
      <c r="D234" t="s">
        <v>16</v>
      </c>
      <c r="E234" t="s">
        <v>14</v>
      </c>
      <c r="F234">
        <v>108.72199999999999</v>
      </c>
      <c r="G234" t="s">
        <v>13</v>
      </c>
    </row>
    <row r="235" spans="1:7" x14ac:dyDescent="0.25">
      <c r="A235">
        <v>16</v>
      </c>
      <c r="B235" t="s">
        <v>180</v>
      </c>
      <c r="C235">
        <v>90</v>
      </c>
      <c r="D235" t="s">
        <v>96</v>
      </c>
      <c r="E235" t="s">
        <v>12</v>
      </c>
      <c r="F235">
        <v>8.4000000000000005E-2</v>
      </c>
      <c r="G235" t="s">
        <v>13</v>
      </c>
    </row>
    <row r="236" spans="1:7" x14ac:dyDescent="0.25">
      <c r="A236">
        <v>16</v>
      </c>
      <c r="B236" t="s">
        <v>180</v>
      </c>
      <c r="C236">
        <v>100</v>
      </c>
      <c r="D236" t="s">
        <v>122</v>
      </c>
      <c r="E236" t="s">
        <v>11</v>
      </c>
      <c r="F236">
        <v>4</v>
      </c>
      <c r="G236" t="s">
        <v>13</v>
      </c>
    </row>
    <row r="237" spans="1:7" x14ac:dyDescent="0.25">
      <c r="A237">
        <v>16</v>
      </c>
      <c r="B237" t="s">
        <v>180</v>
      </c>
      <c r="C237">
        <v>110</v>
      </c>
      <c r="D237" t="s">
        <v>100</v>
      </c>
      <c r="E237" t="s">
        <v>11</v>
      </c>
      <c r="F237">
        <v>1</v>
      </c>
      <c r="G237" t="s">
        <v>13</v>
      </c>
    </row>
    <row r="238" spans="1:7" x14ac:dyDescent="0.25">
      <c r="A238">
        <v>16</v>
      </c>
      <c r="B238" t="s">
        <v>180</v>
      </c>
      <c r="C238">
        <v>120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180</v>
      </c>
      <c r="C239">
        <v>130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180</v>
      </c>
      <c r="C240">
        <v>140</v>
      </c>
      <c r="D240" t="s">
        <v>115</v>
      </c>
      <c r="E240" t="s">
        <v>12</v>
      </c>
      <c r="F240">
        <v>0.58099999999999996</v>
      </c>
      <c r="G240" t="s">
        <v>13</v>
      </c>
    </row>
    <row r="241" spans="1:7" x14ac:dyDescent="0.25">
      <c r="A241">
        <v>16</v>
      </c>
      <c r="B241" t="s">
        <v>180</v>
      </c>
      <c r="C241">
        <v>150</v>
      </c>
      <c r="D241" t="s">
        <v>183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184</v>
      </c>
      <c r="C242">
        <v>10</v>
      </c>
      <c r="D242" t="s">
        <v>119</v>
      </c>
      <c r="E242" t="s">
        <v>14</v>
      </c>
      <c r="F242">
        <v>1.0920000000000001</v>
      </c>
      <c r="G242" t="s">
        <v>15</v>
      </c>
    </row>
    <row r="243" spans="1:7" x14ac:dyDescent="0.25">
      <c r="A243">
        <v>17</v>
      </c>
      <c r="B243" t="s">
        <v>184</v>
      </c>
      <c r="C243">
        <v>20</v>
      </c>
      <c r="D243" t="s">
        <v>185</v>
      </c>
      <c r="E243" t="s">
        <v>11</v>
      </c>
      <c r="F243">
        <v>1</v>
      </c>
      <c r="G243" t="s">
        <v>15</v>
      </c>
    </row>
    <row r="244" spans="1:7" x14ac:dyDescent="0.25">
      <c r="A244">
        <v>17</v>
      </c>
      <c r="B244" t="s">
        <v>184</v>
      </c>
      <c r="C244">
        <v>30</v>
      </c>
      <c r="D244" t="s">
        <v>186</v>
      </c>
      <c r="E244" t="s">
        <v>11</v>
      </c>
      <c r="F244">
        <v>1</v>
      </c>
      <c r="G244" t="s">
        <v>15</v>
      </c>
    </row>
    <row r="245" spans="1:7" x14ac:dyDescent="0.25">
      <c r="A245">
        <v>17</v>
      </c>
      <c r="B245" t="s">
        <v>184</v>
      </c>
      <c r="C245">
        <v>40</v>
      </c>
      <c r="D245" t="s">
        <v>113</v>
      </c>
      <c r="E245" t="s">
        <v>14</v>
      </c>
      <c r="F245">
        <v>1.0920000000000001</v>
      </c>
      <c r="G245" t="s">
        <v>15</v>
      </c>
    </row>
    <row r="246" spans="1:7" x14ac:dyDescent="0.25">
      <c r="A246">
        <v>17</v>
      </c>
      <c r="B246" t="s">
        <v>184</v>
      </c>
      <c r="C246">
        <v>50</v>
      </c>
      <c r="D246" t="s">
        <v>111</v>
      </c>
      <c r="E246" t="s">
        <v>112</v>
      </c>
      <c r="F246">
        <v>0.33900000000000002</v>
      </c>
      <c r="G246" t="s">
        <v>13</v>
      </c>
    </row>
    <row r="247" spans="1:7" x14ac:dyDescent="0.25">
      <c r="A247">
        <v>17</v>
      </c>
      <c r="B247" t="s">
        <v>184</v>
      </c>
      <c r="C247">
        <v>60</v>
      </c>
      <c r="D247" t="s">
        <v>95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184</v>
      </c>
      <c r="C248">
        <v>70</v>
      </c>
      <c r="D248" t="s">
        <v>114</v>
      </c>
      <c r="E248" t="s">
        <v>14</v>
      </c>
      <c r="F248">
        <v>18.440000000000001</v>
      </c>
      <c r="G248" t="s">
        <v>13</v>
      </c>
    </row>
    <row r="249" spans="1:7" x14ac:dyDescent="0.25">
      <c r="A249">
        <v>17</v>
      </c>
      <c r="B249" t="s">
        <v>184</v>
      </c>
      <c r="C249">
        <v>80</v>
      </c>
      <c r="D249" t="s">
        <v>16</v>
      </c>
      <c r="E249" t="s">
        <v>14</v>
      </c>
      <c r="F249">
        <v>114.346</v>
      </c>
      <c r="G249" t="s">
        <v>13</v>
      </c>
    </row>
    <row r="250" spans="1:7" x14ac:dyDescent="0.25">
      <c r="A250">
        <v>17</v>
      </c>
      <c r="B250" t="s">
        <v>184</v>
      </c>
      <c r="C250">
        <v>90</v>
      </c>
      <c r="D250" t="s">
        <v>96</v>
      </c>
      <c r="E250" t="s">
        <v>12</v>
      </c>
      <c r="F250">
        <v>9.4E-2</v>
      </c>
      <c r="G250" t="s">
        <v>13</v>
      </c>
    </row>
    <row r="251" spans="1:7" x14ac:dyDescent="0.25">
      <c r="A251">
        <v>17</v>
      </c>
      <c r="B251" t="s">
        <v>184</v>
      </c>
      <c r="C251">
        <v>100</v>
      </c>
      <c r="D251" t="s">
        <v>122</v>
      </c>
      <c r="E251" t="s">
        <v>11</v>
      </c>
      <c r="F251">
        <v>4</v>
      </c>
      <c r="G251" t="s">
        <v>13</v>
      </c>
    </row>
    <row r="252" spans="1:7" x14ac:dyDescent="0.25">
      <c r="A252">
        <v>17</v>
      </c>
      <c r="B252" t="s">
        <v>184</v>
      </c>
      <c r="C252">
        <v>110</v>
      </c>
      <c r="D252" t="s">
        <v>100</v>
      </c>
      <c r="E252" t="s">
        <v>11</v>
      </c>
      <c r="F252">
        <v>1</v>
      </c>
      <c r="G252" t="s">
        <v>13</v>
      </c>
    </row>
    <row r="253" spans="1:7" x14ac:dyDescent="0.25">
      <c r="A253">
        <v>17</v>
      </c>
      <c r="B253" t="s">
        <v>184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184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184</v>
      </c>
      <c r="C255">
        <v>140</v>
      </c>
      <c r="D255" t="s">
        <v>115</v>
      </c>
      <c r="E255" t="s">
        <v>12</v>
      </c>
      <c r="F255">
        <v>0.66200000000000003</v>
      </c>
      <c r="G255" t="s">
        <v>13</v>
      </c>
    </row>
    <row r="256" spans="1:7" x14ac:dyDescent="0.25">
      <c r="A256">
        <v>17</v>
      </c>
      <c r="B256" t="s">
        <v>184</v>
      </c>
      <c r="C256">
        <v>150</v>
      </c>
      <c r="D256" t="s">
        <v>187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188</v>
      </c>
      <c r="C257">
        <v>10</v>
      </c>
      <c r="D257" t="s">
        <v>119</v>
      </c>
      <c r="E257" t="s">
        <v>14</v>
      </c>
      <c r="F257">
        <v>1.2450000000000001</v>
      </c>
      <c r="G257" t="s">
        <v>15</v>
      </c>
    </row>
    <row r="258" spans="1:7" x14ac:dyDescent="0.25">
      <c r="A258">
        <v>18</v>
      </c>
      <c r="B258" t="s">
        <v>188</v>
      </c>
      <c r="C258">
        <v>20</v>
      </c>
      <c r="D258" t="s">
        <v>189</v>
      </c>
      <c r="E258" t="s">
        <v>11</v>
      </c>
      <c r="F258">
        <v>1</v>
      </c>
      <c r="G258" t="s">
        <v>15</v>
      </c>
    </row>
    <row r="259" spans="1:7" x14ac:dyDescent="0.25">
      <c r="A259">
        <v>18</v>
      </c>
      <c r="B259" t="s">
        <v>188</v>
      </c>
      <c r="C259">
        <v>30</v>
      </c>
      <c r="D259" t="s">
        <v>190</v>
      </c>
      <c r="E259" t="s">
        <v>11</v>
      </c>
      <c r="F259">
        <v>1</v>
      </c>
      <c r="G259" t="s">
        <v>15</v>
      </c>
    </row>
    <row r="260" spans="1:7" x14ac:dyDescent="0.25">
      <c r="A260">
        <v>18</v>
      </c>
      <c r="B260" t="s">
        <v>188</v>
      </c>
      <c r="C260">
        <v>40</v>
      </c>
      <c r="D260" t="s">
        <v>113</v>
      </c>
      <c r="E260" t="s">
        <v>14</v>
      </c>
      <c r="F260">
        <v>1.2450000000000001</v>
      </c>
      <c r="G260" t="s">
        <v>15</v>
      </c>
    </row>
    <row r="261" spans="1:7" x14ac:dyDescent="0.25">
      <c r="A261">
        <v>18</v>
      </c>
      <c r="B261" t="s">
        <v>188</v>
      </c>
      <c r="C261">
        <v>50</v>
      </c>
      <c r="D261" t="s">
        <v>111</v>
      </c>
      <c r="E261" t="s">
        <v>112</v>
      </c>
      <c r="F261">
        <v>0.38600000000000001</v>
      </c>
      <c r="G261" t="s">
        <v>13</v>
      </c>
    </row>
    <row r="262" spans="1:7" x14ac:dyDescent="0.25">
      <c r="A262">
        <v>18</v>
      </c>
      <c r="B262" t="s">
        <v>188</v>
      </c>
      <c r="C262">
        <v>60</v>
      </c>
      <c r="D262" t="s">
        <v>95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188</v>
      </c>
      <c r="C263">
        <v>70</v>
      </c>
      <c r="D263" t="s">
        <v>114</v>
      </c>
      <c r="E263" t="s">
        <v>14</v>
      </c>
      <c r="F263">
        <v>19.355</v>
      </c>
      <c r="G263" t="s">
        <v>13</v>
      </c>
    </row>
    <row r="264" spans="1:7" x14ac:dyDescent="0.25">
      <c r="A264">
        <v>18</v>
      </c>
      <c r="B264" t="s">
        <v>188</v>
      </c>
      <c r="C264">
        <v>80</v>
      </c>
      <c r="D264" t="s">
        <v>16</v>
      </c>
      <c r="E264" t="s">
        <v>14</v>
      </c>
      <c r="F264">
        <v>119.96899999999999</v>
      </c>
      <c r="G264" t="s">
        <v>13</v>
      </c>
    </row>
    <row r="265" spans="1:7" x14ac:dyDescent="0.25">
      <c r="A265">
        <v>18</v>
      </c>
      <c r="B265" t="s">
        <v>188</v>
      </c>
      <c r="C265">
        <v>90</v>
      </c>
      <c r="D265" t="s">
        <v>96</v>
      </c>
      <c r="E265" t="s">
        <v>12</v>
      </c>
      <c r="F265">
        <v>0.105</v>
      </c>
      <c r="G265" t="s">
        <v>13</v>
      </c>
    </row>
    <row r="266" spans="1:7" x14ac:dyDescent="0.25">
      <c r="A266">
        <v>18</v>
      </c>
      <c r="B266" t="s">
        <v>188</v>
      </c>
      <c r="C266">
        <v>100</v>
      </c>
      <c r="D266" t="s">
        <v>122</v>
      </c>
      <c r="E266" t="s">
        <v>11</v>
      </c>
      <c r="F266">
        <v>4</v>
      </c>
      <c r="G266" t="s">
        <v>13</v>
      </c>
    </row>
    <row r="267" spans="1:7" x14ac:dyDescent="0.25">
      <c r="A267">
        <v>18</v>
      </c>
      <c r="B267" t="s">
        <v>188</v>
      </c>
      <c r="C267">
        <v>110</v>
      </c>
      <c r="D267" t="s">
        <v>100</v>
      </c>
      <c r="E267" t="s">
        <v>11</v>
      </c>
      <c r="F267">
        <v>1</v>
      </c>
      <c r="G267" t="s">
        <v>13</v>
      </c>
    </row>
    <row r="268" spans="1:7" x14ac:dyDescent="0.25">
      <c r="A268">
        <v>18</v>
      </c>
      <c r="B268" t="s">
        <v>188</v>
      </c>
      <c r="C268">
        <v>120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188</v>
      </c>
      <c r="C269">
        <v>130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188</v>
      </c>
      <c r="C270">
        <v>140</v>
      </c>
      <c r="D270" t="s">
        <v>115</v>
      </c>
      <c r="E270" t="s">
        <v>12</v>
      </c>
      <c r="F270">
        <v>0.74299999999999999</v>
      </c>
      <c r="G270" t="s">
        <v>13</v>
      </c>
    </row>
    <row r="271" spans="1:7" x14ac:dyDescent="0.25">
      <c r="A271">
        <v>18</v>
      </c>
      <c r="B271" t="s">
        <v>188</v>
      </c>
      <c r="C271">
        <v>150</v>
      </c>
      <c r="D271" t="s">
        <v>191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192</v>
      </c>
      <c r="C272">
        <v>10</v>
      </c>
      <c r="D272" t="s">
        <v>119</v>
      </c>
      <c r="E272" t="s">
        <v>14</v>
      </c>
      <c r="F272">
        <v>1.5489999999999999</v>
      </c>
      <c r="G272" t="s">
        <v>15</v>
      </c>
    </row>
    <row r="273" spans="1:7" x14ac:dyDescent="0.25">
      <c r="A273">
        <v>19</v>
      </c>
      <c r="B273" t="s">
        <v>192</v>
      </c>
      <c r="C273">
        <v>20</v>
      </c>
      <c r="D273" t="s">
        <v>193</v>
      </c>
      <c r="E273" t="s">
        <v>11</v>
      </c>
      <c r="F273">
        <v>1</v>
      </c>
      <c r="G273" t="s">
        <v>15</v>
      </c>
    </row>
    <row r="274" spans="1:7" x14ac:dyDescent="0.25">
      <c r="A274">
        <v>19</v>
      </c>
      <c r="B274" t="s">
        <v>192</v>
      </c>
      <c r="C274">
        <v>30</v>
      </c>
      <c r="D274" t="s">
        <v>194</v>
      </c>
      <c r="E274" t="s">
        <v>11</v>
      </c>
      <c r="F274">
        <v>1</v>
      </c>
      <c r="G274" t="s">
        <v>15</v>
      </c>
    </row>
    <row r="275" spans="1:7" x14ac:dyDescent="0.25">
      <c r="A275">
        <v>19</v>
      </c>
      <c r="B275" t="s">
        <v>192</v>
      </c>
      <c r="C275">
        <v>40</v>
      </c>
      <c r="D275" t="s">
        <v>113</v>
      </c>
      <c r="E275" t="s">
        <v>14</v>
      </c>
      <c r="F275">
        <v>1.5489999999999999</v>
      </c>
      <c r="G275" t="s">
        <v>15</v>
      </c>
    </row>
    <row r="276" spans="1:7" x14ac:dyDescent="0.25">
      <c r="A276">
        <v>19</v>
      </c>
      <c r="B276" t="s">
        <v>192</v>
      </c>
      <c r="C276">
        <v>50</v>
      </c>
      <c r="D276" t="s">
        <v>111</v>
      </c>
      <c r="E276" t="s">
        <v>112</v>
      </c>
      <c r="F276">
        <v>0.48099999999999998</v>
      </c>
      <c r="G276" t="s">
        <v>13</v>
      </c>
    </row>
    <row r="277" spans="1:7" x14ac:dyDescent="0.25">
      <c r="A277">
        <v>19</v>
      </c>
      <c r="B277" t="s">
        <v>192</v>
      </c>
      <c r="C277">
        <v>60</v>
      </c>
      <c r="D277" t="s">
        <v>95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192</v>
      </c>
      <c r="C278">
        <v>70</v>
      </c>
      <c r="D278" t="s">
        <v>114</v>
      </c>
      <c r="E278" t="s">
        <v>14</v>
      </c>
      <c r="F278">
        <v>21.184000000000001</v>
      </c>
      <c r="G278" t="s">
        <v>13</v>
      </c>
    </row>
    <row r="279" spans="1:7" x14ac:dyDescent="0.25">
      <c r="A279">
        <v>19</v>
      </c>
      <c r="B279" t="s">
        <v>192</v>
      </c>
      <c r="C279">
        <v>80</v>
      </c>
      <c r="D279" t="s">
        <v>16</v>
      </c>
      <c r="E279" t="s">
        <v>14</v>
      </c>
      <c r="F279">
        <v>131.21600000000001</v>
      </c>
      <c r="G279" t="s">
        <v>13</v>
      </c>
    </row>
    <row r="280" spans="1:7" x14ac:dyDescent="0.25">
      <c r="A280">
        <v>19</v>
      </c>
      <c r="B280" t="s">
        <v>192</v>
      </c>
      <c r="C280">
        <v>90</v>
      </c>
      <c r="D280" t="s">
        <v>96</v>
      </c>
      <c r="E280" t="s">
        <v>12</v>
      </c>
      <c r="F280">
        <v>0.126</v>
      </c>
      <c r="G280" t="s">
        <v>13</v>
      </c>
    </row>
    <row r="281" spans="1:7" x14ac:dyDescent="0.25">
      <c r="A281">
        <v>19</v>
      </c>
      <c r="B281" t="s">
        <v>192</v>
      </c>
      <c r="C281">
        <v>100</v>
      </c>
      <c r="D281" t="s">
        <v>122</v>
      </c>
      <c r="E281" t="s">
        <v>11</v>
      </c>
      <c r="F281">
        <v>4</v>
      </c>
      <c r="G281" t="s">
        <v>13</v>
      </c>
    </row>
    <row r="282" spans="1:7" x14ac:dyDescent="0.25">
      <c r="A282">
        <v>19</v>
      </c>
      <c r="B282" t="s">
        <v>192</v>
      </c>
      <c r="C282">
        <v>110</v>
      </c>
      <c r="D282" t="s">
        <v>100</v>
      </c>
      <c r="E282" t="s">
        <v>11</v>
      </c>
      <c r="F282">
        <v>1</v>
      </c>
      <c r="G282" t="s">
        <v>13</v>
      </c>
    </row>
    <row r="283" spans="1:7" x14ac:dyDescent="0.25">
      <c r="A283">
        <v>19</v>
      </c>
      <c r="B283" t="s">
        <v>192</v>
      </c>
      <c r="C283">
        <v>120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192</v>
      </c>
      <c r="C284">
        <v>130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192</v>
      </c>
      <c r="C285">
        <v>140</v>
      </c>
      <c r="D285" t="s">
        <v>115</v>
      </c>
      <c r="E285" t="s">
        <v>12</v>
      </c>
      <c r="F285">
        <v>0.90500000000000003</v>
      </c>
      <c r="G285" t="s">
        <v>13</v>
      </c>
    </row>
    <row r="286" spans="1:7" x14ac:dyDescent="0.25">
      <c r="A286">
        <v>19</v>
      </c>
      <c r="B286" t="s">
        <v>192</v>
      </c>
      <c r="C286">
        <v>150</v>
      </c>
      <c r="D286" t="s">
        <v>195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196</v>
      </c>
      <c r="C287">
        <v>10</v>
      </c>
      <c r="D287" t="s">
        <v>119</v>
      </c>
      <c r="E287" t="s">
        <v>14</v>
      </c>
      <c r="F287">
        <v>1.702</v>
      </c>
      <c r="G287" t="s">
        <v>15</v>
      </c>
    </row>
    <row r="288" spans="1:7" x14ac:dyDescent="0.25">
      <c r="A288">
        <v>20</v>
      </c>
      <c r="B288" t="s">
        <v>196</v>
      </c>
      <c r="C288">
        <v>20</v>
      </c>
      <c r="D288" t="s">
        <v>197</v>
      </c>
      <c r="E288" t="s">
        <v>11</v>
      </c>
      <c r="F288">
        <v>1</v>
      </c>
      <c r="G288" t="s">
        <v>15</v>
      </c>
    </row>
    <row r="289" spans="1:7" x14ac:dyDescent="0.25">
      <c r="A289">
        <v>20</v>
      </c>
      <c r="B289" t="s">
        <v>196</v>
      </c>
      <c r="C289">
        <v>30</v>
      </c>
      <c r="D289" t="s">
        <v>198</v>
      </c>
      <c r="E289" t="s">
        <v>11</v>
      </c>
      <c r="F289">
        <v>1</v>
      </c>
      <c r="G289" t="s">
        <v>15</v>
      </c>
    </row>
    <row r="290" spans="1:7" x14ac:dyDescent="0.25">
      <c r="A290">
        <v>20</v>
      </c>
      <c r="B290" t="s">
        <v>196</v>
      </c>
      <c r="C290">
        <v>40</v>
      </c>
      <c r="D290" t="s">
        <v>113</v>
      </c>
      <c r="E290" t="s">
        <v>14</v>
      </c>
      <c r="F290">
        <v>1.702</v>
      </c>
      <c r="G290" t="s">
        <v>15</v>
      </c>
    </row>
    <row r="291" spans="1:7" x14ac:dyDescent="0.25">
      <c r="A291">
        <v>20</v>
      </c>
      <c r="B291" t="s">
        <v>196</v>
      </c>
      <c r="C291">
        <v>50</v>
      </c>
      <c r="D291" t="s">
        <v>111</v>
      </c>
      <c r="E291" t="s">
        <v>112</v>
      </c>
      <c r="F291">
        <v>0.52900000000000003</v>
      </c>
      <c r="G291" t="s">
        <v>13</v>
      </c>
    </row>
    <row r="292" spans="1:7" x14ac:dyDescent="0.25">
      <c r="A292">
        <v>20</v>
      </c>
      <c r="B292" t="s">
        <v>196</v>
      </c>
      <c r="C292">
        <v>60</v>
      </c>
      <c r="D292" t="s">
        <v>95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196</v>
      </c>
      <c r="C293">
        <v>70</v>
      </c>
      <c r="D293" t="s">
        <v>114</v>
      </c>
      <c r="E293" t="s">
        <v>14</v>
      </c>
      <c r="F293">
        <v>22.097999999999999</v>
      </c>
      <c r="G293" t="s">
        <v>13</v>
      </c>
    </row>
    <row r="294" spans="1:7" x14ac:dyDescent="0.25">
      <c r="A294">
        <v>20</v>
      </c>
      <c r="B294" t="s">
        <v>196</v>
      </c>
      <c r="C294">
        <v>80</v>
      </c>
      <c r="D294" t="s">
        <v>16</v>
      </c>
      <c r="E294" t="s">
        <v>14</v>
      </c>
      <c r="F294">
        <v>136.84</v>
      </c>
      <c r="G294" t="s">
        <v>13</v>
      </c>
    </row>
    <row r="295" spans="1:7" x14ac:dyDescent="0.25">
      <c r="A295">
        <v>20</v>
      </c>
      <c r="B295" t="s">
        <v>196</v>
      </c>
      <c r="C295">
        <v>90</v>
      </c>
      <c r="D295" t="s">
        <v>96</v>
      </c>
      <c r="E295" t="s">
        <v>12</v>
      </c>
      <c r="F295">
        <v>0.13700000000000001</v>
      </c>
      <c r="G295" t="s">
        <v>13</v>
      </c>
    </row>
    <row r="296" spans="1:7" x14ac:dyDescent="0.25">
      <c r="A296">
        <v>20</v>
      </c>
      <c r="B296" t="s">
        <v>196</v>
      </c>
      <c r="C296">
        <v>100</v>
      </c>
      <c r="D296" t="s">
        <v>122</v>
      </c>
      <c r="E296" t="s">
        <v>11</v>
      </c>
      <c r="F296">
        <v>4</v>
      </c>
      <c r="G296" t="s">
        <v>13</v>
      </c>
    </row>
    <row r="297" spans="1:7" x14ac:dyDescent="0.25">
      <c r="A297">
        <v>20</v>
      </c>
      <c r="B297" t="s">
        <v>196</v>
      </c>
      <c r="C297">
        <v>110</v>
      </c>
      <c r="D297" t="s">
        <v>100</v>
      </c>
      <c r="E297" t="s">
        <v>11</v>
      </c>
      <c r="F297">
        <v>1</v>
      </c>
      <c r="G297" t="s">
        <v>13</v>
      </c>
    </row>
    <row r="298" spans="1:7" x14ac:dyDescent="0.25">
      <c r="A298">
        <v>20</v>
      </c>
      <c r="B298" t="s">
        <v>196</v>
      </c>
      <c r="C298">
        <v>120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196</v>
      </c>
      <c r="C299">
        <v>130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196</v>
      </c>
      <c r="C300">
        <v>140</v>
      </c>
      <c r="D300" t="s">
        <v>115</v>
      </c>
      <c r="E300" t="s">
        <v>12</v>
      </c>
      <c r="F300">
        <v>0.98599999999999999</v>
      </c>
      <c r="G300" t="s">
        <v>13</v>
      </c>
    </row>
    <row r="301" spans="1:7" x14ac:dyDescent="0.25">
      <c r="A301">
        <v>20</v>
      </c>
      <c r="B301" t="s">
        <v>196</v>
      </c>
      <c r="C301">
        <v>150</v>
      </c>
      <c r="D301" t="s">
        <v>199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200</v>
      </c>
      <c r="C302">
        <v>10</v>
      </c>
      <c r="D302" t="s">
        <v>119</v>
      </c>
      <c r="E302" t="s">
        <v>14</v>
      </c>
      <c r="F302">
        <v>1.8540000000000001</v>
      </c>
      <c r="G302" t="s">
        <v>15</v>
      </c>
    </row>
    <row r="303" spans="1:7" x14ac:dyDescent="0.25">
      <c r="A303">
        <v>21</v>
      </c>
      <c r="B303" t="s">
        <v>200</v>
      </c>
      <c r="C303">
        <v>20</v>
      </c>
      <c r="D303" t="s">
        <v>201</v>
      </c>
      <c r="E303" t="s">
        <v>11</v>
      </c>
      <c r="F303">
        <v>1</v>
      </c>
      <c r="G303" t="s">
        <v>15</v>
      </c>
    </row>
    <row r="304" spans="1:7" x14ac:dyDescent="0.25">
      <c r="A304">
        <v>21</v>
      </c>
      <c r="B304" t="s">
        <v>200</v>
      </c>
      <c r="C304">
        <v>30</v>
      </c>
      <c r="D304" t="s">
        <v>202</v>
      </c>
      <c r="E304" t="s">
        <v>11</v>
      </c>
      <c r="F304">
        <v>1</v>
      </c>
      <c r="G304" t="s">
        <v>15</v>
      </c>
    </row>
    <row r="305" spans="1:7" x14ac:dyDescent="0.25">
      <c r="A305">
        <v>21</v>
      </c>
      <c r="B305" t="s">
        <v>200</v>
      </c>
      <c r="C305">
        <v>40</v>
      </c>
      <c r="D305" t="s">
        <v>113</v>
      </c>
      <c r="E305" t="s">
        <v>14</v>
      </c>
      <c r="F305">
        <v>1.8540000000000001</v>
      </c>
      <c r="G305" t="s">
        <v>15</v>
      </c>
    </row>
    <row r="306" spans="1:7" x14ac:dyDescent="0.25">
      <c r="A306">
        <v>21</v>
      </c>
      <c r="B306" t="s">
        <v>200</v>
      </c>
      <c r="C306">
        <v>50</v>
      </c>
      <c r="D306" t="s">
        <v>111</v>
      </c>
      <c r="E306" t="s">
        <v>112</v>
      </c>
      <c r="F306">
        <v>0.57599999999999996</v>
      </c>
      <c r="G306" t="s">
        <v>13</v>
      </c>
    </row>
    <row r="307" spans="1:7" x14ac:dyDescent="0.25">
      <c r="A307">
        <v>21</v>
      </c>
      <c r="B307" t="s">
        <v>200</v>
      </c>
      <c r="C307">
        <v>60</v>
      </c>
      <c r="D307" t="s">
        <v>95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200</v>
      </c>
      <c r="C308">
        <v>70</v>
      </c>
      <c r="D308" t="s">
        <v>114</v>
      </c>
      <c r="E308" t="s">
        <v>14</v>
      </c>
      <c r="F308">
        <v>23.012</v>
      </c>
      <c r="G308" t="s">
        <v>13</v>
      </c>
    </row>
    <row r="309" spans="1:7" x14ac:dyDescent="0.25">
      <c r="A309">
        <v>21</v>
      </c>
      <c r="B309" t="s">
        <v>200</v>
      </c>
      <c r="C309">
        <v>80</v>
      </c>
      <c r="D309" t="s">
        <v>16</v>
      </c>
      <c r="E309" t="s">
        <v>14</v>
      </c>
      <c r="F309">
        <v>142.464</v>
      </c>
      <c r="G309" t="s">
        <v>13</v>
      </c>
    </row>
    <row r="310" spans="1:7" x14ac:dyDescent="0.25">
      <c r="A310">
        <v>21</v>
      </c>
      <c r="B310" t="s">
        <v>200</v>
      </c>
      <c r="C310">
        <v>90</v>
      </c>
      <c r="D310" t="s">
        <v>96</v>
      </c>
      <c r="E310" t="s">
        <v>12</v>
      </c>
      <c r="F310">
        <v>0.14799999999999999</v>
      </c>
      <c r="G310" t="s">
        <v>13</v>
      </c>
    </row>
    <row r="311" spans="1:7" x14ac:dyDescent="0.25">
      <c r="A311">
        <v>21</v>
      </c>
      <c r="B311" t="s">
        <v>200</v>
      </c>
      <c r="C311">
        <v>100</v>
      </c>
      <c r="D311" t="s">
        <v>122</v>
      </c>
      <c r="E311" t="s">
        <v>11</v>
      </c>
      <c r="F311">
        <v>4</v>
      </c>
      <c r="G311" t="s">
        <v>13</v>
      </c>
    </row>
    <row r="312" spans="1:7" x14ac:dyDescent="0.25">
      <c r="A312">
        <v>21</v>
      </c>
      <c r="B312" t="s">
        <v>200</v>
      </c>
      <c r="C312">
        <v>110</v>
      </c>
      <c r="D312" t="s">
        <v>100</v>
      </c>
      <c r="E312" t="s">
        <v>11</v>
      </c>
      <c r="F312">
        <v>1</v>
      </c>
      <c r="G312" t="s">
        <v>13</v>
      </c>
    </row>
    <row r="313" spans="1:7" x14ac:dyDescent="0.25">
      <c r="A313">
        <v>21</v>
      </c>
      <c r="B313" t="s">
        <v>200</v>
      </c>
      <c r="C313">
        <v>120</v>
      </c>
      <c r="D313" t="s">
        <v>20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200</v>
      </c>
      <c r="C314">
        <v>130</v>
      </c>
      <c r="D314" t="s">
        <v>21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200</v>
      </c>
      <c r="C315">
        <v>140</v>
      </c>
      <c r="D315" t="s">
        <v>115</v>
      </c>
      <c r="E315" t="s">
        <v>12</v>
      </c>
      <c r="F315">
        <v>1.0669999999999999</v>
      </c>
      <c r="G315" t="s">
        <v>13</v>
      </c>
    </row>
    <row r="316" spans="1:7" x14ac:dyDescent="0.25">
      <c r="A316">
        <v>21</v>
      </c>
      <c r="B316" t="s">
        <v>200</v>
      </c>
      <c r="C316">
        <v>150</v>
      </c>
      <c r="D316" t="s">
        <v>203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204</v>
      </c>
      <c r="C317">
        <v>10</v>
      </c>
      <c r="D317" t="s">
        <v>119</v>
      </c>
      <c r="E317" t="s">
        <v>14</v>
      </c>
      <c r="F317">
        <v>0.78700000000000003</v>
      </c>
      <c r="G317" t="s">
        <v>15</v>
      </c>
    </row>
    <row r="318" spans="1:7" x14ac:dyDescent="0.25">
      <c r="A318">
        <v>22</v>
      </c>
      <c r="B318" t="s">
        <v>204</v>
      </c>
      <c r="C318">
        <v>20</v>
      </c>
      <c r="D318" t="s">
        <v>205</v>
      </c>
      <c r="E318" t="s">
        <v>11</v>
      </c>
      <c r="F318">
        <v>1</v>
      </c>
      <c r="G318" t="s">
        <v>15</v>
      </c>
    </row>
    <row r="319" spans="1:7" x14ac:dyDescent="0.25">
      <c r="A319">
        <v>22</v>
      </c>
      <c r="B319" t="s">
        <v>204</v>
      </c>
      <c r="C319">
        <v>30</v>
      </c>
      <c r="D319" t="s">
        <v>206</v>
      </c>
      <c r="E319" t="s">
        <v>11</v>
      </c>
      <c r="F319">
        <v>1</v>
      </c>
      <c r="G319" t="s">
        <v>15</v>
      </c>
    </row>
    <row r="320" spans="1:7" x14ac:dyDescent="0.25">
      <c r="A320">
        <v>22</v>
      </c>
      <c r="B320" t="s">
        <v>204</v>
      </c>
      <c r="C320">
        <v>40</v>
      </c>
      <c r="D320" t="s">
        <v>113</v>
      </c>
      <c r="E320" t="s">
        <v>14</v>
      </c>
      <c r="F320">
        <v>0.78700000000000003</v>
      </c>
      <c r="G320" t="s">
        <v>15</v>
      </c>
    </row>
    <row r="321" spans="1:7" x14ac:dyDescent="0.25">
      <c r="A321">
        <v>22</v>
      </c>
      <c r="B321" t="s">
        <v>204</v>
      </c>
      <c r="C321">
        <v>50</v>
      </c>
      <c r="D321" t="s">
        <v>111</v>
      </c>
      <c r="E321" t="s">
        <v>112</v>
      </c>
      <c r="F321">
        <v>0.25</v>
      </c>
      <c r="G321" t="s">
        <v>13</v>
      </c>
    </row>
    <row r="322" spans="1:7" x14ac:dyDescent="0.25">
      <c r="A322">
        <v>22</v>
      </c>
      <c r="B322" t="s">
        <v>204</v>
      </c>
      <c r="C322">
        <v>60</v>
      </c>
      <c r="D322" t="s">
        <v>95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204</v>
      </c>
      <c r="C323">
        <v>70</v>
      </c>
      <c r="D323" t="s">
        <v>114</v>
      </c>
      <c r="E323" t="s">
        <v>14</v>
      </c>
      <c r="F323">
        <v>16.916</v>
      </c>
      <c r="G323" t="s">
        <v>13</v>
      </c>
    </row>
    <row r="324" spans="1:7" x14ac:dyDescent="0.25">
      <c r="A324">
        <v>22</v>
      </c>
      <c r="B324" t="s">
        <v>204</v>
      </c>
      <c r="C324">
        <v>80</v>
      </c>
      <c r="D324" t="s">
        <v>16</v>
      </c>
      <c r="E324" t="s">
        <v>14</v>
      </c>
      <c r="F324">
        <v>104.973</v>
      </c>
      <c r="G324" t="s">
        <v>13</v>
      </c>
    </row>
    <row r="325" spans="1:7" x14ac:dyDescent="0.25">
      <c r="A325">
        <v>22</v>
      </c>
      <c r="B325" t="s">
        <v>204</v>
      </c>
      <c r="C325">
        <v>90</v>
      </c>
      <c r="D325" t="s">
        <v>96</v>
      </c>
      <c r="E325" t="s">
        <v>12</v>
      </c>
      <c r="F325">
        <v>7.2999999999999995E-2</v>
      </c>
      <c r="G325" t="s">
        <v>13</v>
      </c>
    </row>
    <row r="326" spans="1:7" x14ac:dyDescent="0.25">
      <c r="A326">
        <v>22</v>
      </c>
      <c r="B326" t="s">
        <v>204</v>
      </c>
      <c r="C326">
        <v>100</v>
      </c>
      <c r="D326" t="s">
        <v>122</v>
      </c>
      <c r="E326" t="s">
        <v>11</v>
      </c>
      <c r="F326">
        <v>4</v>
      </c>
      <c r="G326" t="s">
        <v>13</v>
      </c>
    </row>
    <row r="327" spans="1:7" x14ac:dyDescent="0.25">
      <c r="A327">
        <v>22</v>
      </c>
      <c r="B327" t="s">
        <v>204</v>
      </c>
      <c r="C327">
        <v>110</v>
      </c>
      <c r="D327" t="s">
        <v>100</v>
      </c>
      <c r="E327" t="s">
        <v>11</v>
      </c>
      <c r="F327">
        <v>1</v>
      </c>
      <c r="G327" t="s">
        <v>13</v>
      </c>
    </row>
    <row r="328" spans="1:7" x14ac:dyDescent="0.25">
      <c r="A328">
        <v>22</v>
      </c>
      <c r="B328" t="s">
        <v>204</v>
      </c>
      <c r="C328">
        <v>120</v>
      </c>
      <c r="D328" t="s">
        <v>20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204</v>
      </c>
      <c r="C329">
        <v>130</v>
      </c>
      <c r="D329" t="s">
        <v>21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204</v>
      </c>
      <c r="C330">
        <v>140</v>
      </c>
      <c r="D330" t="s">
        <v>115</v>
      </c>
      <c r="E330" t="s">
        <v>12</v>
      </c>
      <c r="F330">
        <v>1.1759999999999999</v>
      </c>
      <c r="G330" t="s">
        <v>13</v>
      </c>
    </row>
    <row r="331" spans="1:7" x14ac:dyDescent="0.25">
      <c r="A331">
        <v>22</v>
      </c>
      <c r="B331" t="s">
        <v>204</v>
      </c>
      <c r="C331">
        <v>150</v>
      </c>
      <c r="D331" t="s">
        <v>207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208</v>
      </c>
      <c r="C332">
        <v>10</v>
      </c>
      <c r="D332" t="s">
        <v>119</v>
      </c>
      <c r="E332" t="s">
        <v>14</v>
      </c>
      <c r="F332">
        <v>0.94</v>
      </c>
      <c r="G332" t="s">
        <v>15</v>
      </c>
    </row>
    <row r="333" spans="1:7" x14ac:dyDescent="0.25">
      <c r="A333">
        <v>23</v>
      </c>
      <c r="B333" t="s">
        <v>208</v>
      </c>
      <c r="C333">
        <v>20</v>
      </c>
      <c r="D333" t="s">
        <v>209</v>
      </c>
      <c r="E333" t="s">
        <v>11</v>
      </c>
      <c r="F333">
        <v>1</v>
      </c>
      <c r="G333" t="s">
        <v>15</v>
      </c>
    </row>
    <row r="334" spans="1:7" x14ac:dyDescent="0.25">
      <c r="A334">
        <v>23</v>
      </c>
      <c r="B334" t="s">
        <v>208</v>
      </c>
      <c r="C334">
        <v>30</v>
      </c>
      <c r="D334" t="s">
        <v>210</v>
      </c>
      <c r="E334" t="s">
        <v>11</v>
      </c>
      <c r="F334">
        <v>1</v>
      </c>
      <c r="G334" t="s">
        <v>15</v>
      </c>
    </row>
    <row r="335" spans="1:7" x14ac:dyDescent="0.25">
      <c r="A335">
        <v>23</v>
      </c>
      <c r="B335" t="s">
        <v>208</v>
      </c>
      <c r="C335">
        <v>40</v>
      </c>
      <c r="D335" t="s">
        <v>113</v>
      </c>
      <c r="E335" t="s">
        <v>14</v>
      </c>
      <c r="F335">
        <v>0.94</v>
      </c>
      <c r="G335" t="s">
        <v>15</v>
      </c>
    </row>
    <row r="336" spans="1:7" x14ac:dyDescent="0.25">
      <c r="A336">
        <v>23</v>
      </c>
      <c r="B336" t="s">
        <v>208</v>
      </c>
      <c r="C336">
        <v>50</v>
      </c>
      <c r="D336" t="s">
        <v>111</v>
      </c>
      <c r="E336" t="s">
        <v>112</v>
      </c>
      <c r="F336">
        <v>0.29899999999999999</v>
      </c>
      <c r="G336" t="s">
        <v>13</v>
      </c>
    </row>
    <row r="337" spans="1:7" x14ac:dyDescent="0.25">
      <c r="A337">
        <v>23</v>
      </c>
      <c r="B337" t="s">
        <v>208</v>
      </c>
      <c r="C337">
        <v>60</v>
      </c>
      <c r="D337" t="s">
        <v>95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208</v>
      </c>
      <c r="C338">
        <v>70</v>
      </c>
      <c r="D338" t="s">
        <v>114</v>
      </c>
      <c r="E338" t="s">
        <v>14</v>
      </c>
      <c r="F338">
        <v>17.831</v>
      </c>
      <c r="G338" t="s">
        <v>13</v>
      </c>
    </row>
    <row r="339" spans="1:7" x14ac:dyDescent="0.25">
      <c r="A339">
        <v>23</v>
      </c>
      <c r="B339" t="s">
        <v>208</v>
      </c>
      <c r="C339">
        <v>80</v>
      </c>
      <c r="D339" t="s">
        <v>16</v>
      </c>
      <c r="E339" t="s">
        <v>14</v>
      </c>
      <c r="F339">
        <v>110.59699999999999</v>
      </c>
      <c r="G339" t="s">
        <v>13</v>
      </c>
    </row>
    <row r="340" spans="1:7" x14ac:dyDescent="0.25">
      <c r="A340">
        <v>23</v>
      </c>
      <c r="B340" t="s">
        <v>208</v>
      </c>
      <c r="C340">
        <v>90</v>
      </c>
      <c r="D340" t="s">
        <v>96</v>
      </c>
      <c r="E340" t="s">
        <v>12</v>
      </c>
      <c r="F340">
        <v>8.4000000000000005E-2</v>
      </c>
      <c r="G340" t="s">
        <v>13</v>
      </c>
    </row>
    <row r="341" spans="1:7" x14ac:dyDescent="0.25">
      <c r="A341">
        <v>23</v>
      </c>
      <c r="B341" t="s">
        <v>208</v>
      </c>
      <c r="C341">
        <v>100</v>
      </c>
      <c r="D341" t="s">
        <v>122</v>
      </c>
      <c r="E341" t="s">
        <v>11</v>
      </c>
      <c r="F341">
        <v>4</v>
      </c>
      <c r="G341" t="s">
        <v>13</v>
      </c>
    </row>
    <row r="342" spans="1:7" x14ac:dyDescent="0.25">
      <c r="A342">
        <v>23</v>
      </c>
      <c r="B342" t="s">
        <v>208</v>
      </c>
      <c r="C342">
        <v>110</v>
      </c>
      <c r="D342" t="s">
        <v>100</v>
      </c>
      <c r="E342" t="s">
        <v>11</v>
      </c>
      <c r="F342">
        <v>1</v>
      </c>
      <c r="G342" t="s">
        <v>13</v>
      </c>
    </row>
    <row r="343" spans="1:7" x14ac:dyDescent="0.25">
      <c r="A343">
        <v>23</v>
      </c>
      <c r="B343" t="s">
        <v>208</v>
      </c>
      <c r="C343">
        <v>120</v>
      </c>
      <c r="D343" t="s">
        <v>20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208</v>
      </c>
      <c r="C344">
        <v>130</v>
      </c>
      <c r="D344" t="s">
        <v>21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208</v>
      </c>
      <c r="C345">
        <v>140</v>
      </c>
      <c r="D345" t="s">
        <v>115</v>
      </c>
      <c r="E345" t="s">
        <v>12</v>
      </c>
      <c r="F345">
        <v>1.1759999999999999</v>
      </c>
      <c r="G345" t="s">
        <v>13</v>
      </c>
    </row>
    <row r="346" spans="1:7" x14ac:dyDescent="0.25">
      <c r="A346">
        <v>23</v>
      </c>
      <c r="B346" t="s">
        <v>208</v>
      </c>
      <c r="C346">
        <v>150</v>
      </c>
      <c r="D346" t="s">
        <v>211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212</v>
      </c>
      <c r="C347">
        <v>10</v>
      </c>
      <c r="D347" t="s">
        <v>119</v>
      </c>
      <c r="E347" t="s">
        <v>14</v>
      </c>
      <c r="F347">
        <v>1.0920000000000001</v>
      </c>
      <c r="G347" t="s">
        <v>15</v>
      </c>
    </row>
    <row r="348" spans="1:7" x14ac:dyDescent="0.25">
      <c r="A348">
        <v>24</v>
      </c>
      <c r="B348" t="s">
        <v>212</v>
      </c>
      <c r="C348">
        <v>20</v>
      </c>
      <c r="D348" t="s">
        <v>213</v>
      </c>
      <c r="E348" t="s">
        <v>11</v>
      </c>
      <c r="F348">
        <v>1</v>
      </c>
      <c r="G348" t="s">
        <v>15</v>
      </c>
    </row>
    <row r="349" spans="1:7" x14ac:dyDescent="0.25">
      <c r="A349">
        <v>24</v>
      </c>
      <c r="B349" t="s">
        <v>212</v>
      </c>
      <c r="C349">
        <v>30</v>
      </c>
      <c r="D349" t="s">
        <v>214</v>
      </c>
      <c r="E349" t="s">
        <v>11</v>
      </c>
      <c r="F349">
        <v>1</v>
      </c>
      <c r="G349" t="s">
        <v>15</v>
      </c>
    </row>
    <row r="350" spans="1:7" x14ac:dyDescent="0.25">
      <c r="A350">
        <v>24</v>
      </c>
      <c r="B350" t="s">
        <v>212</v>
      </c>
      <c r="C350">
        <v>40</v>
      </c>
      <c r="D350" t="s">
        <v>113</v>
      </c>
      <c r="E350" t="s">
        <v>14</v>
      </c>
      <c r="F350">
        <v>1.0920000000000001</v>
      </c>
      <c r="G350" t="s">
        <v>15</v>
      </c>
    </row>
    <row r="351" spans="1:7" x14ac:dyDescent="0.25">
      <c r="A351">
        <v>24</v>
      </c>
      <c r="B351" t="s">
        <v>212</v>
      </c>
      <c r="C351">
        <v>50</v>
      </c>
      <c r="D351" t="s">
        <v>111</v>
      </c>
      <c r="E351" t="s">
        <v>112</v>
      </c>
      <c r="F351">
        <v>0.34699999999999998</v>
      </c>
      <c r="G351" t="s">
        <v>13</v>
      </c>
    </row>
    <row r="352" spans="1:7" x14ac:dyDescent="0.25">
      <c r="A352">
        <v>24</v>
      </c>
      <c r="B352" t="s">
        <v>212</v>
      </c>
      <c r="C352">
        <v>60</v>
      </c>
      <c r="D352" t="s">
        <v>95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212</v>
      </c>
      <c r="C353">
        <v>70</v>
      </c>
      <c r="D353" t="s">
        <v>114</v>
      </c>
      <c r="E353" t="s">
        <v>14</v>
      </c>
      <c r="F353">
        <v>18.745000000000001</v>
      </c>
      <c r="G353" t="s">
        <v>13</v>
      </c>
    </row>
    <row r="354" spans="1:7" x14ac:dyDescent="0.25">
      <c r="A354">
        <v>24</v>
      </c>
      <c r="B354" t="s">
        <v>212</v>
      </c>
      <c r="C354">
        <v>80</v>
      </c>
      <c r="D354" t="s">
        <v>16</v>
      </c>
      <c r="E354" t="s">
        <v>14</v>
      </c>
      <c r="F354">
        <v>116.22</v>
      </c>
      <c r="G354" t="s">
        <v>13</v>
      </c>
    </row>
    <row r="355" spans="1:7" x14ac:dyDescent="0.25">
      <c r="A355">
        <v>24</v>
      </c>
      <c r="B355" t="s">
        <v>212</v>
      </c>
      <c r="C355">
        <v>90</v>
      </c>
      <c r="D355" t="s">
        <v>96</v>
      </c>
      <c r="E355" t="s">
        <v>12</v>
      </c>
      <c r="F355">
        <v>9.4E-2</v>
      </c>
      <c r="G355" t="s">
        <v>13</v>
      </c>
    </row>
    <row r="356" spans="1:7" x14ac:dyDescent="0.25">
      <c r="A356">
        <v>24</v>
      </c>
      <c r="B356" t="s">
        <v>212</v>
      </c>
      <c r="C356">
        <v>100</v>
      </c>
      <c r="D356" t="s">
        <v>122</v>
      </c>
      <c r="E356" t="s">
        <v>11</v>
      </c>
      <c r="F356">
        <v>4</v>
      </c>
      <c r="G356" t="s">
        <v>13</v>
      </c>
    </row>
    <row r="357" spans="1:7" x14ac:dyDescent="0.25">
      <c r="A357">
        <v>24</v>
      </c>
      <c r="B357" t="s">
        <v>212</v>
      </c>
      <c r="C357">
        <v>110</v>
      </c>
      <c r="D357" t="s">
        <v>100</v>
      </c>
      <c r="E357" t="s">
        <v>11</v>
      </c>
      <c r="F357">
        <v>1</v>
      </c>
      <c r="G357" t="s">
        <v>13</v>
      </c>
    </row>
    <row r="358" spans="1:7" x14ac:dyDescent="0.25">
      <c r="A358">
        <v>24</v>
      </c>
      <c r="B358" t="s">
        <v>212</v>
      </c>
      <c r="C358">
        <v>120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212</v>
      </c>
      <c r="C359">
        <v>130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212</v>
      </c>
      <c r="C360">
        <v>140</v>
      </c>
      <c r="D360" t="s">
        <v>115</v>
      </c>
      <c r="E360" t="s">
        <v>12</v>
      </c>
      <c r="F360">
        <v>1.1759999999999999</v>
      </c>
      <c r="G360" t="s">
        <v>13</v>
      </c>
    </row>
    <row r="361" spans="1:7" x14ac:dyDescent="0.25">
      <c r="A361">
        <v>24</v>
      </c>
      <c r="B361" t="s">
        <v>212</v>
      </c>
      <c r="C361">
        <v>150</v>
      </c>
      <c r="D361" t="s">
        <v>215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216</v>
      </c>
      <c r="C362">
        <v>10</v>
      </c>
      <c r="D362" t="s">
        <v>119</v>
      </c>
      <c r="E362" t="s">
        <v>14</v>
      </c>
      <c r="F362">
        <v>1.2450000000000001</v>
      </c>
      <c r="G362" t="s">
        <v>15</v>
      </c>
    </row>
    <row r="363" spans="1:7" x14ac:dyDescent="0.25">
      <c r="A363">
        <v>25</v>
      </c>
      <c r="B363" t="s">
        <v>216</v>
      </c>
      <c r="C363">
        <v>20</v>
      </c>
      <c r="D363" t="s">
        <v>217</v>
      </c>
      <c r="E363" t="s">
        <v>11</v>
      </c>
      <c r="F363">
        <v>1</v>
      </c>
      <c r="G363" t="s">
        <v>15</v>
      </c>
    </row>
    <row r="364" spans="1:7" x14ac:dyDescent="0.25">
      <c r="A364">
        <v>25</v>
      </c>
      <c r="B364" t="s">
        <v>216</v>
      </c>
      <c r="C364">
        <v>30</v>
      </c>
      <c r="D364" t="s">
        <v>218</v>
      </c>
      <c r="E364" t="s">
        <v>11</v>
      </c>
      <c r="F364">
        <v>1</v>
      </c>
      <c r="G364" t="s">
        <v>15</v>
      </c>
    </row>
    <row r="365" spans="1:7" x14ac:dyDescent="0.25">
      <c r="A365">
        <v>25</v>
      </c>
      <c r="B365" t="s">
        <v>216</v>
      </c>
      <c r="C365">
        <v>40</v>
      </c>
      <c r="D365" t="s">
        <v>113</v>
      </c>
      <c r="E365" t="s">
        <v>14</v>
      </c>
      <c r="F365">
        <v>1.2450000000000001</v>
      </c>
      <c r="G365" t="s">
        <v>15</v>
      </c>
    </row>
    <row r="366" spans="1:7" x14ac:dyDescent="0.25">
      <c r="A366">
        <v>25</v>
      </c>
      <c r="B366" t="s">
        <v>216</v>
      </c>
      <c r="C366">
        <v>50</v>
      </c>
      <c r="D366" t="s">
        <v>111</v>
      </c>
      <c r="E366" t="s">
        <v>112</v>
      </c>
      <c r="F366">
        <v>0.39600000000000002</v>
      </c>
      <c r="G366" t="s">
        <v>13</v>
      </c>
    </row>
    <row r="367" spans="1:7" x14ac:dyDescent="0.25">
      <c r="A367">
        <v>25</v>
      </c>
      <c r="B367" t="s">
        <v>216</v>
      </c>
      <c r="C367">
        <v>60</v>
      </c>
      <c r="D367" t="s">
        <v>95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216</v>
      </c>
      <c r="C368">
        <v>70</v>
      </c>
      <c r="D368" t="s">
        <v>114</v>
      </c>
      <c r="E368" t="s">
        <v>14</v>
      </c>
      <c r="F368">
        <v>19.66</v>
      </c>
      <c r="G368" t="s">
        <v>13</v>
      </c>
    </row>
    <row r="369" spans="1:7" x14ac:dyDescent="0.25">
      <c r="A369">
        <v>25</v>
      </c>
      <c r="B369" t="s">
        <v>216</v>
      </c>
      <c r="C369">
        <v>80</v>
      </c>
      <c r="D369" t="s">
        <v>16</v>
      </c>
      <c r="E369" t="s">
        <v>14</v>
      </c>
      <c r="F369">
        <v>121.84399999999999</v>
      </c>
      <c r="G369" t="s">
        <v>13</v>
      </c>
    </row>
    <row r="370" spans="1:7" x14ac:dyDescent="0.25">
      <c r="A370">
        <v>25</v>
      </c>
      <c r="B370" t="s">
        <v>216</v>
      </c>
      <c r="C370">
        <v>90</v>
      </c>
      <c r="D370" t="s">
        <v>96</v>
      </c>
      <c r="E370" t="s">
        <v>12</v>
      </c>
      <c r="F370">
        <v>0.105</v>
      </c>
      <c r="G370" t="s">
        <v>13</v>
      </c>
    </row>
    <row r="371" spans="1:7" x14ac:dyDescent="0.25">
      <c r="A371">
        <v>25</v>
      </c>
      <c r="B371" t="s">
        <v>216</v>
      </c>
      <c r="C371">
        <v>100</v>
      </c>
      <c r="D371" t="s">
        <v>122</v>
      </c>
      <c r="E371" t="s">
        <v>11</v>
      </c>
      <c r="F371">
        <v>4</v>
      </c>
      <c r="G371" t="s">
        <v>13</v>
      </c>
    </row>
    <row r="372" spans="1:7" x14ac:dyDescent="0.25">
      <c r="A372">
        <v>25</v>
      </c>
      <c r="B372" t="s">
        <v>216</v>
      </c>
      <c r="C372">
        <v>110</v>
      </c>
      <c r="D372" t="s">
        <v>100</v>
      </c>
      <c r="E372" t="s">
        <v>11</v>
      </c>
      <c r="F372">
        <v>1</v>
      </c>
      <c r="G372" t="s">
        <v>13</v>
      </c>
    </row>
    <row r="373" spans="1:7" x14ac:dyDescent="0.25">
      <c r="A373">
        <v>25</v>
      </c>
      <c r="B373" t="s">
        <v>216</v>
      </c>
      <c r="C373">
        <v>120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216</v>
      </c>
      <c r="C374">
        <v>130</v>
      </c>
      <c r="D374" t="s">
        <v>21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216</v>
      </c>
      <c r="C375">
        <v>140</v>
      </c>
      <c r="D375" t="s">
        <v>115</v>
      </c>
      <c r="E375" t="s">
        <v>12</v>
      </c>
      <c r="F375">
        <v>1.1759999999999999</v>
      </c>
      <c r="G375" t="s">
        <v>13</v>
      </c>
    </row>
    <row r="376" spans="1:7" x14ac:dyDescent="0.25">
      <c r="A376">
        <v>25</v>
      </c>
      <c r="B376" t="s">
        <v>216</v>
      </c>
      <c r="C376">
        <v>150</v>
      </c>
      <c r="D376" t="s">
        <v>219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220</v>
      </c>
      <c r="C377">
        <v>10</v>
      </c>
      <c r="D377" t="s">
        <v>119</v>
      </c>
      <c r="E377" t="s">
        <v>14</v>
      </c>
      <c r="F377">
        <v>1.5489999999999999</v>
      </c>
      <c r="G377" t="s">
        <v>15</v>
      </c>
    </row>
    <row r="378" spans="1:7" x14ac:dyDescent="0.25">
      <c r="A378">
        <v>26</v>
      </c>
      <c r="B378" t="s">
        <v>220</v>
      </c>
      <c r="C378">
        <v>20</v>
      </c>
      <c r="D378" t="s">
        <v>221</v>
      </c>
      <c r="E378" t="s">
        <v>11</v>
      </c>
      <c r="F378">
        <v>1</v>
      </c>
      <c r="G378" t="s">
        <v>15</v>
      </c>
    </row>
    <row r="379" spans="1:7" x14ac:dyDescent="0.25">
      <c r="A379">
        <v>26</v>
      </c>
      <c r="B379" t="s">
        <v>220</v>
      </c>
      <c r="C379">
        <v>30</v>
      </c>
      <c r="D379" t="s">
        <v>222</v>
      </c>
      <c r="E379" t="s">
        <v>11</v>
      </c>
      <c r="F379">
        <v>1</v>
      </c>
      <c r="G379" t="s">
        <v>15</v>
      </c>
    </row>
    <row r="380" spans="1:7" x14ac:dyDescent="0.25">
      <c r="A380">
        <v>26</v>
      </c>
      <c r="B380" t="s">
        <v>220</v>
      </c>
      <c r="C380">
        <v>40</v>
      </c>
      <c r="D380" t="s">
        <v>113</v>
      </c>
      <c r="E380" t="s">
        <v>14</v>
      </c>
      <c r="F380">
        <v>1.5489999999999999</v>
      </c>
      <c r="G380" t="s">
        <v>15</v>
      </c>
    </row>
    <row r="381" spans="1:7" x14ac:dyDescent="0.25">
      <c r="A381">
        <v>26</v>
      </c>
      <c r="B381" t="s">
        <v>220</v>
      </c>
      <c r="C381">
        <v>50</v>
      </c>
      <c r="D381" t="s">
        <v>111</v>
      </c>
      <c r="E381" t="s">
        <v>112</v>
      </c>
      <c r="F381">
        <v>0.49299999999999999</v>
      </c>
      <c r="G381" t="s">
        <v>13</v>
      </c>
    </row>
    <row r="382" spans="1:7" x14ac:dyDescent="0.25">
      <c r="A382">
        <v>26</v>
      </c>
      <c r="B382" t="s">
        <v>220</v>
      </c>
      <c r="C382">
        <v>60</v>
      </c>
      <c r="D382" t="s">
        <v>95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220</v>
      </c>
      <c r="C383">
        <v>70</v>
      </c>
      <c r="D383" t="s">
        <v>114</v>
      </c>
      <c r="E383" t="s">
        <v>14</v>
      </c>
      <c r="F383">
        <v>21.488</v>
      </c>
      <c r="G383" t="s">
        <v>13</v>
      </c>
    </row>
    <row r="384" spans="1:7" x14ac:dyDescent="0.25">
      <c r="A384">
        <v>26</v>
      </c>
      <c r="B384" t="s">
        <v>220</v>
      </c>
      <c r="C384">
        <v>80</v>
      </c>
      <c r="D384" t="s">
        <v>16</v>
      </c>
      <c r="E384" t="s">
        <v>14</v>
      </c>
      <c r="F384">
        <v>133.09100000000001</v>
      </c>
      <c r="G384" t="s">
        <v>13</v>
      </c>
    </row>
    <row r="385" spans="1:7" x14ac:dyDescent="0.25">
      <c r="A385">
        <v>26</v>
      </c>
      <c r="B385" t="s">
        <v>220</v>
      </c>
      <c r="C385">
        <v>90</v>
      </c>
      <c r="D385" t="s">
        <v>96</v>
      </c>
      <c r="E385" t="s">
        <v>12</v>
      </c>
      <c r="F385">
        <v>0.126</v>
      </c>
      <c r="G385" t="s">
        <v>13</v>
      </c>
    </row>
    <row r="386" spans="1:7" x14ac:dyDescent="0.25">
      <c r="A386">
        <v>26</v>
      </c>
      <c r="B386" t="s">
        <v>220</v>
      </c>
      <c r="C386">
        <v>100</v>
      </c>
      <c r="D386" t="s">
        <v>122</v>
      </c>
      <c r="E386" t="s">
        <v>11</v>
      </c>
      <c r="F386">
        <v>4</v>
      </c>
      <c r="G386" t="s">
        <v>13</v>
      </c>
    </row>
    <row r="387" spans="1:7" x14ac:dyDescent="0.25">
      <c r="A387">
        <v>26</v>
      </c>
      <c r="B387" t="s">
        <v>220</v>
      </c>
      <c r="C387">
        <v>110</v>
      </c>
      <c r="D387" t="s">
        <v>100</v>
      </c>
      <c r="E387" t="s">
        <v>11</v>
      </c>
      <c r="F387">
        <v>1</v>
      </c>
      <c r="G387" t="s">
        <v>13</v>
      </c>
    </row>
    <row r="388" spans="1:7" x14ac:dyDescent="0.25">
      <c r="A388">
        <v>26</v>
      </c>
      <c r="B388" t="s">
        <v>220</v>
      </c>
      <c r="C388">
        <v>120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220</v>
      </c>
      <c r="C389">
        <v>130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220</v>
      </c>
      <c r="C390">
        <v>140</v>
      </c>
      <c r="D390" t="s">
        <v>115</v>
      </c>
      <c r="E390" t="s">
        <v>12</v>
      </c>
      <c r="F390">
        <v>1.1759999999999999</v>
      </c>
      <c r="G390" t="s">
        <v>13</v>
      </c>
    </row>
    <row r="391" spans="1:7" x14ac:dyDescent="0.25">
      <c r="A391">
        <v>26</v>
      </c>
      <c r="B391" t="s">
        <v>220</v>
      </c>
      <c r="C391">
        <v>150</v>
      </c>
      <c r="D391" t="s">
        <v>223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224</v>
      </c>
      <c r="C392">
        <v>10</v>
      </c>
      <c r="D392" t="s">
        <v>119</v>
      </c>
      <c r="E392" t="s">
        <v>14</v>
      </c>
      <c r="F392">
        <v>1.702</v>
      </c>
      <c r="G392" t="s">
        <v>15</v>
      </c>
    </row>
    <row r="393" spans="1:7" x14ac:dyDescent="0.25">
      <c r="A393">
        <v>27</v>
      </c>
      <c r="B393" t="s">
        <v>224</v>
      </c>
      <c r="C393">
        <v>20</v>
      </c>
      <c r="D393" t="s">
        <v>225</v>
      </c>
      <c r="E393" t="s">
        <v>11</v>
      </c>
      <c r="F393">
        <v>1</v>
      </c>
      <c r="G393" t="s">
        <v>15</v>
      </c>
    </row>
    <row r="394" spans="1:7" x14ac:dyDescent="0.25">
      <c r="A394">
        <v>27</v>
      </c>
      <c r="B394" t="s">
        <v>224</v>
      </c>
      <c r="C394">
        <v>30</v>
      </c>
      <c r="D394" t="s">
        <v>226</v>
      </c>
      <c r="E394" t="s">
        <v>11</v>
      </c>
      <c r="F394">
        <v>1</v>
      </c>
      <c r="G394" t="s">
        <v>15</v>
      </c>
    </row>
    <row r="395" spans="1:7" x14ac:dyDescent="0.25">
      <c r="A395">
        <v>27</v>
      </c>
      <c r="B395" t="s">
        <v>224</v>
      </c>
      <c r="C395">
        <v>40</v>
      </c>
      <c r="D395" t="s">
        <v>113</v>
      </c>
      <c r="E395" t="s">
        <v>14</v>
      </c>
      <c r="F395">
        <v>1.702</v>
      </c>
      <c r="G395" t="s">
        <v>15</v>
      </c>
    </row>
    <row r="396" spans="1:7" x14ac:dyDescent="0.25">
      <c r="A396">
        <v>27</v>
      </c>
      <c r="B396" t="s">
        <v>224</v>
      </c>
      <c r="C396">
        <v>50</v>
      </c>
      <c r="D396" t="s">
        <v>111</v>
      </c>
      <c r="E396" t="s">
        <v>112</v>
      </c>
      <c r="F396">
        <v>0.54200000000000004</v>
      </c>
      <c r="G396" t="s">
        <v>13</v>
      </c>
    </row>
    <row r="397" spans="1:7" x14ac:dyDescent="0.25">
      <c r="A397">
        <v>27</v>
      </c>
      <c r="B397" t="s">
        <v>224</v>
      </c>
      <c r="C397">
        <v>60</v>
      </c>
      <c r="D397" t="s">
        <v>95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224</v>
      </c>
      <c r="C398">
        <v>70</v>
      </c>
      <c r="D398" t="s">
        <v>114</v>
      </c>
      <c r="E398" t="s">
        <v>14</v>
      </c>
      <c r="F398">
        <v>22.402999999999999</v>
      </c>
      <c r="G398" t="s">
        <v>13</v>
      </c>
    </row>
    <row r="399" spans="1:7" x14ac:dyDescent="0.25">
      <c r="A399">
        <v>27</v>
      </c>
      <c r="B399" t="s">
        <v>224</v>
      </c>
      <c r="C399">
        <v>80</v>
      </c>
      <c r="D399" t="s">
        <v>16</v>
      </c>
      <c r="E399" t="s">
        <v>14</v>
      </c>
      <c r="F399">
        <v>138.714</v>
      </c>
      <c r="G399" t="s">
        <v>13</v>
      </c>
    </row>
    <row r="400" spans="1:7" x14ac:dyDescent="0.25">
      <c r="A400">
        <v>27</v>
      </c>
      <c r="B400" t="s">
        <v>224</v>
      </c>
      <c r="C400">
        <v>90</v>
      </c>
      <c r="D400" t="s">
        <v>96</v>
      </c>
      <c r="E400" t="s">
        <v>12</v>
      </c>
      <c r="F400">
        <v>0.13700000000000001</v>
      </c>
      <c r="G400" t="s">
        <v>13</v>
      </c>
    </row>
    <row r="401" spans="1:7" x14ac:dyDescent="0.25">
      <c r="A401">
        <v>27</v>
      </c>
      <c r="B401" t="s">
        <v>224</v>
      </c>
      <c r="C401">
        <v>100</v>
      </c>
      <c r="D401" t="s">
        <v>122</v>
      </c>
      <c r="E401" t="s">
        <v>11</v>
      </c>
      <c r="F401">
        <v>4</v>
      </c>
      <c r="G401" t="s">
        <v>13</v>
      </c>
    </row>
    <row r="402" spans="1:7" x14ac:dyDescent="0.25">
      <c r="A402">
        <v>27</v>
      </c>
      <c r="B402" t="s">
        <v>224</v>
      </c>
      <c r="C402">
        <v>110</v>
      </c>
      <c r="D402" t="s">
        <v>100</v>
      </c>
      <c r="E402" t="s">
        <v>11</v>
      </c>
      <c r="F402">
        <v>1</v>
      </c>
      <c r="G402" t="s">
        <v>13</v>
      </c>
    </row>
    <row r="403" spans="1:7" x14ac:dyDescent="0.25">
      <c r="A403">
        <v>27</v>
      </c>
      <c r="B403" t="s">
        <v>224</v>
      </c>
      <c r="C403">
        <v>120</v>
      </c>
      <c r="D403" t="s">
        <v>20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224</v>
      </c>
      <c r="C404">
        <v>130</v>
      </c>
      <c r="D404" t="s">
        <v>21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224</v>
      </c>
      <c r="C405">
        <v>140</v>
      </c>
      <c r="D405" t="s">
        <v>115</v>
      </c>
      <c r="E405" t="s">
        <v>12</v>
      </c>
      <c r="F405">
        <v>1.1759999999999999</v>
      </c>
      <c r="G405" t="s">
        <v>13</v>
      </c>
    </row>
    <row r="406" spans="1:7" x14ac:dyDescent="0.25">
      <c r="A406">
        <v>27</v>
      </c>
      <c r="B406" t="s">
        <v>224</v>
      </c>
      <c r="C406">
        <v>150</v>
      </c>
      <c r="D406" t="s">
        <v>227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228</v>
      </c>
      <c r="C407">
        <v>10</v>
      </c>
      <c r="D407" t="s">
        <v>119</v>
      </c>
      <c r="E407" t="s">
        <v>14</v>
      </c>
      <c r="F407">
        <v>1.8540000000000001</v>
      </c>
      <c r="G407" t="s">
        <v>15</v>
      </c>
    </row>
    <row r="408" spans="1:7" x14ac:dyDescent="0.25">
      <c r="A408">
        <v>28</v>
      </c>
      <c r="B408" t="s">
        <v>228</v>
      </c>
      <c r="C408">
        <v>20</v>
      </c>
      <c r="D408" t="s">
        <v>229</v>
      </c>
      <c r="E408" t="s">
        <v>11</v>
      </c>
      <c r="F408">
        <v>1</v>
      </c>
      <c r="G408" t="s">
        <v>15</v>
      </c>
    </row>
    <row r="409" spans="1:7" x14ac:dyDescent="0.25">
      <c r="A409">
        <v>28</v>
      </c>
      <c r="B409" t="s">
        <v>228</v>
      </c>
      <c r="C409">
        <v>30</v>
      </c>
      <c r="D409" t="s">
        <v>230</v>
      </c>
      <c r="E409" t="s">
        <v>11</v>
      </c>
      <c r="F409">
        <v>1</v>
      </c>
      <c r="G409" t="s">
        <v>15</v>
      </c>
    </row>
    <row r="410" spans="1:7" x14ac:dyDescent="0.25">
      <c r="A410">
        <v>28</v>
      </c>
      <c r="B410" t="s">
        <v>228</v>
      </c>
      <c r="C410">
        <v>40</v>
      </c>
      <c r="D410" t="s">
        <v>113</v>
      </c>
      <c r="E410" t="s">
        <v>14</v>
      </c>
      <c r="F410">
        <v>1.8540000000000001</v>
      </c>
      <c r="G410" t="s">
        <v>15</v>
      </c>
    </row>
    <row r="411" spans="1:7" x14ac:dyDescent="0.25">
      <c r="A411">
        <v>28</v>
      </c>
      <c r="B411" t="s">
        <v>228</v>
      </c>
      <c r="C411">
        <v>50</v>
      </c>
      <c r="D411" t="s">
        <v>111</v>
      </c>
      <c r="E411" t="s">
        <v>112</v>
      </c>
      <c r="F411">
        <v>0.59</v>
      </c>
      <c r="G411" t="s">
        <v>13</v>
      </c>
    </row>
    <row r="412" spans="1:7" x14ac:dyDescent="0.25">
      <c r="A412">
        <v>28</v>
      </c>
      <c r="B412" t="s">
        <v>228</v>
      </c>
      <c r="C412">
        <v>60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228</v>
      </c>
      <c r="C413">
        <v>70</v>
      </c>
      <c r="D413" t="s">
        <v>114</v>
      </c>
      <c r="E413" t="s">
        <v>14</v>
      </c>
      <c r="F413">
        <v>23.317</v>
      </c>
      <c r="G413" t="s">
        <v>13</v>
      </c>
    </row>
    <row r="414" spans="1:7" x14ac:dyDescent="0.25">
      <c r="A414">
        <v>28</v>
      </c>
      <c r="B414" t="s">
        <v>228</v>
      </c>
      <c r="C414">
        <v>80</v>
      </c>
      <c r="D414" t="s">
        <v>16</v>
      </c>
      <c r="E414" t="s">
        <v>14</v>
      </c>
      <c r="F414">
        <v>144.33799999999999</v>
      </c>
      <c r="G414" t="s">
        <v>13</v>
      </c>
    </row>
    <row r="415" spans="1:7" x14ac:dyDescent="0.25">
      <c r="A415">
        <v>28</v>
      </c>
      <c r="B415" t="s">
        <v>228</v>
      </c>
      <c r="C415">
        <v>90</v>
      </c>
      <c r="D415" t="s">
        <v>96</v>
      </c>
      <c r="E415" t="s">
        <v>12</v>
      </c>
      <c r="F415">
        <v>0.14799999999999999</v>
      </c>
      <c r="G415" t="s">
        <v>13</v>
      </c>
    </row>
    <row r="416" spans="1:7" x14ac:dyDescent="0.25">
      <c r="A416">
        <v>28</v>
      </c>
      <c r="B416" t="s">
        <v>228</v>
      </c>
      <c r="C416">
        <v>100</v>
      </c>
      <c r="D416" t="s">
        <v>122</v>
      </c>
      <c r="E416" t="s">
        <v>11</v>
      </c>
      <c r="F416">
        <v>4</v>
      </c>
      <c r="G416" t="s">
        <v>13</v>
      </c>
    </row>
    <row r="417" spans="1:7" x14ac:dyDescent="0.25">
      <c r="A417">
        <v>28</v>
      </c>
      <c r="B417" t="s">
        <v>228</v>
      </c>
      <c r="C417">
        <v>110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28</v>
      </c>
      <c r="B418" t="s">
        <v>228</v>
      </c>
      <c r="C418">
        <v>120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228</v>
      </c>
      <c r="C419">
        <v>130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228</v>
      </c>
      <c r="C420">
        <v>140</v>
      </c>
      <c r="D420" t="s">
        <v>115</v>
      </c>
      <c r="E420" t="s">
        <v>12</v>
      </c>
      <c r="F420">
        <v>1.1759999999999999</v>
      </c>
      <c r="G420" t="s">
        <v>13</v>
      </c>
    </row>
    <row r="421" spans="1:7" x14ac:dyDescent="0.25">
      <c r="A421">
        <v>28</v>
      </c>
      <c r="B421" t="s">
        <v>228</v>
      </c>
      <c r="C421">
        <v>150</v>
      </c>
      <c r="D421" t="s">
        <v>231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232</v>
      </c>
      <c r="C422">
        <v>10</v>
      </c>
      <c r="D422" t="s">
        <v>119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29</v>
      </c>
      <c r="B423" t="s">
        <v>232</v>
      </c>
      <c r="C423">
        <v>20</v>
      </c>
      <c r="D423" t="s">
        <v>233</v>
      </c>
      <c r="E423" t="s">
        <v>11</v>
      </c>
      <c r="F423">
        <v>1</v>
      </c>
      <c r="G423" t="s">
        <v>15</v>
      </c>
    </row>
    <row r="424" spans="1:7" x14ac:dyDescent="0.25">
      <c r="A424">
        <v>29</v>
      </c>
      <c r="B424" t="s">
        <v>232</v>
      </c>
      <c r="C424">
        <v>30</v>
      </c>
      <c r="D424" t="s">
        <v>234</v>
      </c>
      <c r="E424" t="s">
        <v>11</v>
      </c>
      <c r="F424">
        <v>1</v>
      </c>
      <c r="G424" t="s">
        <v>15</v>
      </c>
    </row>
    <row r="425" spans="1:7" x14ac:dyDescent="0.25">
      <c r="A425">
        <v>29</v>
      </c>
      <c r="B425" t="s">
        <v>232</v>
      </c>
      <c r="C425">
        <v>40</v>
      </c>
      <c r="D425" t="s">
        <v>113</v>
      </c>
      <c r="E425" t="s">
        <v>14</v>
      </c>
      <c r="F425">
        <v>2.1589999999999998</v>
      </c>
      <c r="G425" t="s">
        <v>15</v>
      </c>
    </row>
    <row r="426" spans="1:7" x14ac:dyDescent="0.25">
      <c r="A426">
        <v>29</v>
      </c>
      <c r="B426" t="s">
        <v>232</v>
      </c>
      <c r="C426">
        <v>50</v>
      </c>
      <c r="D426" t="s">
        <v>111</v>
      </c>
      <c r="E426" t="s">
        <v>112</v>
      </c>
      <c r="F426">
        <v>0.26200000000000001</v>
      </c>
      <c r="G426" t="s">
        <v>13</v>
      </c>
    </row>
    <row r="427" spans="1:7" x14ac:dyDescent="0.25">
      <c r="A427">
        <v>29</v>
      </c>
      <c r="B427" t="s">
        <v>232</v>
      </c>
      <c r="C427">
        <v>60</v>
      </c>
      <c r="D427" t="s">
        <v>95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232</v>
      </c>
      <c r="C428">
        <v>70</v>
      </c>
      <c r="D428" t="s">
        <v>114</v>
      </c>
      <c r="E428" t="s">
        <v>14</v>
      </c>
      <c r="F428">
        <v>17.526</v>
      </c>
      <c r="G428" t="s">
        <v>13</v>
      </c>
    </row>
    <row r="429" spans="1:7" x14ac:dyDescent="0.25">
      <c r="A429">
        <v>29</v>
      </c>
      <c r="B429" t="s">
        <v>232</v>
      </c>
      <c r="C429">
        <v>80</v>
      </c>
      <c r="D429" t="s">
        <v>16</v>
      </c>
      <c r="E429" t="s">
        <v>14</v>
      </c>
      <c r="F429">
        <v>108.72199999999999</v>
      </c>
      <c r="G429" t="s">
        <v>13</v>
      </c>
    </row>
    <row r="430" spans="1:7" x14ac:dyDescent="0.25">
      <c r="A430">
        <v>29</v>
      </c>
      <c r="B430" t="s">
        <v>232</v>
      </c>
      <c r="C430">
        <v>90</v>
      </c>
      <c r="D430" t="s">
        <v>96</v>
      </c>
      <c r="E430" t="s">
        <v>12</v>
      </c>
      <c r="F430">
        <v>7.2999999999999995E-2</v>
      </c>
      <c r="G430" t="s">
        <v>13</v>
      </c>
    </row>
    <row r="431" spans="1:7" x14ac:dyDescent="0.25">
      <c r="A431">
        <v>29</v>
      </c>
      <c r="B431" t="s">
        <v>232</v>
      </c>
      <c r="C431">
        <v>100</v>
      </c>
      <c r="D431" t="s">
        <v>122</v>
      </c>
      <c r="E431" t="s">
        <v>11</v>
      </c>
      <c r="F431">
        <v>4</v>
      </c>
      <c r="G431" t="s">
        <v>13</v>
      </c>
    </row>
    <row r="432" spans="1:7" x14ac:dyDescent="0.25">
      <c r="A432">
        <v>29</v>
      </c>
      <c r="B432" t="s">
        <v>232</v>
      </c>
      <c r="C432">
        <v>110</v>
      </c>
      <c r="D432" t="s">
        <v>100</v>
      </c>
      <c r="E432" t="s">
        <v>11</v>
      </c>
      <c r="F432">
        <v>1</v>
      </c>
      <c r="G432" t="s">
        <v>13</v>
      </c>
    </row>
    <row r="433" spans="1:7" x14ac:dyDescent="0.25">
      <c r="A433">
        <v>29</v>
      </c>
      <c r="B433" t="s">
        <v>232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232</v>
      </c>
      <c r="C434">
        <v>130</v>
      </c>
      <c r="D434" t="s">
        <v>21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232</v>
      </c>
      <c r="C435">
        <v>140</v>
      </c>
      <c r="D435" t="s">
        <v>115</v>
      </c>
      <c r="E435" t="s">
        <v>12</v>
      </c>
      <c r="F435">
        <v>1.23</v>
      </c>
      <c r="G435" t="s">
        <v>13</v>
      </c>
    </row>
    <row r="436" spans="1:7" x14ac:dyDescent="0.25">
      <c r="A436">
        <v>29</v>
      </c>
      <c r="B436" t="s">
        <v>232</v>
      </c>
      <c r="C436">
        <v>150</v>
      </c>
      <c r="D436" t="s">
        <v>235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236</v>
      </c>
      <c r="C437">
        <v>10</v>
      </c>
      <c r="D437" t="s">
        <v>119</v>
      </c>
      <c r="E437" t="s">
        <v>14</v>
      </c>
      <c r="F437">
        <v>2.1589999999999998</v>
      </c>
      <c r="G437" t="s">
        <v>15</v>
      </c>
    </row>
    <row r="438" spans="1:7" x14ac:dyDescent="0.25">
      <c r="A438">
        <v>30</v>
      </c>
      <c r="B438" t="s">
        <v>236</v>
      </c>
      <c r="C438">
        <v>20</v>
      </c>
      <c r="D438" t="s">
        <v>237</v>
      </c>
      <c r="E438" t="s">
        <v>11</v>
      </c>
      <c r="F438">
        <v>1</v>
      </c>
      <c r="G438" t="s">
        <v>15</v>
      </c>
    </row>
    <row r="439" spans="1:7" x14ac:dyDescent="0.25">
      <c r="A439">
        <v>30</v>
      </c>
      <c r="B439" t="s">
        <v>236</v>
      </c>
      <c r="C439">
        <v>30</v>
      </c>
      <c r="D439" t="s">
        <v>238</v>
      </c>
      <c r="E439" t="s">
        <v>11</v>
      </c>
      <c r="F439">
        <v>1</v>
      </c>
      <c r="G439" t="s">
        <v>15</v>
      </c>
    </row>
    <row r="440" spans="1:7" x14ac:dyDescent="0.25">
      <c r="A440">
        <v>30</v>
      </c>
      <c r="B440" t="s">
        <v>236</v>
      </c>
      <c r="C440">
        <v>40</v>
      </c>
      <c r="D440" t="s">
        <v>113</v>
      </c>
      <c r="E440" t="s">
        <v>14</v>
      </c>
      <c r="F440">
        <v>2.1589999999999998</v>
      </c>
      <c r="G440" t="s">
        <v>15</v>
      </c>
    </row>
    <row r="441" spans="1:7" x14ac:dyDescent="0.25">
      <c r="A441">
        <v>30</v>
      </c>
      <c r="B441" t="s">
        <v>236</v>
      </c>
      <c r="C441">
        <v>50</v>
      </c>
      <c r="D441" t="s">
        <v>111</v>
      </c>
      <c r="E441" t="s">
        <v>112</v>
      </c>
      <c r="F441">
        <v>0.313</v>
      </c>
      <c r="G441" t="s">
        <v>13</v>
      </c>
    </row>
    <row r="442" spans="1:7" x14ac:dyDescent="0.25">
      <c r="A442">
        <v>30</v>
      </c>
      <c r="B442" t="s">
        <v>236</v>
      </c>
      <c r="C442">
        <v>60</v>
      </c>
      <c r="D442" t="s">
        <v>95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236</v>
      </c>
      <c r="C443">
        <v>70</v>
      </c>
      <c r="D443" t="s">
        <v>114</v>
      </c>
      <c r="E443" t="s">
        <v>14</v>
      </c>
      <c r="F443">
        <v>18.440000000000001</v>
      </c>
      <c r="G443" t="s">
        <v>13</v>
      </c>
    </row>
    <row r="444" spans="1:7" x14ac:dyDescent="0.25">
      <c r="A444">
        <v>30</v>
      </c>
      <c r="B444" t="s">
        <v>236</v>
      </c>
      <c r="C444">
        <v>80</v>
      </c>
      <c r="D444" t="s">
        <v>16</v>
      </c>
      <c r="E444" t="s">
        <v>14</v>
      </c>
      <c r="F444">
        <v>114.346</v>
      </c>
      <c r="G444" t="s">
        <v>13</v>
      </c>
    </row>
    <row r="445" spans="1:7" x14ac:dyDescent="0.25">
      <c r="A445">
        <v>30</v>
      </c>
      <c r="B445" t="s">
        <v>236</v>
      </c>
      <c r="C445">
        <v>90</v>
      </c>
      <c r="D445" t="s">
        <v>96</v>
      </c>
      <c r="E445" t="s">
        <v>12</v>
      </c>
      <c r="F445">
        <v>8.4000000000000005E-2</v>
      </c>
      <c r="G445" t="s">
        <v>13</v>
      </c>
    </row>
    <row r="446" spans="1:7" x14ac:dyDescent="0.25">
      <c r="A446">
        <v>30</v>
      </c>
      <c r="B446" t="s">
        <v>236</v>
      </c>
      <c r="C446">
        <v>100</v>
      </c>
      <c r="D446" t="s">
        <v>122</v>
      </c>
      <c r="E446" t="s">
        <v>11</v>
      </c>
      <c r="F446">
        <v>4</v>
      </c>
      <c r="G446" t="s">
        <v>13</v>
      </c>
    </row>
    <row r="447" spans="1:7" x14ac:dyDescent="0.25">
      <c r="A447">
        <v>30</v>
      </c>
      <c r="B447" t="s">
        <v>236</v>
      </c>
      <c r="C447">
        <v>110</v>
      </c>
      <c r="D447" t="s">
        <v>100</v>
      </c>
      <c r="E447" t="s">
        <v>11</v>
      </c>
      <c r="F447">
        <v>1</v>
      </c>
      <c r="G447" t="s">
        <v>13</v>
      </c>
    </row>
    <row r="448" spans="1:7" x14ac:dyDescent="0.25">
      <c r="A448">
        <v>30</v>
      </c>
      <c r="B448" t="s">
        <v>236</v>
      </c>
      <c r="C448">
        <v>120</v>
      </c>
      <c r="D448" t="s">
        <v>20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236</v>
      </c>
      <c r="C449">
        <v>130</v>
      </c>
      <c r="D449" t="s">
        <v>21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236</v>
      </c>
      <c r="C450">
        <v>140</v>
      </c>
      <c r="D450" t="s">
        <v>115</v>
      </c>
      <c r="E450" t="s">
        <v>12</v>
      </c>
      <c r="F450">
        <v>1.23</v>
      </c>
      <c r="G450" t="s">
        <v>13</v>
      </c>
    </row>
    <row r="451" spans="1:7" x14ac:dyDescent="0.25">
      <c r="A451">
        <v>30</v>
      </c>
      <c r="B451" t="s">
        <v>236</v>
      </c>
      <c r="C451">
        <v>150</v>
      </c>
      <c r="D451" t="s">
        <v>239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240</v>
      </c>
      <c r="C452">
        <v>10</v>
      </c>
      <c r="D452" t="s">
        <v>119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31</v>
      </c>
      <c r="B453" t="s">
        <v>240</v>
      </c>
      <c r="C453">
        <v>20</v>
      </c>
      <c r="D453" t="s">
        <v>241</v>
      </c>
      <c r="E453" t="s">
        <v>11</v>
      </c>
      <c r="F453">
        <v>1</v>
      </c>
      <c r="G453" t="s">
        <v>15</v>
      </c>
    </row>
    <row r="454" spans="1:7" x14ac:dyDescent="0.25">
      <c r="A454">
        <v>31</v>
      </c>
      <c r="B454" t="s">
        <v>240</v>
      </c>
      <c r="C454">
        <v>30</v>
      </c>
      <c r="D454" t="s">
        <v>242</v>
      </c>
      <c r="E454" t="s">
        <v>11</v>
      </c>
      <c r="F454">
        <v>1</v>
      </c>
      <c r="G454" t="s">
        <v>15</v>
      </c>
    </row>
    <row r="455" spans="1:7" x14ac:dyDescent="0.25">
      <c r="A455">
        <v>31</v>
      </c>
      <c r="B455" t="s">
        <v>240</v>
      </c>
      <c r="C455">
        <v>40</v>
      </c>
      <c r="D455" t="s">
        <v>113</v>
      </c>
      <c r="E455" t="s">
        <v>14</v>
      </c>
      <c r="F455">
        <v>2.1589999999999998</v>
      </c>
      <c r="G455" t="s">
        <v>15</v>
      </c>
    </row>
    <row r="456" spans="1:7" x14ac:dyDescent="0.25">
      <c r="A456">
        <v>31</v>
      </c>
      <c r="B456" t="s">
        <v>240</v>
      </c>
      <c r="C456">
        <v>50</v>
      </c>
      <c r="D456" t="s">
        <v>111</v>
      </c>
      <c r="E456" t="s">
        <v>112</v>
      </c>
      <c r="F456">
        <v>0.36499999999999999</v>
      </c>
      <c r="G456" t="s">
        <v>13</v>
      </c>
    </row>
    <row r="457" spans="1:7" x14ac:dyDescent="0.25">
      <c r="A457">
        <v>31</v>
      </c>
      <c r="B457" t="s">
        <v>240</v>
      </c>
      <c r="C457">
        <v>60</v>
      </c>
      <c r="D457" t="s">
        <v>95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240</v>
      </c>
      <c r="C458">
        <v>70</v>
      </c>
      <c r="D458" t="s">
        <v>114</v>
      </c>
      <c r="E458" t="s">
        <v>14</v>
      </c>
      <c r="F458">
        <v>19.355</v>
      </c>
      <c r="G458" t="s">
        <v>13</v>
      </c>
    </row>
    <row r="459" spans="1:7" x14ac:dyDescent="0.25">
      <c r="A459">
        <v>31</v>
      </c>
      <c r="B459" t="s">
        <v>240</v>
      </c>
      <c r="C459">
        <v>80</v>
      </c>
      <c r="D459" t="s">
        <v>16</v>
      </c>
      <c r="E459" t="s">
        <v>14</v>
      </c>
      <c r="F459">
        <v>119.96899999999999</v>
      </c>
      <c r="G459" t="s">
        <v>13</v>
      </c>
    </row>
    <row r="460" spans="1:7" x14ac:dyDescent="0.25">
      <c r="A460">
        <v>31</v>
      </c>
      <c r="B460" t="s">
        <v>240</v>
      </c>
      <c r="C460">
        <v>90</v>
      </c>
      <c r="D460" t="s">
        <v>96</v>
      </c>
      <c r="E460" t="s">
        <v>12</v>
      </c>
      <c r="F460">
        <v>9.4E-2</v>
      </c>
      <c r="G460" t="s">
        <v>13</v>
      </c>
    </row>
    <row r="461" spans="1:7" x14ac:dyDescent="0.25">
      <c r="A461">
        <v>31</v>
      </c>
      <c r="B461" t="s">
        <v>240</v>
      </c>
      <c r="C461">
        <v>100</v>
      </c>
      <c r="D461" t="s">
        <v>122</v>
      </c>
      <c r="E461" t="s">
        <v>11</v>
      </c>
      <c r="F461">
        <v>4</v>
      </c>
      <c r="G461" t="s">
        <v>13</v>
      </c>
    </row>
    <row r="462" spans="1:7" x14ac:dyDescent="0.25">
      <c r="A462">
        <v>31</v>
      </c>
      <c r="B462" t="s">
        <v>240</v>
      </c>
      <c r="C462">
        <v>110</v>
      </c>
      <c r="D462" t="s">
        <v>100</v>
      </c>
      <c r="E462" t="s">
        <v>11</v>
      </c>
      <c r="F462">
        <v>1</v>
      </c>
      <c r="G462" t="s">
        <v>13</v>
      </c>
    </row>
    <row r="463" spans="1:7" x14ac:dyDescent="0.25">
      <c r="A463">
        <v>31</v>
      </c>
      <c r="B463" t="s">
        <v>240</v>
      </c>
      <c r="C463">
        <v>120</v>
      </c>
      <c r="D463" t="s">
        <v>20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240</v>
      </c>
      <c r="C464">
        <v>130</v>
      </c>
      <c r="D464" t="s">
        <v>21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240</v>
      </c>
      <c r="C465">
        <v>140</v>
      </c>
      <c r="D465" t="s">
        <v>115</v>
      </c>
      <c r="E465" t="s">
        <v>12</v>
      </c>
      <c r="F465">
        <v>1.23</v>
      </c>
      <c r="G465" t="s">
        <v>13</v>
      </c>
    </row>
    <row r="466" spans="1:7" x14ac:dyDescent="0.25">
      <c r="A466">
        <v>31</v>
      </c>
      <c r="B466" t="s">
        <v>240</v>
      </c>
      <c r="C466">
        <v>150</v>
      </c>
      <c r="D466" t="s">
        <v>243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244</v>
      </c>
      <c r="C467">
        <v>10</v>
      </c>
      <c r="D467" t="s">
        <v>119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32</v>
      </c>
      <c r="B468" t="s">
        <v>244</v>
      </c>
      <c r="C468">
        <v>20</v>
      </c>
      <c r="D468" t="s">
        <v>245</v>
      </c>
      <c r="E468" t="s">
        <v>11</v>
      </c>
      <c r="F468">
        <v>1</v>
      </c>
      <c r="G468" t="s">
        <v>15</v>
      </c>
    </row>
    <row r="469" spans="1:7" x14ac:dyDescent="0.25">
      <c r="A469">
        <v>32</v>
      </c>
      <c r="B469" t="s">
        <v>244</v>
      </c>
      <c r="C469">
        <v>30</v>
      </c>
      <c r="D469" t="s">
        <v>246</v>
      </c>
      <c r="E469" t="s">
        <v>11</v>
      </c>
      <c r="F469">
        <v>1</v>
      </c>
      <c r="G469" t="s">
        <v>15</v>
      </c>
    </row>
    <row r="470" spans="1:7" x14ac:dyDescent="0.25">
      <c r="A470">
        <v>32</v>
      </c>
      <c r="B470" t="s">
        <v>244</v>
      </c>
      <c r="C470">
        <v>40</v>
      </c>
      <c r="D470" t="s">
        <v>113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32</v>
      </c>
      <c r="B471" t="s">
        <v>244</v>
      </c>
      <c r="C471">
        <v>50</v>
      </c>
      <c r="D471" t="s">
        <v>111</v>
      </c>
      <c r="E471" t="s">
        <v>112</v>
      </c>
      <c r="F471">
        <v>0.41599999999999998</v>
      </c>
      <c r="G471" t="s">
        <v>13</v>
      </c>
    </row>
    <row r="472" spans="1:7" x14ac:dyDescent="0.25">
      <c r="A472">
        <v>32</v>
      </c>
      <c r="B472" t="s">
        <v>244</v>
      </c>
      <c r="C472">
        <v>60</v>
      </c>
      <c r="D472" t="s">
        <v>95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244</v>
      </c>
      <c r="C473">
        <v>70</v>
      </c>
      <c r="D473" t="s">
        <v>114</v>
      </c>
      <c r="E473" t="s">
        <v>14</v>
      </c>
      <c r="F473">
        <v>20.268999999999998</v>
      </c>
      <c r="G473" t="s">
        <v>13</v>
      </c>
    </row>
    <row r="474" spans="1:7" x14ac:dyDescent="0.25">
      <c r="A474">
        <v>32</v>
      </c>
      <c r="B474" t="s">
        <v>244</v>
      </c>
      <c r="C474">
        <v>80</v>
      </c>
      <c r="D474" t="s">
        <v>16</v>
      </c>
      <c r="E474" t="s">
        <v>14</v>
      </c>
      <c r="F474">
        <v>125.593</v>
      </c>
      <c r="G474" t="s">
        <v>13</v>
      </c>
    </row>
    <row r="475" spans="1:7" x14ac:dyDescent="0.25">
      <c r="A475">
        <v>32</v>
      </c>
      <c r="B475" t="s">
        <v>244</v>
      </c>
      <c r="C475">
        <v>90</v>
      </c>
      <c r="D475" t="s">
        <v>96</v>
      </c>
      <c r="E475" t="s">
        <v>12</v>
      </c>
      <c r="F475">
        <v>0.105</v>
      </c>
      <c r="G475" t="s">
        <v>13</v>
      </c>
    </row>
    <row r="476" spans="1:7" x14ac:dyDescent="0.25">
      <c r="A476">
        <v>32</v>
      </c>
      <c r="B476" t="s">
        <v>244</v>
      </c>
      <c r="C476">
        <v>100</v>
      </c>
      <c r="D476" t="s">
        <v>122</v>
      </c>
      <c r="E476" t="s">
        <v>11</v>
      </c>
      <c r="F476">
        <v>4</v>
      </c>
      <c r="G476" t="s">
        <v>13</v>
      </c>
    </row>
    <row r="477" spans="1:7" x14ac:dyDescent="0.25">
      <c r="A477">
        <v>32</v>
      </c>
      <c r="B477" t="s">
        <v>244</v>
      </c>
      <c r="C477">
        <v>110</v>
      </c>
      <c r="D477" t="s">
        <v>100</v>
      </c>
      <c r="E477" t="s">
        <v>11</v>
      </c>
      <c r="F477">
        <v>1</v>
      </c>
      <c r="G477" t="s">
        <v>13</v>
      </c>
    </row>
    <row r="478" spans="1:7" x14ac:dyDescent="0.25">
      <c r="A478">
        <v>32</v>
      </c>
      <c r="B478" t="s">
        <v>244</v>
      </c>
      <c r="C478">
        <v>120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244</v>
      </c>
      <c r="C479">
        <v>130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244</v>
      </c>
      <c r="C480">
        <v>140</v>
      </c>
      <c r="D480" t="s">
        <v>115</v>
      </c>
      <c r="E480" t="s">
        <v>12</v>
      </c>
      <c r="F480">
        <v>1.23</v>
      </c>
      <c r="G480" t="s">
        <v>13</v>
      </c>
    </row>
    <row r="481" spans="1:7" x14ac:dyDescent="0.25">
      <c r="A481">
        <v>32</v>
      </c>
      <c r="B481" t="s">
        <v>244</v>
      </c>
      <c r="C481">
        <v>150</v>
      </c>
      <c r="D481" t="s">
        <v>247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248</v>
      </c>
      <c r="C482">
        <v>10</v>
      </c>
      <c r="D482" t="s">
        <v>119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33</v>
      </c>
      <c r="B483" t="s">
        <v>248</v>
      </c>
      <c r="C483">
        <v>20</v>
      </c>
      <c r="D483" t="s">
        <v>249</v>
      </c>
      <c r="E483" t="s">
        <v>11</v>
      </c>
      <c r="F483">
        <v>1</v>
      </c>
      <c r="G483" t="s">
        <v>15</v>
      </c>
    </row>
    <row r="484" spans="1:7" x14ac:dyDescent="0.25">
      <c r="A484">
        <v>33</v>
      </c>
      <c r="B484" t="s">
        <v>248</v>
      </c>
      <c r="C484">
        <v>30</v>
      </c>
      <c r="D484" t="s">
        <v>250</v>
      </c>
      <c r="E484" t="s">
        <v>11</v>
      </c>
      <c r="F484">
        <v>1</v>
      </c>
      <c r="G484" t="s">
        <v>15</v>
      </c>
    </row>
    <row r="485" spans="1:7" x14ac:dyDescent="0.25">
      <c r="A485">
        <v>33</v>
      </c>
      <c r="B485" t="s">
        <v>248</v>
      </c>
      <c r="C485">
        <v>40</v>
      </c>
      <c r="D485" t="s">
        <v>113</v>
      </c>
      <c r="E485" t="s">
        <v>14</v>
      </c>
      <c r="F485">
        <v>2.1589999999999998</v>
      </c>
      <c r="G485" t="s">
        <v>15</v>
      </c>
    </row>
    <row r="486" spans="1:7" x14ac:dyDescent="0.25">
      <c r="A486">
        <v>33</v>
      </c>
      <c r="B486" t="s">
        <v>248</v>
      </c>
      <c r="C486">
        <v>50</v>
      </c>
      <c r="D486" t="s">
        <v>111</v>
      </c>
      <c r="E486" t="s">
        <v>112</v>
      </c>
      <c r="F486">
        <v>0.51800000000000002</v>
      </c>
      <c r="G486" t="s">
        <v>13</v>
      </c>
    </row>
    <row r="487" spans="1:7" x14ac:dyDescent="0.25">
      <c r="A487">
        <v>33</v>
      </c>
      <c r="B487" t="s">
        <v>248</v>
      </c>
      <c r="C487">
        <v>60</v>
      </c>
      <c r="D487" t="s">
        <v>95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248</v>
      </c>
      <c r="C488">
        <v>70</v>
      </c>
      <c r="D488" t="s">
        <v>114</v>
      </c>
      <c r="E488" t="s">
        <v>14</v>
      </c>
      <c r="F488">
        <v>22.097999999999999</v>
      </c>
      <c r="G488" t="s">
        <v>13</v>
      </c>
    </row>
    <row r="489" spans="1:7" x14ac:dyDescent="0.25">
      <c r="A489">
        <v>33</v>
      </c>
      <c r="B489" t="s">
        <v>248</v>
      </c>
      <c r="C489">
        <v>80</v>
      </c>
      <c r="D489" t="s">
        <v>16</v>
      </c>
      <c r="E489" t="s">
        <v>14</v>
      </c>
      <c r="F489">
        <v>136.84</v>
      </c>
      <c r="G489" t="s">
        <v>13</v>
      </c>
    </row>
    <row r="490" spans="1:7" x14ac:dyDescent="0.25">
      <c r="A490">
        <v>33</v>
      </c>
      <c r="B490" t="s">
        <v>248</v>
      </c>
      <c r="C490">
        <v>90</v>
      </c>
      <c r="D490" t="s">
        <v>96</v>
      </c>
      <c r="E490" t="s">
        <v>12</v>
      </c>
      <c r="F490">
        <v>0.126</v>
      </c>
      <c r="G490" t="s">
        <v>13</v>
      </c>
    </row>
    <row r="491" spans="1:7" x14ac:dyDescent="0.25">
      <c r="A491">
        <v>33</v>
      </c>
      <c r="B491" t="s">
        <v>248</v>
      </c>
      <c r="C491">
        <v>100</v>
      </c>
      <c r="D491" t="s">
        <v>122</v>
      </c>
      <c r="E491" t="s">
        <v>11</v>
      </c>
      <c r="F491">
        <v>4</v>
      </c>
      <c r="G491" t="s">
        <v>13</v>
      </c>
    </row>
    <row r="492" spans="1:7" x14ac:dyDescent="0.25">
      <c r="A492">
        <v>33</v>
      </c>
      <c r="B492" t="s">
        <v>248</v>
      </c>
      <c r="C492">
        <v>110</v>
      </c>
      <c r="D492" t="s">
        <v>100</v>
      </c>
      <c r="E492" t="s">
        <v>11</v>
      </c>
      <c r="F492">
        <v>1</v>
      </c>
      <c r="G492" t="s">
        <v>13</v>
      </c>
    </row>
    <row r="493" spans="1:7" x14ac:dyDescent="0.25">
      <c r="A493">
        <v>33</v>
      </c>
      <c r="B493" t="s">
        <v>248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248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248</v>
      </c>
      <c r="C495">
        <v>140</v>
      </c>
      <c r="D495" t="s">
        <v>115</v>
      </c>
      <c r="E495" t="s">
        <v>12</v>
      </c>
      <c r="F495">
        <v>1.23</v>
      </c>
      <c r="G495" t="s">
        <v>13</v>
      </c>
    </row>
    <row r="496" spans="1:7" x14ac:dyDescent="0.25">
      <c r="A496">
        <v>33</v>
      </c>
      <c r="B496" t="s">
        <v>248</v>
      </c>
      <c r="C496">
        <v>150</v>
      </c>
      <c r="D496" t="s">
        <v>251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252</v>
      </c>
      <c r="C497">
        <v>10</v>
      </c>
      <c r="D497" t="s">
        <v>119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34</v>
      </c>
      <c r="B498" t="s">
        <v>252</v>
      </c>
      <c r="C498">
        <v>20</v>
      </c>
      <c r="D498" t="s">
        <v>253</v>
      </c>
      <c r="E498" t="s">
        <v>11</v>
      </c>
      <c r="F498">
        <v>1</v>
      </c>
      <c r="G498" t="s">
        <v>15</v>
      </c>
    </row>
    <row r="499" spans="1:7" x14ac:dyDescent="0.25">
      <c r="A499">
        <v>34</v>
      </c>
      <c r="B499" t="s">
        <v>252</v>
      </c>
      <c r="C499">
        <v>30</v>
      </c>
      <c r="D499" t="s">
        <v>254</v>
      </c>
      <c r="E499" t="s">
        <v>11</v>
      </c>
      <c r="F499">
        <v>1</v>
      </c>
      <c r="G499" t="s">
        <v>15</v>
      </c>
    </row>
    <row r="500" spans="1:7" x14ac:dyDescent="0.25">
      <c r="A500">
        <v>34</v>
      </c>
      <c r="B500" t="s">
        <v>252</v>
      </c>
      <c r="C500">
        <v>40</v>
      </c>
      <c r="D500" t="s">
        <v>113</v>
      </c>
      <c r="E500" t="s">
        <v>14</v>
      </c>
      <c r="F500">
        <v>2.1589999999999998</v>
      </c>
      <c r="G500" t="s">
        <v>15</v>
      </c>
    </row>
    <row r="501" spans="1:7" x14ac:dyDescent="0.25">
      <c r="A501">
        <v>34</v>
      </c>
      <c r="B501" t="s">
        <v>252</v>
      </c>
      <c r="C501">
        <v>50</v>
      </c>
      <c r="D501" t="s">
        <v>111</v>
      </c>
      <c r="E501" t="s">
        <v>112</v>
      </c>
      <c r="F501">
        <v>0.56899999999999995</v>
      </c>
      <c r="G501" t="s">
        <v>13</v>
      </c>
    </row>
    <row r="502" spans="1:7" x14ac:dyDescent="0.25">
      <c r="A502">
        <v>34</v>
      </c>
      <c r="B502" t="s">
        <v>252</v>
      </c>
      <c r="C502">
        <v>60</v>
      </c>
      <c r="D502" t="s">
        <v>95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252</v>
      </c>
      <c r="C503">
        <v>70</v>
      </c>
      <c r="D503" t="s">
        <v>114</v>
      </c>
      <c r="E503" t="s">
        <v>14</v>
      </c>
      <c r="F503">
        <v>23.012</v>
      </c>
      <c r="G503" t="s">
        <v>13</v>
      </c>
    </row>
    <row r="504" spans="1:7" x14ac:dyDescent="0.25">
      <c r="A504">
        <v>34</v>
      </c>
      <c r="B504" t="s">
        <v>252</v>
      </c>
      <c r="C504">
        <v>80</v>
      </c>
      <c r="D504" t="s">
        <v>16</v>
      </c>
      <c r="E504" t="s">
        <v>14</v>
      </c>
      <c r="F504">
        <v>142.464</v>
      </c>
      <c r="G504" t="s">
        <v>13</v>
      </c>
    </row>
    <row r="505" spans="1:7" x14ac:dyDescent="0.25">
      <c r="A505">
        <v>34</v>
      </c>
      <c r="B505" t="s">
        <v>252</v>
      </c>
      <c r="C505">
        <v>90</v>
      </c>
      <c r="D505" t="s">
        <v>96</v>
      </c>
      <c r="E505" t="s">
        <v>12</v>
      </c>
      <c r="F505">
        <v>0.13700000000000001</v>
      </c>
      <c r="G505" t="s">
        <v>13</v>
      </c>
    </row>
    <row r="506" spans="1:7" x14ac:dyDescent="0.25">
      <c r="A506">
        <v>34</v>
      </c>
      <c r="B506" t="s">
        <v>252</v>
      </c>
      <c r="C506">
        <v>100</v>
      </c>
      <c r="D506" t="s">
        <v>122</v>
      </c>
      <c r="E506" t="s">
        <v>11</v>
      </c>
      <c r="F506">
        <v>4</v>
      </c>
      <c r="G506" t="s">
        <v>13</v>
      </c>
    </row>
    <row r="507" spans="1:7" x14ac:dyDescent="0.25">
      <c r="A507">
        <v>34</v>
      </c>
      <c r="B507" t="s">
        <v>252</v>
      </c>
      <c r="C507">
        <v>110</v>
      </c>
      <c r="D507" t="s">
        <v>100</v>
      </c>
      <c r="E507" t="s">
        <v>11</v>
      </c>
      <c r="F507">
        <v>1</v>
      </c>
      <c r="G507" t="s">
        <v>13</v>
      </c>
    </row>
    <row r="508" spans="1:7" x14ac:dyDescent="0.25">
      <c r="A508">
        <v>34</v>
      </c>
      <c r="B508" t="s">
        <v>252</v>
      </c>
      <c r="C508">
        <v>120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252</v>
      </c>
      <c r="C509">
        <v>130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252</v>
      </c>
      <c r="C510">
        <v>140</v>
      </c>
      <c r="D510" t="s">
        <v>115</v>
      </c>
      <c r="E510" t="s">
        <v>12</v>
      </c>
      <c r="F510">
        <v>1.23</v>
      </c>
      <c r="G510" t="s">
        <v>13</v>
      </c>
    </row>
    <row r="511" spans="1:7" x14ac:dyDescent="0.25">
      <c r="A511">
        <v>34</v>
      </c>
      <c r="B511" t="s">
        <v>252</v>
      </c>
      <c r="C511">
        <v>150</v>
      </c>
      <c r="D511" t="s">
        <v>255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256</v>
      </c>
      <c r="C512">
        <v>10</v>
      </c>
      <c r="D512" t="s">
        <v>119</v>
      </c>
      <c r="E512" t="s">
        <v>14</v>
      </c>
      <c r="F512">
        <v>2.1589999999999998</v>
      </c>
      <c r="G512" t="s">
        <v>15</v>
      </c>
    </row>
    <row r="513" spans="1:7" x14ac:dyDescent="0.25">
      <c r="A513">
        <v>35</v>
      </c>
      <c r="B513" t="s">
        <v>256</v>
      </c>
      <c r="C513">
        <v>20</v>
      </c>
      <c r="D513" t="s">
        <v>257</v>
      </c>
      <c r="E513" t="s">
        <v>11</v>
      </c>
      <c r="F513">
        <v>1</v>
      </c>
      <c r="G513" t="s">
        <v>15</v>
      </c>
    </row>
    <row r="514" spans="1:7" x14ac:dyDescent="0.25">
      <c r="A514">
        <v>35</v>
      </c>
      <c r="B514" t="s">
        <v>256</v>
      </c>
      <c r="C514">
        <v>30</v>
      </c>
      <c r="D514" t="s">
        <v>258</v>
      </c>
      <c r="E514" t="s">
        <v>11</v>
      </c>
      <c r="F514">
        <v>1</v>
      </c>
      <c r="G514" t="s">
        <v>15</v>
      </c>
    </row>
    <row r="515" spans="1:7" x14ac:dyDescent="0.25">
      <c r="A515">
        <v>35</v>
      </c>
      <c r="B515" t="s">
        <v>256</v>
      </c>
      <c r="C515">
        <v>40</v>
      </c>
      <c r="D515" t="s">
        <v>113</v>
      </c>
      <c r="E515" t="s">
        <v>14</v>
      </c>
      <c r="F515">
        <v>2.1589999999999998</v>
      </c>
      <c r="G515" t="s">
        <v>15</v>
      </c>
    </row>
    <row r="516" spans="1:7" x14ac:dyDescent="0.25">
      <c r="A516">
        <v>35</v>
      </c>
      <c r="B516" t="s">
        <v>256</v>
      </c>
      <c r="C516">
        <v>50</v>
      </c>
      <c r="D516" t="s">
        <v>111</v>
      </c>
      <c r="E516" t="s">
        <v>112</v>
      </c>
      <c r="F516">
        <v>0.62</v>
      </c>
      <c r="G516" t="s">
        <v>13</v>
      </c>
    </row>
    <row r="517" spans="1:7" x14ac:dyDescent="0.25">
      <c r="A517">
        <v>35</v>
      </c>
      <c r="B517" t="s">
        <v>256</v>
      </c>
      <c r="C517">
        <v>60</v>
      </c>
      <c r="D517" t="s">
        <v>95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256</v>
      </c>
      <c r="C518">
        <v>70</v>
      </c>
      <c r="D518" t="s">
        <v>114</v>
      </c>
      <c r="E518" t="s">
        <v>14</v>
      </c>
      <c r="F518">
        <v>23.927</v>
      </c>
      <c r="G518" t="s">
        <v>13</v>
      </c>
    </row>
    <row r="519" spans="1:7" x14ac:dyDescent="0.25">
      <c r="A519">
        <v>35</v>
      </c>
      <c r="B519" t="s">
        <v>256</v>
      </c>
      <c r="C519">
        <v>80</v>
      </c>
      <c r="D519" t="s">
        <v>16</v>
      </c>
      <c r="E519" t="s">
        <v>14</v>
      </c>
      <c r="F519">
        <v>148.08699999999999</v>
      </c>
      <c r="G519" t="s">
        <v>13</v>
      </c>
    </row>
    <row r="520" spans="1:7" x14ac:dyDescent="0.25">
      <c r="A520">
        <v>35</v>
      </c>
      <c r="B520" t="s">
        <v>256</v>
      </c>
      <c r="C520">
        <v>90</v>
      </c>
      <c r="D520" t="s">
        <v>96</v>
      </c>
      <c r="E520" t="s">
        <v>12</v>
      </c>
      <c r="F520">
        <v>0.14799999999999999</v>
      </c>
      <c r="G520" t="s">
        <v>13</v>
      </c>
    </row>
    <row r="521" spans="1:7" x14ac:dyDescent="0.25">
      <c r="A521">
        <v>35</v>
      </c>
      <c r="B521" t="s">
        <v>256</v>
      </c>
      <c r="C521">
        <v>100</v>
      </c>
      <c r="D521" t="s">
        <v>122</v>
      </c>
      <c r="E521" t="s">
        <v>11</v>
      </c>
      <c r="F521">
        <v>4</v>
      </c>
      <c r="G521" t="s">
        <v>13</v>
      </c>
    </row>
    <row r="522" spans="1:7" x14ac:dyDescent="0.25">
      <c r="A522">
        <v>35</v>
      </c>
      <c r="B522" t="s">
        <v>256</v>
      </c>
      <c r="C522">
        <v>110</v>
      </c>
      <c r="D522" t="s">
        <v>100</v>
      </c>
      <c r="E522" t="s">
        <v>11</v>
      </c>
      <c r="F522">
        <v>1</v>
      </c>
      <c r="G522" t="s">
        <v>13</v>
      </c>
    </row>
    <row r="523" spans="1:7" x14ac:dyDescent="0.25">
      <c r="A523">
        <v>35</v>
      </c>
      <c r="B523" t="s">
        <v>256</v>
      </c>
      <c r="C523">
        <v>120</v>
      </c>
      <c r="D523" t="s">
        <v>20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256</v>
      </c>
      <c r="C524">
        <v>130</v>
      </c>
      <c r="D524" t="s">
        <v>21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256</v>
      </c>
      <c r="C525">
        <v>140</v>
      </c>
      <c r="D525" t="s">
        <v>115</v>
      </c>
      <c r="E525" t="s">
        <v>12</v>
      </c>
      <c r="F525">
        <v>1.23</v>
      </c>
      <c r="G525" t="s">
        <v>13</v>
      </c>
    </row>
    <row r="526" spans="1:7" x14ac:dyDescent="0.25">
      <c r="A526">
        <v>35</v>
      </c>
      <c r="B526" t="s">
        <v>256</v>
      </c>
      <c r="C526">
        <v>150</v>
      </c>
      <c r="D526" t="s">
        <v>259</v>
      </c>
      <c r="E526" t="s">
        <v>11</v>
      </c>
      <c r="F526">
        <v>1</v>
      </c>
      <c r="G52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529"/>
  <sheetViews>
    <sheetView topLeftCell="A504" zoomScale="85" zoomScaleNormal="85" workbookViewId="0">
      <selection activeCell="L519" sqref="L51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2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24</v>
      </c>
      <c r="B1" s="50" t="s">
        <v>25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26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27</v>
      </c>
      <c r="C2" s="47" t="s">
        <v>28</v>
      </c>
      <c r="D2" s="47" t="s">
        <v>29</v>
      </c>
      <c r="E2" s="47" t="s">
        <v>28</v>
      </c>
      <c r="F2" s="47" t="s">
        <v>29</v>
      </c>
      <c r="G2" s="47" t="s">
        <v>27</v>
      </c>
      <c r="H2" s="47" t="s">
        <v>29</v>
      </c>
      <c r="I2" s="47" t="s">
        <v>29</v>
      </c>
      <c r="J2" s="47" t="s">
        <v>29</v>
      </c>
      <c r="K2" s="47" t="s">
        <v>29</v>
      </c>
      <c r="L2" s="47" t="s">
        <v>27</v>
      </c>
      <c r="M2" s="48" t="s">
        <v>30</v>
      </c>
      <c r="N2" s="21" t="s">
        <v>30</v>
      </c>
      <c r="O2" s="48" t="s">
        <v>30</v>
      </c>
      <c r="P2" s="48" t="s">
        <v>31</v>
      </c>
      <c r="Q2" s="48" t="s">
        <v>30</v>
      </c>
      <c r="R2" s="48" t="s">
        <v>31</v>
      </c>
      <c r="S2" s="48" t="s">
        <v>30</v>
      </c>
      <c r="T2" s="48" t="s">
        <v>30</v>
      </c>
      <c r="U2" s="48" t="s">
        <v>31</v>
      </c>
      <c r="V2" s="48" t="s">
        <v>30</v>
      </c>
      <c r="W2" s="48" t="s">
        <v>30</v>
      </c>
      <c r="X2" s="48" t="s">
        <v>30</v>
      </c>
      <c r="Y2" s="48" t="s">
        <v>31</v>
      </c>
      <c r="Z2" s="48" t="s">
        <v>32</v>
      </c>
      <c r="AA2" s="48" t="s">
        <v>30</v>
      </c>
      <c r="AB2" s="48" t="s">
        <v>30</v>
      </c>
      <c r="AC2" s="48" t="s">
        <v>30</v>
      </c>
      <c r="AD2" s="48" t="s">
        <v>30</v>
      </c>
      <c r="AE2" s="48" t="s">
        <v>30</v>
      </c>
      <c r="AF2" s="48" t="s">
        <v>30</v>
      </c>
      <c r="AG2" s="48" t="s">
        <v>32</v>
      </c>
      <c r="AH2" s="48" t="s">
        <v>32</v>
      </c>
      <c r="AI2" s="48" t="s">
        <v>32</v>
      </c>
      <c r="AJ2" s="48" t="s">
        <v>30</v>
      </c>
      <c r="AK2" s="48" t="s">
        <v>30</v>
      </c>
      <c r="AL2" s="48" t="s">
        <v>30</v>
      </c>
    </row>
    <row r="3" spans="1:38" x14ac:dyDescent="0.25">
      <c r="A3" s="49"/>
      <c r="B3" s="47" t="s">
        <v>33</v>
      </c>
      <c r="C3" s="47" t="s">
        <v>34</v>
      </c>
      <c r="D3" s="47" t="s">
        <v>35</v>
      </c>
      <c r="E3" s="47" t="s">
        <v>34</v>
      </c>
      <c r="F3" s="47" t="s">
        <v>36</v>
      </c>
      <c r="G3" s="47" t="s">
        <v>37</v>
      </c>
      <c r="H3" s="47" t="s">
        <v>38</v>
      </c>
      <c r="I3" s="47" t="s">
        <v>39</v>
      </c>
      <c r="J3" s="47" t="s">
        <v>34</v>
      </c>
      <c r="K3" s="47" t="s">
        <v>34</v>
      </c>
      <c r="L3" s="47" t="s">
        <v>40</v>
      </c>
      <c r="M3" s="48" t="s">
        <v>41</v>
      </c>
      <c r="N3" s="21" t="s">
        <v>34</v>
      </c>
      <c r="O3" s="48" t="s">
        <v>36</v>
      </c>
      <c r="P3" s="48" t="s">
        <v>42</v>
      </c>
      <c r="Q3" s="48" t="s">
        <v>39</v>
      </c>
      <c r="R3" s="48" t="s">
        <v>38</v>
      </c>
      <c r="S3" s="48" t="s">
        <v>43</v>
      </c>
      <c r="T3" s="48" t="s">
        <v>41</v>
      </c>
      <c r="U3" s="48" t="s">
        <v>44</v>
      </c>
      <c r="V3" s="48" t="s">
        <v>38</v>
      </c>
      <c r="W3" s="48" t="s">
        <v>39</v>
      </c>
      <c r="X3" s="48" t="s">
        <v>39</v>
      </c>
      <c r="Y3" s="48" t="s">
        <v>33</v>
      </c>
      <c r="Z3" s="48" t="s">
        <v>40</v>
      </c>
      <c r="AA3" s="48" t="s">
        <v>45</v>
      </c>
      <c r="AB3" s="48" t="s">
        <v>45</v>
      </c>
      <c r="AC3" s="48" t="s">
        <v>39</v>
      </c>
      <c r="AD3" s="48" t="s">
        <v>39</v>
      </c>
      <c r="AE3" s="48" t="s">
        <v>44</v>
      </c>
      <c r="AF3" s="48" t="s">
        <v>43</v>
      </c>
      <c r="AG3" s="48" t="s">
        <v>33</v>
      </c>
      <c r="AH3" s="48" t="s">
        <v>40</v>
      </c>
      <c r="AI3" s="48" t="s">
        <v>40</v>
      </c>
      <c r="AJ3" s="48" t="s">
        <v>34</v>
      </c>
      <c r="AK3" s="48" t="s">
        <v>36</v>
      </c>
      <c r="AL3" s="48" t="s">
        <v>46</v>
      </c>
    </row>
    <row r="4" spans="1:38" x14ac:dyDescent="0.25">
      <c r="A4" s="49"/>
      <c r="B4" s="22" t="s">
        <v>47</v>
      </c>
      <c r="C4" s="22" t="s">
        <v>48</v>
      </c>
      <c r="D4" s="47" t="s">
        <v>49</v>
      </c>
      <c r="E4" s="22" t="s">
        <v>3</v>
      </c>
      <c r="F4" s="47" t="s">
        <v>50</v>
      </c>
      <c r="G4" s="22" t="s">
        <v>51</v>
      </c>
      <c r="H4" s="22" t="s">
        <v>6</v>
      </c>
      <c r="I4" s="22" t="s">
        <v>52</v>
      </c>
      <c r="J4" s="47" t="s">
        <v>53</v>
      </c>
      <c r="K4" s="47" t="s">
        <v>54</v>
      </c>
      <c r="L4" s="47" t="s">
        <v>55</v>
      </c>
      <c r="M4" s="23" t="s">
        <v>56</v>
      </c>
      <c r="N4" s="24" t="s">
        <v>3</v>
      </c>
      <c r="O4" s="48" t="s">
        <v>50</v>
      </c>
      <c r="P4" s="48" t="s">
        <v>57</v>
      </c>
      <c r="Q4" s="48" t="s">
        <v>58</v>
      </c>
      <c r="R4" s="48" t="s">
        <v>4</v>
      </c>
      <c r="S4" s="48" t="s">
        <v>59</v>
      </c>
      <c r="T4" s="48" t="s">
        <v>60</v>
      </c>
      <c r="U4" s="48" t="s">
        <v>61</v>
      </c>
      <c r="V4" s="48" t="s">
        <v>6</v>
      </c>
      <c r="W4" s="48" t="s">
        <v>62</v>
      </c>
      <c r="X4" s="48" t="s">
        <v>63</v>
      </c>
      <c r="Y4" s="48" t="s">
        <v>64</v>
      </c>
      <c r="Z4" s="48" t="s">
        <v>65</v>
      </c>
      <c r="AA4" s="48" t="s">
        <v>66</v>
      </c>
      <c r="AB4" s="48" t="s">
        <v>67</v>
      </c>
      <c r="AC4" s="48" t="s">
        <v>68</v>
      </c>
      <c r="AD4" s="48" t="s">
        <v>69</v>
      </c>
      <c r="AE4" s="48" t="s">
        <v>70</v>
      </c>
      <c r="AF4" s="48" t="s">
        <v>71</v>
      </c>
      <c r="AG4" s="48" t="s">
        <v>72</v>
      </c>
      <c r="AH4" s="48" t="s">
        <v>73</v>
      </c>
      <c r="AI4" s="48" t="s">
        <v>74</v>
      </c>
      <c r="AJ4" s="48" t="s">
        <v>75</v>
      </c>
      <c r="AK4" s="48" t="s">
        <v>76</v>
      </c>
      <c r="AL4" s="48" t="s">
        <v>77</v>
      </c>
    </row>
    <row r="5" spans="1:38" x14ac:dyDescent="0.25">
      <c r="A5" s="3">
        <v>1</v>
      </c>
      <c r="B5" s="3" t="s">
        <v>87</v>
      </c>
      <c r="C5" s="3" t="s">
        <v>118</v>
      </c>
      <c r="D5" s="3"/>
      <c r="E5" s="3" t="s">
        <v>118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118</v>
      </c>
      <c r="D6" s="3"/>
      <c r="E6" s="3" t="s">
        <v>118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120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118</v>
      </c>
      <c r="D7" s="3"/>
      <c r="E7" s="3" t="s">
        <v>118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121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118</v>
      </c>
      <c r="D8" s="3"/>
      <c r="E8" s="3" t="s">
        <v>118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113</v>
      </c>
      <c r="O8" s="3"/>
      <c r="P8" s="3"/>
      <c r="Q8" s="3">
        <v>0.78700000000000003</v>
      </c>
      <c r="R8" s="3" t="s">
        <v>14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118</v>
      </c>
      <c r="D9" s="3"/>
      <c r="E9" s="3" t="s">
        <v>118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111</v>
      </c>
      <c r="O9" s="3"/>
      <c r="P9" s="3"/>
      <c r="Q9" s="3">
        <v>0.22600000000000001</v>
      </c>
      <c r="R9" s="3" t="s">
        <v>112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118</v>
      </c>
      <c r="D10" s="3"/>
      <c r="E10" s="3" t="s">
        <v>118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95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118</v>
      </c>
      <c r="D11" s="3"/>
      <c r="E11" s="3" t="s">
        <v>118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114</v>
      </c>
      <c r="O11" s="3"/>
      <c r="P11" s="3"/>
      <c r="Q11" s="3">
        <v>15.696999999999999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118</v>
      </c>
      <c r="D12" s="3"/>
      <c r="E12" s="3" t="s">
        <v>118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97.474999999999994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118</v>
      </c>
      <c r="D13" s="3"/>
      <c r="E13" s="3" t="s">
        <v>118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96</v>
      </c>
      <c r="O13" s="3"/>
      <c r="P13" s="3"/>
      <c r="Q13" s="3">
        <v>7.2999999999999995E-2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118</v>
      </c>
      <c r="D14" s="3"/>
      <c r="E14" s="3" t="s">
        <v>118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122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118</v>
      </c>
      <c r="D15" s="3"/>
      <c r="E15" s="3" t="s">
        <v>118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100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118</v>
      </c>
      <c r="D16" s="3"/>
      <c r="E16" s="3" t="s">
        <v>118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118</v>
      </c>
      <c r="D17" s="3"/>
      <c r="E17" s="3" t="s">
        <v>118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118</v>
      </c>
      <c r="D18" s="3"/>
      <c r="E18" s="3" t="s">
        <v>118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115</v>
      </c>
      <c r="O18" s="3"/>
      <c r="P18" s="3"/>
      <c r="Q18" s="3">
        <v>0.5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118</v>
      </c>
      <c r="D19" s="3"/>
      <c r="E19" s="3" t="s">
        <v>118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123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119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126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113</v>
      </c>
      <c r="O23" s="3"/>
      <c r="P23" s="3"/>
      <c r="Q23" s="3">
        <v>0.94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111</v>
      </c>
      <c r="O24" s="3"/>
      <c r="P24" s="3"/>
      <c r="Q24" s="3">
        <v>0.27</v>
      </c>
      <c r="R24" s="3" t="s">
        <v>112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95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114</v>
      </c>
      <c r="O26" s="3"/>
      <c r="P26" s="3"/>
      <c r="Q26" s="3">
        <v>16.611999999999998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16</v>
      </c>
      <c r="O27" s="3"/>
      <c r="P27" s="3"/>
      <c r="Q27" s="3">
        <v>103.099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96</v>
      </c>
      <c r="O28" s="3"/>
      <c r="P28" s="3"/>
      <c r="Q28" s="3">
        <v>8.4000000000000005E-2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122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100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115</v>
      </c>
      <c r="O33" s="3"/>
      <c r="P33" s="3"/>
      <c r="Q33" s="3">
        <v>0.58099999999999996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128</v>
      </c>
      <c r="D35" s="3"/>
      <c r="E35" s="3" t="s">
        <v>128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119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128</v>
      </c>
      <c r="D36" s="3"/>
      <c r="E36" s="3" t="s">
        <v>128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129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130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113</v>
      </c>
      <c r="O38" s="3"/>
      <c r="P38" s="3"/>
      <c r="Q38" s="3">
        <v>1.0920000000000001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111</v>
      </c>
      <c r="O39" s="3"/>
      <c r="P39" s="3"/>
      <c r="Q39" s="3">
        <v>0.313</v>
      </c>
      <c r="R39" s="3" t="s">
        <v>112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95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114</v>
      </c>
      <c r="O41" s="3"/>
      <c r="P41" s="3"/>
      <c r="Q41" s="3">
        <v>17.526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16</v>
      </c>
      <c r="O42" s="3"/>
      <c r="P42" s="3"/>
      <c r="Q42" s="3">
        <v>108.72199999999999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96</v>
      </c>
      <c r="O43" s="3"/>
      <c r="P43" s="3"/>
      <c r="Q43" s="3">
        <v>9.4E-2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122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100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115</v>
      </c>
      <c r="O48" s="3"/>
      <c r="P48" s="3"/>
      <c r="Q48" s="3">
        <v>0.66200000000000003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131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132</v>
      </c>
      <c r="D50" s="3"/>
      <c r="E50" s="3" t="s">
        <v>132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119</v>
      </c>
      <c r="O50" s="3"/>
      <c r="P50" s="3"/>
      <c r="Q50" s="3">
        <v>1.2450000000000001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132</v>
      </c>
      <c r="D51" s="3"/>
      <c r="E51" s="3" t="s">
        <v>132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133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132</v>
      </c>
      <c r="D52" s="3"/>
      <c r="E52" s="3" t="s">
        <v>132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134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132</v>
      </c>
      <c r="D53" s="3"/>
      <c r="E53" s="3" t="s">
        <v>132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113</v>
      </c>
      <c r="O53" s="3"/>
      <c r="P53" s="3"/>
      <c r="Q53" s="3">
        <v>1.2450000000000001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132</v>
      </c>
      <c r="D54" s="3"/>
      <c r="E54" s="3" t="s">
        <v>132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111</v>
      </c>
      <c r="O54" s="3"/>
      <c r="P54" s="3"/>
      <c r="Q54" s="3">
        <v>0.35699999999999998</v>
      </c>
      <c r="R54" s="3" t="s">
        <v>112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132</v>
      </c>
      <c r="D55" s="3"/>
      <c r="E55" s="3" t="s">
        <v>132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95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132</v>
      </c>
      <c r="D56" s="3"/>
      <c r="E56" s="3" t="s">
        <v>132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114</v>
      </c>
      <c r="O56" s="3"/>
      <c r="P56" s="3"/>
      <c r="Q56" s="3">
        <v>18.440000000000001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16</v>
      </c>
      <c r="O57" s="3"/>
      <c r="P57" s="3"/>
      <c r="Q57" s="3">
        <v>114.346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96</v>
      </c>
      <c r="O58" s="3"/>
      <c r="P58" s="3"/>
      <c r="Q58" s="3">
        <v>0.105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122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100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115</v>
      </c>
      <c r="O63" s="3"/>
      <c r="P63" s="3"/>
      <c r="Q63" s="3">
        <v>0.74299999999999999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135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136</v>
      </c>
      <c r="D65" s="3"/>
      <c r="E65" s="3" t="s">
        <v>136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119</v>
      </c>
      <c r="O65" s="3"/>
      <c r="P65" s="3"/>
      <c r="Q65" s="3">
        <v>1.5489999999999999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136</v>
      </c>
      <c r="D66" s="3"/>
      <c r="E66" s="3" t="s">
        <v>136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137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136</v>
      </c>
      <c r="D67" s="3"/>
      <c r="E67" s="3" t="s">
        <v>136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138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136</v>
      </c>
      <c r="D68" s="3"/>
      <c r="E68" s="3" t="s">
        <v>136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113</v>
      </c>
      <c r="O68" s="3"/>
      <c r="P68" s="3"/>
      <c r="Q68" s="3">
        <v>1.5489999999999999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136</v>
      </c>
      <c r="D69" s="3"/>
      <c r="E69" s="3" t="s">
        <v>136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111</v>
      </c>
      <c r="O69" s="3"/>
      <c r="P69" s="3"/>
      <c r="Q69" s="3">
        <v>0.44500000000000001</v>
      </c>
      <c r="R69" s="3" t="s">
        <v>112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136</v>
      </c>
      <c r="D70" s="3"/>
      <c r="E70" s="3" t="s">
        <v>136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95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136</v>
      </c>
      <c r="D71" s="3"/>
      <c r="E71" s="3" t="s">
        <v>136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114</v>
      </c>
      <c r="O71" s="3"/>
      <c r="P71" s="3"/>
      <c r="Q71" s="3">
        <v>20.268999999999998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136</v>
      </c>
      <c r="D72" s="3"/>
      <c r="E72" s="3" t="s">
        <v>136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16</v>
      </c>
      <c r="O72" s="3"/>
      <c r="P72" s="3"/>
      <c r="Q72" s="3">
        <v>125.593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136</v>
      </c>
      <c r="D73" s="3"/>
      <c r="E73" s="3" t="s">
        <v>136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96</v>
      </c>
      <c r="O73" s="3"/>
      <c r="P73" s="3"/>
      <c r="Q73" s="3">
        <v>0.126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136</v>
      </c>
      <c r="D74" s="3"/>
      <c r="E74" s="3" t="s">
        <v>136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122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100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115</v>
      </c>
      <c r="O78" s="3"/>
      <c r="P78" s="3"/>
      <c r="Q78" s="3">
        <v>0.90500000000000003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139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140</v>
      </c>
      <c r="D80" s="3"/>
      <c r="E80" s="3" t="s">
        <v>140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119</v>
      </c>
      <c r="O80" s="3"/>
      <c r="P80" s="3"/>
      <c r="Q80" s="3">
        <v>1.702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140</v>
      </c>
      <c r="D81" s="3"/>
      <c r="E81" s="3" t="s">
        <v>140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141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140</v>
      </c>
      <c r="D82" s="3"/>
      <c r="E82" s="3" t="s">
        <v>140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142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140</v>
      </c>
      <c r="D83" s="3"/>
      <c r="E83" s="3" t="s">
        <v>140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113</v>
      </c>
      <c r="O83" s="3"/>
      <c r="P83" s="3"/>
      <c r="Q83" s="3">
        <v>1.702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140</v>
      </c>
      <c r="D84" s="3"/>
      <c r="E84" s="3" t="s">
        <v>140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111</v>
      </c>
      <c r="O84" s="3"/>
      <c r="P84" s="3"/>
      <c r="Q84" s="3">
        <v>0.48799999999999999</v>
      </c>
      <c r="R84" s="3" t="s">
        <v>112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140</v>
      </c>
      <c r="D85" s="3"/>
      <c r="E85" s="3" t="s">
        <v>140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95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140</v>
      </c>
      <c r="D86" s="3"/>
      <c r="E86" s="3" t="s">
        <v>140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114</v>
      </c>
      <c r="O86" s="3"/>
      <c r="P86" s="3"/>
      <c r="Q86" s="3">
        <v>21.184000000000001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140</v>
      </c>
      <c r="D87" s="3"/>
      <c r="E87" s="3" t="s">
        <v>140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16</v>
      </c>
      <c r="O87" s="3"/>
      <c r="P87" s="3"/>
      <c r="Q87" s="3">
        <v>131.21600000000001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140</v>
      </c>
      <c r="D88" s="3"/>
      <c r="E88" s="3" t="s">
        <v>140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96</v>
      </c>
      <c r="O88" s="3"/>
      <c r="P88" s="3"/>
      <c r="Q88" s="3">
        <v>0.13700000000000001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140</v>
      </c>
      <c r="D89" s="3"/>
      <c r="E89" s="3" t="s">
        <v>140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122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140</v>
      </c>
      <c r="D90" s="3"/>
      <c r="E90" s="3" t="s">
        <v>140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100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140</v>
      </c>
      <c r="D91" s="3"/>
      <c r="E91" s="3" t="s">
        <v>140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140</v>
      </c>
      <c r="D92" s="3"/>
      <c r="E92" s="3" t="s">
        <v>140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140</v>
      </c>
      <c r="D93" s="3"/>
      <c r="E93" s="3" t="s">
        <v>140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115</v>
      </c>
      <c r="O93" s="3"/>
      <c r="P93" s="3"/>
      <c r="Q93" s="3">
        <v>0.98599999999999999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140</v>
      </c>
      <c r="D94" s="3"/>
      <c r="E94" s="3" t="s">
        <v>140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143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144</v>
      </c>
      <c r="D95" s="3"/>
      <c r="E95" s="3" t="s">
        <v>144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119</v>
      </c>
      <c r="O95" s="3"/>
      <c r="P95" s="3"/>
      <c r="Q95" s="3">
        <v>1.8540000000000001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144</v>
      </c>
      <c r="D96" s="3"/>
      <c r="E96" s="3" t="s">
        <v>144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145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144</v>
      </c>
      <c r="D97" s="3"/>
      <c r="E97" s="3" t="s">
        <v>144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146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144</v>
      </c>
      <c r="D98" s="3"/>
      <c r="E98" s="3" t="s">
        <v>144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113</v>
      </c>
      <c r="O98" s="3"/>
      <c r="P98" s="3"/>
      <c r="Q98" s="3">
        <v>1.8540000000000001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144</v>
      </c>
      <c r="D99" s="3"/>
      <c r="E99" s="3" t="s">
        <v>144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111</v>
      </c>
      <c r="O99" s="3"/>
      <c r="P99" s="3"/>
      <c r="Q99" s="3">
        <v>0.53200000000000003</v>
      </c>
      <c r="R99" s="3" t="s">
        <v>112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144</v>
      </c>
      <c r="D100" s="3"/>
      <c r="E100" s="3" t="s">
        <v>144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95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144</v>
      </c>
      <c r="D101" s="3"/>
      <c r="E101" s="3" t="s">
        <v>144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114</v>
      </c>
      <c r="O101" s="3"/>
      <c r="P101" s="3"/>
      <c r="Q101" s="3">
        <v>22.097999999999999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144</v>
      </c>
      <c r="D102" s="3"/>
      <c r="E102" s="3" t="s">
        <v>144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16</v>
      </c>
      <c r="O102" s="3"/>
      <c r="P102" s="3"/>
      <c r="Q102" s="3">
        <v>136.84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144</v>
      </c>
      <c r="D103" s="3"/>
      <c r="E103" s="3" t="s">
        <v>144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96</v>
      </c>
      <c r="O103" s="3"/>
      <c r="P103" s="3"/>
      <c r="Q103" s="3">
        <v>0.14799999999999999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144</v>
      </c>
      <c r="D104" s="3"/>
      <c r="E104" s="3" t="s">
        <v>144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122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144</v>
      </c>
      <c r="D105" s="3"/>
      <c r="E105" s="3" t="s">
        <v>144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100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144</v>
      </c>
      <c r="D106" s="3"/>
      <c r="E106" s="3" t="s">
        <v>144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144</v>
      </c>
      <c r="D107" s="3"/>
      <c r="E107" s="3" t="s">
        <v>144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144</v>
      </c>
      <c r="D108" s="3"/>
      <c r="E108" s="3" t="s">
        <v>144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115</v>
      </c>
      <c r="O108" s="3"/>
      <c r="P108" s="3"/>
      <c r="Q108" s="3">
        <v>1.0669999999999999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144</v>
      </c>
      <c r="D109" s="3"/>
      <c r="E109" s="3" t="s">
        <v>144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147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148</v>
      </c>
      <c r="D110" s="3"/>
      <c r="E110" s="3" t="s">
        <v>148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119</v>
      </c>
      <c r="O110" s="3"/>
      <c r="P110" s="3"/>
      <c r="Q110" s="3">
        <v>0.78700000000000003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148</v>
      </c>
      <c r="D111" s="3"/>
      <c r="E111" s="3" t="s">
        <v>148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149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148</v>
      </c>
      <c r="D112" s="3"/>
      <c r="E112" s="3" t="s">
        <v>148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150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148</v>
      </c>
      <c r="D113" s="3"/>
      <c r="E113" s="3" t="s">
        <v>148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113</v>
      </c>
      <c r="O113" s="3"/>
      <c r="P113" s="3"/>
      <c r="Q113" s="3">
        <v>0.78700000000000003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148</v>
      </c>
      <c r="D114" s="3"/>
      <c r="E114" s="3" t="s">
        <v>148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111</v>
      </c>
      <c r="O114" s="3"/>
      <c r="P114" s="3"/>
      <c r="Q114" s="3">
        <v>0.23499999999999999</v>
      </c>
      <c r="R114" s="3" t="s">
        <v>112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148</v>
      </c>
      <c r="D115" s="3"/>
      <c r="E115" s="3" t="s">
        <v>148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95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148</v>
      </c>
      <c r="D116" s="3"/>
      <c r="E116" s="3" t="s">
        <v>148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114</v>
      </c>
      <c r="O116" s="3"/>
      <c r="P116" s="3"/>
      <c r="Q116" s="3">
        <v>16.154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148</v>
      </c>
      <c r="D117" s="3"/>
      <c r="E117" s="3" t="s">
        <v>148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16</v>
      </c>
      <c r="O117" s="3"/>
      <c r="P117" s="3"/>
      <c r="Q117" s="3">
        <v>100.28700000000001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148</v>
      </c>
      <c r="D118" s="3"/>
      <c r="E118" s="3" t="s">
        <v>148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96</v>
      </c>
      <c r="O118" s="3"/>
      <c r="P118" s="3"/>
      <c r="Q118" s="3">
        <v>7.2999999999999995E-2</v>
      </c>
      <c r="R118" s="3" t="s">
        <v>12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148</v>
      </c>
      <c r="D119" s="3"/>
      <c r="E119" s="3" t="s">
        <v>148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122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148</v>
      </c>
      <c r="D120" s="3"/>
      <c r="E120" s="3" t="s">
        <v>148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100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148</v>
      </c>
      <c r="D121" s="3"/>
      <c r="E121" s="3" t="s">
        <v>148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148</v>
      </c>
      <c r="D122" s="3"/>
      <c r="E122" s="3" t="s">
        <v>148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148</v>
      </c>
      <c r="D123" s="3"/>
      <c r="E123" s="3" t="s">
        <v>148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115</v>
      </c>
      <c r="O123" s="3"/>
      <c r="P123" s="3"/>
      <c r="Q123" s="3">
        <v>0.5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148</v>
      </c>
      <c r="D124" s="3"/>
      <c r="E124" s="3" t="s">
        <v>148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151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152</v>
      </c>
      <c r="D125" s="3"/>
      <c r="E125" s="3" t="s">
        <v>152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119</v>
      </c>
      <c r="O125" s="3"/>
      <c r="P125" s="3"/>
      <c r="Q125" s="3">
        <v>0.94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152</v>
      </c>
      <c r="D126" s="3"/>
      <c r="E126" s="3" t="s">
        <v>152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153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152</v>
      </c>
      <c r="D127" s="3"/>
      <c r="E127" s="3" t="s">
        <v>152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154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152</v>
      </c>
      <c r="D128" s="3"/>
      <c r="E128" s="3" t="s">
        <v>152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113</v>
      </c>
      <c r="O128" s="3"/>
      <c r="P128" s="3"/>
      <c r="Q128" s="3">
        <v>0.94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152</v>
      </c>
      <c r="D129" s="3"/>
      <c r="E129" s="3" t="s">
        <v>152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111</v>
      </c>
      <c r="O129" s="3"/>
      <c r="P129" s="3"/>
      <c r="Q129" s="3">
        <v>0.28100000000000003</v>
      </c>
      <c r="R129" s="3" t="s">
        <v>112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152</v>
      </c>
      <c r="D130" s="3"/>
      <c r="E130" s="3" t="s">
        <v>152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95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152</v>
      </c>
      <c r="D131" s="3"/>
      <c r="E131" s="3" t="s">
        <v>152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114</v>
      </c>
      <c r="O131" s="3"/>
      <c r="P131" s="3"/>
      <c r="Q131" s="3">
        <v>17.068999999999999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152</v>
      </c>
      <c r="D132" s="3"/>
      <c r="E132" s="3" t="s">
        <v>152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16</v>
      </c>
      <c r="O132" s="3"/>
      <c r="P132" s="3"/>
      <c r="Q132" s="3">
        <v>105.91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152</v>
      </c>
      <c r="D133" s="3"/>
      <c r="E133" s="3" t="s">
        <v>152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96</v>
      </c>
      <c r="O133" s="3"/>
      <c r="P133" s="3"/>
      <c r="Q133" s="3">
        <v>8.4000000000000005E-2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152</v>
      </c>
      <c r="D134" s="3"/>
      <c r="E134" s="3" t="s">
        <v>152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122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152</v>
      </c>
      <c r="D135" s="3"/>
      <c r="E135" s="3" t="s">
        <v>152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100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152</v>
      </c>
      <c r="D136" s="3"/>
      <c r="E136" s="3" t="s">
        <v>152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152</v>
      </c>
      <c r="D137" s="3"/>
      <c r="E137" s="3" t="s">
        <v>152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21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152</v>
      </c>
      <c r="D138" s="3"/>
      <c r="E138" s="3" t="s">
        <v>152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115</v>
      </c>
      <c r="O138" s="3"/>
      <c r="P138" s="3"/>
      <c r="Q138" s="3">
        <v>0.58099999999999996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152</v>
      </c>
      <c r="D139" s="3"/>
      <c r="E139" s="3" t="s">
        <v>152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155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119</v>
      </c>
      <c r="O140" s="3"/>
      <c r="P140" s="3"/>
      <c r="Q140" s="3">
        <v>1.0920000000000001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156</v>
      </c>
      <c r="D141" s="3"/>
      <c r="E141" s="3" t="s">
        <v>156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157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156</v>
      </c>
      <c r="D142" s="3"/>
      <c r="E142" s="3" t="s">
        <v>156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158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156</v>
      </c>
      <c r="D143" s="3"/>
      <c r="E143" s="3" t="s">
        <v>156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113</v>
      </c>
      <c r="O143" s="3"/>
      <c r="P143" s="3"/>
      <c r="Q143" s="3">
        <v>1.0920000000000001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156</v>
      </c>
      <c r="D144" s="3"/>
      <c r="E144" s="3" t="s">
        <v>156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111</v>
      </c>
      <c r="O144" s="3"/>
      <c r="P144" s="3"/>
      <c r="Q144" s="3">
        <v>0.32600000000000001</v>
      </c>
      <c r="R144" s="3" t="s">
        <v>112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156</v>
      </c>
      <c r="D145" s="3"/>
      <c r="E145" s="3" t="s">
        <v>156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95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156</v>
      </c>
      <c r="D146" s="3"/>
      <c r="E146" s="3" t="s">
        <v>156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114</v>
      </c>
      <c r="O146" s="3"/>
      <c r="P146" s="3"/>
      <c r="Q146" s="3">
        <v>17.983000000000001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156</v>
      </c>
      <c r="D147" s="3"/>
      <c r="E147" s="3" t="s">
        <v>156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16</v>
      </c>
      <c r="O147" s="3"/>
      <c r="P147" s="3"/>
      <c r="Q147" s="3">
        <v>111.53400000000001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156</v>
      </c>
      <c r="D148" s="3"/>
      <c r="E148" s="3" t="s">
        <v>156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96</v>
      </c>
      <c r="O148" s="3"/>
      <c r="P148" s="3"/>
      <c r="Q148" s="3">
        <v>9.4E-2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122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100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115</v>
      </c>
      <c r="O153" s="3"/>
      <c r="P153" s="3"/>
      <c r="Q153" s="3">
        <v>0.66200000000000003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159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160</v>
      </c>
      <c r="D155" s="3"/>
      <c r="E155" s="3" t="s">
        <v>160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119</v>
      </c>
      <c r="O155" s="3"/>
      <c r="P155" s="3"/>
      <c r="Q155" s="3">
        <v>1.2450000000000001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160</v>
      </c>
      <c r="D156" s="3"/>
      <c r="E156" s="3" t="s">
        <v>160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161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160</v>
      </c>
      <c r="D157" s="3"/>
      <c r="E157" s="3" t="s">
        <v>160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162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160</v>
      </c>
      <c r="D158" s="3"/>
      <c r="E158" s="3" t="s">
        <v>160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113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160</v>
      </c>
      <c r="D159" s="3"/>
      <c r="E159" s="3" t="s">
        <v>160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111</v>
      </c>
      <c r="O159" s="3"/>
      <c r="P159" s="3"/>
      <c r="Q159" s="3">
        <v>0.372</v>
      </c>
      <c r="R159" s="3" t="s">
        <v>112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160</v>
      </c>
      <c r="D160" s="3"/>
      <c r="E160" s="3" t="s">
        <v>160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95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160</v>
      </c>
      <c r="D161" s="3"/>
      <c r="E161" s="3" t="s">
        <v>160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114</v>
      </c>
      <c r="O161" s="3"/>
      <c r="P161" s="3"/>
      <c r="Q161" s="3">
        <v>18.898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160</v>
      </c>
      <c r="D162" s="3"/>
      <c r="E162" s="3" t="s">
        <v>160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16</v>
      </c>
      <c r="O162" s="3"/>
      <c r="P162" s="3"/>
      <c r="Q162" s="3">
        <v>117.158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160</v>
      </c>
      <c r="D163" s="3"/>
      <c r="E163" s="3" t="s">
        <v>160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96</v>
      </c>
      <c r="O163" s="3"/>
      <c r="P163" s="3"/>
      <c r="Q163" s="3">
        <v>0.105</v>
      </c>
      <c r="R163" s="3" t="s">
        <v>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160</v>
      </c>
      <c r="D164" s="3"/>
      <c r="E164" s="3" t="s">
        <v>160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122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160</v>
      </c>
      <c r="D165" s="3"/>
      <c r="E165" s="3" t="s">
        <v>160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100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160</v>
      </c>
      <c r="D166" s="3"/>
      <c r="E166" s="3" t="s">
        <v>160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160</v>
      </c>
      <c r="D167" s="3"/>
      <c r="E167" s="3" t="s">
        <v>160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160</v>
      </c>
      <c r="D168" s="3"/>
      <c r="E168" s="3" t="s">
        <v>160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115</v>
      </c>
      <c r="O168" s="3"/>
      <c r="P168" s="3"/>
      <c r="Q168" s="3">
        <v>0.74299999999999999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160</v>
      </c>
      <c r="D169" s="3"/>
      <c r="E169" s="3" t="s">
        <v>160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163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164</v>
      </c>
      <c r="D170" s="3"/>
      <c r="E170" s="3" t="s">
        <v>164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119</v>
      </c>
      <c r="O170" s="3"/>
      <c r="P170" s="3"/>
      <c r="Q170" s="3">
        <v>1.5489999999999999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164</v>
      </c>
      <c r="D171" s="3"/>
      <c r="E171" s="3" t="s">
        <v>164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165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164</v>
      </c>
      <c r="D172" s="3"/>
      <c r="E172" s="3" t="s">
        <v>164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166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164</v>
      </c>
      <c r="D173" s="3"/>
      <c r="E173" s="3" t="s">
        <v>164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113</v>
      </c>
      <c r="O173" s="3"/>
      <c r="P173" s="3"/>
      <c r="Q173" s="3">
        <v>1.5489999999999999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164</v>
      </c>
      <c r="D174" s="3"/>
      <c r="E174" s="3" t="s">
        <v>164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111</v>
      </c>
      <c r="O174" s="3"/>
      <c r="P174" s="3"/>
      <c r="Q174" s="3">
        <v>0.46300000000000002</v>
      </c>
      <c r="R174" s="3" t="s">
        <v>112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164</v>
      </c>
      <c r="D175" s="3"/>
      <c r="E175" s="3" t="s">
        <v>164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95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164</v>
      </c>
      <c r="D176" s="3"/>
      <c r="E176" s="3" t="s">
        <v>164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114</v>
      </c>
      <c r="O176" s="3"/>
      <c r="P176" s="3"/>
      <c r="Q176" s="3">
        <v>20.725999999999999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164</v>
      </c>
      <c r="D177" s="3"/>
      <c r="E177" s="3" t="s">
        <v>164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16</v>
      </c>
      <c r="O177" s="3"/>
      <c r="P177" s="3"/>
      <c r="Q177" s="3">
        <v>128.405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164</v>
      </c>
      <c r="D178" s="3"/>
      <c r="E178" s="3" t="s">
        <v>164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96</v>
      </c>
      <c r="O178" s="3"/>
      <c r="P178" s="3"/>
      <c r="Q178" s="3">
        <v>0.126</v>
      </c>
      <c r="R178" s="3" t="s">
        <v>12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164</v>
      </c>
      <c r="D179" s="3"/>
      <c r="E179" s="3" t="s">
        <v>164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122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164</v>
      </c>
      <c r="D180" s="3"/>
      <c r="E180" s="3" t="s">
        <v>164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100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164</v>
      </c>
      <c r="D181" s="3"/>
      <c r="E181" s="3" t="s">
        <v>164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164</v>
      </c>
      <c r="D182" s="3"/>
      <c r="E182" s="3" t="s">
        <v>164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164</v>
      </c>
      <c r="D183" s="3"/>
      <c r="E183" s="3" t="s">
        <v>164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115</v>
      </c>
      <c r="O183" s="3"/>
      <c r="P183" s="3"/>
      <c r="Q183" s="3">
        <v>0.90500000000000003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164</v>
      </c>
      <c r="D184" s="3"/>
      <c r="E184" s="3" t="s">
        <v>164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167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168</v>
      </c>
      <c r="D185" s="3"/>
      <c r="E185" s="3" t="s">
        <v>168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119</v>
      </c>
      <c r="O185" s="3"/>
      <c r="P185" s="3"/>
      <c r="Q185" s="3">
        <v>1.702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168</v>
      </c>
      <c r="D186" s="3"/>
      <c r="E186" s="3" t="s">
        <v>168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169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168</v>
      </c>
      <c r="D187" s="3"/>
      <c r="E187" s="3" t="s">
        <v>168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170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168</v>
      </c>
      <c r="D188" s="3"/>
      <c r="E188" s="3" t="s">
        <v>168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113</v>
      </c>
      <c r="O188" s="3"/>
      <c r="P188" s="3"/>
      <c r="Q188" s="3">
        <v>1.702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168</v>
      </c>
      <c r="D189" s="3"/>
      <c r="E189" s="3" t="s">
        <v>168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111</v>
      </c>
      <c r="O189" s="3"/>
      <c r="P189" s="3"/>
      <c r="Q189" s="3">
        <v>0.50800000000000001</v>
      </c>
      <c r="R189" s="3" t="s">
        <v>112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168</v>
      </c>
      <c r="D190" s="3"/>
      <c r="E190" s="3" t="s">
        <v>168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95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168</v>
      </c>
      <c r="D191" s="3"/>
      <c r="E191" s="3" t="s">
        <v>168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114</v>
      </c>
      <c r="O191" s="3"/>
      <c r="P191" s="3"/>
      <c r="Q191" s="3">
        <v>21.640999999999998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168</v>
      </c>
      <c r="D192" s="3"/>
      <c r="E192" s="3" t="s">
        <v>168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16</v>
      </c>
      <c r="O192" s="3"/>
      <c r="P192" s="3"/>
      <c r="Q192" s="3">
        <v>134.02799999999999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168</v>
      </c>
      <c r="D193" s="3"/>
      <c r="E193" s="3" t="s">
        <v>168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96</v>
      </c>
      <c r="O193" s="3"/>
      <c r="P193" s="3"/>
      <c r="Q193" s="3">
        <v>0.13700000000000001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168</v>
      </c>
      <c r="D194" s="3"/>
      <c r="E194" s="3" t="s">
        <v>168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122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168</v>
      </c>
      <c r="D195" s="3"/>
      <c r="E195" s="3" t="s">
        <v>168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100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168</v>
      </c>
      <c r="D196" s="3"/>
      <c r="E196" s="3" t="s">
        <v>168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168</v>
      </c>
      <c r="D197" s="3"/>
      <c r="E197" s="3" t="s">
        <v>168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168</v>
      </c>
      <c r="D198" s="3"/>
      <c r="E198" s="3" t="s">
        <v>168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115</v>
      </c>
      <c r="O198" s="3"/>
      <c r="P198" s="3"/>
      <c r="Q198" s="3">
        <v>0.98599999999999999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168</v>
      </c>
      <c r="D199" s="3"/>
      <c r="E199" s="3" t="s">
        <v>168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171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172</v>
      </c>
      <c r="D200" s="3"/>
      <c r="E200" s="3" t="s">
        <v>172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119</v>
      </c>
      <c r="O200" s="3"/>
      <c r="P200" s="3"/>
      <c r="Q200" s="3">
        <v>1.8540000000000001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172</v>
      </c>
      <c r="D201" s="3"/>
      <c r="E201" s="3" t="s">
        <v>172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173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172</v>
      </c>
      <c r="D202" s="3"/>
      <c r="E202" s="3" t="s">
        <v>172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174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172</v>
      </c>
      <c r="D203" s="3"/>
      <c r="E203" s="3" t="s">
        <v>172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113</v>
      </c>
      <c r="O203" s="3"/>
      <c r="P203" s="3"/>
      <c r="Q203" s="3">
        <v>1.8540000000000001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172</v>
      </c>
      <c r="D204" s="3"/>
      <c r="E204" s="3" t="s">
        <v>172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111</v>
      </c>
      <c r="O204" s="3"/>
      <c r="P204" s="3"/>
      <c r="Q204" s="3">
        <v>0.55400000000000005</v>
      </c>
      <c r="R204" s="3" t="s">
        <v>112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172</v>
      </c>
      <c r="D205" s="3"/>
      <c r="E205" s="3" t="s">
        <v>172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172</v>
      </c>
      <c r="D206" s="3"/>
      <c r="E206" s="3" t="s">
        <v>172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114</v>
      </c>
      <c r="O206" s="3"/>
      <c r="P206" s="3"/>
      <c r="Q206" s="3">
        <v>22.555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172</v>
      </c>
      <c r="D207" s="3"/>
      <c r="E207" s="3" t="s">
        <v>172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16</v>
      </c>
      <c r="O207" s="3"/>
      <c r="P207" s="3"/>
      <c r="Q207" s="3">
        <v>139.65199999999999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172</v>
      </c>
      <c r="D208" s="3"/>
      <c r="E208" s="3" t="s">
        <v>172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96</v>
      </c>
      <c r="O208" s="3"/>
      <c r="P208" s="3"/>
      <c r="Q208" s="3">
        <v>0.14799999999999999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172</v>
      </c>
      <c r="D209" s="3"/>
      <c r="E209" s="3" t="s">
        <v>172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172</v>
      </c>
      <c r="D210" s="3"/>
      <c r="E210" s="3" t="s">
        <v>172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172</v>
      </c>
      <c r="D211" s="3"/>
      <c r="E211" s="3" t="s">
        <v>172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172</v>
      </c>
      <c r="D212" s="3"/>
      <c r="E212" s="3" t="s">
        <v>172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172</v>
      </c>
      <c r="D213" s="3"/>
      <c r="E213" s="3" t="s">
        <v>172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115</v>
      </c>
      <c r="O213" s="3"/>
      <c r="P213" s="3"/>
      <c r="Q213" s="3">
        <v>1.0669999999999999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172</v>
      </c>
      <c r="D214" s="3"/>
      <c r="E214" s="3" t="s">
        <v>172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175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176</v>
      </c>
      <c r="D215" s="3"/>
      <c r="E215" s="3" t="s">
        <v>176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119</v>
      </c>
      <c r="O215" s="3"/>
      <c r="P215" s="3"/>
      <c r="Q215" s="3">
        <v>0.78700000000000003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176</v>
      </c>
      <c r="D216" s="3"/>
      <c r="E216" s="3" t="s">
        <v>176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177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176</v>
      </c>
      <c r="D217" s="3"/>
      <c r="E217" s="3" t="s">
        <v>176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178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176</v>
      </c>
      <c r="D218" s="3"/>
      <c r="E218" s="3" t="s">
        <v>176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113</v>
      </c>
      <c r="O218" s="3"/>
      <c r="P218" s="3"/>
      <c r="Q218" s="3">
        <v>0.78700000000000003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176</v>
      </c>
      <c r="D219" s="3"/>
      <c r="E219" s="3" t="s">
        <v>176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111</v>
      </c>
      <c r="O219" s="3"/>
      <c r="P219" s="3"/>
      <c r="Q219" s="3">
        <v>0.24399999999999999</v>
      </c>
      <c r="R219" s="3" t="s">
        <v>112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176</v>
      </c>
      <c r="D220" s="3"/>
      <c r="E220" s="3" t="s">
        <v>176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95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176</v>
      </c>
      <c r="D221" s="3"/>
      <c r="E221" s="3" t="s">
        <v>176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114</v>
      </c>
      <c r="O221" s="3"/>
      <c r="P221" s="3"/>
      <c r="Q221" s="3">
        <v>16.611999999999998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176</v>
      </c>
      <c r="D222" s="3"/>
      <c r="E222" s="3" t="s">
        <v>176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16</v>
      </c>
      <c r="O222" s="3"/>
      <c r="P222" s="3"/>
      <c r="Q222" s="3">
        <v>103.099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176</v>
      </c>
      <c r="D223" s="3"/>
      <c r="E223" s="3" t="s">
        <v>176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96</v>
      </c>
      <c r="O223" s="3"/>
      <c r="P223" s="3"/>
      <c r="Q223" s="3">
        <v>7.2999999999999995E-2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176</v>
      </c>
      <c r="D224" s="3"/>
      <c r="E224" s="3" t="s">
        <v>176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122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176</v>
      </c>
      <c r="D225" s="3"/>
      <c r="E225" s="3" t="s">
        <v>176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100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176</v>
      </c>
      <c r="D226" s="3"/>
      <c r="E226" s="3" t="s">
        <v>176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176</v>
      </c>
      <c r="D227" s="3"/>
      <c r="E227" s="3" t="s">
        <v>176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176</v>
      </c>
      <c r="D228" s="3"/>
      <c r="E228" s="3" t="s">
        <v>176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115</v>
      </c>
      <c r="O228" s="3"/>
      <c r="P228" s="3"/>
      <c r="Q228" s="3">
        <v>0.5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176</v>
      </c>
      <c r="D229" s="3"/>
      <c r="E229" s="3" t="s">
        <v>176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179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180</v>
      </c>
      <c r="D230" s="3"/>
      <c r="E230" s="3" t="s">
        <v>180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119</v>
      </c>
      <c r="O230" s="3"/>
      <c r="P230" s="3"/>
      <c r="Q230" s="3">
        <v>0.94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180</v>
      </c>
      <c r="D231" s="3"/>
      <c r="E231" s="3" t="s">
        <v>180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181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180</v>
      </c>
      <c r="D232" s="3"/>
      <c r="E232" s="3" t="s">
        <v>180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182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180</v>
      </c>
      <c r="D233" s="3"/>
      <c r="E233" s="3" t="s">
        <v>180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113</v>
      </c>
      <c r="O233" s="3"/>
      <c r="P233" s="3"/>
      <c r="Q233" s="3">
        <v>0.94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180</v>
      </c>
      <c r="D234" s="3"/>
      <c r="E234" s="3" t="s">
        <v>180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111</v>
      </c>
      <c r="O234" s="3"/>
      <c r="P234" s="3"/>
      <c r="Q234" s="3">
        <v>0.29199999999999998</v>
      </c>
      <c r="R234" s="3" t="s">
        <v>112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180</v>
      </c>
      <c r="D235" s="3"/>
      <c r="E235" s="3" t="s">
        <v>180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180</v>
      </c>
      <c r="D236" s="3"/>
      <c r="E236" s="3" t="s">
        <v>180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114</v>
      </c>
      <c r="O236" s="3"/>
      <c r="P236" s="3"/>
      <c r="Q236" s="3">
        <v>17.526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180</v>
      </c>
      <c r="D237" s="3"/>
      <c r="E237" s="3" t="s">
        <v>180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16</v>
      </c>
      <c r="O237" s="3"/>
      <c r="P237" s="3"/>
      <c r="Q237" s="3">
        <v>108.72199999999999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180</v>
      </c>
      <c r="D238" s="3"/>
      <c r="E238" s="3" t="s">
        <v>180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96</v>
      </c>
      <c r="O238" s="3"/>
      <c r="P238" s="3"/>
      <c r="Q238" s="3">
        <v>8.4000000000000005E-2</v>
      </c>
      <c r="R238" s="3" t="s">
        <v>12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180</v>
      </c>
      <c r="D239" s="3"/>
      <c r="E239" s="3" t="s">
        <v>180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122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180</v>
      </c>
      <c r="D240" s="3"/>
      <c r="E240" s="3" t="s">
        <v>180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100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180</v>
      </c>
      <c r="D241" s="3"/>
      <c r="E241" s="3" t="s">
        <v>180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180</v>
      </c>
      <c r="D242" s="3"/>
      <c r="E242" s="3" t="s">
        <v>180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180</v>
      </c>
      <c r="D243" s="3"/>
      <c r="E243" s="3" t="s">
        <v>180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115</v>
      </c>
      <c r="O243" s="3"/>
      <c r="P243" s="3"/>
      <c r="Q243" s="3">
        <v>0.58099999999999996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180</v>
      </c>
      <c r="D244" s="3"/>
      <c r="E244" s="3" t="s">
        <v>180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183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184</v>
      </c>
      <c r="D245" s="3"/>
      <c r="E245" s="3" t="s">
        <v>184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119</v>
      </c>
      <c r="O245" s="3"/>
      <c r="P245" s="3"/>
      <c r="Q245" s="3">
        <v>1.0920000000000001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184</v>
      </c>
      <c r="D246" s="3"/>
      <c r="E246" s="3" t="s">
        <v>184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185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184</v>
      </c>
      <c r="D247" s="3"/>
      <c r="E247" s="3" t="s">
        <v>184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186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184</v>
      </c>
      <c r="D248" s="3"/>
      <c r="E248" s="3" t="s">
        <v>184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113</v>
      </c>
      <c r="O248" s="3"/>
      <c r="P248" s="3"/>
      <c r="Q248" s="3">
        <v>1.0920000000000001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184</v>
      </c>
      <c r="D249" s="3"/>
      <c r="E249" s="3" t="s">
        <v>184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111</v>
      </c>
      <c r="O249" s="3"/>
      <c r="P249" s="3"/>
      <c r="Q249" s="3">
        <v>0.33900000000000002</v>
      </c>
      <c r="R249" s="3" t="s">
        <v>112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184</v>
      </c>
      <c r="D250" s="3"/>
      <c r="E250" s="3" t="s">
        <v>184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95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184</v>
      </c>
      <c r="D251" s="3"/>
      <c r="E251" s="3" t="s">
        <v>184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114</v>
      </c>
      <c r="O251" s="3"/>
      <c r="P251" s="3"/>
      <c r="Q251" s="3">
        <v>18.440000000000001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184</v>
      </c>
      <c r="D252" s="3"/>
      <c r="E252" s="3" t="s">
        <v>184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16</v>
      </c>
      <c r="O252" s="3"/>
      <c r="P252" s="3"/>
      <c r="Q252" s="3">
        <v>114.346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184</v>
      </c>
      <c r="D253" s="3"/>
      <c r="E253" s="3" t="s">
        <v>184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96</v>
      </c>
      <c r="O253" s="3"/>
      <c r="P253" s="3"/>
      <c r="Q253" s="3">
        <v>9.4E-2</v>
      </c>
      <c r="R253" s="3" t="s">
        <v>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184</v>
      </c>
      <c r="D254" s="3"/>
      <c r="E254" s="3" t="s">
        <v>184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122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184</v>
      </c>
      <c r="D255" s="3"/>
      <c r="E255" s="3" t="s">
        <v>184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100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184</v>
      </c>
      <c r="D256" s="3"/>
      <c r="E256" s="3" t="s">
        <v>184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184</v>
      </c>
      <c r="D257" s="3"/>
      <c r="E257" s="3" t="s">
        <v>184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184</v>
      </c>
      <c r="D258" s="3"/>
      <c r="E258" s="3" t="s">
        <v>184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115</v>
      </c>
      <c r="O258" s="3"/>
      <c r="P258" s="3"/>
      <c r="Q258" s="3">
        <v>0.66200000000000003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184</v>
      </c>
      <c r="D259" s="3"/>
      <c r="E259" s="3" t="s">
        <v>184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187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188</v>
      </c>
      <c r="D260" s="3"/>
      <c r="E260" s="3" t="s">
        <v>188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119</v>
      </c>
      <c r="O260" s="3"/>
      <c r="P260" s="3"/>
      <c r="Q260" s="3">
        <v>1.2450000000000001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188</v>
      </c>
      <c r="D261" s="3"/>
      <c r="E261" s="3" t="s">
        <v>188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189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188</v>
      </c>
      <c r="D262" s="3"/>
      <c r="E262" s="3" t="s">
        <v>188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190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188</v>
      </c>
      <c r="D263" s="3"/>
      <c r="E263" s="3" t="s">
        <v>188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113</v>
      </c>
      <c r="O263" s="3"/>
      <c r="P263" s="3"/>
      <c r="Q263" s="3">
        <v>1.2450000000000001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188</v>
      </c>
      <c r="D264" s="3"/>
      <c r="E264" s="3" t="s">
        <v>188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111</v>
      </c>
      <c r="O264" s="3"/>
      <c r="P264" s="3"/>
      <c r="Q264" s="3">
        <v>0.38600000000000001</v>
      </c>
      <c r="R264" s="3" t="s">
        <v>112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188</v>
      </c>
      <c r="D265" s="3"/>
      <c r="E265" s="3" t="s">
        <v>188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95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188</v>
      </c>
      <c r="D266" s="3"/>
      <c r="E266" s="3" t="s">
        <v>188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114</v>
      </c>
      <c r="O266" s="3"/>
      <c r="P266" s="3"/>
      <c r="Q266" s="3">
        <v>19.355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188</v>
      </c>
      <c r="D267" s="3"/>
      <c r="E267" s="3" t="s">
        <v>188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16</v>
      </c>
      <c r="O267" s="3"/>
      <c r="P267" s="3"/>
      <c r="Q267" s="3">
        <v>119.96899999999999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188</v>
      </c>
      <c r="D268" s="3"/>
      <c r="E268" s="3" t="s">
        <v>188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96</v>
      </c>
      <c r="O268" s="3"/>
      <c r="P268" s="3"/>
      <c r="Q268" s="3">
        <v>0.105</v>
      </c>
      <c r="R268" s="3" t="s">
        <v>12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188</v>
      </c>
      <c r="D269" s="3"/>
      <c r="E269" s="3" t="s">
        <v>188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122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188</v>
      </c>
      <c r="D270" s="3"/>
      <c r="E270" s="3" t="s">
        <v>188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100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188</v>
      </c>
      <c r="D271" s="3"/>
      <c r="E271" s="3" t="s">
        <v>188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188</v>
      </c>
      <c r="D272" s="3"/>
      <c r="E272" s="3" t="s">
        <v>188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188</v>
      </c>
      <c r="D273" s="3"/>
      <c r="E273" s="3" t="s">
        <v>188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115</v>
      </c>
      <c r="O273" s="3"/>
      <c r="P273" s="3"/>
      <c r="Q273" s="3">
        <v>0.74299999999999999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188</v>
      </c>
      <c r="D274" s="3"/>
      <c r="E274" s="3" t="s">
        <v>188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191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192</v>
      </c>
      <c r="D275" s="3"/>
      <c r="E275" s="3" t="s">
        <v>192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119</v>
      </c>
      <c r="O275" s="3"/>
      <c r="P275" s="3"/>
      <c r="Q275" s="3">
        <v>1.5489999999999999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192</v>
      </c>
      <c r="D276" s="3"/>
      <c r="E276" s="3" t="s">
        <v>192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193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192</v>
      </c>
      <c r="D277" s="3"/>
      <c r="E277" s="3" t="s">
        <v>192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194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192</v>
      </c>
      <c r="D278" s="3"/>
      <c r="E278" s="3" t="s">
        <v>192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113</v>
      </c>
      <c r="O278" s="3"/>
      <c r="P278" s="3"/>
      <c r="Q278" s="3">
        <v>1.5489999999999999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192</v>
      </c>
      <c r="D279" s="3"/>
      <c r="E279" s="3" t="s">
        <v>192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111</v>
      </c>
      <c r="O279" s="3"/>
      <c r="P279" s="3"/>
      <c r="Q279" s="3">
        <v>0.48099999999999998</v>
      </c>
      <c r="R279" s="3" t="s">
        <v>112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192</v>
      </c>
      <c r="D280" s="3"/>
      <c r="E280" s="3" t="s">
        <v>192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95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192</v>
      </c>
      <c r="D281" s="3"/>
      <c r="E281" s="3" t="s">
        <v>192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114</v>
      </c>
      <c r="O281" s="3"/>
      <c r="P281" s="3"/>
      <c r="Q281" s="3">
        <v>21.184000000000001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192</v>
      </c>
      <c r="D282" s="3"/>
      <c r="E282" s="3" t="s">
        <v>192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16</v>
      </c>
      <c r="O282" s="3"/>
      <c r="P282" s="3"/>
      <c r="Q282" s="3">
        <v>131.21600000000001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192</v>
      </c>
      <c r="D283" s="3"/>
      <c r="E283" s="3" t="s">
        <v>192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96</v>
      </c>
      <c r="O283" s="3"/>
      <c r="P283" s="3"/>
      <c r="Q283" s="3">
        <v>0.126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192</v>
      </c>
      <c r="D284" s="3"/>
      <c r="E284" s="3" t="s">
        <v>192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122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192</v>
      </c>
      <c r="D285" s="3"/>
      <c r="E285" s="3" t="s">
        <v>192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100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192</v>
      </c>
      <c r="D286" s="3"/>
      <c r="E286" s="3" t="s">
        <v>192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192</v>
      </c>
      <c r="D287" s="3"/>
      <c r="E287" s="3" t="s">
        <v>192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192</v>
      </c>
      <c r="D288" s="3"/>
      <c r="E288" s="3" t="s">
        <v>192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115</v>
      </c>
      <c r="O288" s="3"/>
      <c r="P288" s="3"/>
      <c r="Q288" s="3">
        <v>0.90500000000000003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192</v>
      </c>
      <c r="D289" s="3"/>
      <c r="E289" s="3" t="s">
        <v>192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196</v>
      </c>
      <c r="D290" s="3"/>
      <c r="E290" s="3" t="s">
        <v>196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119</v>
      </c>
      <c r="O290" s="3"/>
      <c r="P290" s="3"/>
      <c r="Q290" s="3">
        <v>1.702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196</v>
      </c>
      <c r="D291" s="3"/>
      <c r="E291" s="3" t="s">
        <v>196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197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196</v>
      </c>
      <c r="D292" s="3"/>
      <c r="E292" s="3" t="s">
        <v>196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198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196</v>
      </c>
      <c r="D293" s="3"/>
      <c r="E293" s="3" t="s">
        <v>196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113</v>
      </c>
      <c r="O293" s="3"/>
      <c r="P293" s="3"/>
      <c r="Q293" s="3">
        <v>1.702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196</v>
      </c>
      <c r="D294" s="3"/>
      <c r="E294" s="3" t="s">
        <v>196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111</v>
      </c>
      <c r="O294" s="3"/>
      <c r="P294" s="3"/>
      <c r="Q294" s="3">
        <v>0.52900000000000003</v>
      </c>
      <c r="R294" s="3" t="s">
        <v>112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196</v>
      </c>
      <c r="D295" s="3"/>
      <c r="E295" s="3" t="s">
        <v>196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95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196</v>
      </c>
      <c r="D296" s="3"/>
      <c r="E296" s="3" t="s">
        <v>196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114</v>
      </c>
      <c r="O296" s="3"/>
      <c r="P296" s="3"/>
      <c r="Q296" s="3">
        <v>22.097999999999999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196</v>
      </c>
      <c r="D297" s="3"/>
      <c r="E297" s="3" t="s">
        <v>196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16</v>
      </c>
      <c r="O297" s="3"/>
      <c r="P297" s="3"/>
      <c r="Q297" s="3">
        <v>136.84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196</v>
      </c>
      <c r="D298" s="3"/>
      <c r="E298" s="3" t="s">
        <v>196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96</v>
      </c>
      <c r="O298" s="3"/>
      <c r="P298" s="3"/>
      <c r="Q298" s="3">
        <v>0.13700000000000001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196</v>
      </c>
      <c r="D299" s="3"/>
      <c r="E299" s="3" t="s">
        <v>196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122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196</v>
      </c>
      <c r="D300" s="3"/>
      <c r="E300" s="3" t="s">
        <v>196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100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196</v>
      </c>
      <c r="D301" s="3"/>
      <c r="E301" s="3" t="s">
        <v>196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196</v>
      </c>
      <c r="D302" s="3"/>
      <c r="E302" s="3" t="s">
        <v>196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196</v>
      </c>
      <c r="D303" s="3"/>
      <c r="E303" s="3" t="s">
        <v>196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115</v>
      </c>
      <c r="O303" s="3"/>
      <c r="P303" s="3"/>
      <c r="Q303" s="3">
        <v>0.98599999999999999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196</v>
      </c>
      <c r="D304" s="3"/>
      <c r="E304" s="3" t="s">
        <v>196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199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200</v>
      </c>
      <c r="D305" s="3"/>
      <c r="E305" s="3" t="s">
        <v>200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119</v>
      </c>
      <c r="O305" s="3"/>
      <c r="P305" s="3"/>
      <c r="Q305" s="3">
        <v>1.8540000000000001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200</v>
      </c>
      <c r="D306" s="3"/>
      <c r="E306" s="3" t="s">
        <v>200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201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200</v>
      </c>
      <c r="D307" s="3"/>
      <c r="E307" s="3" t="s">
        <v>200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202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200</v>
      </c>
      <c r="D308" s="3"/>
      <c r="E308" s="3" t="s">
        <v>200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113</v>
      </c>
      <c r="O308" s="3"/>
      <c r="P308" s="3"/>
      <c r="Q308" s="3">
        <v>1.8540000000000001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200</v>
      </c>
      <c r="D309" s="3"/>
      <c r="E309" s="3" t="s">
        <v>200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111</v>
      </c>
      <c r="O309" s="3"/>
      <c r="P309" s="3"/>
      <c r="Q309" s="3">
        <v>0.57599999999999996</v>
      </c>
      <c r="R309" s="3" t="s">
        <v>112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200</v>
      </c>
      <c r="D310" s="3"/>
      <c r="E310" s="3" t="s">
        <v>200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95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200</v>
      </c>
      <c r="D311" s="3"/>
      <c r="E311" s="3" t="s">
        <v>200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114</v>
      </c>
      <c r="O311" s="3"/>
      <c r="P311" s="3"/>
      <c r="Q311" s="3">
        <v>23.012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200</v>
      </c>
      <c r="D312" s="3"/>
      <c r="E312" s="3" t="s">
        <v>200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16</v>
      </c>
      <c r="O312" s="3"/>
      <c r="P312" s="3"/>
      <c r="Q312" s="3">
        <v>142.464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200</v>
      </c>
      <c r="D313" s="3"/>
      <c r="E313" s="3" t="s">
        <v>200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96</v>
      </c>
      <c r="O313" s="3"/>
      <c r="P313" s="3"/>
      <c r="Q313" s="3">
        <v>0.14799999999999999</v>
      </c>
      <c r="R313" s="3" t="s">
        <v>12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200</v>
      </c>
      <c r="D314" s="3"/>
      <c r="E314" s="3" t="s">
        <v>200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122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200</v>
      </c>
      <c r="D315" s="3"/>
      <c r="E315" s="3" t="s">
        <v>200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100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200</v>
      </c>
      <c r="D316" s="3"/>
      <c r="E316" s="3" t="s">
        <v>200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200</v>
      </c>
      <c r="D317" s="3"/>
      <c r="E317" s="3" t="s">
        <v>200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200</v>
      </c>
      <c r="D318" s="3"/>
      <c r="E318" s="3" t="s">
        <v>200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115</v>
      </c>
      <c r="O318" s="3"/>
      <c r="P318" s="3"/>
      <c r="Q318" s="3">
        <v>1.0669999999999999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200</v>
      </c>
      <c r="D319" s="3"/>
      <c r="E319" s="3" t="s">
        <v>200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203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204</v>
      </c>
      <c r="D320" s="3"/>
      <c r="E320" s="3" t="s">
        <v>204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119</v>
      </c>
      <c r="O320" s="3"/>
      <c r="P320" s="3"/>
      <c r="Q320" s="3">
        <v>0.78700000000000003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204</v>
      </c>
      <c r="D321" s="3"/>
      <c r="E321" s="3" t="s">
        <v>204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205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204</v>
      </c>
      <c r="D322" s="3"/>
      <c r="E322" s="3" t="s">
        <v>204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206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204</v>
      </c>
      <c r="D323" s="3"/>
      <c r="E323" s="3" t="s">
        <v>204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113</v>
      </c>
      <c r="O323" s="3"/>
      <c r="P323" s="3"/>
      <c r="Q323" s="3">
        <v>0.78700000000000003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204</v>
      </c>
      <c r="D324" s="3"/>
      <c r="E324" s="3" t="s">
        <v>204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111</v>
      </c>
      <c r="O324" s="3"/>
      <c r="P324" s="3"/>
      <c r="Q324" s="3">
        <v>0.25</v>
      </c>
      <c r="R324" s="3" t="s">
        <v>112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204</v>
      </c>
      <c r="D325" s="3"/>
      <c r="E325" s="3" t="s">
        <v>204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95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204</v>
      </c>
      <c r="D326" s="3"/>
      <c r="E326" s="3" t="s">
        <v>204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114</v>
      </c>
      <c r="O326" s="3"/>
      <c r="P326" s="3"/>
      <c r="Q326" s="3">
        <v>16.916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204</v>
      </c>
      <c r="D327" s="3"/>
      <c r="E327" s="3" t="s">
        <v>204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16</v>
      </c>
      <c r="O327" s="3"/>
      <c r="P327" s="3"/>
      <c r="Q327" s="3">
        <v>104.973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204</v>
      </c>
      <c r="D328" s="3"/>
      <c r="E328" s="3" t="s">
        <v>204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96</v>
      </c>
      <c r="O328" s="3"/>
      <c r="P328" s="3"/>
      <c r="Q328" s="3">
        <v>7.2999999999999995E-2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204</v>
      </c>
      <c r="D329" s="3"/>
      <c r="E329" s="3" t="s">
        <v>204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122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204</v>
      </c>
      <c r="D330" s="3"/>
      <c r="E330" s="3" t="s">
        <v>204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100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204</v>
      </c>
      <c r="D331" s="3"/>
      <c r="E331" s="3" t="s">
        <v>204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204</v>
      </c>
      <c r="D332" s="3"/>
      <c r="E332" s="3" t="s">
        <v>204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204</v>
      </c>
      <c r="D333" s="3"/>
      <c r="E333" s="3" t="s">
        <v>204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115</v>
      </c>
      <c r="O333" s="3"/>
      <c r="P333" s="3"/>
      <c r="Q333" s="3">
        <v>1.1759999999999999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204</v>
      </c>
      <c r="D334" s="3"/>
      <c r="E334" s="3" t="s">
        <v>204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207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208</v>
      </c>
      <c r="D335" s="3"/>
      <c r="E335" s="3" t="s">
        <v>208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119</v>
      </c>
      <c r="O335" s="3"/>
      <c r="P335" s="3"/>
      <c r="Q335" s="3">
        <v>0.94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208</v>
      </c>
      <c r="D336" s="3"/>
      <c r="E336" s="3" t="s">
        <v>208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209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208</v>
      </c>
      <c r="D337" s="3"/>
      <c r="E337" s="3" t="s">
        <v>208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210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208</v>
      </c>
      <c r="D338" s="3"/>
      <c r="E338" s="3" t="s">
        <v>208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113</v>
      </c>
      <c r="O338" s="3"/>
      <c r="P338" s="3"/>
      <c r="Q338" s="3">
        <v>0.94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208</v>
      </c>
      <c r="D339" s="3"/>
      <c r="E339" s="3" t="s">
        <v>208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111</v>
      </c>
      <c r="O339" s="3"/>
      <c r="P339" s="3"/>
      <c r="Q339" s="3">
        <v>0.29899999999999999</v>
      </c>
      <c r="R339" s="3" t="s">
        <v>112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208</v>
      </c>
      <c r="D340" s="3"/>
      <c r="E340" s="3" t="s">
        <v>208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95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208</v>
      </c>
      <c r="D341" s="3"/>
      <c r="E341" s="3" t="s">
        <v>208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114</v>
      </c>
      <c r="O341" s="3"/>
      <c r="P341" s="3"/>
      <c r="Q341" s="3">
        <v>17.831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208</v>
      </c>
      <c r="D342" s="3"/>
      <c r="E342" s="3" t="s">
        <v>208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16</v>
      </c>
      <c r="O342" s="3"/>
      <c r="P342" s="3"/>
      <c r="Q342" s="3">
        <v>110.59699999999999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208</v>
      </c>
      <c r="D343" s="3"/>
      <c r="E343" s="3" t="s">
        <v>208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96</v>
      </c>
      <c r="O343" s="3"/>
      <c r="P343" s="3"/>
      <c r="Q343" s="3">
        <v>8.4000000000000005E-2</v>
      </c>
      <c r="R343" s="3" t="s">
        <v>12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208</v>
      </c>
      <c r="D344" s="3"/>
      <c r="E344" s="3" t="s">
        <v>208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122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208</v>
      </c>
      <c r="D345" s="3"/>
      <c r="E345" s="3" t="s">
        <v>208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100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208</v>
      </c>
      <c r="D346" s="3"/>
      <c r="E346" s="3" t="s">
        <v>208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208</v>
      </c>
      <c r="D347" s="3"/>
      <c r="E347" s="3" t="s">
        <v>208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208</v>
      </c>
      <c r="D348" s="3"/>
      <c r="E348" s="3" t="s">
        <v>208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115</v>
      </c>
      <c r="O348" s="3"/>
      <c r="P348" s="3"/>
      <c r="Q348" s="3">
        <v>1.1759999999999999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208</v>
      </c>
      <c r="D349" s="3"/>
      <c r="E349" s="3" t="s">
        <v>208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211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212</v>
      </c>
      <c r="D350" s="3"/>
      <c r="E350" s="3" t="s">
        <v>212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119</v>
      </c>
      <c r="O350" s="3"/>
      <c r="P350" s="3"/>
      <c r="Q350" s="3">
        <v>1.0920000000000001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212</v>
      </c>
      <c r="D351" s="3"/>
      <c r="E351" s="3" t="s">
        <v>212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213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212</v>
      </c>
      <c r="D352" s="3"/>
      <c r="E352" s="3" t="s">
        <v>212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214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212</v>
      </c>
      <c r="D353" s="3"/>
      <c r="E353" s="3" t="s">
        <v>212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113</v>
      </c>
      <c r="O353" s="3"/>
      <c r="P353" s="3"/>
      <c r="Q353" s="3">
        <v>1.0920000000000001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212</v>
      </c>
      <c r="D354" s="3"/>
      <c r="E354" s="3" t="s">
        <v>212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111</v>
      </c>
      <c r="O354" s="3"/>
      <c r="P354" s="3"/>
      <c r="Q354" s="3">
        <v>0.34699999999999998</v>
      </c>
      <c r="R354" s="3" t="s">
        <v>112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212</v>
      </c>
      <c r="D355" s="3"/>
      <c r="E355" s="3" t="s">
        <v>212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212</v>
      </c>
      <c r="D356" s="3"/>
      <c r="E356" s="3" t="s">
        <v>212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114</v>
      </c>
      <c r="O356" s="3"/>
      <c r="P356" s="3"/>
      <c r="Q356" s="3">
        <v>18.745000000000001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212</v>
      </c>
      <c r="D357" s="3"/>
      <c r="E357" s="3" t="s">
        <v>212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16</v>
      </c>
      <c r="O357" s="3"/>
      <c r="P357" s="3"/>
      <c r="Q357" s="3">
        <v>116.22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212</v>
      </c>
      <c r="D358" s="3"/>
      <c r="E358" s="3" t="s">
        <v>212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96</v>
      </c>
      <c r="O358" s="3"/>
      <c r="P358" s="3"/>
      <c r="Q358" s="3">
        <v>9.4E-2</v>
      </c>
      <c r="R358" s="3" t="s">
        <v>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212</v>
      </c>
      <c r="D359" s="3"/>
      <c r="E359" s="3" t="s">
        <v>212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122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212</v>
      </c>
      <c r="D360" s="3"/>
      <c r="E360" s="3" t="s">
        <v>212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100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212</v>
      </c>
      <c r="D361" s="3"/>
      <c r="E361" s="3" t="s">
        <v>212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212</v>
      </c>
      <c r="D362" s="3"/>
      <c r="E362" s="3" t="s">
        <v>212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212</v>
      </c>
      <c r="D363" s="3"/>
      <c r="E363" s="3" t="s">
        <v>212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115</v>
      </c>
      <c r="O363" s="3"/>
      <c r="P363" s="3"/>
      <c r="Q363" s="3">
        <v>1.1759999999999999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212</v>
      </c>
      <c r="D364" s="3"/>
      <c r="E364" s="3" t="s">
        <v>212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215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216</v>
      </c>
      <c r="D365" s="3"/>
      <c r="E365" s="3" t="s">
        <v>216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119</v>
      </c>
      <c r="O365" s="3"/>
      <c r="P365" s="3"/>
      <c r="Q365" s="3">
        <v>1.2450000000000001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216</v>
      </c>
      <c r="D366" s="3"/>
      <c r="E366" s="3" t="s">
        <v>216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217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216</v>
      </c>
      <c r="D367" s="3"/>
      <c r="E367" s="3" t="s">
        <v>216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218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216</v>
      </c>
      <c r="D368" s="3"/>
      <c r="E368" s="3" t="s">
        <v>216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113</v>
      </c>
      <c r="O368" s="3"/>
      <c r="P368" s="3"/>
      <c r="Q368" s="3">
        <v>1.2450000000000001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216</v>
      </c>
      <c r="D369" s="3"/>
      <c r="E369" s="3" t="s">
        <v>216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111</v>
      </c>
      <c r="O369" s="3"/>
      <c r="P369" s="3"/>
      <c r="Q369" s="3">
        <v>0.39600000000000002</v>
      </c>
      <c r="R369" s="3" t="s">
        <v>112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216</v>
      </c>
      <c r="D370" s="3"/>
      <c r="E370" s="3" t="s">
        <v>216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95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216</v>
      </c>
      <c r="D371" s="3"/>
      <c r="E371" s="3" t="s">
        <v>216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114</v>
      </c>
      <c r="O371" s="3"/>
      <c r="P371" s="3"/>
      <c r="Q371" s="3">
        <v>19.66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216</v>
      </c>
      <c r="D372" s="3"/>
      <c r="E372" s="3" t="s">
        <v>216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16</v>
      </c>
      <c r="O372" s="3"/>
      <c r="P372" s="3"/>
      <c r="Q372" s="3">
        <v>121.84399999999999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216</v>
      </c>
      <c r="D373" s="3"/>
      <c r="E373" s="3" t="s">
        <v>216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96</v>
      </c>
      <c r="O373" s="3"/>
      <c r="P373" s="3"/>
      <c r="Q373" s="3">
        <v>0.105</v>
      </c>
      <c r="R373" s="3" t="s">
        <v>12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216</v>
      </c>
      <c r="D374" s="3"/>
      <c r="E374" s="3" t="s">
        <v>216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122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216</v>
      </c>
      <c r="D375" s="3"/>
      <c r="E375" s="3" t="s">
        <v>216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100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216</v>
      </c>
      <c r="D376" s="3"/>
      <c r="E376" s="3" t="s">
        <v>216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216</v>
      </c>
      <c r="D377" s="3"/>
      <c r="E377" s="3" t="s">
        <v>216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216</v>
      </c>
      <c r="D378" s="3"/>
      <c r="E378" s="3" t="s">
        <v>216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115</v>
      </c>
      <c r="O378" s="3"/>
      <c r="P378" s="3"/>
      <c r="Q378" s="3">
        <v>1.1759999999999999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216</v>
      </c>
      <c r="D379" s="3"/>
      <c r="E379" s="3" t="s">
        <v>216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219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220</v>
      </c>
      <c r="D380" s="3"/>
      <c r="E380" s="3" t="s">
        <v>220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119</v>
      </c>
      <c r="O380" s="3"/>
      <c r="P380" s="3"/>
      <c r="Q380" s="3">
        <v>1.5489999999999999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220</v>
      </c>
      <c r="D381" s="3"/>
      <c r="E381" s="3" t="s">
        <v>220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221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220</v>
      </c>
      <c r="D382" s="3"/>
      <c r="E382" s="3" t="s">
        <v>220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222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220</v>
      </c>
      <c r="D383" s="3"/>
      <c r="E383" s="3" t="s">
        <v>220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113</v>
      </c>
      <c r="O383" s="3"/>
      <c r="P383" s="3"/>
      <c r="Q383" s="3">
        <v>1.5489999999999999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220</v>
      </c>
      <c r="D384" s="3"/>
      <c r="E384" s="3" t="s">
        <v>220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111</v>
      </c>
      <c r="O384" s="3"/>
      <c r="P384" s="3"/>
      <c r="Q384" s="3">
        <v>0.49299999999999999</v>
      </c>
      <c r="R384" s="3" t="s">
        <v>112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220</v>
      </c>
      <c r="D385" s="3"/>
      <c r="E385" s="3" t="s">
        <v>220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95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220</v>
      </c>
      <c r="D386" s="3"/>
      <c r="E386" s="3" t="s">
        <v>220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114</v>
      </c>
      <c r="O386" s="3"/>
      <c r="P386" s="3"/>
      <c r="Q386" s="3">
        <v>21.488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220</v>
      </c>
      <c r="D387" s="3"/>
      <c r="E387" s="3" t="s">
        <v>220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16</v>
      </c>
      <c r="O387" s="3"/>
      <c r="P387" s="3"/>
      <c r="Q387" s="3">
        <v>133.09100000000001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220</v>
      </c>
      <c r="D388" s="3"/>
      <c r="E388" s="3" t="s">
        <v>220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96</v>
      </c>
      <c r="O388" s="3"/>
      <c r="P388" s="3"/>
      <c r="Q388" s="3">
        <v>0.126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220</v>
      </c>
      <c r="D389" s="3"/>
      <c r="E389" s="3" t="s">
        <v>220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122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220</v>
      </c>
      <c r="D390" s="3"/>
      <c r="E390" s="3" t="s">
        <v>220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100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220</v>
      </c>
      <c r="D391" s="3"/>
      <c r="E391" s="3" t="s">
        <v>220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220</v>
      </c>
      <c r="D392" s="3"/>
      <c r="E392" s="3" t="s">
        <v>220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220</v>
      </c>
      <c r="D393" s="3"/>
      <c r="E393" s="3" t="s">
        <v>220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115</v>
      </c>
      <c r="O393" s="3"/>
      <c r="P393" s="3"/>
      <c r="Q393" s="3">
        <v>1.1759999999999999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220</v>
      </c>
      <c r="D394" s="3"/>
      <c r="E394" s="3" t="s">
        <v>220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223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224</v>
      </c>
      <c r="D395" s="3"/>
      <c r="E395" s="3" t="s">
        <v>224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119</v>
      </c>
      <c r="O395" s="3"/>
      <c r="P395" s="3"/>
      <c r="Q395" s="3">
        <v>1.702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224</v>
      </c>
      <c r="D396" s="3"/>
      <c r="E396" s="3" t="s">
        <v>224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225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224</v>
      </c>
      <c r="D397" s="3"/>
      <c r="E397" s="3" t="s">
        <v>224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226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224</v>
      </c>
      <c r="D398" s="3"/>
      <c r="E398" s="3" t="s">
        <v>224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113</v>
      </c>
      <c r="O398" s="3"/>
      <c r="P398" s="3"/>
      <c r="Q398" s="3">
        <v>1.702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224</v>
      </c>
      <c r="D399" s="3"/>
      <c r="E399" s="3" t="s">
        <v>224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111</v>
      </c>
      <c r="O399" s="3"/>
      <c r="P399" s="3"/>
      <c r="Q399" s="3">
        <v>0.54200000000000004</v>
      </c>
      <c r="R399" s="3" t="s">
        <v>112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224</v>
      </c>
      <c r="D400" s="3"/>
      <c r="E400" s="3" t="s">
        <v>224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95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224</v>
      </c>
      <c r="D401" s="3"/>
      <c r="E401" s="3" t="s">
        <v>224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114</v>
      </c>
      <c r="O401" s="3"/>
      <c r="P401" s="3"/>
      <c r="Q401" s="3">
        <v>22.402999999999999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224</v>
      </c>
      <c r="D402" s="3"/>
      <c r="E402" s="3" t="s">
        <v>224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16</v>
      </c>
      <c r="O402" s="3"/>
      <c r="P402" s="3"/>
      <c r="Q402" s="3">
        <v>138.714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224</v>
      </c>
      <c r="D403" s="3"/>
      <c r="E403" s="3" t="s">
        <v>224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96</v>
      </c>
      <c r="O403" s="3"/>
      <c r="P403" s="3"/>
      <c r="Q403" s="3">
        <v>0.13700000000000001</v>
      </c>
      <c r="R403" s="3" t="s">
        <v>12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224</v>
      </c>
      <c r="D404" s="3"/>
      <c r="E404" s="3" t="s">
        <v>224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122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224</v>
      </c>
      <c r="D405" s="3"/>
      <c r="E405" s="3" t="s">
        <v>224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100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224</v>
      </c>
      <c r="D406" s="3"/>
      <c r="E406" s="3" t="s">
        <v>224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224</v>
      </c>
      <c r="D407" s="3"/>
      <c r="E407" s="3" t="s">
        <v>224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224</v>
      </c>
      <c r="D408" s="3"/>
      <c r="E408" s="3" t="s">
        <v>224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115</v>
      </c>
      <c r="O408" s="3"/>
      <c r="P408" s="3"/>
      <c r="Q408" s="3">
        <v>1.1759999999999999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224</v>
      </c>
      <c r="D409" s="3"/>
      <c r="E409" s="3" t="s">
        <v>224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227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228</v>
      </c>
      <c r="D410" s="3"/>
      <c r="E410" s="3" t="s">
        <v>228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119</v>
      </c>
      <c r="O410" s="3"/>
      <c r="P410" s="3"/>
      <c r="Q410" s="3">
        <v>1.8540000000000001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228</v>
      </c>
      <c r="D411" s="3"/>
      <c r="E411" s="3" t="s">
        <v>228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229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228</v>
      </c>
      <c r="D412" s="3"/>
      <c r="E412" s="3" t="s">
        <v>228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230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228</v>
      </c>
      <c r="D413" s="3"/>
      <c r="E413" s="3" t="s">
        <v>228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113</v>
      </c>
      <c r="O413" s="3"/>
      <c r="P413" s="3"/>
      <c r="Q413" s="3">
        <v>1.8540000000000001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228</v>
      </c>
      <c r="D414" s="3"/>
      <c r="E414" s="3" t="s">
        <v>228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111</v>
      </c>
      <c r="O414" s="3"/>
      <c r="P414" s="3"/>
      <c r="Q414" s="3">
        <v>0.59</v>
      </c>
      <c r="R414" s="3" t="s">
        <v>112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228</v>
      </c>
      <c r="D415" s="3"/>
      <c r="E415" s="3" t="s">
        <v>228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228</v>
      </c>
      <c r="D416" s="3"/>
      <c r="E416" s="3" t="s">
        <v>228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114</v>
      </c>
      <c r="O416" s="3"/>
      <c r="P416" s="3"/>
      <c r="Q416" s="3">
        <v>23.317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228</v>
      </c>
      <c r="D417" s="3"/>
      <c r="E417" s="3" t="s">
        <v>228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16</v>
      </c>
      <c r="O417" s="3"/>
      <c r="P417" s="3"/>
      <c r="Q417" s="3">
        <v>144.33799999999999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228</v>
      </c>
      <c r="D418" s="3"/>
      <c r="E418" s="3" t="s">
        <v>228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96</v>
      </c>
      <c r="O418" s="3"/>
      <c r="P418" s="3"/>
      <c r="Q418" s="3">
        <v>0.14799999999999999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228</v>
      </c>
      <c r="D419" s="3"/>
      <c r="E419" s="3" t="s">
        <v>228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228</v>
      </c>
      <c r="D420" s="3"/>
      <c r="E420" s="3" t="s">
        <v>228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228</v>
      </c>
      <c r="D421" s="3"/>
      <c r="E421" s="3" t="s">
        <v>228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228</v>
      </c>
      <c r="D422" s="3"/>
      <c r="E422" s="3" t="s">
        <v>228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228</v>
      </c>
      <c r="D423" s="3"/>
      <c r="E423" s="3" t="s">
        <v>228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115</v>
      </c>
      <c r="O423" s="3"/>
      <c r="P423" s="3"/>
      <c r="Q423" s="3">
        <v>1.1759999999999999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228</v>
      </c>
      <c r="D424" s="3"/>
      <c r="E424" s="3" t="s">
        <v>228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231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232</v>
      </c>
      <c r="D425" s="3"/>
      <c r="E425" s="3" t="s">
        <v>232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119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232</v>
      </c>
      <c r="D426" s="3"/>
      <c r="E426" s="3" t="s">
        <v>232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233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232</v>
      </c>
      <c r="D427" s="3"/>
      <c r="E427" s="3" t="s">
        <v>232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234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232</v>
      </c>
      <c r="D428" s="3"/>
      <c r="E428" s="3" t="s">
        <v>232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113</v>
      </c>
      <c r="O428" s="3"/>
      <c r="P428" s="3"/>
      <c r="Q428" s="3">
        <v>2.1589999999999998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232</v>
      </c>
      <c r="D429" s="3"/>
      <c r="E429" s="3" t="s">
        <v>232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111</v>
      </c>
      <c r="O429" s="3"/>
      <c r="P429" s="3"/>
      <c r="Q429" s="3">
        <v>0.26200000000000001</v>
      </c>
      <c r="R429" s="3" t="s">
        <v>112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232</v>
      </c>
      <c r="D430" s="3"/>
      <c r="E430" s="3" t="s">
        <v>232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95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232</v>
      </c>
      <c r="D431" s="3"/>
      <c r="E431" s="3" t="s">
        <v>232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114</v>
      </c>
      <c r="O431" s="3"/>
      <c r="P431" s="3"/>
      <c r="Q431" s="3">
        <v>17.526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232</v>
      </c>
      <c r="D432" s="3"/>
      <c r="E432" s="3" t="s">
        <v>232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16</v>
      </c>
      <c r="O432" s="3"/>
      <c r="P432" s="3"/>
      <c r="Q432" s="3">
        <v>108.72199999999999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232</v>
      </c>
      <c r="D433" s="3"/>
      <c r="E433" s="3" t="s">
        <v>232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96</v>
      </c>
      <c r="O433" s="3"/>
      <c r="P433" s="3"/>
      <c r="Q433" s="3">
        <v>7.2999999999999995E-2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232</v>
      </c>
      <c r="D434" s="3"/>
      <c r="E434" s="3" t="s">
        <v>232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122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232</v>
      </c>
      <c r="D435" s="3"/>
      <c r="E435" s="3" t="s">
        <v>232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100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232</v>
      </c>
      <c r="D436" s="3"/>
      <c r="E436" s="3" t="s">
        <v>232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232</v>
      </c>
      <c r="D437" s="3"/>
      <c r="E437" s="3" t="s">
        <v>232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21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232</v>
      </c>
      <c r="D438" s="3"/>
      <c r="E438" s="3" t="s">
        <v>232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115</v>
      </c>
      <c r="O438" s="3"/>
      <c r="P438" s="3"/>
      <c r="Q438" s="3">
        <v>1.23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232</v>
      </c>
      <c r="D439" s="3"/>
      <c r="E439" s="3" t="s">
        <v>232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235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236</v>
      </c>
      <c r="D440" s="3"/>
      <c r="E440" s="3" t="s">
        <v>236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119</v>
      </c>
      <c r="O440" s="3"/>
      <c r="P440" s="3"/>
      <c r="Q440" s="3">
        <v>2.1589999999999998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236</v>
      </c>
      <c r="D441" s="3"/>
      <c r="E441" s="3" t="s">
        <v>236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237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236</v>
      </c>
      <c r="D442" s="3"/>
      <c r="E442" s="3" t="s">
        <v>236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238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236</v>
      </c>
      <c r="D443" s="3"/>
      <c r="E443" s="3" t="s">
        <v>236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113</v>
      </c>
      <c r="O443" s="3"/>
      <c r="P443" s="3"/>
      <c r="Q443" s="3">
        <v>2.1589999999999998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236</v>
      </c>
      <c r="D444" s="3"/>
      <c r="E444" s="3" t="s">
        <v>236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111</v>
      </c>
      <c r="O444" s="3"/>
      <c r="P444" s="3"/>
      <c r="Q444" s="3">
        <v>0.313</v>
      </c>
      <c r="R444" s="3" t="s">
        <v>112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236</v>
      </c>
      <c r="D445" s="3"/>
      <c r="E445" s="3" t="s">
        <v>236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95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236</v>
      </c>
      <c r="D446" s="3"/>
      <c r="E446" s="3" t="s">
        <v>236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114</v>
      </c>
      <c r="O446" s="3"/>
      <c r="P446" s="3"/>
      <c r="Q446" s="3">
        <v>18.440000000000001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236</v>
      </c>
      <c r="D447" s="3"/>
      <c r="E447" s="3" t="s">
        <v>236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16</v>
      </c>
      <c r="O447" s="3"/>
      <c r="P447" s="3"/>
      <c r="Q447" s="3">
        <v>114.346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236</v>
      </c>
      <c r="D448" s="3"/>
      <c r="E448" s="3" t="s">
        <v>236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96</v>
      </c>
      <c r="O448" s="3"/>
      <c r="P448" s="3"/>
      <c r="Q448" s="3">
        <v>8.4000000000000005E-2</v>
      </c>
      <c r="R448" s="3" t="s">
        <v>12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236</v>
      </c>
      <c r="D449" s="3"/>
      <c r="E449" s="3" t="s">
        <v>236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122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236</v>
      </c>
      <c r="D450" s="3"/>
      <c r="E450" s="3" t="s">
        <v>236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100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236</v>
      </c>
      <c r="D451" s="3"/>
      <c r="E451" s="3" t="s">
        <v>236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236</v>
      </c>
      <c r="D452" s="3"/>
      <c r="E452" s="3" t="s">
        <v>236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21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236</v>
      </c>
      <c r="D453" s="3"/>
      <c r="E453" s="3" t="s">
        <v>236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115</v>
      </c>
      <c r="O453" s="3"/>
      <c r="P453" s="3"/>
      <c r="Q453" s="3">
        <v>1.23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236</v>
      </c>
      <c r="D454" s="3"/>
      <c r="E454" s="3" t="s">
        <v>236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239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240</v>
      </c>
      <c r="D455" s="3"/>
      <c r="E455" s="3" t="s">
        <v>240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119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240</v>
      </c>
      <c r="D456" s="3"/>
      <c r="E456" s="3" t="s">
        <v>240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241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240</v>
      </c>
      <c r="D457" s="3"/>
      <c r="E457" s="3" t="s">
        <v>240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242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240</v>
      </c>
      <c r="D458" s="3"/>
      <c r="E458" s="3" t="s">
        <v>240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113</v>
      </c>
      <c r="O458" s="3"/>
      <c r="P458" s="3"/>
      <c r="Q458" s="3">
        <v>2.1589999999999998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240</v>
      </c>
      <c r="D459" s="3"/>
      <c r="E459" s="3" t="s">
        <v>240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111</v>
      </c>
      <c r="O459" s="3"/>
      <c r="P459" s="3"/>
      <c r="Q459" s="3">
        <v>0.36499999999999999</v>
      </c>
      <c r="R459" s="3" t="s">
        <v>112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240</v>
      </c>
      <c r="D460" s="3"/>
      <c r="E460" s="3" t="s">
        <v>240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240</v>
      </c>
      <c r="D461" s="3"/>
      <c r="E461" s="3" t="s">
        <v>240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114</v>
      </c>
      <c r="O461" s="3"/>
      <c r="P461" s="3"/>
      <c r="Q461" s="3">
        <v>19.355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240</v>
      </c>
      <c r="D462" s="3"/>
      <c r="E462" s="3" t="s">
        <v>240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16</v>
      </c>
      <c r="O462" s="3"/>
      <c r="P462" s="3"/>
      <c r="Q462" s="3">
        <v>119.96899999999999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240</v>
      </c>
      <c r="D463" s="3"/>
      <c r="E463" s="3" t="s">
        <v>240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96</v>
      </c>
      <c r="O463" s="3"/>
      <c r="P463" s="3"/>
      <c r="Q463" s="3">
        <v>9.4E-2</v>
      </c>
      <c r="R463" s="3" t="s">
        <v>12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240</v>
      </c>
      <c r="D464" s="3"/>
      <c r="E464" s="3" t="s">
        <v>240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122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240</v>
      </c>
      <c r="D465" s="3"/>
      <c r="E465" s="3" t="s">
        <v>240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100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240</v>
      </c>
      <c r="D466" s="3"/>
      <c r="E466" s="3" t="s">
        <v>240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240</v>
      </c>
      <c r="D467" s="3"/>
      <c r="E467" s="3" t="s">
        <v>240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240</v>
      </c>
      <c r="D468" s="3"/>
      <c r="E468" s="3" t="s">
        <v>240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115</v>
      </c>
      <c r="O468" s="3"/>
      <c r="P468" s="3"/>
      <c r="Q468" s="3">
        <v>1.23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240</v>
      </c>
      <c r="D469" s="3"/>
      <c r="E469" s="3" t="s">
        <v>240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243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244</v>
      </c>
      <c r="D470" s="3"/>
      <c r="E470" s="3" t="s">
        <v>244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119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244</v>
      </c>
      <c r="D471" s="3"/>
      <c r="E471" s="3" t="s">
        <v>244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245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244</v>
      </c>
      <c r="D472" s="3"/>
      <c r="E472" s="3" t="s">
        <v>244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246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244</v>
      </c>
      <c r="D473" s="3"/>
      <c r="E473" s="3" t="s">
        <v>244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113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244</v>
      </c>
      <c r="D474" s="3"/>
      <c r="E474" s="3" t="s">
        <v>244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111</v>
      </c>
      <c r="O474" s="3"/>
      <c r="P474" s="3"/>
      <c r="Q474" s="3">
        <v>0.41599999999999998</v>
      </c>
      <c r="R474" s="3" t="s">
        <v>112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244</v>
      </c>
      <c r="D475" s="3"/>
      <c r="E475" s="3" t="s">
        <v>244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95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244</v>
      </c>
      <c r="D476" s="3"/>
      <c r="E476" s="3" t="s">
        <v>244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114</v>
      </c>
      <c r="O476" s="3"/>
      <c r="P476" s="3"/>
      <c r="Q476" s="3">
        <v>20.268999999999998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244</v>
      </c>
      <c r="D477" s="3"/>
      <c r="E477" s="3" t="s">
        <v>244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16</v>
      </c>
      <c r="O477" s="3"/>
      <c r="P477" s="3"/>
      <c r="Q477" s="3">
        <v>125.593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244</v>
      </c>
      <c r="D478" s="3"/>
      <c r="E478" s="3" t="s">
        <v>244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96</v>
      </c>
      <c r="O478" s="3"/>
      <c r="P478" s="3"/>
      <c r="Q478" s="3">
        <v>0.105</v>
      </c>
      <c r="R478" s="3" t="s">
        <v>12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244</v>
      </c>
      <c r="D479" s="3"/>
      <c r="E479" s="3" t="s">
        <v>244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122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244</v>
      </c>
      <c r="D480" s="3"/>
      <c r="E480" s="3" t="s">
        <v>244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100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244</v>
      </c>
      <c r="D481" s="3"/>
      <c r="E481" s="3" t="s">
        <v>244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244</v>
      </c>
      <c r="D482" s="3"/>
      <c r="E482" s="3" t="s">
        <v>244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244</v>
      </c>
      <c r="D483" s="3"/>
      <c r="E483" s="3" t="s">
        <v>244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115</v>
      </c>
      <c r="O483" s="3"/>
      <c r="P483" s="3"/>
      <c r="Q483" s="3">
        <v>1.23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244</v>
      </c>
      <c r="D484" s="3"/>
      <c r="E484" s="3" t="s">
        <v>244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247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248</v>
      </c>
      <c r="D485" s="3"/>
      <c r="E485" s="3" t="s">
        <v>248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119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248</v>
      </c>
      <c r="D486" s="3"/>
      <c r="E486" s="3" t="s">
        <v>248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249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248</v>
      </c>
      <c r="D487" s="3"/>
      <c r="E487" s="3" t="s">
        <v>248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250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248</v>
      </c>
      <c r="D488" s="3"/>
      <c r="E488" s="3" t="s">
        <v>248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113</v>
      </c>
      <c r="O488" s="3"/>
      <c r="P488" s="3"/>
      <c r="Q488" s="3">
        <v>2.1589999999999998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248</v>
      </c>
      <c r="D489" s="3"/>
      <c r="E489" s="3" t="s">
        <v>248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111</v>
      </c>
      <c r="O489" s="3"/>
      <c r="P489" s="3"/>
      <c r="Q489" s="3">
        <v>0.51800000000000002</v>
      </c>
      <c r="R489" s="3" t="s">
        <v>112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248</v>
      </c>
      <c r="D490" s="3"/>
      <c r="E490" s="3" t="s">
        <v>248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95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248</v>
      </c>
      <c r="D491" s="3"/>
      <c r="E491" s="3" t="s">
        <v>248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114</v>
      </c>
      <c r="O491" s="3"/>
      <c r="P491" s="3"/>
      <c r="Q491" s="3">
        <v>22.097999999999999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248</v>
      </c>
      <c r="D492" s="3"/>
      <c r="E492" s="3" t="s">
        <v>248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16</v>
      </c>
      <c r="O492" s="3"/>
      <c r="P492" s="3"/>
      <c r="Q492" s="3">
        <v>136.84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248</v>
      </c>
      <c r="D493" s="3"/>
      <c r="E493" s="3" t="s">
        <v>248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96</v>
      </c>
      <c r="O493" s="3"/>
      <c r="P493" s="3"/>
      <c r="Q493" s="3">
        <v>0.126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248</v>
      </c>
      <c r="D494" s="3"/>
      <c r="E494" s="3" t="s">
        <v>248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122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248</v>
      </c>
      <c r="D495" s="3"/>
      <c r="E495" s="3" t="s">
        <v>248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100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248</v>
      </c>
      <c r="D496" s="3"/>
      <c r="E496" s="3" t="s">
        <v>248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248</v>
      </c>
      <c r="D497" s="3"/>
      <c r="E497" s="3" t="s">
        <v>248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248</v>
      </c>
      <c r="D498" s="3"/>
      <c r="E498" s="3" t="s">
        <v>248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115</v>
      </c>
      <c r="O498" s="3"/>
      <c r="P498" s="3"/>
      <c r="Q498" s="3">
        <v>1.23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248</v>
      </c>
      <c r="D499" s="3"/>
      <c r="E499" s="3" t="s">
        <v>248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251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252</v>
      </c>
      <c r="D500" s="3"/>
      <c r="E500" s="3" t="s">
        <v>252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119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252</v>
      </c>
      <c r="D501" s="3"/>
      <c r="E501" s="3" t="s">
        <v>252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253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252</v>
      </c>
      <c r="D502" s="3"/>
      <c r="E502" s="3" t="s">
        <v>252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254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252</v>
      </c>
      <c r="D503" s="3"/>
      <c r="E503" s="3" t="s">
        <v>252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113</v>
      </c>
      <c r="O503" s="3"/>
      <c r="P503" s="3"/>
      <c r="Q503" s="3">
        <v>2.1589999999999998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252</v>
      </c>
      <c r="D504" s="3"/>
      <c r="E504" s="3" t="s">
        <v>252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111</v>
      </c>
      <c r="O504" s="3"/>
      <c r="P504" s="3"/>
      <c r="Q504" s="3">
        <v>0.56899999999999995</v>
      </c>
      <c r="R504" s="3" t="s">
        <v>112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252</v>
      </c>
      <c r="D505" s="3"/>
      <c r="E505" s="3" t="s">
        <v>252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95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252</v>
      </c>
      <c r="D506" s="3"/>
      <c r="E506" s="3" t="s">
        <v>252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114</v>
      </c>
      <c r="O506" s="3"/>
      <c r="P506" s="3"/>
      <c r="Q506" s="3">
        <v>23.012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252</v>
      </c>
      <c r="D507" s="3"/>
      <c r="E507" s="3" t="s">
        <v>252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16</v>
      </c>
      <c r="O507" s="3"/>
      <c r="P507" s="3"/>
      <c r="Q507" s="3">
        <v>142.464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252</v>
      </c>
      <c r="D508" s="3"/>
      <c r="E508" s="3" t="s">
        <v>252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96</v>
      </c>
      <c r="O508" s="3"/>
      <c r="P508" s="3"/>
      <c r="Q508" s="3">
        <v>0.13700000000000001</v>
      </c>
      <c r="R508" s="3" t="s">
        <v>12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252</v>
      </c>
      <c r="D509" s="3"/>
      <c r="E509" s="3" t="s">
        <v>252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122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252</v>
      </c>
      <c r="D510" s="3"/>
      <c r="E510" s="3" t="s">
        <v>252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100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252</v>
      </c>
      <c r="D511" s="3"/>
      <c r="E511" s="3" t="s">
        <v>252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252</v>
      </c>
      <c r="D512" s="3"/>
      <c r="E512" s="3" t="s">
        <v>252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252</v>
      </c>
      <c r="D513" s="3"/>
      <c r="E513" s="3" t="s">
        <v>252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115</v>
      </c>
      <c r="O513" s="3"/>
      <c r="P513" s="3"/>
      <c r="Q513" s="3">
        <v>1.23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252</v>
      </c>
      <c r="D514" s="3"/>
      <c r="E514" s="3" t="s">
        <v>252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255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256</v>
      </c>
      <c r="D515" s="3"/>
      <c r="E515" s="3" t="s">
        <v>256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119</v>
      </c>
      <c r="O515" s="3"/>
      <c r="P515" s="3"/>
      <c r="Q515" s="3">
        <v>2.1589999999999998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256</v>
      </c>
      <c r="D516" s="3"/>
      <c r="E516" s="3" t="s">
        <v>256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257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256</v>
      </c>
      <c r="D517" s="3"/>
      <c r="E517" s="3" t="s">
        <v>256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258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256</v>
      </c>
      <c r="D518" s="3"/>
      <c r="E518" s="3" t="s">
        <v>256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113</v>
      </c>
      <c r="O518" s="3"/>
      <c r="P518" s="3"/>
      <c r="Q518" s="3">
        <v>2.1589999999999998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256</v>
      </c>
      <c r="D519" s="3"/>
      <c r="E519" s="3" t="s">
        <v>256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111</v>
      </c>
      <c r="O519" s="3"/>
      <c r="P519" s="3"/>
      <c r="Q519" s="3">
        <v>0.62</v>
      </c>
      <c r="R519" s="3" t="s">
        <v>112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256</v>
      </c>
      <c r="D520" s="3"/>
      <c r="E520" s="3" t="s">
        <v>256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95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256</v>
      </c>
      <c r="D521" s="3"/>
      <c r="E521" s="3" t="s">
        <v>256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114</v>
      </c>
      <c r="O521" s="3"/>
      <c r="P521" s="3"/>
      <c r="Q521" s="3">
        <v>23.927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256</v>
      </c>
      <c r="D522" s="3"/>
      <c r="E522" s="3" t="s">
        <v>256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16</v>
      </c>
      <c r="O522" s="3"/>
      <c r="P522" s="3"/>
      <c r="Q522" s="3">
        <v>148.08699999999999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256</v>
      </c>
      <c r="D523" s="3"/>
      <c r="E523" s="3" t="s">
        <v>256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96</v>
      </c>
      <c r="O523" s="3"/>
      <c r="P523" s="3"/>
      <c r="Q523" s="3">
        <v>0.14799999999999999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256</v>
      </c>
      <c r="D524" s="3"/>
      <c r="E524" s="3" t="s">
        <v>256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122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256</v>
      </c>
      <c r="D525" s="3"/>
      <c r="E525" s="3" t="s">
        <v>256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100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256</v>
      </c>
      <c r="D526" s="3"/>
      <c r="E526" s="3" t="s">
        <v>256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256</v>
      </c>
      <c r="D527" s="3"/>
      <c r="E527" s="3" t="s">
        <v>256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256</v>
      </c>
      <c r="D528" s="3"/>
      <c r="E528" s="3" t="s">
        <v>256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115</v>
      </c>
      <c r="O528" s="3"/>
      <c r="P528" s="3"/>
      <c r="Q528" s="3">
        <v>1.23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256</v>
      </c>
      <c r="D529" s="3"/>
      <c r="E529" s="3" t="s">
        <v>256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259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2025-10-11T07:57:36Z</dcterms:modified>
</cp:coreProperties>
</file>