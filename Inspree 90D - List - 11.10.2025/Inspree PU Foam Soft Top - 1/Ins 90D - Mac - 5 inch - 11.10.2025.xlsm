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PU Foam Soft Top - 1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G4" i="13" l="1"/>
  <c r="G2" i="13"/>
  <c r="G13" i="13"/>
  <c r="G5" i="13"/>
  <c r="G9" i="13" l="1"/>
  <c r="G8" i="13"/>
  <c r="G7" i="13"/>
  <c r="D4" i="13"/>
  <c r="H4" i="13"/>
  <c r="H5" i="13"/>
  <c r="D5" i="13"/>
  <c r="E14" i="13" l="1"/>
  <c r="E3" i="13" l="1"/>
  <c r="E2" i="13" l="1"/>
  <c r="D3" i="13" l="1"/>
  <c r="D6" i="13"/>
  <c r="D7" i="13"/>
  <c r="D8" i="13"/>
  <c r="D9" i="13"/>
  <c r="D10" i="13"/>
  <c r="D11" i="13"/>
  <c r="D12" i="13"/>
  <c r="D13" i="13"/>
  <c r="D14" i="13"/>
  <c r="D2" i="13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<sst xmlns="http://schemas.openxmlformats.org/spreadsheetml/2006/main" count="5817" uniqueCount="236">
  <si>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</si>
  <si>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</si>
  <si>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</si>
  <si>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</si>
  <si>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</si>
  <si>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</si>
  <si>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</si>
  <si>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</si>
  <si>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</si>
  <si>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</si>
  <si>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</si>
  <si>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</si>
  <si>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</si>
  <si>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</si>
  <si>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</si>
  <si>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</si>
  <si>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</si>
  <si>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</si>
  <si>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</si>
  <si>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</si>
  <si>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</si>
  <si>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</si>
  <si>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</si>
  <si>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</si>
  <si>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</si>
  <si>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</si>
  <si>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</si>
  <si>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</si>
  <si>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</si>
  <si>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</si>
  <si>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</si>
  <si>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</si>
  <si>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</si>
  <si>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</si>
  <si>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</si>
  <si>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</si>
  <si>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</si>
  <si>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</si>
  <si>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</si>
  <si>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</si>
  <si>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</si>
  <si>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</si>
  <si>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</si>
  <si>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</si>
  <si>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</si>
  <si>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</si>
  <si>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</si>
  <si>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</si>
  <si>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</si>
  <si>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</si>
  <si>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</si>
  <si>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</si>
  <si>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</si>
  <si>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</si>
  <si>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</si>
  <si>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</si>
  <si>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</si>
  <si>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</si>
  <si>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</si>
  <si>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</si>
  <si>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</si>
  <si>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</si>
  <si>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</si>
  <si>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</si>
  <si>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</si>
  <si>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</si>
  <si>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</si>
  <si>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</si>
  <si>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</si>
  <si>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</si>
  <si>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</si>
  <si>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</si>
  <si>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</si>
  <si>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</si>
  <si>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</si>
  <si>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</si>
  <si>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</si>
  <si>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</si>
  <si>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</si>
  <si>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</si>
  <si>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</si>
  <si>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</si>
  <si>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</si>
  <si>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</si>
  <si>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</si>
  <si>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</si>
  <si>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</si>
  <si>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</si>
  <si>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</si>
  <si>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</si>
  <si>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</si>
  <si>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</si>
  <si>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</si>
  <si>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</si>
  <si>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</si>
  <si>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</si>
  <si>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</si>
  <si>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</si>
  <si>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</si>
  <si>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</si>
  <si>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</si>
  <si>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MR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</si>
  <si>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</si>
  <si>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</si>
  <si>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</si>
  <si>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</si>
  <si>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</si>
  <si>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</si>
  <si>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</si>
  <si>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</si>
  <si>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</si>
  <si>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</si>
  <si>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</si>
  <si>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</si>
  <si>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</si>
  <si>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</si>
  <si>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4,5,6,8</t>
  </si>
  <si>
    <t>MR-only</t>
  </si>
  <si>
    <t>HYPINSFMMR72X30X05-90D</t>
  </si>
  <si>
    <t>SFG-INSRBMR-ST-QUILT-90D</t>
  </si>
  <si>
    <t>SFG-INSRBMR-ST-BOR-72X30X05</t>
  </si>
  <si>
    <t>RML-CS-HYP-5.25"</t>
  </si>
  <si>
    <t>90D-HYP-INSPREE-BLOCK-72X30X05</t>
  </si>
  <si>
    <t>HYPINSFMMR72X36X05-90D</t>
  </si>
  <si>
    <t>SFG-INSRBMR-ST-BOR-72X36X05</t>
  </si>
  <si>
    <t>90D-HYP-INSPREE-BLOCK-72X36X05</t>
  </si>
  <si>
    <t>HYPINSFMMR72X42X05-90D</t>
  </si>
  <si>
    <t>SFG-INSRBMR-ST-BOR-72X42X05</t>
  </si>
  <si>
    <t>90D-HYP-INSPREE-BLOCK-72X42X05</t>
  </si>
  <si>
    <t>HYPINSFMMR72X48X05-90D</t>
  </si>
  <si>
    <t>SFG-INSRBMR-ST-BOR-72X48X05</t>
  </si>
  <si>
    <t>90D-HYP-INSPREE-BLOCK-72X48X05</t>
  </si>
  <si>
    <t>HYPINSFMMR72X60X05-90D</t>
  </si>
  <si>
    <t>SFG-INSRBMR-ST-BOR-72X60X05</t>
  </si>
  <si>
    <t>90D-HYP-INSPREE-BLOCK-72X60X05</t>
  </si>
  <si>
    <t>HYPINSFMMR72X66X05-90D</t>
  </si>
  <si>
    <t>SFG-INSRBMR-ST-BOR-72X66X05</t>
  </si>
  <si>
    <t>90D-HYP-INSPREE-BLOCK-72X66X05</t>
  </si>
  <si>
    <t>HYPINSFMMR72X72X05-90D</t>
  </si>
  <si>
    <t>SFG-INSRBMR-ST-BOR-72X72X05</t>
  </si>
  <si>
    <t>90D-HYP-INSPREE-BLOCK-72X72X05</t>
  </si>
  <si>
    <t>HYPINSFMMR75X30X05-90D</t>
  </si>
  <si>
    <t>SFG-INSRBMR-ST-BOR-75X30X05</t>
  </si>
  <si>
    <t>90D-HYP-INSPREE-BLOCK-75X30X05</t>
  </si>
  <si>
    <t>HYPINSFMMR75X36X05-90D</t>
  </si>
  <si>
    <t>SFG-INSRBMR-ST-BOR-75X36X05</t>
  </si>
  <si>
    <t>90D-HYP-INSPREE-BLOCK-75X36X05</t>
  </si>
  <si>
    <t>HYPINSFMMR75X42X05-90D</t>
  </si>
  <si>
    <t>SFG-INSRBMR-ST-BOR-75X42X05</t>
  </si>
  <si>
    <t>90D-HYP-INSPREE-BLOCK-75X42X05</t>
  </si>
  <si>
    <t>HYPINSFMMR75X48X05-90D</t>
  </si>
  <si>
    <t>SFG-INSRBMR-ST-BOR-75X48X05</t>
  </si>
  <si>
    <t>90D-HYP-INSPREE-BLOCK-75X48X05</t>
  </si>
  <si>
    <t>HYPINSFMMR75X60X05-90D</t>
  </si>
  <si>
    <t>SFG-INSRBMR-ST-BOR-75X60X05</t>
  </si>
  <si>
    <t>90D-HYP-INSPREE-BLOCK-75X60X05</t>
  </si>
  <si>
    <t>HYPINSFMMR75X66X05-90D</t>
  </si>
  <si>
    <t>SFG-INSRBMR-ST-BOR-75X66X05</t>
  </si>
  <si>
    <t>90D-HYP-INSPREE-BLOCK-75X66X05</t>
  </si>
  <si>
    <t>HYPINSFMMR75X72X05-90D</t>
  </si>
  <si>
    <t>SFG-INSRBMR-ST-BOR-75X72X05</t>
  </si>
  <si>
    <t>90D-HYP-INSPREE-BLOCK-75X72X05</t>
  </si>
  <si>
    <t>HYPINSFMMR78X30X05-90D</t>
  </si>
  <si>
    <t>SFG-INSRBMR-ST-BOR-78X30X05</t>
  </si>
  <si>
    <t>90D-HYP-INSPREE-BLOCK-78X30X05</t>
  </si>
  <si>
    <t>HYPINSFMMR78X36X05-90D</t>
  </si>
  <si>
    <t>SFG-INSRBMR-ST-BOR-78X36X05</t>
  </si>
  <si>
    <t>90D-HYP-INSPREE-BLOCK-78X36X05</t>
  </si>
  <si>
    <t>HYPINSFMMR78X42X05-90D</t>
  </si>
  <si>
    <t>SFG-INSRBMR-ST-BOR-78X42X05</t>
  </si>
  <si>
    <t>90D-HYP-INSPREE-BLOCK-78X42X05</t>
  </si>
  <si>
    <t>HYPINSFMMR78X48X05-90D</t>
  </si>
  <si>
    <t>SFG-INSRBMR-ST-BOR-78X48X05</t>
  </si>
  <si>
    <t>90D-HYP-INSPREE-BLOCK-78X48X05</t>
  </si>
  <si>
    <t>HYPINSFMMR78X60X05-90D</t>
  </si>
  <si>
    <t>SFG-INSRBMR-ST-BOR-78X60X05</t>
  </si>
  <si>
    <t>90D-HYP-INSPREE-BLOCK-78X60X05</t>
  </si>
  <si>
    <t>HYPINSFMMR78X66X05-90D</t>
  </si>
  <si>
    <t>SFG-INSRBMR-ST-BOR-78X66X05</t>
  </si>
  <si>
    <t>90D-HYP-INSPREE-BLOCK-78X66X05</t>
  </si>
  <si>
    <t>HYPINSFMMR78X72X05-90D</t>
  </si>
  <si>
    <t>SFG-INSRBMR-ST-BOR-78X72X05</t>
  </si>
  <si>
    <t>90D-HYP-INSPREE-BLOCK-78X72X05</t>
  </si>
  <si>
    <t>HYPINSFMMR80X30X05-90D</t>
  </si>
  <si>
    <t>SFG-INSRBMR-ST-BOR-80X30X05</t>
  </si>
  <si>
    <t>90D-HYP-INSPREE-BLOCK-80X30X05</t>
  </si>
  <si>
    <t>HYPINSFMMR80X36X05-90D</t>
  </si>
  <si>
    <t>SFG-INSRBMR-ST-BOR-80X36X05</t>
  </si>
  <si>
    <t>90D-HYP-INSPREE-BLOCK-80X36X05</t>
  </si>
  <si>
    <t>HYPINSFMMR80X42X05-90D</t>
  </si>
  <si>
    <t>SFG-INSRBMR-ST-BOR-80X42X05</t>
  </si>
  <si>
    <t>90D-HYP-INSPREE-BLOCK-80X42X05</t>
  </si>
  <si>
    <t>HYPINSFMMR80X48X05-90D</t>
  </si>
  <si>
    <t>SFG-INSRBMR-ST-BOR-80X48X05</t>
  </si>
  <si>
    <t>90D-HYP-INSPREE-BLOCK-80X48X05</t>
  </si>
  <si>
    <t>HYPINSFMMR80X60X05-90D</t>
  </si>
  <si>
    <t>SFG-INSRBMR-ST-BOR-80X60X05</t>
  </si>
  <si>
    <t>90D-HYP-INSPREE-BLOCK-80X60X05</t>
  </si>
  <si>
    <t>HYPINSFMMR80X66X05-90D</t>
  </si>
  <si>
    <t>SFG-INSRBMR-ST-BOR-80X66X05</t>
  </si>
  <si>
    <t>90D-HYP-INSPREE-BLOCK-80X66X05</t>
  </si>
  <si>
    <t>HYPINSFMMR80X72X05-90D</t>
  </si>
  <si>
    <t>SFG-INSRBMR-ST-BOR-80X72X05</t>
  </si>
  <si>
    <t>90D-HYP-INSPREE-BLOCK-80X72X05</t>
  </si>
  <si>
    <t>HYPINSFMMR84X30X05-90D</t>
  </si>
  <si>
    <t>SFG-INSRBMR-ST-BOR-84X30X05</t>
  </si>
  <si>
    <t>90D-HYP-INSPREE-BLOCK-84X30X05</t>
  </si>
  <si>
    <t>HYPINSFMMR84X36X05-90D</t>
  </si>
  <si>
    <t>SFG-INSRBMR-ST-BOR-84X36X05</t>
  </si>
  <si>
    <t>90D-HYP-INSPREE-BLOCK-84X36X05</t>
  </si>
  <si>
    <t>HYPINSFMMR84X42X05-90D</t>
  </si>
  <si>
    <t>SFG-INSRBMR-ST-BOR-84X42X05</t>
  </si>
  <si>
    <t>90D-HYP-INSPREE-BLOCK-84X42X05</t>
  </si>
  <si>
    <t>HYPINSFMMR84X48X05-90D</t>
  </si>
  <si>
    <t>SFG-INSRBMR-ST-BOR-84X48X05</t>
  </si>
  <si>
    <t>90D-HYP-INSPREE-BLOCK-84X48X05</t>
  </si>
  <si>
    <t>HYPINSFMMR84X60X05-90D</t>
  </si>
  <si>
    <t>SFG-INSRBMR-ST-BOR-84X60X05</t>
  </si>
  <si>
    <t>90D-HYP-INSPREE-BLOCK-84X60X05</t>
  </si>
  <si>
    <t>HYPINSFMMR84X66X05-90D</t>
  </si>
  <si>
    <t>SFG-INSRBMR-ST-BOR-84X66X05</t>
  </si>
  <si>
    <t>90D-HYP-INSPREE-BLOCK-84X66X05</t>
  </si>
  <si>
    <t>HYPINSFMMR84X72X05-90D</t>
  </si>
  <si>
    <t>SFG-INSRBMR-ST-BOR-84X72X05</t>
  </si>
  <si>
    <t>90D-HYP-INSPREE-BLOCK-84X72X05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</si>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</sst>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6" fillId="7" borderId="2" xfId="0" applyFont="1" applyFill="1" applyBorder="1" applyAlignment="1" applyProtection="1">
      <alignment horizontal="left"/>
      <protection locked="0"/>
    </xf>
    <xf numFmtId="0" fontId="0" fillId="6" borderId="1" xfId="0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108</v>
      </c>
      <c r="D2" s="9" t="str">
        <f>"HYPINSFM"&amp;IF($N$2="MR","MR",IF($N$2="MR","MR","MR"))&amp;$K$2&amp;"X"&amp;$L$2&amp;"X0"&amp;$M$2&amp;"-90D"</f>
        <v>HYPINSFMMR75X36X05-90D</v>
      </c>
      <c r="E2" s="38" t="str">
        <f>"SFG-INSRB"&amp;IF(N2="MR","MR",IF(N2="MR","MR",IF(N2="MR","MR",0)))&amp;"-ST-QUILT-90D"</f>
        <v>SFG-INSRBMR-ST-QUILT-90D</v>
      </c>
      <c r="F2" s="39" t="s">
        <v>14</v>
      </c>
      <c r="G2" s="35">
        <f>IF(K2&lt;81,(L2+1),(K2+1))*0.0254</f>
        <v>0.93979999999999997</v>
      </c>
      <c r="H2" s="10">
        <f t="shared" ref="H2:H4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101</v>
      </c>
      <c r="P2" s="4" t="s">
        <v>116</v>
      </c>
      <c r="R2" s="28" t="s">
        <v>89</v>
      </c>
      <c r="S2" s="28" t="s">
        <v>102</v>
      </c>
      <c r="T2" s="28">
        <v>5</v>
      </c>
      <c r="U2" s="29" t="s">
        <v>101</v>
      </c>
    </row>
    <row r="3" spans="1:21" s="16" customFormat="1" x14ac:dyDescent="0.25">
      <c r="A3" s="32">
        <v>2</v>
      </c>
      <c r="B3" s="7" t="s">
        <v>94</v>
      </c>
      <c r="C3" s="9" t="s">
        <v>109</v>
      </c>
      <c r="D3" s="9" t="str">
        <f t="shared" ref="D3:D14" si="1">"HYPINSFM"&amp;IF($N$2="MR","MR",IF($N$2="MR","MR","MR"))&amp;$K$2&amp;"X"&amp;$L$2&amp;"X0"&amp;$M$2&amp;"-90D"</f>
        <v>HYPINSFMMR75X36X05-90D</v>
      </c>
      <c r="E3" s="36" t="str">
        <f>"SFG-INSRB"&amp;IF(N2="MR","MR",IF(N2="MR","MR",IF(N2="MR","MR",IF(N2="MR","MR",IF(N2="MR","MR",IF(N2="MR","MR",0))))))&amp;"-ST-BOR-"&amp;K2&amp;"X"&amp;L2&amp;"X"&amp;IF(M2=10,10,"0"&amp;M2)</f>
        <v>SFG-INSRBMR-ST-BOR-75X36X05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103</v>
      </c>
      <c r="T3" s="28">
        <v>5</v>
      </c>
      <c r="U3" s="29" t="s">
        <v>101</v>
      </c>
    </row>
    <row r="4" spans="1:21" x14ac:dyDescent="0.25">
      <c r="A4" s="32">
        <v>3</v>
      </c>
      <c r="B4" s="7" t="s">
        <v>94</v>
      </c>
      <c r="C4" s="9" t="s">
        <v>109</v>
      </c>
      <c r="D4" s="9" t="str">
        <f t="shared" si="1"/>
        <v>HYPINSFMMR75X36X05-90D</v>
      </c>
      <c r="E4" s="47" t="s">
        <v>233</v>
      </c>
      <c r="F4" s="39" t="s">
        <v>14</v>
      </c>
      <c r="G4" s="10">
        <f>IF(K2&lt;81,(L2+1),(K2+1))*0.0254</f>
        <v>0.93979999999999997</v>
      </c>
      <c r="H4" s="10">
        <f t="shared" si="0"/>
        <v>0.94</v>
      </c>
      <c r="I4" s="33" t="s">
        <v>15</v>
      </c>
      <c r="J4" s="12"/>
      <c r="O4" s="16"/>
      <c r="R4" s="28" t="s">
        <v>89</v>
      </c>
      <c r="S4" s="28" t="s">
        <v>104</v>
      </c>
      <c r="T4" s="28">
        <v>5</v>
      </c>
      <c r="U4" s="29" t="s">
        <v>101</v>
      </c>
    </row>
    <row r="5" spans="1:21" x14ac:dyDescent="0.25">
      <c r="A5" s="32">
        <v>4</v>
      </c>
      <c r="B5" s="7" t="s">
        <v>94</v>
      </c>
      <c r="C5" s="9" t="s">
        <v>110</v>
      </c>
      <c r="D5" s="9" t="str">
        <f t="shared" si="1"/>
        <v>HYPINSFMMR75X36X05-90D</v>
      </c>
      <c r="E5" s="41" t="s">
        <v>111</v>
      </c>
      <c r="F5" s="11" t="s">
        <v>112</v>
      </c>
      <c r="G5" s="34">
        <f>((K2*L2)/144)*0.00729*2</f>
        <v>0.27337499999999998</v>
      </c>
      <c r="H5" s="10">
        <f t="shared" ref="H5:H10" si="2">ROUND(G5,3)</f>
        <v>0.27300000000000002</v>
      </c>
      <c r="I5" s="11" t="s">
        <v>13</v>
      </c>
      <c r="J5" s="12"/>
      <c r="O5" s="16"/>
      <c r="R5" s="28" t="s">
        <v>89</v>
      </c>
      <c r="S5" s="28" t="s">
        <v>105</v>
      </c>
      <c r="T5" s="28">
        <v>5</v>
      </c>
      <c r="U5" s="29" t="s">
        <v>101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HYPINSFMMR75X36X05-90D</v>
      </c>
      <c r="E6" s="42" t="s">
        <v>234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106</v>
      </c>
      <c r="T6" s="28">
        <v>5</v>
      </c>
      <c r="U6" s="29" t="s">
        <v>101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HYPINSFMMR75X36X05-90D</v>
      </c>
      <c r="E7" s="43" t="s">
        <v>114</v>
      </c>
      <c r="F7" s="11" t="s">
        <v>14</v>
      </c>
      <c r="G7" s="10">
        <f>((K2+L2+K2+L2)+2)*0.0254*2</f>
        <v>11.379199999999999</v>
      </c>
      <c r="H7" s="10">
        <f t="shared" si="2"/>
        <v>11.379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107</v>
      </c>
      <c r="T7" s="28">
        <v>5</v>
      </c>
      <c r="U7" s="29" t="s">
        <v>101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HYPINSFMMR75X36X05-90D</v>
      </c>
      <c r="E8" s="42" t="s">
        <v>16</v>
      </c>
      <c r="F8" s="11" t="s">
        <v>14</v>
      </c>
      <c r="G8" s="35">
        <f>(K2+L2+2)*2*0.0254*(4.73+1.42)*2</f>
        <v>70.606920000000002</v>
      </c>
      <c r="H8" s="10">
        <f t="shared" si="2"/>
        <v>70.606999999999999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5</v>
      </c>
      <c r="U8" s="29" t="s">
        <v>101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HYPINSFMMR75X36X05-90D</v>
      </c>
      <c r="E9" s="48" t="s">
        <v>235</v>
      </c>
      <c r="F9" s="11" t="s">
        <v>12</v>
      </c>
      <c r="G9" s="40">
        <f>(L2+M2+6)*2*0.0254*0.035</f>
        <v>8.3566000000000001E-2</v>
      </c>
      <c r="H9" s="10">
        <f t="shared" si="2"/>
        <v>8.4000000000000005E-2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102</v>
      </c>
      <c r="T9" s="28">
        <v>5</v>
      </c>
      <c r="U9" s="29" t="s">
        <v>101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HYPINSFMMR75X36X05-90D</v>
      </c>
      <c r="E10" s="17" t="str">
        <f>IF(M2=4,"RML-CS-CIR-4.25",IF(M2=5,"RML-CS-CIR-5.5","RML-CS-CIR-6.5"))</f>
        <v>RML-CS-CIR-5.5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103</v>
      </c>
      <c r="T10" s="28">
        <v>5</v>
      </c>
      <c r="U10" s="29" t="s">
        <v>101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HYPINSFMMR75X36X05-90D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104</v>
      </c>
      <c r="T11" s="28">
        <v>5</v>
      </c>
      <c r="U11" s="29" t="s">
        <v>101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HYPINSFMMR75X36X05-90D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105</v>
      </c>
      <c r="T12" s="28">
        <v>5</v>
      </c>
      <c r="U12" s="29" t="s">
        <v>101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HYPINSFMMR75X36X05-90D</v>
      </c>
      <c r="E13" s="17" t="s">
        <v>115</v>
      </c>
      <c r="F13" s="11" t="s">
        <v>12</v>
      </c>
      <c r="G13" s="40">
        <f>(IF(K2&lt;=79,(L2*2)+(M2*2),(K2*2)+(M2*2))+4)*89.5*0.0254*0.0254*0.00009*1300</f>
        <v>0.58099819283999998</v>
      </c>
      <c r="H13" s="10">
        <f>ROUND(G13,3)</f>
        <v>0.58099999999999996</v>
      </c>
      <c r="I13" s="8" t="s">
        <v>13</v>
      </c>
      <c r="J13" s="12"/>
      <c r="K13" s="18"/>
      <c r="R13" s="28" t="s">
        <v>90</v>
      </c>
      <c r="S13" s="28" t="s">
        <v>106</v>
      </c>
      <c r="T13" s="28">
        <v>5</v>
      </c>
      <c r="U13" s="29" t="s">
        <v>101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HYPINSFMMR75X36X05-90D</v>
      </c>
      <c r="E14" s="37" t="str">
        <f>"90D-HYP-INSPREE-BLOCK-"&amp;K2&amp;"X"&amp;L2&amp;"X0"&amp;M2</f>
        <v>90D-HYP-INSPREE-BLOCK-75X36X05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107</v>
      </c>
      <c r="T14" s="28">
        <v>5</v>
      </c>
      <c r="U14" s="29" t="s">
        <v>101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5</v>
      </c>
      <c r="U15" s="29" t="s">
        <v>101</v>
      </c>
    </row>
    <row r="16" spans="1:21" x14ac:dyDescent="0.25">
      <c r="J16" s="12"/>
      <c r="M16" s="18"/>
      <c r="N16"/>
      <c r="O16"/>
      <c r="R16" s="28" t="s">
        <v>91</v>
      </c>
      <c r="S16" s="28" t="s">
        <v>102</v>
      </c>
      <c r="T16" s="28">
        <v>5</v>
      </c>
      <c r="U16" s="29" t="s">
        <v>101</v>
      </c>
    </row>
    <row r="17" spans="5:21" x14ac:dyDescent="0.25">
      <c r="H17" s="44"/>
      <c r="J17" s="12"/>
      <c r="N17"/>
      <c r="O17"/>
      <c r="R17" s="28" t="s">
        <v>91</v>
      </c>
      <c r="S17" s="28" t="s">
        <v>103</v>
      </c>
      <c r="T17" s="28">
        <v>5</v>
      </c>
      <c r="U17" s="29" t="s">
        <v>101</v>
      </c>
    </row>
    <row r="18" spans="5:21" x14ac:dyDescent="0.25">
      <c r="J18" s="12"/>
      <c r="N18"/>
      <c r="O18"/>
      <c r="R18" s="28" t="s">
        <v>91</v>
      </c>
      <c r="S18" s="28" t="s">
        <v>104</v>
      </c>
      <c r="T18" s="28">
        <v>5</v>
      </c>
      <c r="U18" s="29" t="s">
        <v>101</v>
      </c>
    </row>
    <row r="19" spans="5:21" x14ac:dyDescent="0.25">
      <c r="J19" s="12"/>
      <c r="N19"/>
      <c r="O19"/>
      <c r="R19" s="28" t="s">
        <v>91</v>
      </c>
      <c r="S19" s="28" t="s">
        <v>105</v>
      </c>
      <c r="T19" s="28">
        <v>5</v>
      </c>
      <c r="U19" s="29" t="s">
        <v>101</v>
      </c>
    </row>
    <row r="20" spans="5:21" x14ac:dyDescent="0.25">
      <c r="J20" s="12"/>
      <c r="N20" s="27"/>
      <c r="O20"/>
      <c r="R20" s="28" t="s">
        <v>91</v>
      </c>
      <c r="S20" s="28" t="s">
        <v>106</v>
      </c>
      <c r="T20" s="28">
        <v>5</v>
      </c>
      <c r="U20" s="29" t="s">
        <v>101</v>
      </c>
    </row>
    <row r="21" spans="5:21" x14ac:dyDescent="0.25">
      <c r="J21" s="12"/>
      <c r="N21"/>
      <c r="O21"/>
      <c r="R21" s="28" t="s">
        <v>91</v>
      </c>
      <c r="S21" s="28" t="s">
        <v>107</v>
      </c>
      <c r="T21" s="28">
        <v>5</v>
      </c>
      <c r="U21" s="29" t="s">
        <v>101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5</v>
      </c>
      <c r="U22" s="29" t="s">
        <v>101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102</v>
      </c>
      <c r="T23" s="28">
        <v>5</v>
      </c>
      <c r="U23" s="29" t="s">
        <v>101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103</v>
      </c>
      <c r="T24" s="28">
        <v>5</v>
      </c>
      <c r="U24" s="29" t="s">
        <v>101</v>
      </c>
    </row>
    <row r="25" spans="5:21" x14ac:dyDescent="0.25">
      <c r="N25"/>
      <c r="O25"/>
      <c r="R25" s="28" t="s">
        <v>92</v>
      </c>
      <c r="S25" s="28" t="s">
        <v>104</v>
      </c>
      <c r="T25" s="28">
        <v>5</v>
      </c>
      <c r="U25" s="29" t="s">
        <v>101</v>
      </c>
    </row>
    <row r="26" spans="5:21" x14ac:dyDescent="0.25">
      <c r="N26"/>
      <c r="O26"/>
      <c r="R26" s="28" t="s">
        <v>92</v>
      </c>
      <c r="S26" s="28" t="s">
        <v>105</v>
      </c>
      <c r="T26" s="28">
        <v>5</v>
      </c>
      <c r="U26" s="29" t="s">
        <v>101</v>
      </c>
    </row>
    <row r="27" spans="5:21" x14ac:dyDescent="0.25">
      <c r="N27"/>
      <c r="O27"/>
      <c r="R27" s="28" t="s">
        <v>92</v>
      </c>
      <c r="S27" s="28" t="s">
        <v>106</v>
      </c>
      <c r="T27" s="28">
        <v>5</v>
      </c>
      <c r="U27" s="29" t="s">
        <v>101</v>
      </c>
    </row>
    <row r="28" spans="5:21" x14ac:dyDescent="0.25">
      <c r="M28" s="18"/>
      <c r="N28"/>
      <c r="O28"/>
      <c r="R28" s="28" t="s">
        <v>92</v>
      </c>
      <c r="S28" s="28" t="s">
        <v>107</v>
      </c>
      <c r="T28" s="28">
        <v>5</v>
      </c>
      <c r="U28" s="29" t="s">
        <v>101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5</v>
      </c>
      <c r="U29" s="29" t="s">
        <v>101</v>
      </c>
    </row>
    <row r="30" spans="5:21" x14ac:dyDescent="0.25">
      <c r="H30" s="18"/>
      <c r="N30"/>
      <c r="O30"/>
      <c r="R30" s="28" t="s">
        <v>93</v>
      </c>
      <c r="S30" s="28" t="s">
        <v>102</v>
      </c>
      <c r="T30" s="28">
        <v>5</v>
      </c>
      <c r="U30" s="29" t="s">
        <v>101</v>
      </c>
    </row>
    <row r="31" spans="5:21" x14ac:dyDescent="0.25">
      <c r="N31"/>
      <c r="O31"/>
      <c r="R31" s="28" t="s">
        <v>93</v>
      </c>
      <c r="S31" s="28" t="s">
        <v>103</v>
      </c>
      <c r="T31" s="28">
        <v>5</v>
      </c>
      <c r="U31" s="29" t="s">
        <v>101</v>
      </c>
    </row>
    <row r="32" spans="5:21" x14ac:dyDescent="0.25">
      <c r="N32"/>
      <c r="O32"/>
      <c r="R32" s="28" t="s">
        <v>93</v>
      </c>
      <c r="S32" s="28" t="s">
        <v>104</v>
      </c>
      <c r="T32" s="28">
        <v>5</v>
      </c>
      <c r="U32" s="29" t="s">
        <v>101</v>
      </c>
    </row>
    <row r="33" spans="14:21" x14ac:dyDescent="0.25">
      <c r="N33"/>
      <c r="O33"/>
      <c r="R33" s="28" t="s">
        <v>93</v>
      </c>
      <c r="S33" s="28" t="s">
        <v>105</v>
      </c>
      <c r="T33" s="28">
        <v>5</v>
      </c>
      <c r="U33" s="29" t="s">
        <v>101</v>
      </c>
    </row>
    <row r="34" spans="14:21" x14ac:dyDescent="0.25">
      <c r="N34"/>
      <c r="O34"/>
      <c r="R34" s="28" t="s">
        <v>93</v>
      </c>
      <c r="S34" s="28" t="s">
        <v>106</v>
      </c>
      <c r="T34" s="28">
        <v>5</v>
      </c>
      <c r="U34" s="29" t="s">
        <v>101</v>
      </c>
    </row>
    <row r="35" spans="14:21" x14ac:dyDescent="0.25">
      <c r="N35"/>
      <c r="O35"/>
      <c r="R35" s="28" t="s">
        <v>93</v>
      </c>
      <c r="S35" s="28" t="s">
        <v>107</v>
      </c>
      <c r="T35" s="28">
        <v>5</v>
      </c>
      <c r="U35" s="29" t="s">
        <v>101</v>
      </c>
    </row>
    <row r="36" spans="14:21" x14ac:dyDescent="0.25">
      <c r="N36"/>
      <c r="O36"/>
      <c r="R36" s="28" t="s">
        <v>93</v>
      </c>
      <c r="S36" s="28" t="s">
        <v>89</v>
      </c>
      <c r="T36" s="28">
        <v>5</v>
      </c>
      <c r="U36" s="29" t="s">
        <v>101</v>
      </c>
    </row>
    <row r="37" spans="14:21" x14ac:dyDescent="0.25">
      <c r="N37"/>
      <c r="O37"/>
      <c r="R37" s="28" t="s">
        <v>89</v>
      </c>
      <c r="S37" s="28" t="s">
        <v>225</v>
      </c>
      <c r="T37" s="28">
        <v>5</v>
      </c>
      <c r="U37" s="29" t="s">
        <v>101</v>
      </c>
    </row>
    <row r="38" spans="14:21" x14ac:dyDescent="0.25">
      <c r="N38"/>
      <c r="O38"/>
      <c r="R38" s="28" t="s">
        <v>89</v>
      </c>
      <c r="S38" s="28" t="s">
        <v>226</v>
      </c>
      <c r="T38" s="28">
        <v>5</v>
      </c>
      <c r="U38" s="29" t="s">
        <v>101</v>
      </c>
    </row>
    <row r="39" spans="14:21" x14ac:dyDescent="0.25">
      <c r="N39"/>
      <c r="O39"/>
      <c r="R39" s="28" t="s">
        <v>89</v>
      </c>
      <c r="S39" s="28" t="s">
        <v>227</v>
      </c>
      <c r="T39" s="28">
        <v>5</v>
      </c>
      <c r="U39" s="29" t="s">
        <v>101</v>
      </c>
    </row>
    <row r="40" spans="14:21" x14ac:dyDescent="0.25">
      <c r="N40"/>
      <c r="O40"/>
      <c r="R40" s="28" t="s">
        <v>89</v>
      </c>
      <c r="S40" s="28" t="s">
        <v>228</v>
      </c>
      <c r="T40" s="28">
        <v>5</v>
      </c>
      <c r="U40" s="29" t="s">
        <v>101</v>
      </c>
    </row>
    <row r="41" spans="14:21" x14ac:dyDescent="0.25">
      <c r="N41"/>
      <c r="O41"/>
      <c r="R41" s="28" t="s">
        <v>89</v>
      </c>
      <c r="S41" s="28" t="s">
        <v>229</v>
      </c>
      <c r="T41" s="28">
        <v>5</v>
      </c>
      <c r="U41" s="29" t="s">
        <v>101</v>
      </c>
    </row>
    <row r="42" spans="14:21" x14ac:dyDescent="0.25">
      <c r="N42"/>
      <c r="O42"/>
      <c r="R42" s="28" t="s">
        <v>89</v>
      </c>
      <c r="S42" s="28" t="s">
        <v>230</v>
      </c>
      <c r="T42" s="28">
        <v>5</v>
      </c>
      <c r="U42" s="29" t="s">
        <v>101</v>
      </c>
    </row>
    <row r="43" spans="14:21" x14ac:dyDescent="0.25">
      <c r="N43"/>
      <c r="O43"/>
      <c r="R43" s="28" t="s">
        <v>89</v>
      </c>
      <c r="S43" s="28" t="s">
        <v>231</v>
      </c>
      <c r="T43" s="28">
        <v>5</v>
      </c>
      <c r="U43" s="29" t="s">
        <v>101</v>
      </c>
    </row>
    <row r="44" spans="14:21" x14ac:dyDescent="0.25">
      <c r="N44"/>
      <c r="O44"/>
      <c r="R44" s="28" t="s">
        <v>89</v>
      </c>
      <c r="S44" s="28" t="s">
        <v>232</v>
      </c>
      <c r="T44" s="28">
        <v>5</v>
      </c>
      <c r="U44" s="29" t="s">
        <v>101</v>
      </c>
    </row>
    <row r="45" spans="14:21" x14ac:dyDescent="0.25">
      <c r="N45"/>
      <c r="O45"/>
      <c r="R45" s="28" t="s">
        <v>90</v>
      </c>
      <c r="S45" s="28" t="s">
        <v>225</v>
      </c>
      <c r="T45" s="28">
        <v>5</v>
      </c>
      <c r="U45" s="29" t="s">
        <v>101</v>
      </c>
    </row>
    <row r="46" spans="14:21" x14ac:dyDescent="0.25">
      <c r="N46"/>
      <c r="O46"/>
      <c r="R46" s="28" t="s">
        <v>90</v>
      </c>
      <c r="S46" s="28" t="s">
        <v>226</v>
      </c>
      <c r="T46" s="28">
        <v>5</v>
      </c>
      <c r="U46" s="29" t="s">
        <v>101</v>
      </c>
    </row>
    <row r="47" spans="14:21" x14ac:dyDescent="0.25">
      <c r="N47"/>
      <c r="O47"/>
      <c r="R47" s="28" t="s">
        <v>90</v>
      </c>
      <c r="S47" s="28" t="s">
        <v>227</v>
      </c>
      <c r="T47" s="28">
        <v>5</v>
      </c>
      <c r="U47" s="29" t="s">
        <v>101</v>
      </c>
    </row>
    <row r="48" spans="14:21" x14ac:dyDescent="0.25">
      <c r="N48"/>
      <c r="O48"/>
      <c r="R48" s="28" t="s">
        <v>90</v>
      </c>
      <c r="S48" s="28" t="s">
        <v>228</v>
      </c>
      <c r="T48" s="28">
        <v>5</v>
      </c>
      <c r="U48" s="29" t="s">
        <v>101</v>
      </c>
    </row>
    <row r="49" spans="14:21" x14ac:dyDescent="0.25">
      <c r="N49"/>
      <c r="O49"/>
      <c r="R49" s="28" t="s">
        <v>90</v>
      </c>
      <c r="S49" s="28" t="s">
        <v>229</v>
      </c>
      <c r="T49" s="28">
        <v>5</v>
      </c>
      <c r="U49" s="29" t="s">
        <v>101</v>
      </c>
    </row>
    <row r="50" spans="14:21" x14ac:dyDescent="0.25">
      <c r="R50" s="28" t="s">
        <v>90</v>
      </c>
      <c r="S50" s="28" t="s">
        <v>230</v>
      </c>
      <c r="T50" s="28">
        <v>5</v>
      </c>
      <c r="U50" s="29" t="s">
        <v>101</v>
      </c>
    </row>
    <row r="51" spans="14:21" x14ac:dyDescent="0.25">
      <c r="R51" s="28" t="s">
        <v>90</v>
      </c>
      <c r="S51" s="28" t="s">
        <v>231</v>
      </c>
      <c r="T51" s="28">
        <v>5</v>
      </c>
      <c r="U51" s="29" t="s">
        <v>101</v>
      </c>
    </row>
    <row r="52" spans="14:21" x14ac:dyDescent="0.25">
      <c r="R52" s="28" t="s">
        <v>90</v>
      </c>
      <c r="S52" s="28" t="s">
        <v>232</v>
      </c>
      <c r="T52" s="28">
        <v>5</v>
      </c>
      <c r="U52" s="29" t="s">
        <v>101</v>
      </c>
    </row>
    <row r="53" spans="14:21" x14ac:dyDescent="0.25">
      <c r="R53" s="28" t="s">
        <v>91</v>
      </c>
      <c r="S53" s="28" t="s">
        <v>225</v>
      </c>
      <c r="T53" s="28">
        <v>5</v>
      </c>
      <c r="U53" s="29" t="s">
        <v>101</v>
      </c>
    </row>
    <row r="54" spans="14:21" x14ac:dyDescent="0.25">
      <c r="R54" s="28" t="s">
        <v>91</v>
      </c>
      <c r="S54" s="28" t="s">
        <v>226</v>
      </c>
      <c r="T54" s="28">
        <v>5</v>
      </c>
      <c r="U54" s="29" t="s">
        <v>101</v>
      </c>
    </row>
    <row r="55" spans="14:21" x14ac:dyDescent="0.25">
      <c r="R55" s="28" t="s">
        <v>91</v>
      </c>
      <c r="S55" s="28" t="s">
        <v>227</v>
      </c>
      <c r="T55" s="28">
        <v>5</v>
      </c>
      <c r="U55" s="29" t="s">
        <v>101</v>
      </c>
    </row>
    <row r="56" spans="14:21" x14ac:dyDescent="0.25">
      <c r="R56" s="28" t="s">
        <v>91</v>
      </c>
      <c r="S56" s="28" t="s">
        <v>228</v>
      </c>
      <c r="T56" s="28">
        <v>5</v>
      </c>
      <c r="U56" s="29" t="s">
        <v>101</v>
      </c>
    </row>
    <row r="57" spans="14:21" x14ac:dyDescent="0.25">
      <c r="R57" s="28" t="s">
        <v>91</v>
      </c>
      <c r="S57" s="28" t="s">
        <v>229</v>
      </c>
      <c r="T57" s="28">
        <v>5</v>
      </c>
      <c r="U57" s="29" t="s">
        <v>101</v>
      </c>
    </row>
    <row r="58" spans="14:21" x14ac:dyDescent="0.25">
      <c r="R58" s="28" t="s">
        <v>91</v>
      </c>
      <c r="S58" s="28" t="s">
        <v>230</v>
      </c>
      <c r="T58" s="28">
        <v>5</v>
      </c>
      <c r="U58" s="29" t="s">
        <v>101</v>
      </c>
    </row>
    <row r="59" spans="14:21" x14ac:dyDescent="0.25">
      <c r="R59" s="28" t="s">
        <v>91</v>
      </c>
      <c r="S59" s="28" t="s">
        <v>231</v>
      </c>
      <c r="T59" s="28">
        <v>5</v>
      </c>
      <c r="U59" s="29" t="s">
        <v>101</v>
      </c>
    </row>
    <row r="60" spans="14:21" x14ac:dyDescent="0.25">
      <c r="R60" s="28" t="s">
        <v>91</v>
      </c>
      <c r="S60" s="28" t="s">
        <v>232</v>
      </c>
      <c r="T60" s="28">
        <v>5</v>
      </c>
      <c r="U60" s="29" t="s">
        <v>101</v>
      </c>
    </row>
    <row r="61" spans="14:21" x14ac:dyDescent="0.25">
      <c r="R61" s="28" t="s">
        <v>92</v>
      </c>
      <c r="S61" s="28" t="s">
        <v>225</v>
      </c>
      <c r="T61" s="28">
        <v>5</v>
      </c>
      <c r="U61" s="29" t="s">
        <v>101</v>
      </c>
    </row>
    <row r="62" spans="14:21" x14ac:dyDescent="0.25">
      <c r="R62" s="28" t="s">
        <v>92</v>
      </c>
      <c r="S62" s="28" t="s">
        <v>226</v>
      </c>
      <c r="T62" s="28">
        <v>5</v>
      </c>
      <c r="U62" s="29" t="s">
        <v>101</v>
      </c>
    </row>
    <row r="63" spans="14:21" x14ac:dyDescent="0.25">
      <c r="R63" s="28" t="s">
        <v>92</v>
      </c>
      <c r="S63" s="28" t="s">
        <v>227</v>
      </c>
      <c r="T63" s="28">
        <v>5</v>
      </c>
      <c r="U63" s="29" t="s">
        <v>101</v>
      </c>
    </row>
    <row r="64" spans="14:21" x14ac:dyDescent="0.25">
      <c r="R64" s="28" t="s">
        <v>92</v>
      </c>
      <c r="S64" s="28" t="s">
        <v>228</v>
      </c>
      <c r="T64" s="28">
        <v>5</v>
      </c>
      <c r="U64" s="29" t="s">
        <v>101</v>
      </c>
    </row>
    <row r="65" spans="18:21" x14ac:dyDescent="0.25">
      <c r="R65" s="28" t="s">
        <v>92</v>
      </c>
      <c r="S65" s="28" t="s">
        <v>229</v>
      </c>
      <c r="T65" s="28">
        <v>5</v>
      </c>
      <c r="U65" s="29" t="s">
        <v>101</v>
      </c>
    </row>
    <row r="66" spans="18:21" x14ac:dyDescent="0.25">
      <c r="R66" s="28" t="s">
        <v>92</v>
      </c>
      <c r="S66" s="28" t="s">
        <v>230</v>
      </c>
      <c r="T66" s="28">
        <v>5</v>
      </c>
      <c r="U66" s="29" t="s">
        <v>101</v>
      </c>
    </row>
    <row r="67" spans="18:21" x14ac:dyDescent="0.25">
      <c r="R67" s="28" t="s">
        <v>92</v>
      </c>
      <c r="S67" s="28" t="s">
        <v>231</v>
      </c>
      <c r="T67" s="28">
        <v>5</v>
      </c>
      <c r="U67" s="29" t="s">
        <v>101</v>
      </c>
    </row>
    <row r="68" spans="18:21" x14ac:dyDescent="0.25">
      <c r="R68" s="28" t="s">
        <v>92</v>
      </c>
      <c r="S68" s="28" t="s">
        <v>232</v>
      </c>
      <c r="T68" s="28">
        <v>5</v>
      </c>
      <c r="U68" s="29" t="s">
        <v>101</v>
      </c>
    </row>
    <row r="69" spans="18:21" x14ac:dyDescent="0.25">
      <c r="R69" s="28" t="s">
        <v>93</v>
      </c>
      <c r="S69" s="28" t="s">
        <v>225</v>
      </c>
      <c r="T69" s="28">
        <v>5</v>
      </c>
      <c r="U69" s="29" t="s">
        <v>101</v>
      </c>
    </row>
    <row r="70" spans="18:21" x14ac:dyDescent="0.25">
      <c r="R70" s="28" t="s">
        <v>93</v>
      </c>
      <c r="S70" s="28" t="s">
        <v>226</v>
      </c>
      <c r="T70" s="28">
        <v>5</v>
      </c>
      <c r="U70" s="29" t="s">
        <v>101</v>
      </c>
    </row>
    <row r="71" spans="18:21" x14ac:dyDescent="0.25">
      <c r="R71" s="28" t="s">
        <v>93</v>
      </c>
      <c r="S71" s="28" t="s">
        <v>227</v>
      </c>
      <c r="T71" s="28">
        <v>5</v>
      </c>
      <c r="U71" s="29" t="s">
        <v>101</v>
      </c>
    </row>
    <row r="72" spans="18:21" x14ac:dyDescent="0.25">
      <c r="R72" s="28" t="s">
        <v>93</v>
      </c>
      <c r="S72" s="28" t="s">
        <v>228</v>
      </c>
      <c r="T72" s="28">
        <v>5</v>
      </c>
      <c r="U72" s="29" t="s">
        <v>101</v>
      </c>
    </row>
    <row r="73" spans="18:21" x14ac:dyDescent="0.25">
      <c r="R73" s="28" t="s">
        <v>93</v>
      </c>
      <c r="S73" s="28" t="s">
        <v>229</v>
      </c>
      <c r="T73" s="28">
        <v>5</v>
      </c>
      <c r="U73" s="29" t="s">
        <v>101</v>
      </c>
    </row>
    <row r="74" spans="18:21" x14ac:dyDescent="0.25">
      <c r="R74" s="28" t="s">
        <v>93</v>
      </c>
      <c r="S74" s="28" t="s">
        <v>230</v>
      </c>
      <c r="T74" s="28">
        <v>5</v>
      </c>
      <c r="U74" s="29" t="s">
        <v>101</v>
      </c>
    </row>
    <row r="75" spans="18:21" x14ac:dyDescent="0.25">
      <c r="R75" s="28" t="s">
        <v>93</v>
      </c>
      <c r="S75" s="28" t="s">
        <v>231</v>
      </c>
      <c r="T75" s="28">
        <v>5</v>
      </c>
      <c r="U75" s="29" t="s">
        <v>101</v>
      </c>
    </row>
    <row r="76" spans="18:21" x14ac:dyDescent="0.25">
      <c r="R76" s="28" t="s">
        <v>93</v>
      </c>
      <c r="S76" s="28" t="s">
        <v>232</v>
      </c>
      <c r="T76" s="28">
        <v>5</v>
      </c>
      <c r="U76" s="29" t="s">
        <v>101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3" priority="4"/>
  </conditionalFormatting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9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118</v>
      </c>
      <c r="C2">
        <v>10</v>
      </c>
      <c r="D2" t="s">
        <v>119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118</v>
      </c>
      <c r="C3">
        <v>20</v>
      </c>
      <c r="D3" t="s">
        <v>120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118</v>
      </c>
      <c r="C4">
        <v>30</v>
      </c>
      <c r="D4" t="s">
        <v>113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118</v>
      </c>
      <c r="C5">
        <v>40</v>
      </c>
      <c r="D5" t="s">
        <v>111</v>
      </c>
      <c r="E5" t="s">
        <v>112</v>
      </c>
      <c r="F5">
        <v>0.219</v>
      </c>
      <c r="G5" t="s">
        <v>13</v>
      </c>
    </row>
    <row r="6" spans="1:7" x14ac:dyDescent="0.25">
      <c r="A6">
        <v>1</v>
      </c>
      <c r="B6" t="s">
        <v>118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118</v>
      </c>
      <c r="C7">
        <v>60</v>
      </c>
      <c r="D7" t="s">
        <v>114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118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118</v>
      </c>
      <c r="C9">
        <v>80</v>
      </c>
      <c r="D9" t="s">
        <v>96</v>
      </c>
      <c r="E9" t="s">
        <v>12</v>
      </c>
      <c r="F9">
        <v>7.2999999999999995E-2</v>
      </c>
      <c r="G9" t="s">
        <v>13</v>
      </c>
    </row>
    <row r="10" spans="1:7" x14ac:dyDescent="0.25">
      <c r="A10">
        <v>1</v>
      </c>
      <c r="B10" t="s">
        <v>118</v>
      </c>
      <c r="C10">
        <v>90</v>
      </c>
      <c r="D10" t="s">
        <v>121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118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118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118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118</v>
      </c>
      <c r="C14">
        <v>130</v>
      </c>
      <c r="D14" t="s">
        <v>115</v>
      </c>
      <c r="E14" t="s">
        <v>12</v>
      </c>
      <c r="F14">
        <v>0.5</v>
      </c>
      <c r="G14" t="s">
        <v>13</v>
      </c>
    </row>
    <row r="15" spans="1:7" x14ac:dyDescent="0.25">
      <c r="A15">
        <v>1</v>
      </c>
      <c r="B15" t="s">
        <v>118</v>
      </c>
      <c r="C15">
        <v>140</v>
      </c>
      <c r="D15" t="s">
        <v>122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123</v>
      </c>
      <c r="C16">
        <v>10</v>
      </c>
      <c r="D16" t="s">
        <v>119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123</v>
      </c>
      <c r="C17">
        <v>20</v>
      </c>
      <c r="D17" t="s">
        <v>124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123</v>
      </c>
      <c r="C18">
        <v>30</v>
      </c>
      <c r="D18" t="s">
        <v>113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123</v>
      </c>
      <c r="C19">
        <v>40</v>
      </c>
      <c r="D19" t="s">
        <v>111</v>
      </c>
      <c r="E19" t="s">
        <v>112</v>
      </c>
      <c r="F19">
        <v>0.26200000000000001</v>
      </c>
      <c r="G19" t="s">
        <v>13</v>
      </c>
    </row>
    <row r="20" spans="1:7" x14ac:dyDescent="0.25">
      <c r="A20">
        <v>2</v>
      </c>
      <c r="B20" t="s">
        <v>123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123</v>
      </c>
      <c r="C21">
        <v>60</v>
      </c>
      <c r="D21" t="s">
        <v>114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123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123</v>
      </c>
      <c r="C23">
        <v>80</v>
      </c>
      <c r="D23" t="s">
        <v>96</v>
      </c>
      <c r="E23" t="s">
        <v>12</v>
      </c>
      <c r="F23">
        <v>8.4000000000000005E-2</v>
      </c>
      <c r="G23" t="s">
        <v>13</v>
      </c>
    </row>
    <row r="24" spans="1:7" x14ac:dyDescent="0.25">
      <c r="A24">
        <v>2</v>
      </c>
      <c r="B24" t="s">
        <v>123</v>
      </c>
      <c r="C24">
        <v>90</v>
      </c>
      <c r="D24" t="s">
        <v>121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123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123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123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123</v>
      </c>
      <c r="C28">
        <v>130</v>
      </c>
      <c r="D28" t="s">
        <v>115</v>
      </c>
      <c r="E28" t="s">
        <v>12</v>
      </c>
      <c r="F28">
        <v>0.58099999999999996</v>
      </c>
      <c r="G28" t="s">
        <v>13</v>
      </c>
    </row>
    <row r="29" spans="1:7" x14ac:dyDescent="0.25">
      <c r="A29">
        <v>2</v>
      </c>
      <c r="B29" t="s">
        <v>123</v>
      </c>
      <c r="C29">
        <v>140</v>
      </c>
      <c r="D29" t="s">
        <v>125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126</v>
      </c>
      <c r="C30">
        <v>10</v>
      </c>
      <c r="D30" t="s">
        <v>119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126</v>
      </c>
      <c r="C31">
        <v>20</v>
      </c>
      <c r="D31" t="s">
        <v>127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126</v>
      </c>
      <c r="C32">
        <v>30</v>
      </c>
      <c r="D32" t="s">
        <v>113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126</v>
      </c>
      <c r="C33">
        <v>40</v>
      </c>
      <c r="D33" t="s">
        <v>111</v>
      </c>
      <c r="E33" t="s">
        <v>112</v>
      </c>
      <c r="F33">
        <v>0.30599999999999999</v>
      </c>
      <c r="G33" t="s">
        <v>13</v>
      </c>
    </row>
    <row r="34" spans="1:7" x14ac:dyDescent="0.25">
      <c r="A34">
        <v>3</v>
      </c>
      <c r="B34" t="s">
        <v>126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126</v>
      </c>
      <c r="C35">
        <v>60</v>
      </c>
      <c r="D35" t="s">
        <v>114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126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126</v>
      </c>
      <c r="C37">
        <v>80</v>
      </c>
      <c r="D37" t="s">
        <v>96</v>
      </c>
      <c r="E37" t="s">
        <v>12</v>
      </c>
      <c r="F37">
        <v>9.4E-2</v>
      </c>
      <c r="G37" t="s">
        <v>13</v>
      </c>
    </row>
    <row r="38" spans="1:7" x14ac:dyDescent="0.25">
      <c r="A38">
        <v>3</v>
      </c>
      <c r="B38" t="s">
        <v>126</v>
      </c>
      <c r="C38">
        <v>90</v>
      </c>
      <c r="D38" t="s">
        <v>121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126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126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126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126</v>
      </c>
      <c r="C42">
        <v>130</v>
      </c>
      <c r="D42" t="s">
        <v>115</v>
      </c>
      <c r="E42" t="s">
        <v>12</v>
      </c>
      <c r="F42">
        <v>0.66200000000000003</v>
      </c>
      <c r="G42" t="s">
        <v>13</v>
      </c>
    </row>
    <row r="43" spans="1:7" x14ac:dyDescent="0.25">
      <c r="A43">
        <v>3</v>
      </c>
      <c r="B43" t="s">
        <v>126</v>
      </c>
      <c r="C43">
        <v>140</v>
      </c>
      <c r="D43" t="s">
        <v>128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129</v>
      </c>
      <c r="C44">
        <v>10</v>
      </c>
      <c r="D44" t="s">
        <v>119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129</v>
      </c>
      <c r="C45">
        <v>20</v>
      </c>
      <c r="D45" t="s">
        <v>130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129</v>
      </c>
      <c r="C46">
        <v>30</v>
      </c>
      <c r="D46" t="s">
        <v>113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129</v>
      </c>
      <c r="C47">
        <v>40</v>
      </c>
      <c r="D47" t="s">
        <v>111</v>
      </c>
      <c r="E47" t="s">
        <v>112</v>
      </c>
      <c r="F47">
        <v>0.35</v>
      </c>
      <c r="G47" t="s">
        <v>13</v>
      </c>
    </row>
    <row r="48" spans="1:7" x14ac:dyDescent="0.25">
      <c r="A48">
        <v>4</v>
      </c>
      <c r="B48" t="s">
        <v>129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129</v>
      </c>
      <c r="C49">
        <v>60</v>
      </c>
      <c r="D49" t="s">
        <v>114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129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129</v>
      </c>
      <c r="C51">
        <v>80</v>
      </c>
      <c r="D51" t="s">
        <v>96</v>
      </c>
      <c r="E51" t="s">
        <v>12</v>
      </c>
      <c r="F51">
        <v>0.105</v>
      </c>
      <c r="G51" t="s">
        <v>13</v>
      </c>
    </row>
    <row r="52" spans="1:7" x14ac:dyDescent="0.25">
      <c r="A52">
        <v>4</v>
      </c>
      <c r="B52" t="s">
        <v>129</v>
      </c>
      <c r="C52">
        <v>90</v>
      </c>
      <c r="D52" t="s">
        <v>121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129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129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129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129</v>
      </c>
      <c r="C56">
        <v>130</v>
      </c>
      <c r="D56" t="s">
        <v>115</v>
      </c>
      <c r="E56" t="s">
        <v>12</v>
      </c>
      <c r="F56">
        <v>0.74299999999999999</v>
      </c>
      <c r="G56" t="s">
        <v>13</v>
      </c>
    </row>
    <row r="57" spans="1:7" x14ac:dyDescent="0.25">
      <c r="A57">
        <v>4</v>
      </c>
      <c r="B57" t="s">
        <v>129</v>
      </c>
      <c r="C57">
        <v>140</v>
      </c>
      <c r="D57" t="s">
        <v>131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132</v>
      </c>
      <c r="C58">
        <v>10</v>
      </c>
      <c r="D58" t="s">
        <v>119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132</v>
      </c>
      <c r="C59">
        <v>20</v>
      </c>
      <c r="D59" t="s">
        <v>133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132</v>
      </c>
      <c r="C60">
        <v>30</v>
      </c>
      <c r="D60" t="s">
        <v>113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132</v>
      </c>
      <c r="C61">
        <v>40</v>
      </c>
      <c r="D61" t="s">
        <v>111</v>
      </c>
      <c r="E61" t="s">
        <v>112</v>
      </c>
      <c r="F61">
        <v>0.437</v>
      </c>
      <c r="G61" t="s">
        <v>13</v>
      </c>
    </row>
    <row r="62" spans="1:7" x14ac:dyDescent="0.25">
      <c r="A62">
        <v>5</v>
      </c>
      <c r="B62" t="s">
        <v>132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132</v>
      </c>
      <c r="C63">
        <v>60</v>
      </c>
      <c r="D63" t="s">
        <v>114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132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132</v>
      </c>
      <c r="C65">
        <v>80</v>
      </c>
      <c r="D65" t="s">
        <v>96</v>
      </c>
      <c r="E65" t="s">
        <v>12</v>
      </c>
      <c r="F65">
        <v>0.126</v>
      </c>
      <c r="G65" t="s">
        <v>13</v>
      </c>
    </row>
    <row r="66" spans="1:7" x14ac:dyDescent="0.25">
      <c r="A66">
        <v>5</v>
      </c>
      <c r="B66" t="s">
        <v>132</v>
      </c>
      <c r="C66">
        <v>90</v>
      </c>
      <c r="D66" t="s">
        <v>121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132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132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132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132</v>
      </c>
      <c r="C70">
        <v>130</v>
      </c>
      <c r="D70" t="s">
        <v>115</v>
      </c>
      <c r="E70" t="s">
        <v>12</v>
      </c>
      <c r="F70">
        <v>0.90500000000000003</v>
      </c>
      <c r="G70" t="s">
        <v>13</v>
      </c>
    </row>
    <row r="71" spans="1:7" x14ac:dyDescent="0.25">
      <c r="A71">
        <v>5</v>
      </c>
      <c r="B71" t="s">
        <v>132</v>
      </c>
      <c r="C71">
        <v>140</v>
      </c>
      <c r="D71" t="s">
        <v>134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135</v>
      </c>
      <c r="C72">
        <v>10</v>
      </c>
      <c r="D72" t="s">
        <v>119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135</v>
      </c>
      <c r="C73">
        <v>20</v>
      </c>
      <c r="D73" t="s">
        <v>136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135</v>
      </c>
      <c r="C74">
        <v>30</v>
      </c>
      <c r="D74" t="s">
        <v>113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135</v>
      </c>
      <c r="C75">
        <v>40</v>
      </c>
      <c r="D75" t="s">
        <v>111</v>
      </c>
      <c r="E75" t="s">
        <v>112</v>
      </c>
      <c r="F75">
        <v>0.48099999999999998</v>
      </c>
      <c r="G75" t="s">
        <v>13</v>
      </c>
    </row>
    <row r="76" spans="1:7" x14ac:dyDescent="0.25">
      <c r="A76">
        <v>6</v>
      </c>
      <c r="B76" t="s">
        <v>135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135</v>
      </c>
      <c r="C77">
        <v>60</v>
      </c>
      <c r="D77" t="s">
        <v>114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135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135</v>
      </c>
      <c r="C79">
        <v>80</v>
      </c>
      <c r="D79" t="s">
        <v>96</v>
      </c>
      <c r="E79" t="s">
        <v>12</v>
      </c>
      <c r="F79">
        <v>0.13700000000000001</v>
      </c>
      <c r="G79" t="s">
        <v>13</v>
      </c>
    </row>
    <row r="80" spans="1:7" x14ac:dyDescent="0.25">
      <c r="A80">
        <v>6</v>
      </c>
      <c r="B80" t="s">
        <v>135</v>
      </c>
      <c r="C80">
        <v>90</v>
      </c>
      <c r="D80" t="s">
        <v>121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135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135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135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135</v>
      </c>
      <c r="C84">
        <v>130</v>
      </c>
      <c r="D84" t="s">
        <v>115</v>
      </c>
      <c r="E84" t="s">
        <v>12</v>
      </c>
      <c r="F84">
        <v>0.98599999999999999</v>
      </c>
      <c r="G84" t="s">
        <v>13</v>
      </c>
    </row>
    <row r="85" spans="1:7" x14ac:dyDescent="0.25">
      <c r="A85">
        <v>6</v>
      </c>
      <c r="B85" t="s">
        <v>135</v>
      </c>
      <c r="C85">
        <v>140</v>
      </c>
      <c r="D85" t="s">
        <v>137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138</v>
      </c>
      <c r="C86">
        <v>10</v>
      </c>
      <c r="D86" t="s">
        <v>119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138</v>
      </c>
      <c r="C87">
        <v>20</v>
      </c>
      <c r="D87" t="s">
        <v>139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138</v>
      </c>
      <c r="C88">
        <v>30</v>
      </c>
      <c r="D88" t="s">
        <v>113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138</v>
      </c>
      <c r="C89">
        <v>40</v>
      </c>
      <c r="D89" t="s">
        <v>111</v>
      </c>
      <c r="E89" t="s">
        <v>112</v>
      </c>
      <c r="F89">
        <v>0.52500000000000002</v>
      </c>
      <c r="G89" t="s">
        <v>13</v>
      </c>
    </row>
    <row r="90" spans="1:7" x14ac:dyDescent="0.25">
      <c r="A90">
        <v>7</v>
      </c>
      <c r="B90" t="s">
        <v>138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138</v>
      </c>
      <c r="C91">
        <v>60</v>
      </c>
      <c r="D91" t="s">
        <v>114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138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138</v>
      </c>
      <c r="C93">
        <v>80</v>
      </c>
      <c r="D93" t="s">
        <v>96</v>
      </c>
      <c r="E93" t="s">
        <v>12</v>
      </c>
      <c r="F93">
        <v>0.14799999999999999</v>
      </c>
      <c r="G93" t="s">
        <v>13</v>
      </c>
    </row>
    <row r="94" spans="1:7" x14ac:dyDescent="0.25">
      <c r="A94">
        <v>7</v>
      </c>
      <c r="B94" t="s">
        <v>138</v>
      </c>
      <c r="C94">
        <v>90</v>
      </c>
      <c r="D94" t="s">
        <v>121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138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138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138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138</v>
      </c>
      <c r="C98">
        <v>130</v>
      </c>
      <c r="D98" t="s">
        <v>115</v>
      </c>
      <c r="E98" t="s">
        <v>12</v>
      </c>
      <c r="F98">
        <v>1.0669999999999999</v>
      </c>
      <c r="G98" t="s">
        <v>13</v>
      </c>
    </row>
    <row r="99" spans="1:7" x14ac:dyDescent="0.25">
      <c r="A99">
        <v>7</v>
      </c>
      <c r="B99" t="s">
        <v>138</v>
      </c>
      <c r="C99">
        <v>140</v>
      </c>
      <c r="D99" t="s">
        <v>140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141</v>
      </c>
      <c r="C100">
        <v>10</v>
      </c>
      <c r="D100" t="s">
        <v>119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141</v>
      </c>
      <c r="C101">
        <v>20</v>
      </c>
      <c r="D101" t="s">
        <v>142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141</v>
      </c>
      <c r="C102">
        <v>30</v>
      </c>
      <c r="D102" t="s">
        <v>113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141</v>
      </c>
      <c r="C103">
        <v>40</v>
      </c>
      <c r="D103" t="s">
        <v>111</v>
      </c>
      <c r="E103" t="s">
        <v>112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141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141</v>
      </c>
      <c r="C105">
        <v>60</v>
      </c>
      <c r="D105" t="s">
        <v>114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141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141</v>
      </c>
      <c r="C107">
        <v>80</v>
      </c>
      <c r="D107" t="s">
        <v>96</v>
      </c>
      <c r="E107" t="s">
        <v>12</v>
      </c>
      <c r="F107">
        <v>7.2999999999999995E-2</v>
      </c>
      <c r="G107" t="s">
        <v>13</v>
      </c>
    </row>
    <row r="108" spans="1:7" x14ac:dyDescent="0.25">
      <c r="A108">
        <v>8</v>
      </c>
      <c r="B108" t="s">
        <v>141</v>
      </c>
      <c r="C108">
        <v>90</v>
      </c>
      <c r="D108" t="s">
        <v>121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141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141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141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141</v>
      </c>
      <c r="C112">
        <v>130</v>
      </c>
      <c r="D112" t="s">
        <v>115</v>
      </c>
      <c r="E112" t="s">
        <v>12</v>
      </c>
      <c r="F112">
        <v>0.5</v>
      </c>
      <c r="G112" t="s">
        <v>13</v>
      </c>
    </row>
    <row r="113" spans="1:7" x14ac:dyDescent="0.25">
      <c r="A113">
        <v>8</v>
      </c>
      <c r="B113" t="s">
        <v>141</v>
      </c>
      <c r="C113">
        <v>140</v>
      </c>
      <c r="D113" t="s">
        <v>143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144</v>
      </c>
      <c r="C114">
        <v>10</v>
      </c>
      <c r="D114" t="s">
        <v>119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144</v>
      </c>
      <c r="C115">
        <v>20</v>
      </c>
      <c r="D115" t="s">
        <v>145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144</v>
      </c>
      <c r="C116">
        <v>30</v>
      </c>
      <c r="D116" t="s">
        <v>113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144</v>
      </c>
      <c r="C117">
        <v>40</v>
      </c>
      <c r="D117" t="s">
        <v>111</v>
      </c>
      <c r="E117" t="s">
        <v>112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144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144</v>
      </c>
      <c r="C119">
        <v>60</v>
      </c>
      <c r="D119" t="s">
        <v>114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144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144</v>
      </c>
      <c r="C121">
        <v>80</v>
      </c>
      <c r="D121" t="s">
        <v>96</v>
      </c>
      <c r="E121" t="s">
        <v>12</v>
      </c>
      <c r="F121">
        <v>8.4000000000000005E-2</v>
      </c>
      <c r="G121" t="s">
        <v>13</v>
      </c>
    </row>
    <row r="122" spans="1:7" x14ac:dyDescent="0.25">
      <c r="A122">
        <v>9</v>
      </c>
      <c r="B122" t="s">
        <v>144</v>
      </c>
      <c r="C122">
        <v>90</v>
      </c>
      <c r="D122" t="s">
        <v>121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144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144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144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144</v>
      </c>
      <c r="C126">
        <v>130</v>
      </c>
      <c r="D126" t="s">
        <v>115</v>
      </c>
      <c r="E126" t="s">
        <v>12</v>
      </c>
      <c r="F126">
        <v>0.58099999999999996</v>
      </c>
      <c r="G126" t="s">
        <v>13</v>
      </c>
    </row>
    <row r="127" spans="1:7" x14ac:dyDescent="0.25">
      <c r="A127">
        <v>9</v>
      </c>
      <c r="B127" t="s">
        <v>144</v>
      </c>
      <c r="C127">
        <v>140</v>
      </c>
      <c r="D127" t="s">
        <v>146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147</v>
      </c>
      <c r="C128">
        <v>10</v>
      </c>
      <c r="D128" t="s">
        <v>119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147</v>
      </c>
      <c r="C129">
        <v>20</v>
      </c>
      <c r="D129" t="s">
        <v>148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147</v>
      </c>
      <c r="C130">
        <v>30</v>
      </c>
      <c r="D130" t="s">
        <v>113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147</v>
      </c>
      <c r="C131">
        <v>40</v>
      </c>
      <c r="D131" t="s">
        <v>111</v>
      </c>
      <c r="E131" t="s">
        <v>112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147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147</v>
      </c>
      <c r="C133">
        <v>60</v>
      </c>
      <c r="D133" t="s">
        <v>114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147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147</v>
      </c>
      <c r="C135">
        <v>80</v>
      </c>
      <c r="D135" t="s">
        <v>96</v>
      </c>
      <c r="E135" t="s">
        <v>12</v>
      </c>
      <c r="F135">
        <v>9.4E-2</v>
      </c>
      <c r="G135" t="s">
        <v>13</v>
      </c>
    </row>
    <row r="136" spans="1:7" x14ac:dyDescent="0.25">
      <c r="A136">
        <v>10</v>
      </c>
      <c r="B136" t="s">
        <v>147</v>
      </c>
      <c r="C136">
        <v>90</v>
      </c>
      <c r="D136" t="s">
        <v>121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147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147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147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147</v>
      </c>
      <c r="C140">
        <v>130</v>
      </c>
      <c r="D140" t="s">
        <v>115</v>
      </c>
      <c r="E140" t="s">
        <v>12</v>
      </c>
      <c r="F140">
        <v>0.66200000000000003</v>
      </c>
      <c r="G140" t="s">
        <v>13</v>
      </c>
    </row>
    <row r="141" spans="1:7" x14ac:dyDescent="0.25">
      <c r="A141">
        <v>10</v>
      </c>
      <c r="B141" t="s">
        <v>147</v>
      </c>
      <c r="C141">
        <v>140</v>
      </c>
      <c r="D141" t="s">
        <v>149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150</v>
      </c>
      <c r="C142">
        <v>10</v>
      </c>
      <c r="D142" t="s">
        <v>119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150</v>
      </c>
      <c r="C143">
        <v>20</v>
      </c>
      <c r="D143" t="s">
        <v>151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150</v>
      </c>
      <c r="C144">
        <v>30</v>
      </c>
      <c r="D144" t="s">
        <v>113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150</v>
      </c>
      <c r="C145">
        <v>40</v>
      </c>
      <c r="D145" t="s">
        <v>111</v>
      </c>
      <c r="E145" t="s">
        <v>112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150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150</v>
      </c>
      <c r="C147">
        <v>60</v>
      </c>
      <c r="D147" t="s">
        <v>114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150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150</v>
      </c>
      <c r="C149">
        <v>80</v>
      </c>
      <c r="D149" t="s">
        <v>96</v>
      </c>
      <c r="E149" t="s">
        <v>12</v>
      </c>
      <c r="F149">
        <v>0.105</v>
      </c>
      <c r="G149" t="s">
        <v>13</v>
      </c>
    </row>
    <row r="150" spans="1:7" x14ac:dyDescent="0.25">
      <c r="A150">
        <v>11</v>
      </c>
      <c r="B150" t="s">
        <v>150</v>
      </c>
      <c r="C150">
        <v>90</v>
      </c>
      <c r="D150" t="s">
        <v>121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150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150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150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150</v>
      </c>
      <c r="C154">
        <v>130</v>
      </c>
      <c r="D154" t="s">
        <v>115</v>
      </c>
      <c r="E154" t="s">
        <v>12</v>
      </c>
      <c r="F154">
        <v>0.74299999999999999</v>
      </c>
      <c r="G154" t="s">
        <v>13</v>
      </c>
    </row>
    <row r="155" spans="1:7" x14ac:dyDescent="0.25">
      <c r="A155">
        <v>11</v>
      </c>
      <c r="B155" t="s">
        <v>150</v>
      </c>
      <c r="C155">
        <v>140</v>
      </c>
      <c r="D155" t="s">
        <v>152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153</v>
      </c>
      <c r="C156">
        <v>10</v>
      </c>
      <c r="D156" t="s">
        <v>119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153</v>
      </c>
      <c r="C157">
        <v>20</v>
      </c>
      <c r="D157" t="s">
        <v>154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153</v>
      </c>
      <c r="C158">
        <v>30</v>
      </c>
      <c r="D158" t="s">
        <v>113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153</v>
      </c>
      <c r="C159">
        <v>40</v>
      </c>
      <c r="D159" t="s">
        <v>111</v>
      </c>
      <c r="E159" t="s">
        <v>112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153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153</v>
      </c>
      <c r="C161">
        <v>60</v>
      </c>
      <c r="D161" t="s">
        <v>114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153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153</v>
      </c>
      <c r="C163">
        <v>80</v>
      </c>
      <c r="D163" t="s">
        <v>96</v>
      </c>
      <c r="E163" t="s">
        <v>12</v>
      </c>
      <c r="F163">
        <v>0.126</v>
      </c>
      <c r="G163" t="s">
        <v>13</v>
      </c>
    </row>
    <row r="164" spans="1:7" x14ac:dyDescent="0.25">
      <c r="A164">
        <v>12</v>
      </c>
      <c r="B164" t="s">
        <v>153</v>
      </c>
      <c r="C164">
        <v>90</v>
      </c>
      <c r="D164" t="s">
        <v>121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153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153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153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153</v>
      </c>
      <c r="C168">
        <v>130</v>
      </c>
      <c r="D168" t="s">
        <v>115</v>
      </c>
      <c r="E168" t="s">
        <v>12</v>
      </c>
      <c r="F168">
        <v>0.90500000000000003</v>
      </c>
      <c r="G168" t="s">
        <v>13</v>
      </c>
    </row>
    <row r="169" spans="1:7" x14ac:dyDescent="0.25">
      <c r="A169">
        <v>12</v>
      </c>
      <c r="B169" t="s">
        <v>153</v>
      </c>
      <c r="C169">
        <v>140</v>
      </c>
      <c r="D169" t="s">
        <v>155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156</v>
      </c>
      <c r="C170">
        <v>10</v>
      </c>
      <c r="D170" t="s">
        <v>119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156</v>
      </c>
      <c r="C171">
        <v>20</v>
      </c>
      <c r="D171" t="s">
        <v>157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156</v>
      </c>
      <c r="C172">
        <v>30</v>
      </c>
      <c r="D172" t="s">
        <v>113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156</v>
      </c>
      <c r="C173">
        <v>40</v>
      </c>
      <c r="D173" t="s">
        <v>111</v>
      </c>
      <c r="E173" t="s">
        <v>112</v>
      </c>
      <c r="F173">
        <v>0.501</v>
      </c>
      <c r="G173" t="s">
        <v>13</v>
      </c>
    </row>
    <row r="174" spans="1:7" x14ac:dyDescent="0.25">
      <c r="A174">
        <v>13</v>
      </c>
      <c r="B174" t="s">
        <v>156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156</v>
      </c>
      <c r="C175">
        <v>60</v>
      </c>
      <c r="D175" t="s">
        <v>114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156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156</v>
      </c>
      <c r="C177">
        <v>80</v>
      </c>
      <c r="D177" t="s">
        <v>96</v>
      </c>
      <c r="E177" t="s">
        <v>12</v>
      </c>
      <c r="F177">
        <v>0.13700000000000001</v>
      </c>
      <c r="G177" t="s">
        <v>13</v>
      </c>
    </row>
    <row r="178" spans="1:7" x14ac:dyDescent="0.25">
      <c r="A178">
        <v>13</v>
      </c>
      <c r="B178" t="s">
        <v>156</v>
      </c>
      <c r="C178">
        <v>90</v>
      </c>
      <c r="D178" t="s">
        <v>121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156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156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156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156</v>
      </c>
      <c r="C182">
        <v>130</v>
      </c>
      <c r="D182" t="s">
        <v>115</v>
      </c>
      <c r="E182" t="s">
        <v>12</v>
      </c>
      <c r="F182">
        <v>0.98599999999999999</v>
      </c>
      <c r="G182" t="s">
        <v>13</v>
      </c>
    </row>
    <row r="183" spans="1:7" x14ac:dyDescent="0.25">
      <c r="A183">
        <v>13</v>
      </c>
      <c r="B183" t="s">
        <v>156</v>
      </c>
      <c r="C183">
        <v>140</v>
      </c>
      <c r="D183" t="s">
        <v>158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159</v>
      </c>
      <c r="C184">
        <v>10</v>
      </c>
      <c r="D184" t="s">
        <v>119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159</v>
      </c>
      <c r="C185">
        <v>20</v>
      </c>
      <c r="D185" t="s">
        <v>160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159</v>
      </c>
      <c r="C186">
        <v>30</v>
      </c>
      <c r="D186" t="s">
        <v>113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159</v>
      </c>
      <c r="C187">
        <v>40</v>
      </c>
      <c r="D187" t="s">
        <v>111</v>
      </c>
      <c r="E187" t="s">
        <v>112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159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159</v>
      </c>
      <c r="C189">
        <v>60</v>
      </c>
      <c r="D189" t="s">
        <v>114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159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159</v>
      </c>
      <c r="C191">
        <v>80</v>
      </c>
      <c r="D191" t="s">
        <v>96</v>
      </c>
      <c r="E191" t="s">
        <v>12</v>
      </c>
      <c r="F191">
        <v>0.14799999999999999</v>
      </c>
      <c r="G191" t="s">
        <v>13</v>
      </c>
    </row>
    <row r="192" spans="1:7" x14ac:dyDescent="0.25">
      <c r="A192">
        <v>14</v>
      </c>
      <c r="B192" t="s">
        <v>159</v>
      </c>
      <c r="C192">
        <v>90</v>
      </c>
      <c r="D192" t="s">
        <v>121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159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159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159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159</v>
      </c>
      <c r="C196">
        <v>130</v>
      </c>
      <c r="D196" t="s">
        <v>115</v>
      </c>
      <c r="E196" t="s">
        <v>12</v>
      </c>
      <c r="F196">
        <v>1.0669999999999999</v>
      </c>
      <c r="G196" t="s">
        <v>13</v>
      </c>
    </row>
    <row r="197" spans="1:7" x14ac:dyDescent="0.25">
      <c r="A197">
        <v>14</v>
      </c>
      <c r="B197" t="s">
        <v>159</v>
      </c>
      <c r="C197">
        <v>140</v>
      </c>
      <c r="D197" t="s">
        <v>161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162</v>
      </c>
      <c r="C198">
        <v>10</v>
      </c>
      <c r="D198" t="s">
        <v>119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162</v>
      </c>
      <c r="C199">
        <v>20</v>
      </c>
      <c r="D199" t="s">
        <v>163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162</v>
      </c>
      <c r="C200">
        <v>30</v>
      </c>
      <c r="D200" t="s">
        <v>113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162</v>
      </c>
      <c r="C201">
        <v>40</v>
      </c>
      <c r="D201" t="s">
        <v>111</v>
      </c>
      <c r="E201" t="s">
        <v>112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162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162</v>
      </c>
      <c r="C203">
        <v>60</v>
      </c>
      <c r="D203" t="s">
        <v>114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162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162</v>
      </c>
      <c r="C205">
        <v>80</v>
      </c>
      <c r="D205" t="s">
        <v>96</v>
      </c>
      <c r="E205" t="s">
        <v>12</v>
      </c>
      <c r="F205">
        <v>7.2999999999999995E-2</v>
      </c>
      <c r="G205" t="s">
        <v>13</v>
      </c>
    </row>
    <row r="206" spans="1:7" x14ac:dyDescent="0.25">
      <c r="A206">
        <v>15</v>
      </c>
      <c r="B206" t="s">
        <v>162</v>
      </c>
      <c r="C206">
        <v>90</v>
      </c>
      <c r="D206" t="s">
        <v>121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162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162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162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162</v>
      </c>
      <c r="C210">
        <v>130</v>
      </c>
      <c r="D210" t="s">
        <v>115</v>
      </c>
      <c r="E210" t="s">
        <v>12</v>
      </c>
      <c r="F210">
        <v>0.5</v>
      </c>
      <c r="G210" t="s">
        <v>13</v>
      </c>
    </row>
    <row r="211" spans="1:7" x14ac:dyDescent="0.25">
      <c r="A211">
        <v>15</v>
      </c>
      <c r="B211" t="s">
        <v>162</v>
      </c>
      <c r="C211">
        <v>140</v>
      </c>
      <c r="D211" t="s">
        <v>164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165</v>
      </c>
      <c r="C212">
        <v>10</v>
      </c>
      <c r="D212" t="s">
        <v>119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165</v>
      </c>
      <c r="C213">
        <v>20</v>
      </c>
      <c r="D213" t="s">
        <v>166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165</v>
      </c>
      <c r="C214">
        <v>30</v>
      </c>
      <c r="D214" t="s">
        <v>113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165</v>
      </c>
      <c r="C215">
        <v>40</v>
      </c>
      <c r="D215" t="s">
        <v>111</v>
      </c>
      <c r="E215" t="s">
        <v>112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165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165</v>
      </c>
      <c r="C217">
        <v>60</v>
      </c>
      <c r="D217" t="s">
        <v>114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165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165</v>
      </c>
      <c r="C219">
        <v>80</v>
      </c>
      <c r="D219" t="s">
        <v>96</v>
      </c>
      <c r="E219" t="s">
        <v>12</v>
      </c>
      <c r="F219">
        <v>8.4000000000000005E-2</v>
      </c>
      <c r="G219" t="s">
        <v>13</v>
      </c>
    </row>
    <row r="220" spans="1:7" x14ac:dyDescent="0.25">
      <c r="A220">
        <v>16</v>
      </c>
      <c r="B220" t="s">
        <v>165</v>
      </c>
      <c r="C220">
        <v>90</v>
      </c>
      <c r="D220" t="s">
        <v>121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165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165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165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165</v>
      </c>
      <c r="C224">
        <v>130</v>
      </c>
      <c r="D224" t="s">
        <v>115</v>
      </c>
      <c r="E224" t="s">
        <v>12</v>
      </c>
      <c r="F224">
        <v>0.58099999999999996</v>
      </c>
      <c r="G224" t="s">
        <v>13</v>
      </c>
    </row>
    <row r="225" spans="1:7" x14ac:dyDescent="0.25">
      <c r="A225">
        <v>16</v>
      </c>
      <c r="B225" t="s">
        <v>165</v>
      </c>
      <c r="C225">
        <v>140</v>
      </c>
      <c r="D225" t="s">
        <v>167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168</v>
      </c>
      <c r="C226">
        <v>10</v>
      </c>
      <c r="D226" t="s">
        <v>119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168</v>
      </c>
      <c r="C227">
        <v>20</v>
      </c>
      <c r="D227" t="s">
        <v>169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168</v>
      </c>
      <c r="C228">
        <v>30</v>
      </c>
      <c r="D228" t="s">
        <v>113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168</v>
      </c>
      <c r="C229">
        <v>40</v>
      </c>
      <c r="D229" t="s">
        <v>111</v>
      </c>
      <c r="E229" t="s">
        <v>112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168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168</v>
      </c>
      <c r="C231">
        <v>60</v>
      </c>
      <c r="D231" t="s">
        <v>114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168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168</v>
      </c>
      <c r="C233">
        <v>80</v>
      </c>
      <c r="D233" t="s">
        <v>96</v>
      </c>
      <c r="E233" t="s">
        <v>12</v>
      </c>
      <c r="F233">
        <v>9.4E-2</v>
      </c>
      <c r="G233" t="s">
        <v>13</v>
      </c>
    </row>
    <row r="234" spans="1:7" x14ac:dyDescent="0.25">
      <c r="A234">
        <v>17</v>
      </c>
      <c r="B234" t="s">
        <v>168</v>
      </c>
      <c r="C234">
        <v>90</v>
      </c>
      <c r="D234" t="s">
        <v>121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168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168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168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168</v>
      </c>
      <c r="C238">
        <v>130</v>
      </c>
      <c r="D238" t="s">
        <v>115</v>
      </c>
      <c r="E238" t="s">
        <v>12</v>
      </c>
      <c r="F238">
        <v>0.66200000000000003</v>
      </c>
      <c r="G238" t="s">
        <v>13</v>
      </c>
    </row>
    <row r="239" spans="1:7" x14ac:dyDescent="0.25">
      <c r="A239">
        <v>17</v>
      </c>
      <c r="B239" t="s">
        <v>168</v>
      </c>
      <c r="C239">
        <v>140</v>
      </c>
      <c r="D239" t="s">
        <v>170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171</v>
      </c>
      <c r="C240">
        <v>10</v>
      </c>
      <c r="D240" t="s">
        <v>119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171</v>
      </c>
      <c r="C241">
        <v>20</v>
      </c>
      <c r="D241" t="s">
        <v>172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171</v>
      </c>
      <c r="C242">
        <v>30</v>
      </c>
      <c r="D242" t="s">
        <v>113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171</v>
      </c>
      <c r="C243">
        <v>40</v>
      </c>
      <c r="D243" t="s">
        <v>111</v>
      </c>
      <c r="E243" t="s">
        <v>112</v>
      </c>
      <c r="F243">
        <v>0.379</v>
      </c>
      <c r="G243" t="s">
        <v>13</v>
      </c>
    </row>
    <row r="244" spans="1:7" x14ac:dyDescent="0.25">
      <c r="A244">
        <v>18</v>
      </c>
      <c r="B244" t="s">
        <v>171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171</v>
      </c>
      <c r="C245">
        <v>60</v>
      </c>
      <c r="D245" t="s">
        <v>114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171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171</v>
      </c>
      <c r="C247">
        <v>80</v>
      </c>
      <c r="D247" t="s">
        <v>96</v>
      </c>
      <c r="E247" t="s">
        <v>12</v>
      </c>
      <c r="F247">
        <v>0.105</v>
      </c>
      <c r="G247" t="s">
        <v>13</v>
      </c>
    </row>
    <row r="248" spans="1:7" x14ac:dyDescent="0.25">
      <c r="A248">
        <v>18</v>
      </c>
      <c r="B248" t="s">
        <v>171</v>
      </c>
      <c r="C248">
        <v>90</v>
      </c>
      <c r="D248" t="s">
        <v>121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171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171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171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171</v>
      </c>
      <c r="C252">
        <v>130</v>
      </c>
      <c r="D252" t="s">
        <v>115</v>
      </c>
      <c r="E252" t="s">
        <v>12</v>
      </c>
      <c r="F252">
        <v>0.74299999999999999</v>
      </c>
      <c r="G252" t="s">
        <v>13</v>
      </c>
    </row>
    <row r="253" spans="1:7" x14ac:dyDescent="0.25">
      <c r="A253">
        <v>18</v>
      </c>
      <c r="B253" t="s">
        <v>171</v>
      </c>
      <c r="C253">
        <v>140</v>
      </c>
      <c r="D253" t="s">
        <v>173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174</v>
      </c>
      <c r="C254">
        <v>10</v>
      </c>
      <c r="D254" t="s">
        <v>119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174</v>
      </c>
      <c r="C255">
        <v>20</v>
      </c>
      <c r="D255" t="s">
        <v>175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174</v>
      </c>
      <c r="C256">
        <v>30</v>
      </c>
      <c r="D256" t="s">
        <v>113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174</v>
      </c>
      <c r="C257">
        <v>40</v>
      </c>
      <c r="D257" t="s">
        <v>111</v>
      </c>
      <c r="E257" t="s">
        <v>112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174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174</v>
      </c>
      <c r="C259">
        <v>60</v>
      </c>
      <c r="D259" t="s">
        <v>114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174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174</v>
      </c>
      <c r="C261">
        <v>80</v>
      </c>
      <c r="D261" t="s">
        <v>96</v>
      </c>
      <c r="E261" t="s">
        <v>12</v>
      </c>
      <c r="F261">
        <v>0.126</v>
      </c>
      <c r="G261" t="s">
        <v>13</v>
      </c>
    </row>
    <row r="262" spans="1:7" x14ac:dyDescent="0.25">
      <c r="A262">
        <v>19</v>
      </c>
      <c r="B262" t="s">
        <v>174</v>
      </c>
      <c r="C262">
        <v>90</v>
      </c>
      <c r="D262" t="s">
        <v>121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174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174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174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174</v>
      </c>
      <c r="C266">
        <v>130</v>
      </c>
      <c r="D266" t="s">
        <v>115</v>
      </c>
      <c r="E266" t="s">
        <v>12</v>
      </c>
      <c r="F266">
        <v>0.90500000000000003</v>
      </c>
      <c r="G266" t="s">
        <v>13</v>
      </c>
    </row>
    <row r="267" spans="1:7" x14ac:dyDescent="0.25">
      <c r="A267">
        <v>19</v>
      </c>
      <c r="B267" t="s">
        <v>174</v>
      </c>
      <c r="C267">
        <v>140</v>
      </c>
      <c r="D267" t="s">
        <v>176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177</v>
      </c>
      <c r="C268">
        <v>10</v>
      </c>
      <c r="D268" t="s">
        <v>119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177</v>
      </c>
      <c r="C269">
        <v>20</v>
      </c>
      <c r="D269" t="s">
        <v>178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177</v>
      </c>
      <c r="C270">
        <v>30</v>
      </c>
      <c r="D270" t="s">
        <v>113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177</v>
      </c>
      <c r="C271">
        <v>40</v>
      </c>
      <c r="D271" t="s">
        <v>111</v>
      </c>
      <c r="E271" t="s">
        <v>112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177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177</v>
      </c>
      <c r="C273">
        <v>60</v>
      </c>
      <c r="D273" t="s">
        <v>114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177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177</v>
      </c>
      <c r="C275">
        <v>80</v>
      </c>
      <c r="D275" t="s">
        <v>96</v>
      </c>
      <c r="E275" t="s">
        <v>12</v>
      </c>
      <c r="F275">
        <v>0.13700000000000001</v>
      </c>
      <c r="G275" t="s">
        <v>13</v>
      </c>
    </row>
    <row r="276" spans="1:7" x14ac:dyDescent="0.25">
      <c r="A276">
        <v>20</v>
      </c>
      <c r="B276" t="s">
        <v>177</v>
      </c>
      <c r="C276">
        <v>90</v>
      </c>
      <c r="D276" t="s">
        <v>121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177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177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177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177</v>
      </c>
      <c r="C280">
        <v>130</v>
      </c>
      <c r="D280" t="s">
        <v>115</v>
      </c>
      <c r="E280" t="s">
        <v>12</v>
      </c>
      <c r="F280">
        <v>0.98599999999999999</v>
      </c>
      <c r="G280" t="s">
        <v>13</v>
      </c>
    </row>
    <row r="281" spans="1:7" x14ac:dyDescent="0.25">
      <c r="A281">
        <v>20</v>
      </c>
      <c r="B281" t="s">
        <v>177</v>
      </c>
      <c r="C281">
        <v>140</v>
      </c>
      <c r="D281" t="s">
        <v>179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180</v>
      </c>
      <c r="C282">
        <v>10</v>
      </c>
      <c r="D282" t="s">
        <v>119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180</v>
      </c>
      <c r="C283">
        <v>20</v>
      </c>
      <c r="D283" t="s">
        <v>181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180</v>
      </c>
      <c r="C284">
        <v>30</v>
      </c>
      <c r="D284" t="s">
        <v>113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180</v>
      </c>
      <c r="C285">
        <v>40</v>
      </c>
      <c r="D285" t="s">
        <v>111</v>
      </c>
      <c r="E285" t="s">
        <v>112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180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180</v>
      </c>
      <c r="C287">
        <v>60</v>
      </c>
      <c r="D287" t="s">
        <v>114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180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180</v>
      </c>
      <c r="C289">
        <v>80</v>
      </c>
      <c r="D289" t="s">
        <v>96</v>
      </c>
      <c r="E289" t="s">
        <v>12</v>
      </c>
      <c r="F289">
        <v>0.14799999999999999</v>
      </c>
      <c r="G289" t="s">
        <v>13</v>
      </c>
    </row>
    <row r="290" spans="1:7" x14ac:dyDescent="0.25">
      <c r="A290">
        <v>21</v>
      </c>
      <c r="B290" t="s">
        <v>180</v>
      </c>
      <c r="C290">
        <v>90</v>
      </c>
      <c r="D290" t="s">
        <v>121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180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180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180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180</v>
      </c>
      <c r="C294">
        <v>130</v>
      </c>
      <c r="D294" t="s">
        <v>115</v>
      </c>
      <c r="E294" t="s">
        <v>12</v>
      </c>
      <c r="F294">
        <v>1.0669999999999999</v>
      </c>
      <c r="G294" t="s">
        <v>13</v>
      </c>
    </row>
    <row r="295" spans="1:7" x14ac:dyDescent="0.25">
      <c r="A295">
        <v>21</v>
      </c>
      <c r="B295" t="s">
        <v>180</v>
      </c>
      <c r="C295">
        <v>140</v>
      </c>
      <c r="D295" t="s">
        <v>182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183</v>
      </c>
      <c r="C296">
        <v>10</v>
      </c>
      <c r="D296" t="s">
        <v>119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183</v>
      </c>
      <c r="C297">
        <v>20</v>
      </c>
      <c r="D297" t="s">
        <v>184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183</v>
      </c>
      <c r="C298">
        <v>30</v>
      </c>
      <c r="D298" t="s">
        <v>113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183</v>
      </c>
      <c r="C299">
        <v>40</v>
      </c>
      <c r="D299" t="s">
        <v>111</v>
      </c>
      <c r="E299" t="s">
        <v>112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183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183</v>
      </c>
      <c r="C301">
        <v>60</v>
      </c>
      <c r="D301" t="s">
        <v>114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183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183</v>
      </c>
      <c r="C303">
        <v>80</v>
      </c>
      <c r="D303" t="s">
        <v>96</v>
      </c>
      <c r="E303" t="s">
        <v>12</v>
      </c>
      <c r="F303">
        <v>7.2999999999999995E-2</v>
      </c>
      <c r="G303" t="s">
        <v>13</v>
      </c>
    </row>
    <row r="304" spans="1:7" x14ac:dyDescent="0.25">
      <c r="A304">
        <v>22</v>
      </c>
      <c r="B304" t="s">
        <v>183</v>
      </c>
      <c r="C304">
        <v>90</v>
      </c>
      <c r="D304" t="s">
        <v>121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183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183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183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183</v>
      </c>
      <c r="C308">
        <v>130</v>
      </c>
      <c r="D308" t="s">
        <v>115</v>
      </c>
      <c r="E308" t="s">
        <v>12</v>
      </c>
      <c r="F308">
        <v>1.1759999999999999</v>
      </c>
      <c r="G308" t="s">
        <v>13</v>
      </c>
    </row>
    <row r="309" spans="1:7" x14ac:dyDescent="0.25">
      <c r="A309">
        <v>22</v>
      </c>
      <c r="B309" t="s">
        <v>183</v>
      </c>
      <c r="C309">
        <v>140</v>
      </c>
      <c r="D309" t="s">
        <v>185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186</v>
      </c>
      <c r="C310">
        <v>10</v>
      </c>
      <c r="D310" t="s">
        <v>119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186</v>
      </c>
      <c r="C311">
        <v>20</v>
      </c>
      <c r="D311" t="s">
        <v>187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186</v>
      </c>
      <c r="C312">
        <v>30</v>
      </c>
      <c r="D312" t="s">
        <v>113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186</v>
      </c>
      <c r="C313">
        <v>40</v>
      </c>
      <c r="D313" t="s">
        <v>111</v>
      </c>
      <c r="E313" t="s">
        <v>112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186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186</v>
      </c>
      <c r="C315">
        <v>60</v>
      </c>
      <c r="D315" t="s">
        <v>114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186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186</v>
      </c>
      <c r="C317">
        <v>80</v>
      </c>
      <c r="D317" t="s">
        <v>96</v>
      </c>
      <c r="E317" t="s">
        <v>12</v>
      </c>
      <c r="F317">
        <v>8.4000000000000005E-2</v>
      </c>
      <c r="G317" t="s">
        <v>13</v>
      </c>
    </row>
    <row r="318" spans="1:7" x14ac:dyDescent="0.25">
      <c r="A318">
        <v>23</v>
      </c>
      <c r="B318" t="s">
        <v>186</v>
      </c>
      <c r="C318">
        <v>90</v>
      </c>
      <c r="D318" t="s">
        <v>121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186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186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186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186</v>
      </c>
      <c r="C322">
        <v>130</v>
      </c>
      <c r="D322" t="s">
        <v>115</v>
      </c>
      <c r="E322" t="s">
        <v>12</v>
      </c>
      <c r="F322">
        <v>1.1759999999999999</v>
      </c>
      <c r="G322" t="s">
        <v>13</v>
      </c>
    </row>
    <row r="323" spans="1:7" x14ac:dyDescent="0.25">
      <c r="A323">
        <v>23</v>
      </c>
      <c r="B323" t="s">
        <v>186</v>
      </c>
      <c r="C323">
        <v>140</v>
      </c>
      <c r="D323" t="s">
        <v>188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189</v>
      </c>
      <c r="C324">
        <v>10</v>
      </c>
      <c r="D324" t="s">
        <v>119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189</v>
      </c>
      <c r="C325">
        <v>20</v>
      </c>
      <c r="D325" t="s">
        <v>190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189</v>
      </c>
      <c r="C326">
        <v>30</v>
      </c>
      <c r="D326" t="s">
        <v>113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189</v>
      </c>
      <c r="C327">
        <v>40</v>
      </c>
      <c r="D327" t="s">
        <v>111</v>
      </c>
      <c r="E327" t="s">
        <v>112</v>
      </c>
      <c r="F327">
        <v>0.34</v>
      </c>
      <c r="G327" t="s">
        <v>13</v>
      </c>
    </row>
    <row r="328" spans="1:7" x14ac:dyDescent="0.25">
      <c r="A328">
        <v>24</v>
      </c>
      <c r="B328" t="s">
        <v>189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189</v>
      </c>
      <c r="C329">
        <v>60</v>
      </c>
      <c r="D329" t="s">
        <v>114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189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189</v>
      </c>
      <c r="C331">
        <v>80</v>
      </c>
      <c r="D331" t="s">
        <v>96</v>
      </c>
      <c r="E331" t="s">
        <v>12</v>
      </c>
      <c r="F331">
        <v>9.4E-2</v>
      </c>
      <c r="G331" t="s">
        <v>13</v>
      </c>
    </row>
    <row r="332" spans="1:7" x14ac:dyDescent="0.25">
      <c r="A332">
        <v>24</v>
      </c>
      <c r="B332" t="s">
        <v>189</v>
      </c>
      <c r="C332">
        <v>90</v>
      </c>
      <c r="D332" t="s">
        <v>121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189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189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189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189</v>
      </c>
      <c r="C336">
        <v>130</v>
      </c>
      <c r="D336" t="s">
        <v>115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24</v>
      </c>
      <c r="B337" t="s">
        <v>189</v>
      </c>
      <c r="C337">
        <v>140</v>
      </c>
      <c r="D337" t="s">
        <v>191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192</v>
      </c>
      <c r="C338">
        <v>10</v>
      </c>
      <c r="D338" t="s">
        <v>119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192</v>
      </c>
      <c r="C339">
        <v>20</v>
      </c>
      <c r="D339" t="s">
        <v>193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192</v>
      </c>
      <c r="C340">
        <v>30</v>
      </c>
      <c r="D340" t="s">
        <v>113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192</v>
      </c>
      <c r="C341">
        <v>40</v>
      </c>
      <c r="D341" t="s">
        <v>111</v>
      </c>
      <c r="E341" t="s">
        <v>112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192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192</v>
      </c>
      <c r="C343">
        <v>60</v>
      </c>
      <c r="D343" t="s">
        <v>114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192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192</v>
      </c>
      <c r="C345">
        <v>80</v>
      </c>
      <c r="D345" t="s">
        <v>96</v>
      </c>
      <c r="E345" t="s">
        <v>12</v>
      </c>
      <c r="F345">
        <v>0.105</v>
      </c>
      <c r="G345" t="s">
        <v>13</v>
      </c>
    </row>
    <row r="346" spans="1:7" x14ac:dyDescent="0.25">
      <c r="A346">
        <v>25</v>
      </c>
      <c r="B346" t="s">
        <v>192</v>
      </c>
      <c r="C346">
        <v>90</v>
      </c>
      <c r="D346" t="s">
        <v>121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192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192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192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192</v>
      </c>
      <c r="C350">
        <v>130</v>
      </c>
      <c r="D350" t="s">
        <v>115</v>
      </c>
      <c r="E350" t="s">
        <v>12</v>
      </c>
      <c r="F350">
        <v>1.1759999999999999</v>
      </c>
      <c r="G350" t="s">
        <v>13</v>
      </c>
    </row>
    <row r="351" spans="1:7" x14ac:dyDescent="0.25">
      <c r="A351">
        <v>25</v>
      </c>
      <c r="B351" t="s">
        <v>192</v>
      </c>
      <c r="C351">
        <v>140</v>
      </c>
      <c r="D351" t="s">
        <v>194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195</v>
      </c>
      <c r="C352">
        <v>10</v>
      </c>
      <c r="D352" t="s">
        <v>119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195</v>
      </c>
      <c r="C353">
        <v>20</v>
      </c>
      <c r="D353" t="s">
        <v>196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195</v>
      </c>
      <c r="C354">
        <v>30</v>
      </c>
      <c r="D354" t="s">
        <v>113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195</v>
      </c>
      <c r="C355">
        <v>40</v>
      </c>
      <c r="D355" t="s">
        <v>111</v>
      </c>
      <c r="E355" t="s">
        <v>112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195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195</v>
      </c>
      <c r="C357">
        <v>60</v>
      </c>
      <c r="D357" t="s">
        <v>114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195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195</v>
      </c>
      <c r="C359">
        <v>80</v>
      </c>
      <c r="D359" t="s">
        <v>96</v>
      </c>
      <c r="E359" t="s">
        <v>12</v>
      </c>
      <c r="F359">
        <v>0.126</v>
      </c>
      <c r="G359" t="s">
        <v>13</v>
      </c>
    </row>
    <row r="360" spans="1:7" x14ac:dyDescent="0.25">
      <c r="A360">
        <v>26</v>
      </c>
      <c r="B360" t="s">
        <v>195</v>
      </c>
      <c r="C360">
        <v>90</v>
      </c>
      <c r="D360" t="s">
        <v>121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195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195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195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195</v>
      </c>
      <c r="C364">
        <v>130</v>
      </c>
      <c r="D364" t="s">
        <v>115</v>
      </c>
      <c r="E364" t="s">
        <v>12</v>
      </c>
      <c r="F364">
        <v>1.1759999999999999</v>
      </c>
      <c r="G364" t="s">
        <v>13</v>
      </c>
    </row>
    <row r="365" spans="1:7" x14ac:dyDescent="0.25">
      <c r="A365">
        <v>26</v>
      </c>
      <c r="B365" t="s">
        <v>195</v>
      </c>
      <c r="C365">
        <v>140</v>
      </c>
      <c r="D365" t="s">
        <v>197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198</v>
      </c>
      <c r="C366">
        <v>10</v>
      </c>
      <c r="D366" t="s">
        <v>119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198</v>
      </c>
      <c r="C367">
        <v>20</v>
      </c>
      <c r="D367" t="s">
        <v>199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198</v>
      </c>
      <c r="C368">
        <v>30</v>
      </c>
      <c r="D368" t="s">
        <v>113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198</v>
      </c>
      <c r="C369">
        <v>40</v>
      </c>
      <c r="D369" t="s">
        <v>111</v>
      </c>
      <c r="E369" t="s">
        <v>112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198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198</v>
      </c>
      <c r="C371">
        <v>60</v>
      </c>
      <c r="D371" t="s">
        <v>114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198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198</v>
      </c>
      <c r="C373">
        <v>80</v>
      </c>
      <c r="D373" t="s">
        <v>96</v>
      </c>
      <c r="E373" t="s">
        <v>12</v>
      </c>
      <c r="F373">
        <v>0.13700000000000001</v>
      </c>
      <c r="G373" t="s">
        <v>13</v>
      </c>
    </row>
    <row r="374" spans="1:7" x14ac:dyDescent="0.25">
      <c r="A374">
        <v>27</v>
      </c>
      <c r="B374" t="s">
        <v>198</v>
      </c>
      <c r="C374">
        <v>90</v>
      </c>
      <c r="D374" t="s">
        <v>121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198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198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198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198</v>
      </c>
      <c r="C378">
        <v>130</v>
      </c>
      <c r="D378" t="s">
        <v>115</v>
      </c>
      <c r="E378" t="s">
        <v>12</v>
      </c>
      <c r="F378">
        <v>1.1759999999999999</v>
      </c>
      <c r="G378" t="s">
        <v>13</v>
      </c>
    </row>
    <row r="379" spans="1:7" x14ac:dyDescent="0.25">
      <c r="A379">
        <v>27</v>
      </c>
      <c r="B379" t="s">
        <v>198</v>
      </c>
      <c r="C379">
        <v>140</v>
      </c>
      <c r="D379" t="s">
        <v>200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201</v>
      </c>
      <c r="C380">
        <v>10</v>
      </c>
      <c r="D380" t="s">
        <v>119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201</v>
      </c>
      <c r="C381">
        <v>20</v>
      </c>
      <c r="D381" t="s">
        <v>202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201</v>
      </c>
      <c r="C382">
        <v>30</v>
      </c>
      <c r="D382" t="s">
        <v>113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201</v>
      </c>
      <c r="C383">
        <v>40</v>
      </c>
      <c r="D383" t="s">
        <v>111</v>
      </c>
      <c r="E383" t="s">
        <v>112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201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201</v>
      </c>
      <c r="C385">
        <v>60</v>
      </c>
      <c r="D385" t="s">
        <v>114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201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201</v>
      </c>
      <c r="C387">
        <v>80</v>
      </c>
      <c r="D387" t="s">
        <v>96</v>
      </c>
      <c r="E387" t="s">
        <v>12</v>
      </c>
      <c r="F387">
        <v>0.14799999999999999</v>
      </c>
      <c r="G387" t="s">
        <v>13</v>
      </c>
    </row>
    <row r="388" spans="1:7" x14ac:dyDescent="0.25">
      <c r="A388">
        <v>28</v>
      </c>
      <c r="B388" t="s">
        <v>201</v>
      </c>
      <c r="C388">
        <v>90</v>
      </c>
      <c r="D388" t="s">
        <v>121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201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201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201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201</v>
      </c>
      <c r="C392">
        <v>130</v>
      </c>
      <c r="D392" t="s">
        <v>115</v>
      </c>
      <c r="E392" t="s">
        <v>12</v>
      </c>
      <c r="F392">
        <v>1.1759999999999999</v>
      </c>
      <c r="G392" t="s">
        <v>13</v>
      </c>
    </row>
    <row r="393" spans="1:7" x14ac:dyDescent="0.25">
      <c r="A393">
        <v>28</v>
      </c>
      <c r="B393" t="s">
        <v>201</v>
      </c>
      <c r="C393">
        <v>140</v>
      </c>
      <c r="D393" t="s">
        <v>203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204</v>
      </c>
      <c r="C394">
        <v>10</v>
      </c>
      <c r="D394" t="s">
        <v>119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204</v>
      </c>
      <c r="C395">
        <v>20</v>
      </c>
      <c r="D395" t="s">
        <v>205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204</v>
      </c>
      <c r="C396">
        <v>30</v>
      </c>
      <c r="D396" t="s">
        <v>113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204</v>
      </c>
      <c r="C397">
        <v>40</v>
      </c>
      <c r="D397" t="s">
        <v>111</v>
      </c>
      <c r="E397" t="s">
        <v>112</v>
      </c>
      <c r="F397">
        <v>0.255</v>
      </c>
      <c r="G397" t="s">
        <v>13</v>
      </c>
    </row>
    <row r="398" spans="1:7" x14ac:dyDescent="0.25">
      <c r="A398">
        <v>29</v>
      </c>
      <c r="B398" t="s">
        <v>204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204</v>
      </c>
      <c r="C399">
        <v>60</v>
      </c>
      <c r="D399" t="s">
        <v>114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204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204</v>
      </c>
      <c r="C401">
        <v>80</v>
      </c>
      <c r="D401" t="s">
        <v>96</v>
      </c>
      <c r="E401" t="s">
        <v>12</v>
      </c>
      <c r="F401">
        <v>7.2999999999999995E-2</v>
      </c>
      <c r="G401" t="s">
        <v>13</v>
      </c>
    </row>
    <row r="402" spans="1:7" x14ac:dyDescent="0.25">
      <c r="A402">
        <v>29</v>
      </c>
      <c r="B402" t="s">
        <v>204</v>
      </c>
      <c r="C402">
        <v>90</v>
      </c>
      <c r="D402" t="s">
        <v>121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204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204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204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204</v>
      </c>
      <c r="C406">
        <v>130</v>
      </c>
      <c r="D406" t="s">
        <v>115</v>
      </c>
      <c r="E406" t="s">
        <v>12</v>
      </c>
      <c r="F406">
        <v>1.23</v>
      </c>
      <c r="G406" t="s">
        <v>13</v>
      </c>
    </row>
    <row r="407" spans="1:7" x14ac:dyDescent="0.25">
      <c r="A407">
        <v>29</v>
      </c>
      <c r="B407" t="s">
        <v>204</v>
      </c>
      <c r="C407">
        <v>140</v>
      </c>
      <c r="D407" t="s">
        <v>206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207</v>
      </c>
      <c r="C408">
        <v>10</v>
      </c>
      <c r="D408" t="s">
        <v>119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207</v>
      </c>
      <c r="C409">
        <v>20</v>
      </c>
      <c r="D409" t="s">
        <v>208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207</v>
      </c>
      <c r="C410">
        <v>30</v>
      </c>
      <c r="D410" t="s">
        <v>113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207</v>
      </c>
      <c r="C411">
        <v>40</v>
      </c>
      <c r="D411" t="s">
        <v>111</v>
      </c>
      <c r="E411" t="s">
        <v>112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207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207</v>
      </c>
      <c r="C413">
        <v>60</v>
      </c>
      <c r="D413" t="s">
        <v>114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207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207</v>
      </c>
      <c r="C415">
        <v>80</v>
      </c>
      <c r="D415" t="s">
        <v>96</v>
      </c>
      <c r="E415" t="s">
        <v>12</v>
      </c>
      <c r="F415">
        <v>8.4000000000000005E-2</v>
      </c>
      <c r="G415" t="s">
        <v>13</v>
      </c>
    </row>
    <row r="416" spans="1:7" x14ac:dyDescent="0.25">
      <c r="A416">
        <v>30</v>
      </c>
      <c r="B416" t="s">
        <v>207</v>
      </c>
      <c r="C416">
        <v>90</v>
      </c>
      <c r="D416" t="s">
        <v>121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207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207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207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207</v>
      </c>
      <c r="C420">
        <v>130</v>
      </c>
      <c r="D420" t="s">
        <v>115</v>
      </c>
      <c r="E420" t="s">
        <v>12</v>
      </c>
      <c r="F420">
        <v>1.23</v>
      </c>
      <c r="G420" t="s">
        <v>13</v>
      </c>
    </row>
    <row r="421" spans="1:7" x14ac:dyDescent="0.25">
      <c r="A421">
        <v>30</v>
      </c>
      <c r="B421" t="s">
        <v>207</v>
      </c>
      <c r="C421">
        <v>140</v>
      </c>
      <c r="D421" t="s">
        <v>209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210</v>
      </c>
      <c r="C422">
        <v>10</v>
      </c>
      <c r="D422" t="s">
        <v>119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210</v>
      </c>
      <c r="C423">
        <v>20</v>
      </c>
      <c r="D423" t="s">
        <v>211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210</v>
      </c>
      <c r="C424">
        <v>30</v>
      </c>
      <c r="D424" t="s">
        <v>113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210</v>
      </c>
      <c r="C425">
        <v>40</v>
      </c>
      <c r="D425" t="s">
        <v>111</v>
      </c>
      <c r="E425" t="s">
        <v>112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210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210</v>
      </c>
      <c r="C427">
        <v>60</v>
      </c>
      <c r="D427" t="s">
        <v>114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210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210</v>
      </c>
      <c r="C429">
        <v>80</v>
      </c>
      <c r="D429" t="s">
        <v>96</v>
      </c>
      <c r="E429" t="s">
        <v>12</v>
      </c>
      <c r="F429">
        <v>9.4E-2</v>
      </c>
      <c r="G429" t="s">
        <v>13</v>
      </c>
    </row>
    <row r="430" spans="1:7" x14ac:dyDescent="0.25">
      <c r="A430">
        <v>31</v>
      </c>
      <c r="B430" t="s">
        <v>210</v>
      </c>
      <c r="C430">
        <v>90</v>
      </c>
      <c r="D430" t="s">
        <v>121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210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210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210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210</v>
      </c>
      <c r="C434">
        <v>130</v>
      </c>
      <c r="D434" t="s">
        <v>115</v>
      </c>
      <c r="E434" t="s">
        <v>12</v>
      </c>
      <c r="F434">
        <v>1.23</v>
      </c>
      <c r="G434" t="s">
        <v>13</v>
      </c>
    </row>
    <row r="435" spans="1:7" x14ac:dyDescent="0.25">
      <c r="A435">
        <v>31</v>
      </c>
      <c r="B435" t="s">
        <v>210</v>
      </c>
      <c r="C435">
        <v>140</v>
      </c>
      <c r="D435" t="s">
        <v>212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213</v>
      </c>
      <c r="C436">
        <v>10</v>
      </c>
      <c r="D436" t="s">
        <v>119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213</v>
      </c>
      <c r="C437">
        <v>20</v>
      </c>
      <c r="D437" t="s">
        <v>214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213</v>
      </c>
      <c r="C438">
        <v>30</v>
      </c>
      <c r="D438" t="s">
        <v>113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213</v>
      </c>
      <c r="C439">
        <v>40</v>
      </c>
      <c r="D439" t="s">
        <v>111</v>
      </c>
      <c r="E439" t="s">
        <v>112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213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213</v>
      </c>
      <c r="C441">
        <v>60</v>
      </c>
      <c r="D441" t="s">
        <v>114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213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213</v>
      </c>
      <c r="C443">
        <v>80</v>
      </c>
      <c r="D443" t="s">
        <v>96</v>
      </c>
      <c r="E443" t="s">
        <v>12</v>
      </c>
      <c r="F443">
        <v>0.105</v>
      </c>
      <c r="G443" t="s">
        <v>13</v>
      </c>
    </row>
    <row r="444" spans="1:7" x14ac:dyDescent="0.25">
      <c r="A444">
        <v>32</v>
      </c>
      <c r="B444" t="s">
        <v>213</v>
      </c>
      <c r="C444">
        <v>90</v>
      </c>
      <c r="D444" t="s">
        <v>121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213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213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213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213</v>
      </c>
      <c r="C448">
        <v>130</v>
      </c>
      <c r="D448" t="s">
        <v>115</v>
      </c>
      <c r="E448" t="s">
        <v>12</v>
      </c>
      <c r="F448">
        <v>1.23</v>
      </c>
      <c r="G448" t="s">
        <v>13</v>
      </c>
    </row>
    <row r="449" spans="1:7" x14ac:dyDescent="0.25">
      <c r="A449">
        <v>32</v>
      </c>
      <c r="B449" t="s">
        <v>213</v>
      </c>
      <c r="C449">
        <v>140</v>
      </c>
      <c r="D449" t="s">
        <v>215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216</v>
      </c>
      <c r="C450">
        <v>10</v>
      </c>
      <c r="D450" t="s">
        <v>119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216</v>
      </c>
      <c r="C451">
        <v>20</v>
      </c>
      <c r="D451" t="s">
        <v>217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216</v>
      </c>
      <c r="C452">
        <v>30</v>
      </c>
      <c r="D452" t="s">
        <v>113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216</v>
      </c>
      <c r="C453">
        <v>40</v>
      </c>
      <c r="D453" t="s">
        <v>111</v>
      </c>
      <c r="E453" t="s">
        <v>112</v>
      </c>
      <c r="F453">
        <v>0.51</v>
      </c>
      <c r="G453" t="s">
        <v>13</v>
      </c>
    </row>
    <row r="454" spans="1:7" x14ac:dyDescent="0.25">
      <c r="A454">
        <v>33</v>
      </c>
      <c r="B454" t="s">
        <v>216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216</v>
      </c>
      <c r="C455">
        <v>60</v>
      </c>
      <c r="D455" t="s">
        <v>114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216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216</v>
      </c>
      <c r="C457">
        <v>80</v>
      </c>
      <c r="D457" t="s">
        <v>96</v>
      </c>
      <c r="E457" t="s">
        <v>12</v>
      </c>
      <c r="F457">
        <v>0.126</v>
      </c>
      <c r="G457" t="s">
        <v>13</v>
      </c>
    </row>
    <row r="458" spans="1:7" x14ac:dyDescent="0.25">
      <c r="A458">
        <v>33</v>
      </c>
      <c r="B458" t="s">
        <v>216</v>
      </c>
      <c r="C458">
        <v>90</v>
      </c>
      <c r="D458" t="s">
        <v>121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216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216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216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216</v>
      </c>
      <c r="C462">
        <v>130</v>
      </c>
      <c r="D462" t="s">
        <v>115</v>
      </c>
      <c r="E462" t="s">
        <v>12</v>
      </c>
      <c r="F462">
        <v>1.23</v>
      </c>
      <c r="G462" t="s">
        <v>13</v>
      </c>
    </row>
    <row r="463" spans="1:7" x14ac:dyDescent="0.25">
      <c r="A463">
        <v>33</v>
      </c>
      <c r="B463" t="s">
        <v>216</v>
      </c>
      <c r="C463">
        <v>140</v>
      </c>
      <c r="D463" t="s">
        <v>218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219</v>
      </c>
      <c r="C464">
        <v>10</v>
      </c>
      <c r="D464" t="s">
        <v>119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219</v>
      </c>
      <c r="C465">
        <v>20</v>
      </c>
      <c r="D465" t="s">
        <v>220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219</v>
      </c>
      <c r="C466">
        <v>30</v>
      </c>
      <c r="D466" t="s">
        <v>113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219</v>
      </c>
      <c r="C467">
        <v>40</v>
      </c>
      <c r="D467" t="s">
        <v>111</v>
      </c>
      <c r="E467" t="s">
        <v>112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219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219</v>
      </c>
      <c r="C469">
        <v>60</v>
      </c>
      <c r="D469" t="s">
        <v>114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219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219</v>
      </c>
      <c r="C471">
        <v>80</v>
      </c>
      <c r="D471" t="s">
        <v>96</v>
      </c>
      <c r="E471" t="s">
        <v>12</v>
      </c>
      <c r="F471">
        <v>0.13700000000000001</v>
      </c>
      <c r="G471" t="s">
        <v>13</v>
      </c>
    </row>
    <row r="472" spans="1:7" x14ac:dyDescent="0.25">
      <c r="A472">
        <v>34</v>
      </c>
      <c r="B472" t="s">
        <v>219</v>
      </c>
      <c r="C472">
        <v>90</v>
      </c>
      <c r="D472" t="s">
        <v>121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219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219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219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219</v>
      </c>
      <c r="C476">
        <v>130</v>
      </c>
      <c r="D476" t="s">
        <v>115</v>
      </c>
      <c r="E476" t="s">
        <v>12</v>
      </c>
      <c r="F476">
        <v>1.23</v>
      </c>
      <c r="G476" t="s">
        <v>13</v>
      </c>
    </row>
    <row r="477" spans="1:7" x14ac:dyDescent="0.25">
      <c r="A477">
        <v>34</v>
      </c>
      <c r="B477" t="s">
        <v>219</v>
      </c>
      <c r="C477">
        <v>140</v>
      </c>
      <c r="D477" t="s">
        <v>221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222</v>
      </c>
      <c r="C478">
        <v>10</v>
      </c>
      <c r="D478" t="s">
        <v>119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222</v>
      </c>
      <c r="C479">
        <v>20</v>
      </c>
      <c r="D479" t="s">
        <v>223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222</v>
      </c>
      <c r="C480">
        <v>30</v>
      </c>
      <c r="D480" t="s">
        <v>113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222</v>
      </c>
      <c r="C481">
        <v>40</v>
      </c>
      <c r="D481" t="s">
        <v>111</v>
      </c>
      <c r="E481" t="s">
        <v>112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222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222</v>
      </c>
      <c r="C483">
        <v>60</v>
      </c>
      <c r="D483" t="s">
        <v>114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222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222</v>
      </c>
      <c r="C485">
        <v>80</v>
      </c>
      <c r="D485" t="s">
        <v>96</v>
      </c>
      <c r="E485" t="s">
        <v>12</v>
      </c>
      <c r="F485">
        <v>0.14799999999999999</v>
      </c>
      <c r="G485" t="s">
        <v>13</v>
      </c>
    </row>
    <row r="486" spans="1:7" x14ac:dyDescent="0.25">
      <c r="A486">
        <v>35</v>
      </c>
      <c r="B486" t="s">
        <v>222</v>
      </c>
      <c r="C486">
        <v>90</v>
      </c>
      <c r="D486" t="s">
        <v>121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222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222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222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222</v>
      </c>
      <c r="C490">
        <v>130</v>
      </c>
      <c r="D490" t="s">
        <v>115</v>
      </c>
      <c r="E490" t="s">
        <v>12</v>
      </c>
      <c r="F490">
        <v>1.23</v>
      </c>
      <c r="G490" t="s">
        <v>13</v>
      </c>
    </row>
    <row r="491" spans="1:7" x14ac:dyDescent="0.25">
      <c r="A491">
        <v>35</v>
      </c>
      <c r="B491" t="s">
        <v>222</v>
      </c>
      <c r="C491">
        <v>140</v>
      </c>
      <c r="D491" t="s">
        <v>224</v>
      </c>
      <c r="E491" t="s">
        <v>11</v>
      </c>
      <c r="F491">
        <v>1</v>
      </c>
      <c r="G49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94"/>
  <sheetViews>
    <sheetView topLeftCell="A472" zoomScale="85" zoomScaleNormal="85" workbookViewId="0">
      <selection activeCell="L486" sqref="L4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 t="s">
        <v>25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26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9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9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118</v>
      </c>
      <c r="D5" s="3"/>
      <c r="E5" s="3" t="s">
        <v>118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118</v>
      </c>
      <c r="D6" s="3"/>
      <c r="E6" s="3" t="s">
        <v>118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120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118</v>
      </c>
      <c r="D7" s="3"/>
      <c r="E7" s="3" t="s">
        <v>118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113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118</v>
      </c>
      <c r="D8" s="3"/>
      <c r="E8" s="3" t="s">
        <v>118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111</v>
      </c>
      <c r="O8" s="3"/>
      <c r="P8" s="3"/>
      <c r="Q8" s="3">
        <v>0.219</v>
      </c>
      <c r="R8" s="3" t="s">
        <v>112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118</v>
      </c>
      <c r="D9" s="3"/>
      <c r="E9" s="3" t="s">
        <v>118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118</v>
      </c>
      <c r="D10" s="3"/>
      <c r="E10" s="3" t="s">
        <v>118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114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118</v>
      </c>
      <c r="D11" s="3"/>
      <c r="E11" s="3" t="s">
        <v>118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118</v>
      </c>
      <c r="D12" s="3"/>
      <c r="E12" s="3" t="s">
        <v>118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7.2999999999999995E-2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118</v>
      </c>
      <c r="D13" s="3"/>
      <c r="E13" s="3" t="s">
        <v>118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121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118</v>
      </c>
      <c r="D14" s="3"/>
      <c r="E14" s="3" t="s">
        <v>118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118</v>
      </c>
      <c r="D15" s="3"/>
      <c r="E15" s="3" t="s">
        <v>118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118</v>
      </c>
      <c r="D16" s="3"/>
      <c r="E16" s="3" t="s">
        <v>118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118</v>
      </c>
      <c r="D17" s="3"/>
      <c r="E17" s="3" t="s">
        <v>118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115</v>
      </c>
      <c r="O17" s="3"/>
      <c r="P17" s="3"/>
      <c r="Q17" s="3">
        <v>0.5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118</v>
      </c>
      <c r="D18" s="3"/>
      <c r="E18" s="3" t="s">
        <v>118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119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113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111</v>
      </c>
      <c r="O22" s="3"/>
      <c r="P22" s="3"/>
      <c r="Q22" s="3">
        <v>0.26200000000000001</v>
      </c>
      <c r="R22" s="3" t="s">
        <v>112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114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8.4000000000000005E-2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121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115</v>
      </c>
      <c r="O31" s="3"/>
      <c r="P31" s="3"/>
      <c r="Q31" s="3">
        <v>0.58099999999999996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119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113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111</v>
      </c>
      <c r="O36" s="3"/>
      <c r="P36" s="3"/>
      <c r="Q36" s="3">
        <v>0.30599999999999999</v>
      </c>
      <c r="R36" s="3" t="s">
        <v>112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114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9.4E-2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121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115</v>
      </c>
      <c r="O45" s="3"/>
      <c r="P45" s="3"/>
      <c r="Q45" s="3">
        <v>0.66200000000000003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119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113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111</v>
      </c>
      <c r="O50" s="3"/>
      <c r="P50" s="3"/>
      <c r="Q50" s="3">
        <v>0.35</v>
      </c>
      <c r="R50" s="3" t="s">
        <v>112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114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0.105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121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115</v>
      </c>
      <c r="O59" s="3"/>
      <c r="P59" s="3"/>
      <c r="Q59" s="3">
        <v>0.74299999999999999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119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113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111</v>
      </c>
      <c r="O64" s="3"/>
      <c r="P64" s="3"/>
      <c r="Q64" s="3">
        <v>0.437</v>
      </c>
      <c r="R64" s="3" t="s">
        <v>112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114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0.126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121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115</v>
      </c>
      <c r="O73" s="3"/>
      <c r="P73" s="3"/>
      <c r="Q73" s="3">
        <v>0.90500000000000003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119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113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111</v>
      </c>
      <c r="O78" s="3"/>
      <c r="P78" s="3"/>
      <c r="Q78" s="3">
        <v>0.48099999999999998</v>
      </c>
      <c r="R78" s="3" t="s">
        <v>112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114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0.13700000000000001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115</v>
      </c>
      <c r="O87" s="3"/>
      <c r="P87" s="3"/>
      <c r="Q87" s="3">
        <v>0.98599999999999999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119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139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113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111</v>
      </c>
      <c r="O92" s="3"/>
      <c r="P92" s="3"/>
      <c r="Q92" s="3">
        <v>0.52500000000000002</v>
      </c>
      <c r="R92" s="3" t="s">
        <v>112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114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0.14799999999999999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121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115</v>
      </c>
      <c r="O101" s="3"/>
      <c r="P101" s="3"/>
      <c r="Q101" s="3">
        <v>1.0669999999999999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119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113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111</v>
      </c>
      <c r="O106" s="3"/>
      <c r="P106" s="3"/>
      <c r="Q106" s="3">
        <v>0.22800000000000001</v>
      </c>
      <c r="R106" s="3" t="s">
        <v>112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114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7.2999999999999995E-2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121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115</v>
      </c>
      <c r="O115" s="3"/>
      <c r="P115" s="3"/>
      <c r="Q115" s="3">
        <v>0.5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119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113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111</v>
      </c>
      <c r="O120" s="3"/>
      <c r="P120" s="3"/>
      <c r="Q120" s="3">
        <v>0.27300000000000002</v>
      </c>
      <c r="R120" s="3" t="s">
        <v>112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114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8.4000000000000005E-2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121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115</v>
      </c>
      <c r="O129" s="3"/>
      <c r="P129" s="3"/>
      <c r="Q129" s="3">
        <v>0.58099999999999996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119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148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113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111</v>
      </c>
      <c r="O134" s="3"/>
      <c r="P134" s="3"/>
      <c r="Q134" s="3">
        <v>0.31900000000000001</v>
      </c>
      <c r="R134" s="3" t="s">
        <v>112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114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9.4E-2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121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115</v>
      </c>
      <c r="O143" s="3"/>
      <c r="P143" s="3"/>
      <c r="Q143" s="3">
        <v>0.66200000000000003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149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119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151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113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111</v>
      </c>
      <c r="O148" s="3"/>
      <c r="P148" s="3"/>
      <c r="Q148" s="3">
        <v>0.36499999999999999</v>
      </c>
      <c r="R148" s="3" t="s">
        <v>112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114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0.105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121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115</v>
      </c>
      <c r="O157" s="3"/>
      <c r="P157" s="3"/>
      <c r="Q157" s="3">
        <v>0.74299999999999999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119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113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111</v>
      </c>
      <c r="O162" s="3"/>
      <c r="P162" s="3"/>
      <c r="Q162" s="3">
        <v>0.45600000000000002</v>
      </c>
      <c r="R162" s="3" t="s">
        <v>112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114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0.126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115</v>
      </c>
      <c r="O171" s="3"/>
      <c r="P171" s="3"/>
      <c r="Q171" s="3">
        <v>0.90500000000000003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119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113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111</v>
      </c>
      <c r="O176" s="3"/>
      <c r="P176" s="3"/>
      <c r="Q176" s="3">
        <v>0.501</v>
      </c>
      <c r="R176" s="3" t="s">
        <v>112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114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0.13700000000000001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115</v>
      </c>
      <c r="O185" s="3"/>
      <c r="P185" s="3"/>
      <c r="Q185" s="3">
        <v>0.98599999999999999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119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113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111</v>
      </c>
      <c r="O190" s="3"/>
      <c r="P190" s="3"/>
      <c r="Q190" s="3">
        <v>0.54700000000000004</v>
      </c>
      <c r="R190" s="3" t="s">
        <v>112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114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0.14799999999999999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115</v>
      </c>
      <c r="O199" s="3"/>
      <c r="P199" s="3"/>
      <c r="Q199" s="3">
        <v>1.0669999999999999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119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113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111</v>
      </c>
      <c r="O204" s="3"/>
      <c r="P204" s="3"/>
      <c r="Q204" s="3">
        <v>0.23699999999999999</v>
      </c>
      <c r="R204" s="3" t="s">
        <v>112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114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7.2999999999999995E-2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115</v>
      </c>
      <c r="O213" s="3"/>
      <c r="P213" s="3"/>
      <c r="Q213" s="3">
        <v>0.5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119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166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113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111</v>
      </c>
      <c r="O218" s="3"/>
      <c r="P218" s="3"/>
      <c r="Q218" s="3">
        <v>0.28399999999999997</v>
      </c>
      <c r="R218" s="3" t="s">
        <v>112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114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8.4000000000000005E-2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121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115</v>
      </c>
      <c r="O227" s="3"/>
      <c r="P227" s="3"/>
      <c r="Q227" s="3">
        <v>0.58099999999999996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119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169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113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111</v>
      </c>
      <c r="O232" s="3"/>
      <c r="P232" s="3"/>
      <c r="Q232" s="3">
        <v>0.33200000000000002</v>
      </c>
      <c r="R232" s="3" t="s">
        <v>112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114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9.4E-2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121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115</v>
      </c>
      <c r="O241" s="3"/>
      <c r="P241" s="3"/>
      <c r="Q241" s="3">
        <v>0.66200000000000003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119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113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111</v>
      </c>
      <c r="O246" s="3"/>
      <c r="P246" s="3"/>
      <c r="Q246" s="3">
        <v>0.379</v>
      </c>
      <c r="R246" s="3" t="s">
        <v>112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114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0.105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115</v>
      </c>
      <c r="O255" s="3"/>
      <c r="P255" s="3"/>
      <c r="Q255" s="3">
        <v>0.74299999999999999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119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175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113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111</v>
      </c>
      <c r="O260" s="3"/>
      <c r="P260" s="3"/>
      <c r="Q260" s="3">
        <v>0.47399999999999998</v>
      </c>
      <c r="R260" s="3" t="s">
        <v>112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114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0.126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121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115</v>
      </c>
      <c r="O269" s="3"/>
      <c r="P269" s="3"/>
      <c r="Q269" s="3">
        <v>0.90500000000000003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119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113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111</v>
      </c>
      <c r="O274" s="3"/>
      <c r="P274" s="3"/>
      <c r="Q274" s="3">
        <v>0.52100000000000002</v>
      </c>
      <c r="R274" s="3" t="s">
        <v>112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114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0.13700000000000001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121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115</v>
      </c>
      <c r="O283" s="3"/>
      <c r="P283" s="3"/>
      <c r="Q283" s="3">
        <v>0.98599999999999999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179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119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113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111</v>
      </c>
      <c r="O288" s="3"/>
      <c r="P288" s="3"/>
      <c r="Q288" s="3">
        <v>0.56899999999999995</v>
      </c>
      <c r="R288" s="3" t="s">
        <v>112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114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0.14799999999999999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121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115</v>
      </c>
      <c r="O297" s="3"/>
      <c r="P297" s="3"/>
      <c r="Q297" s="3">
        <v>1.0669999999999999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119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184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113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111</v>
      </c>
      <c r="O302" s="3"/>
      <c r="P302" s="3"/>
      <c r="Q302" s="3">
        <v>0.24299999999999999</v>
      </c>
      <c r="R302" s="3" t="s">
        <v>112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114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7.2999999999999995E-2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121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115</v>
      </c>
      <c r="O311" s="3"/>
      <c r="P311" s="3"/>
      <c r="Q311" s="3">
        <v>1.1759999999999999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119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187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113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111</v>
      </c>
      <c r="O316" s="3"/>
      <c r="P316" s="3"/>
      <c r="Q316" s="3">
        <v>0.29199999999999998</v>
      </c>
      <c r="R316" s="3" t="s">
        <v>112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114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8.4000000000000005E-2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121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115</v>
      </c>
      <c r="O325" s="3"/>
      <c r="P325" s="3"/>
      <c r="Q325" s="3">
        <v>1.1759999999999999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119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113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111</v>
      </c>
      <c r="O330" s="3"/>
      <c r="P330" s="3"/>
      <c r="Q330" s="3">
        <v>0.34</v>
      </c>
      <c r="R330" s="3" t="s">
        <v>112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114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9.4E-2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115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119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113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111</v>
      </c>
      <c r="O344" s="3"/>
      <c r="P344" s="3"/>
      <c r="Q344" s="3">
        <v>0.38900000000000001</v>
      </c>
      <c r="R344" s="3" t="s">
        <v>112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114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0.105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121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115</v>
      </c>
      <c r="O353" s="3"/>
      <c r="P353" s="3"/>
      <c r="Q353" s="3">
        <v>1.1759999999999999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119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113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111</v>
      </c>
      <c r="O358" s="3"/>
      <c r="P358" s="3"/>
      <c r="Q358" s="3">
        <v>0.48599999999999999</v>
      </c>
      <c r="R358" s="3" t="s">
        <v>112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114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0.126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115</v>
      </c>
      <c r="O367" s="3"/>
      <c r="P367" s="3"/>
      <c r="Q367" s="3">
        <v>1.1759999999999999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119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199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113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111</v>
      </c>
      <c r="O372" s="3"/>
      <c r="P372" s="3"/>
      <c r="Q372" s="3">
        <v>0.53500000000000003</v>
      </c>
      <c r="R372" s="3" t="s">
        <v>112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114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0.13700000000000001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121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115</v>
      </c>
      <c r="O381" s="3"/>
      <c r="P381" s="3"/>
      <c r="Q381" s="3">
        <v>1.1759999999999999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119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113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111</v>
      </c>
      <c r="O386" s="3"/>
      <c r="P386" s="3"/>
      <c r="Q386" s="3">
        <v>0.58299999999999996</v>
      </c>
      <c r="R386" s="3" t="s">
        <v>112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114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0.14799999999999999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121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115</v>
      </c>
      <c r="O395" s="3"/>
      <c r="P395" s="3"/>
      <c r="Q395" s="3">
        <v>1.1759999999999999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203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119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205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113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111</v>
      </c>
      <c r="O400" s="3"/>
      <c r="P400" s="3"/>
      <c r="Q400" s="3">
        <v>0.255</v>
      </c>
      <c r="R400" s="3" t="s">
        <v>112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114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7.2999999999999995E-2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121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115</v>
      </c>
      <c r="O409" s="3"/>
      <c r="P409" s="3"/>
      <c r="Q409" s="3">
        <v>1.23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119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208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113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111</v>
      </c>
      <c r="O414" s="3"/>
      <c r="P414" s="3"/>
      <c r="Q414" s="3">
        <v>0.30599999999999999</v>
      </c>
      <c r="R414" s="3" t="s">
        <v>112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114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8.4000000000000005E-2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115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209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119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211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113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111</v>
      </c>
      <c r="O428" s="3"/>
      <c r="P428" s="3"/>
      <c r="Q428" s="3">
        <v>0.35699999999999998</v>
      </c>
      <c r="R428" s="3" t="s">
        <v>112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114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9.4E-2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121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115</v>
      </c>
      <c r="O437" s="3"/>
      <c r="P437" s="3"/>
      <c r="Q437" s="3">
        <v>1.23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119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113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111</v>
      </c>
      <c r="O442" s="3"/>
      <c r="P442" s="3"/>
      <c r="Q442" s="3">
        <v>0.40799999999999997</v>
      </c>
      <c r="R442" s="3" t="s">
        <v>112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114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0.105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121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115</v>
      </c>
      <c r="O451" s="3"/>
      <c r="P451" s="3"/>
      <c r="Q451" s="3">
        <v>1.23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119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217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113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111</v>
      </c>
      <c r="O456" s="3"/>
      <c r="P456" s="3"/>
      <c r="Q456" s="3">
        <v>0.51</v>
      </c>
      <c r="R456" s="3" t="s">
        <v>112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114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0.126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121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115</v>
      </c>
      <c r="O465" s="3"/>
      <c r="P465" s="3"/>
      <c r="Q465" s="3">
        <v>1.23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119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113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111</v>
      </c>
      <c r="O470" s="3"/>
      <c r="P470" s="3"/>
      <c r="Q470" s="3">
        <v>0.56100000000000005</v>
      </c>
      <c r="R470" s="3" t="s">
        <v>112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114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0.13700000000000001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121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115</v>
      </c>
      <c r="O479" s="3"/>
      <c r="P479" s="3"/>
      <c r="Q479" s="3">
        <v>1.23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119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113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111</v>
      </c>
      <c r="O484" s="3"/>
      <c r="P484" s="3"/>
      <c r="Q484" s="3">
        <v>0.61199999999999999</v>
      </c>
      <c r="R484" s="3" t="s">
        <v>112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114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0.14799999999999999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121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115</v>
      </c>
      <c r="O493" s="3"/>
      <c r="P493" s="3"/>
      <c r="Q493" s="3">
        <v>1.23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2025-10-11T09:51:19Z</dcterms:modified>
</cp:coreProperties>
</file>