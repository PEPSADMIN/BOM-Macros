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ET - 4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3" l="1"/>
  <c r="E4" i="13" l="1"/>
  <c r="E15" i="13" l="1"/>
  <c r="G6" i="13"/>
  <c r="G9" i="13" l="1"/>
  <c r="G8" i="13"/>
  <c r="D4" i="13" l="1"/>
  <c r="H4" i="13"/>
  <c r="E3" i="13" l="1"/>
  <c r="D3" i="13" l="1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5" i="13" l="1"/>
  <c r="G2" i="13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<sst xmlns="http://schemas.openxmlformats.org/spreadsheetml/2006/main" count="23756" uniqueCount="654">
  <si>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</si>
  <si>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</si>
  <si>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</si>
  <si>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</si>
  <si>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</si>
  <si>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</si>
  <si>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</si>
  <si>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</si>
  <si>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</si>
  <si>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</si>
  <si>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</si>
  <si>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</si>
  <si>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</si>
  <si>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</si>
  <si>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</si>
  <si>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</si>
  <si>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</si>
  <si>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</si>
  <si>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</si>
  <si>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</si>
  <si>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</si>
  <si>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</si>
  <si>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</si>
  <si>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</si>
  <si>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</si>
  <si>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</si>
  <si>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</si>
  <si>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</si>
  <si>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</si>
  <si>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</si>
  <si>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</si>
  <si>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</si>
  <si>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</si>
  <si>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</si>
  <si>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</si>
  <si>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</si>
  <si>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</si>
  <si>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</si>
  <si>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</si>
  <si>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</si>
  <si>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</si>
  <si>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</si>
  <si>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</si>
  <si>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</si>
  <si>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</si>
  <si>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</si>
  <si>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</si>
  <si>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</si>
  <si>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</si>
  <si>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</si>
  <si>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</si>
  <si>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</si>
  <si>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</si>
  <si>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</si>
  <si>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</si>
  <si>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</si>
  <si>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</si>
  <si>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</si>
  <si>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</si>
  <si>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</si>
  <si>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</si>
  <si>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</si>
  <si>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</si>
  <si>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</si>
  <si>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</si>
  <si>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</si>
  <si>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</si>
  <si>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</si>
  <si>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</si>
  <si>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</si>
  <si>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</si>
  <si>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</si>
  <si>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</si>
  <si>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</si>
  <si>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</si>
  <si>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</si>
  <si>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</si>
  <si>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</si>
  <si>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</si>
  <si>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</si>
  <si>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</si>
  <si>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</si>
  <si>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</si>
  <si>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</si>
  <si>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</si>
  <si>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</si>
  <si>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</si>
  <si>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</si>
  <si>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</si>
  <si>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</si>
  <si>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</si>
  <si>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</si>
  <si>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</si>
  <si>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</si>
  <si>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</si>
  <si>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Foam Block</t>
  </si>
  <si>
    <t>QUILTING</t>
  </si>
  <si>
    <t>Tailoring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</si>
  <si>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</si>
  <si>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</si>
  <si>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</si>
  <si>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</si>
  <si>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</si>
  <si>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</si>
  <si>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</si>
  <si>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</si>
  <si>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</si>
  <si>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</si>
  <si>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</si>
  <si>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</si>
  <si>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</si>
  <si>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</si>
  <si>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</si>
  <si>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</si>
  <si>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</si>
  <si>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HYPINSFMMFETBL72X30X08-90D</t>
  </si>
  <si>
    <t>SFG-INSRBBL-MEM-QUILT-90D</t>
  </si>
  <si>
    <t>SFG-INSRBBL-MEM-ETBOR-72X30X08</t>
  </si>
  <si>
    <t>HYPINSFMMFETBL72X36X08-90D</t>
  </si>
  <si>
    <t>SFG-INSRBBL-MEM-ETBOR-72X36X08</t>
  </si>
  <si>
    <t>HYPINSFMMFETBL72X42X08-90D</t>
  </si>
  <si>
    <t>SFG-INSRBBL-MEM-ETBOR-72X42X08</t>
  </si>
  <si>
    <t>HYPINSFMMFETBL72X48X08-90D</t>
  </si>
  <si>
    <t>SFG-INSRBBL-MEM-ETBOR-72X48X08</t>
  </si>
  <si>
    <t>HYPINSFMMFETBL72X60X08-90D</t>
  </si>
  <si>
    <t>SFG-INSRBBL-MEM-ETBOR-72X60X08</t>
  </si>
  <si>
    <t>HYPINSFMMFETBL72X66X08-90D</t>
  </si>
  <si>
    <t>SFG-INSRBBL-MEM-ETBOR-72X66X08</t>
  </si>
  <si>
    <t>HYPINSFMMFETBL72X72X08-90D</t>
  </si>
  <si>
    <t>SFG-INSRBBL-MEM-ETBOR-72X72X08</t>
  </si>
  <si>
    <t>HYPINSFMMFETBL75X30X08-90D</t>
  </si>
  <si>
    <t>SFG-INSRBBL-MEM-ETBOR-75X30X08</t>
  </si>
  <si>
    <t>HYPINSFMMFETBL75X36X08-90D</t>
  </si>
  <si>
    <t>SFG-INSRBBL-MEM-ETBOR-75X36X08</t>
  </si>
  <si>
    <t>HYPINSFMMFETBL75X42X08-90D</t>
  </si>
  <si>
    <t>SFG-INSRBBL-MEM-ETBOR-75X42X08</t>
  </si>
  <si>
    <t>HYPINSFMMFETBL75X48X08-90D</t>
  </si>
  <si>
    <t>SFG-INSRBBL-MEM-ETBOR-75X48X08</t>
  </si>
  <si>
    <t>HYPINSFMMFETBL75X60X08-90D</t>
  </si>
  <si>
    <t>SFG-INSRBBL-MEM-ETBOR-75X60X08</t>
  </si>
  <si>
    <t>HYPINSFMMFETBL75X66X08-90D</t>
  </si>
  <si>
    <t>SFG-INSRBBL-MEM-ETBOR-75X66X08</t>
  </si>
  <si>
    <t>HYPINSFMMFETBL75X72X08-90D</t>
  </si>
  <si>
    <t>SFG-INSRBBL-MEM-ETBOR-75X72X08</t>
  </si>
  <si>
    <t>HYPINSFMMFETBL78X30X08-90D</t>
  </si>
  <si>
    <t>SFG-INSRBBL-MEM-ETBOR-78X30X08</t>
  </si>
  <si>
    <t>HYPINSFMMFETBL78X36X08-90D</t>
  </si>
  <si>
    <t>SFG-INSRBBL-MEM-ETBOR-78X36X08</t>
  </si>
  <si>
    <t>HYPINSFMMFETBL78X42X08-90D</t>
  </si>
  <si>
    <t>SFG-INSRBBL-MEM-ETBOR-78X42X08</t>
  </si>
  <si>
    <t>HYPINSFMMFETBL78X48X08-90D</t>
  </si>
  <si>
    <t>SFG-INSRBBL-MEM-ETBOR-78X48X08</t>
  </si>
  <si>
    <t>HYPINSFMMFETBL78X60X08-90D</t>
  </si>
  <si>
    <t>SFG-INSRBBL-MEM-ETBOR-78X60X08</t>
  </si>
  <si>
    <t>HYPINSFMMFETBL78X66X08-90D</t>
  </si>
  <si>
    <t>SFG-INSRBBL-MEM-ETBOR-78X66X08</t>
  </si>
  <si>
    <t>HYPINSFMMFETBL78X72X08-90D</t>
  </si>
  <si>
    <t>SFG-INSRBBL-MEM-ETBOR-78X72X08</t>
  </si>
  <si>
    <t>HYPINSFMMFETBL80X30X08-90D</t>
  </si>
  <si>
    <t>SFG-INSRBBL-MEM-ETBOR-80X30X08</t>
  </si>
  <si>
    <t>HYPINSFMMFETBL80X36X08-90D</t>
  </si>
  <si>
    <t>SFG-INSRBBL-MEM-ETBOR-80X36X08</t>
  </si>
  <si>
    <t>HYPINSFMMFETBL80X42X08-90D</t>
  </si>
  <si>
    <t>SFG-INSRBBL-MEM-ETBOR-80X42X08</t>
  </si>
  <si>
    <t>HYPINSFMMFETBL80X48X08-90D</t>
  </si>
  <si>
    <t>SFG-INSRBBL-MEM-ETBOR-80X48X08</t>
  </si>
  <si>
    <t>HYPINSFMMFETBL80X60X08-90D</t>
  </si>
  <si>
    <t>SFG-INSRBBL-MEM-ETBOR-80X60X08</t>
  </si>
  <si>
    <t>HYPINSFMMFETBL80X66X08-90D</t>
  </si>
  <si>
    <t>SFG-INSRBBL-MEM-ETBOR-80X66X08</t>
  </si>
  <si>
    <t>HYPINSFMMFETBL80X72X08-90D</t>
  </si>
  <si>
    <t>SFG-INSRBBL-MEM-ETBOR-80X72X08</t>
  </si>
  <si>
    <t>HYPINSFMMFETBL84X30X08-90D</t>
  </si>
  <si>
    <t>SFG-INSRBBL-MEM-ETBOR-84X30X08</t>
  </si>
  <si>
    <t>HYPINSFMMFETBL84X36X08-90D</t>
  </si>
  <si>
    <t>SFG-INSRBBL-MEM-ETBOR-84X36X08</t>
  </si>
  <si>
    <t>HYPINSFMMFETBL84X42X08-90D</t>
  </si>
  <si>
    <t>SFG-INSRBBL-MEM-ETBOR-84X42X08</t>
  </si>
  <si>
    <t>HYPINSFMMFETBL84X48X08-90D</t>
  </si>
  <si>
    <t>SFG-INSRBBL-MEM-ETBOR-84X48X08</t>
  </si>
  <si>
    <t>HYPINSFMMFETBL84X60X08-90D</t>
  </si>
  <si>
    <t>SFG-INSRBBL-MEM-ETBOR-84X60X08</t>
  </si>
  <si>
    <t>HYPINSFMMFETBL84X66X08-90D</t>
  </si>
  <si>
    <t>SFG-INSRBBL-MEM-ETBOR-84X66X08</t>
  </si>
  <si>
    <t>HYPINSFMMFETBL84X72X08-90D</t>
  </si>
  <si>
    <t>SFG-INSRBBL-MEM-ETBOR-84X72X08</t>
  </si>
  <si>
    <t>HYPINSFMMFETGR72X30X08-90D</t>
  </si>
  <si>
    <t>SFG-INSRBGR-MEM-QUILT-90D</t>
  </si>
  <si>
    <t>SFG-INSRBGR-MEM-ETBOR-72X30X08</t>
  </si>
  <si>
    <t>HYPINSFMMFETGR72X36X08-90D</t>
  </si>
  <si>
    <t>SFG-INSRBGR-MEM-ETBOR-72X36X08</t>
  </si>
  <si>
    <t>HYPINSFMMFETGR72X42X08-90D</t>
  </si>
  <si>
    <t>SFG-INSRBGR-MEM-ETBOR-72X42X08</t>
  </si>
  <si>
    <t>HYPINSFMMFETGR72X48X08-90D</t>
  </si>
  <si>
    <t>SFG-INSRBGR-MEM-ETBOR-72X48X08</t>
  </si>
  <si>
    <t>HYPINSFMMFETGR72X60X08-90D</t>
  </si>
  <si>
    <t>SFG-INSRBGR-MEM-ETBOR-72X60X08</t>
  </si>
  <si>
    <t>HYPINSFMMFETGR72X66X08-90D</t>
  </si>
  <si>
    <t>SFG-INSRBGR-MEM-ETBOR-72X66X08</t>
  </si>
  <si>
    <t>HYPINSFMMFETGR72X72X08-90D</t>
  </si>
  <si>
    <t>SFG-INSRBGR-MEM-ETBOR-72X72X08</t>
  </si>
  <si>
    <t>HYPINSFMMFETGR75X30X08-90D</t>
  </si>
  <si>
    <t>SFG-INSRBGR-MEM-ETBOR-75X30X08</t>
  </si>
  <si>
    <t>HYPINSFMMFETGR75X36X08-90D</t>
  </si>
  <si>
    <t>SFG-INSRBGR-MEM-ETBOR-75X36X08</t>
  </si>
  <si>
    <t>HYPINSFMMFETGR75X42X08-90D</t>
  </si>
  <si>
    <t>SFG-INSRBGR-MEM-ETBOR-75X42X08</t>
  </si>
  <si>
    <t>HYPINSFMMFETGR75X48X08-90D</t>
  </si>
  <si>
    <t>SFG-INSRBGR-MEM-ETBOR-75X48X08</t>
  </si>
  <si>
    <t>HYPINSFMMFETGR75X60X08-90D</t>
  </si>
  <si>
    <t>SFG-INSRBGR-MEM-ETBOR-75X60X08</t>
  </si>
  <si>
    <t>HYPINSFMMFETGR75X66X08-90D</t>
  </si>
  <si>
    <t>SFG-INSRBGR-MEM-ETBOR-75X66X08</t>
  </si>
  <si>
    <t>HYPINSFMMFETGR75X72X08-90D</t>
  </si>
  <si>
    <t>SFG-INSRBGR-MEM-ETBOR-75X72X08</t>
  </si>
  <si>
    <t>HYPINSFMMFETGR78X30X08-90D</t>
  </si>
  <si>
    <t>SFG-INSRBGR-MEM-ETBOR-78X30X08</t>
  </si>
  <si>
    <t>HYPINSFMMFETGR78X36X08-90D</t>
  </si>
  <si>
    <t>SFG-INSRBGR-MEM-ETBOR-78X36X08</t>
  </si>
  <si>
    <t>HYPINSFMMFETGR78X42X08-90D</t>
  </si>
  <si>
    <t>SFG-INSRBGR-MEM-ETBOR-78X42X08</t>
  </si>
  <si>
    <t>HYPINSFMMFETGR78X48X08-90D</t>
  </si>
  <si>
    <t>SFG-INSRBGR-MEM-ETBOR-78X48X08</t>
  </si>
  <si>
    <t>HYPINSFMMFETGR78X60X08-90D</t>
  </si>
  <si>
    <t>SFG-INSRBGR-MEM-ETBOR-78X60X08</t>
  </si>
  <si>
    <t>HYPINSFMMFETGR78X66X08-90D</t>
  </si>
  <si>
    <t>SFG-INSRBGR-MEM-ETBOR-78X66X08</t>
  </si>
  <si>
    <t>HYPINSFMMFETGR78X72X08-90D</t>
  </si>
  <si>
    <t>SFG-INSRBGR-MEM-ETBOR-78X72X08</t>
  </si>
  <si>
    <t>HYPINSFMMFETGR80X30X08-90D</t>
  </si>
  <si>
    <t>SFG-INSRBGR-MEM-ETBOR-80X30X08</t>
  </si>
  <si>
    <t>HYPINSFMMFETGR80X36X08-90D</t>
  </si>
  <si>
    <t>SFG-INSRBGR-MEM-ETBOR-80X36X08</t>
  </si>
  <si>
    <t>HYPINSFMMFETGR80X42X08-90D</t>
  </si>
  <si>
    <t>SFG-INSRBGR-MEM-ETBOR-80X42X08</t>
  </si>
  <si>
    <t>HYPINSFMMFETGR80X48X08-90D</t>
  </si>
  <si>
    <t>SFG-INSRBGR-MEM-ETBOR-80X48X08</t>
  </si>
  <si>
    <t>HYPINSFMMFETGR80X60X08-90D</t>
  </si>
  <si>
    <t>SFG-INSRBGR-MEM-ETBOR-80X60X08</t>
  </si>
  <si>
    <t>HYPINSFMMFETGR80X66X08-90D</t>
  </si>
  <si>
    <t>SFG-INSRBGR-MEM-ETBOR-80X66X08</t>
  </si>
  <si>
    <t>HYPINSFMMFETGR80X72X08-90D</t>
  </si>
  <si>
    <t>SFG-INSRBGR-MEM-ETBOR-80X72X08</t>
  </si>
  <si>
    <t>HYPINSFMMFETGR84X30X08-90D</t>
  </si>
  <si>
    <t>SFG-INSRBGR-MEM-ETBOR-84X30X08</t>
  </si>
  <si>
    <t>HYPINSFMMFETGR84X36X08-90D</t>
  </si>
  <si>
    <t>SFG-INSRBGR-MEM-ETBOR-84X36X08</t>
  </si>
  <si>
    <t>HYPINSFMMFETGR84X42X08-90D</t>
  </si>
  <si>
    <t>SFG-INSRBGR-MEM-ETBOR-84X42X08</t>
  </si>
  <si>
    <t>HYPINSFMMFETGR84X48X08-90D</t>
  </si>
  <si>
    <t>SFG-INSRBGR-MEM-ETBOR-84X48X08</t>
  </si>
  <si>
    <t>HYPINSFMMFETGR84X60X08-90D</t>
  </si>
  <si>
    <t>SFG-INSRBGR-MEM-ETBOR-84X60X08</t>
  </si>
  <si>
    <t>HYPINSFMMFETGR84X66X08-90D</t>
  </si>
  <si>
    <t>SFG-INSRBGR-MEM-ETBOR-84X66X08</t>
  </si>
  <si>
    <t>HYPINSFMMFETGR84X72X08-90D</t>
  </si>
  <si>
    <t>SFG-INSRBGR-MEM-ETBOR-84X72X08</t>
  </si>
  <si>
    <t>33</t>
  </si>
  <si>
    <t>39</t>
  </si>
  <si>
    <t>45</t>
  </si>
  <si>
    <t>51</t>
  </si>
  <si>
    <t>54</t>
  </si>
  <si>
    <t>57</t>
  </si>
  <si>
    <t>63</t>
  </si>
  <si>
    <t>69</t>
  </si>
  <si>
    <t>RML-CB-CIR</t>
  </si>
  <si>
    <t>SFG-MEM-BP</t>
  </si>
  <si>
    <t>RML-CIR-MRP-LBL</t>
  </si>
  <si>
    <t>SFG-INSRBBL-MEM-ETCVR-72X30X08</t>
  </si>
  <si>
    <t>RML-CS-CIR-8.5</t>
  </si>
  <si>
    <t>90D-HYP-INS-ET-BLOCK-72X30X08</t>
  </si>
  <si>
    <t>SFG-INSRBBL-MEM-ETCVR-72X36X08</t>
  </si>
  <si>
    <t>90D-HYP-INS-ET-BLOCK-72X36X08</t>
  </si>
  <si>
    <t>SFG-INSRBBL-MEM-ETCVR-72X42X08</t>
  </si>
  <si>
    <t>90D-HYP-INS-ET-BLOCK-72X42X08</t>
  </si>
  <si>
    <t>SFG-INSRBBL-MEM-ETCVR-72X48X08</t>
  </si>
  <si>
    <t>90D-HYP-INS-ET-BLOCK-72X48X08</t>
  </si>
  <si>
    <t>SFG-INSRBBL-MEM-ETCVR-72X60X08</t>
  </si>
  <si>
    <t>90D-HYP-INS-ET-BLOCK-72X60X08</t>
  </si>
  <si>
    <t>SFG-INSRBBL-MEM-ETCVR-72X66X08</t>
  </si>
  <si>
    <t>90D-HYP-INS-ET-BLOCK-72X66X08</t>
  </si>
  <si>
    <t>SFG-INSRBBL-MEM-ETCVR-72X72X08</t>
  </si>
  <si>
    <t>90D-HYP-INS-ET-BLOCK-72X72X08</t>
  </si>
  <si>
    <t>SFG-INSRBBL-MEM-ETCVR-75X30X08</t>
  </si>
  <si>
    <t>90D-HYP-INS-ET-BLOCK-75X30X08</t>
  </si>
  <si>
    <t>SFG-INSRBBL-MEM-ETCVR-75X36X08</t>
  </si>
  <si>
    <t>90D-HYP-INS-ET-BLOCK-75X36X08</t>
  </si>
  <si>
    <t>SFG-INSRBBL-MEM-ETCVR-75X42X08</t>
  </si>
  <si>
    <t>90D-HYP-INS-ET-BLOCK-75X42X08</t>
  </si>
  <si>
    <t>SFG-INSRBBL-MEM-ETCVR-75X48X08</t>
  </si>
  <si>
    <t>90D-HYP-INS-ET-BLOCK-75X48X08</t>
  </si>
  <si>
    <t>SFG-INSRBBL-MEM-ETCVR-75X60X08</t>
  </si>
  <si>
    <t>90D-HYP-INS-ET-BLOCK-75X60X08</t>
  </si>
  <si>
    <t>SFG-INSRBBL-MEM-ETCVR-75X66X08</t>
  </si>
  <si>
    <t>90D-HYP-INS-ET-BLOCK-75X66X08</t>
  </si>
  <si>
    <t>SFG-INSRBBL-MEM-ETCVR-75X72X08</t>
  </si>
  <si>
    <t>90D-HYP-INS-ET-BLOCK-75X72X08</t>
  </si>
  <si>
    <t>SFG-INSRBBL-MEM-ETCVR-78X30X08</t>
  </si>
  <si>
    <t>90D-HYP-INS-ET-BLOCK-78X30X08</t>
  </si>
  <si>
    <t>SFG-INSRBBL-MEM-ETCVR-78X36X08</t>
  </si>
  <si>
    <t>90D-HYP-INS-ET-BLOCK-78X36X08</t>
  </si>
  <si>
    <t>SFG-INSRBBL-MEM-ETCVR-78X42X08</t>
  </si>
  <si>
    <t>90D-HYP-INS-ET-BLOCK-78X42X08</t>
  </si>
  <si>
    <t>SFG-INSRBBL-MEM-ETCVR-78X48X08</t>
  </si>
  <si>
    <t>90D-HYP-INS-ET-BLOCK-78X48X08</t>
  </si>
  <si>
    <t>SFG-INSRBBL-MEM-ETCVR-78X60X08</t>
  </si>
  <si>
    <t>90D-HYP-INS-ET-BLOCK-78X60X08</t>
  </si>
  <si>
    <t>SFG-INSRBBL-MEM-ETCVR-78X66X08</t>
  </si>
  <si>
    <t>90D-HYP-INS-ET-BLOCK-78X66X08</t>
  </si>
  <si>
    <t>SFG-INSRBBL-MEM-ETCVR-78X72X08</t>
  </si>
  <si>
    <t>90D-HYP-INS-ET-BLOCK-78X72X08</t>
  </si>
  <si>
    <t>SFG-INSRBBL-MEM-ETCVR-80X30X08</t>
  </si>
  <si>
    <t>90D-HYP-INS-ET-BLOCK-80X30X08</t>
  </si>
  <si>
    <t>SFG-INSRBBL-MEM-ETCVR-80X36X08</t>
  </si>
  <si>
    <t>90D-HYP-INS-ET-BLOCK-80X36X08</t>
  </si>
  <si>
    <t>SFG-INSRBBL-MEM-ETCVR-80X42X08</t>
  </si>
  <si>
    <t>90D-HYP-INS-ET-BLOCK-80X42X08</t>
  </si>
  <si>
    <t>SFG-INSRBBL-MEM-ETCVR-80X48X08</t>
  </si>
  <si>
    <t>90D-HYP-INS-ET-BLOCK-80X48X08</t>
  </si>
  <si>
    <t>SFG-INSRBBL-MEM-ETCVR-80X60X08</t>
  </si>
  <si>
    <t>90D-HYP-INS-ET-BLOCK-80X60X08</t>
  </si>
  <si>
    <t>SFG-INSRBBL-MEM-ETCVR-80X66X08</t>
  </si>
  <si>
    <t>90D-HYP-INS-ET-BLOCK-80X66X08</t>
  </si>
  <si>
    <t>SFG-INSRBBL-MEM-ETCVR-80X72X08</t>
  </si>
  <si>
    <t>90D-HYP-INS-ET-BLOCK-80X72X08</t>
  </si>
  <si>
    <t>SFG-INSRBBL-MEM-ETCVR-84X30X08</t>
  </si>
  <si>
    <t>90D-HYP-INS-ET-BLOCK-84X30X08</t>
  </si>
  <si>
    <t>SFG-INSRBBL-MEM-ETCVR-84X36X08</t>
  </si>
  <si>
    <t>90D-HYP-INS-ET-BLOCK-84X36X08</t>
  </si>
  <si>
    <t>SFG-INSRBBL-MEM-ETCVR-84X42X08</t>
  </si>
  <si>
    <t>90D-HYP-INS-ET-BLOCK-84X42X08</t>
  </si>
  <si>
    <t>SFG-INSRBBL-MEM-ETCVR-84X48X08</t>
  </si>
  <si>
    <t>90D-HYP-INS-ET-BLOCK-84X48X08</t>
  </si>
  <si>
    <t>SFG-INSRBBL-MEM-ETCVR-84X60X08</t>
  </si>
  <si>
    <t>90D-HYP-INS-ET-BLOCK-84X60X08</t>
  </si>
  <si>
    <t>SFG-INSRBBL-MEM-ETCVR-84X66X08</t>
  </si>
  <si>
    <t>90D-HYP-INS-ET-BLOCK-84X66X08</t>
  </si>
  <si>
    <t>SFG-INSRBBL-MEM-ETCVR-84X72X08</t>
  </si>
  <si>
    <t>90D-HYP-INS-ET-BLOCK-84X72X08</t>
  </si>
  <si>
    <t>SFG-INSRBGR-MEM-ETCVR-72X30X08</t>
  </si>
  <si>
    <t>SFG-INSRBGR-MEM-ETCVR-72X36X08</t>
  </si>
  <si>
    <t>SFG-INSRBGR-MEM-ETCVR-72X42X08</t>
  </si>
  <si>
    <t>SFG-INSRBGR-MEM-ETCVR-72X48X08</t>
  </si>
  <si>
    <t>SFG-INSRBGR-MEM-ETCVR-72X60X08</t>
  </si>
  <si>
    <t>SFG-INSRBGR-MEM-ETCVR-72X66X08</t>
  </si>
  <si>
    <t>SFG-INSRBGR-MEM-ETCVR-72X72X08</t>
  </si>
  <si>
    <t>SFG-INSRBGR-MEM-ETCVR-75X30X08</t>
  </si>
  <si>
    <t>SFG-INSRBGR-MEM-ETCVR-75X36X08</t>
  </si>
  <si>
    <t>SFG-INSRBGR-MEM-ETCVR-75X42X08</t>
  </si>
  <si>
    <t>SFG-INSRBGR-MEM-ETCVR-75X48X08</t>
  </si>
  <si>
    <t>SFG-INSRBGR-MEM-ETCVR-75X60X08</t>
  </si>
  <si>
    <t>SFG-INSRBGR-MEM-ETCVR-75X66X08</t>
  </si>
  <si>
    <t>SFG-INSRBGR-MEM-ETCVR-75X72X08</t>
  </si>
  <si>
    <t>SFG-INSRBGR-MEM-ETCVR-78X30X08</t>
  </si>
  <si>
    <t>SFG-INSRBGR-MEM-ETCVR-78X36X08</t>
  </si>
  <si>
    <t>SFG-INSRBGR-MEM-ETCVR-78X42X08</t>
  </si>
  <si>
    <t>SFG-INSRBGR-MEM-ETCVR-78X48X08</t>
  </si>
  <si>
    <t>SFG-INSRBGR-MEM-ETCVR-78X60X08</t>
  </si>
  <si>
    <t>SFG-INSRBGR-MEM-ETCVR-78X66X08</t>
  </si>
  <si>
    <t>SFG-INSRBGR-MEM-ETCVR-78X72X08</t>
  </si>
  <si>
    <t>SFG-INSRBGR-MEM-ETCVR-80X30X08</t>
  </si>
  <si>
    <t>SFG-INSRBGR-MEM-ETCVR-80X36X08</t>
  </si>
  <si>
    <t>SFG-INSRBGR-MEM-ETCVR-80X42X08</t>
  </si>
  <si>
    <t>SFG-INSRBGR-MEM-ETCVR-80X48X08</t>
  </si>
  <si>
    <t>SFG-INSRBGR-MEM-ETCVR-80X60X08</t>
  </si>
  <si>
    <t>SFG-INSRBGR-MEM-ETCVR-80X66X08</t>
  </si>
  <si>
    <t>SFG-INSRBGR-MEM-ETCVR-80X72X08</t>
  </si>
  <si>
    <t>SFG-INSRBGR-MEM-ETCVR-84X30X08</t>
  </si>
  <si>
    <t>SFG-INSRBGR-MEM-ETCVR-84X36X08</t>
  </si>
  <si>
    <t>SFG-INSRBGR-MEM-ETCVR-84X42X08</t>
  </si>
  <si>
    <t>SFG-INSRBGR-MEM-ETCVR-84X48X08</t>
  </si>
  <si>
    <t>SFG-INSRBGR-MEM-ETCVR-84X60X08</t>
  </si>
  <si>
    <t>SFG-INSRBGR-MEM-ETCVR-84X66X08</t>
  </si>
  <si>
    <t>SFG-INSRBGR-MEM-ETCVR-84X72X08</t>
  </si>
  <si>
    <t>HYPINSFMMFETBL72X33X08-90D</t>
  </si>
  <si>
    <t>SFG-INSRBBL-MEM-ETBOR-72X33X08</t>
  </si>
  <si>
    <t>SFG-INSRBBL-MEM-ETCVR-72X33X08</t>
  </si>
  <si>
    <t>90D-HYP-INS-ET-BLOCK-72X33X08</t>
  </si>
  <si>
    <t>HYPINSFMMFETBL72X39X08-90D</t>
  </si>
  <si>
    <t>SFG-INSRBBL-MEM-ETBOR-72X39X08</t>
  </si>
  <si>
    <t>SFG-INSRBBL-MEM-ETCVR-72X39X08</t>
  </si>
  <si>
    <t>90D-HYP-INS-ET-BLOCK-72X39X08</t>
  </si>
  <si>
    <t>HYPINSFMMFETBL72X45X08-90D</t>
  </si>
  <si>
    <t>SFG-INSRBBL-MEM-ETBOR-72X45X08</t>
  </si>
  <si>
    <t>SFG-INSRBBL-MEM-ETCVR-72X45X08</t>
  </si>
  <si>
    <t>90D-HYP-INS-ET-BLOCK-72X45X08</t>
  </si>
  <si>
    <t>HYPINSFMMFETBL72X51X08-90D</t>
  </si>
  <si>
    <t>SFG-INSRBBL-MEM-ETBOR-72X51X08</t>
  </si>
  <si>
    <t>SFG-INSRBBL-MEM-ETCVR-72X51X08</t>
  </si>
  <si>
    <t>90D-HYP-INS-ET-BLOCK-72X51X08</t>
  </si>
  <si>
    <t>HYPINSFMMFETBL72X54X08-90D</t>
  </si>
  <si>
    <t>SFG-INSRBBL-MEM-ETBOR-72X54X08</t>
  </si>
  <si>
    <t>SFG-INSRBBL-MEM-ETCVR-72X54X08</t>
  </si>
  <si>
    <t>90D-HYP-INS-ET-BLOCK-72X54X08</t>
  </si>
  <si>
    <t>HYPINSFMMFETBL72X57X08-90D</t>
  </si>
  <si>
    <t>SFG-INSRBBL-MEM-ETBOR-72X57X08</t>
  </si>
  <si>
    <t>SFG-INSRBBL-MEM-ETCVR-72X57X08</t>
  </si>
  <si>
    <t>90D-HYP-INS-ET-BLOCK-72X57X08</t>
  </si>
  <si>
    <t>HYPINSFMMFETBL72X63X08-90D</t>
  </si>
  <si>
    <t>SFG-INSRBBL-MEM-ETBOR-72X63X08</t>
  </si>
  <si>
    <t>SFG-INSRBBL-MEM-ETCVR-72X63X08</t>
  </si>
  <si>
    <t>90D-HYP-INS-ET-BLOCK-72X63X08</t>
  </si>
  <si>
    <t>HYPINSFMMFETBL72X69X08-90D</t>
  </si>
  <si>
    <t>SFG-INSRBBL-MEM-ETBOR-72X69X08</t>
  </si>
  <si>
    <t>SFG-INSRBBL-MEM-ETCVR-72X69X08</t>
  </si>
  <si>
    <t>90D-HYP-INS-ET-BLOCK-72X69X08</t>
  </si>
  <si>
    <t>HYPINSFMMFETBL75X33X08-90D</t>
  </si>
  <si>
    <t>SFG-INSRBBL-MEM-ETBOR-75X33X08</t>
  </si>
  <si>
    <t>SFG-INSRBBL-MEM-ETCVR-75X33X08</t>
  </si>
  <si>
    <t>90D-HYP-INS-ET-BLOCK-75X33X08</t>
  </si>
  <si>
    <t>HYPINSFMMFETBL75X39X08-90D</t>
  </si>
  <si>
    <t>SFG-INSRBBL-MEM-ETBOR-75X39X08</t>
  </si>
  <si>
    <t>SFG-INSRBBL-MEM-ETCVR-75X39X08</t>
  </si>
  <si>
    <t>90D-HYP-INS-ET-BLOCK-75X39X08</t>
  </si>
  <si>
    <t>HYPINSFMMFETBL75X45X08-90D</t>
  </si>
  <si>
    <t>SFG-INSRBBL-MEM-ETBOR-75X45X08</t>
  </si>
  <si>
    <t>SFG-INSRBBL-MEM-ETCVR-75X45X08</t>
  </si>
  <si>
    <t>90D-HYP-INS-ET-BLOCK-75X45X08</t>
  </si>
  <si>
    <t>HYPINSFMMFETBL75X51X08-90D</t>
  </si>
  <si>
    <t>SFG-INSRBBL-MEM-ETBOR-75X51X08</t>
  </si>
  <si>
    <t>SFG-INSRBBL-MEM-ETCVR-75X51X08</t>
  </si>
  <si>
    <t>90D-HYP-INS-ET-BLOCK-75X51X08</t>
  </si>
  <si>
    <t>HYPINSFMMFETBL75X54X08-90D</t>
  </si>
  <si>
    <t>SFG-INSRBBL-MEM-ETBOR-75X54X08</t>
  </si>
  <si>
    <t>SFG-INSRBBL-MEM-ETCVR-75X54X08</t>
  </si>
  <si>
    <t>90D-HYP-INS-ET-BLOCK-75X54X08</t>
  </si>
  <si>
    <t>HYPINSFMMFETBL75X57X08-90D</t>
  </si>
  <si>
    <t>SFG-INSRBBL-MEM-ETBOR-75X57X08</t>
  </si>
  <si>
    <t>SFG-INSRBBL-MEM-ETCVR-75X57X08</t>
  </si>
  <si>
    <t>90D-HYP-INS-ET-BLOCK-75X57X08</t>
  </si>
  <si>
    <t>HYPINSFMMFETBL75X63X08-90D</t>
  </si>
  <si>
    <t>SFG-INSRBBL-MEM-ETBOR-75X63X08</t>
  </si>
  <si>
    <t>SFG-INSRBBL-MEM-ETCVR-75X63X08</t>
  </si>
  <si>
    <t>90D-HYP-INS-ET-BLOCK-75X63X08</t>
  </si>
  <si>
    <t>HYPINSFMMFETBL75X69X08-90D</t>
  </si>
  <si>
    <t>SFG-INSRBBL-MEM-ETBOR-75X69X08</t>
  </si>
  <si>
    <t>SFG-INSRBBL-MEM-ETCVR-75X69X08</t>
  </si>
  <si>
    <t>90D-HYP-INS-ET-BLOCK-75X69X08</t>
  </si>
  <si>
    <t>HYPINSFMMFETBL78X33X08-90D</t>
  </si>
  <si>
    <t>SFG-INSRBBL-MEM-ETBOR-78X33X08</t>
  </si>
  <si>
    <t>SFG-INSRBBL-MEM-ETCVR-78X33X08</t>
  </si>
  <si>
    <t>90D-HYP-INS-ET-BLOCK-78X33X08</t>
  </si>
  <si>
    <t>HYPINSFMMFETBL78X39X08-90D</t>
  </si>
  <si>
    <t>SFG-INSRBBL-MEM-ETBOR-78X39X08</t>
  </si>
  <si>
    <t>SFG-INSRBBL-MEM-ETCVR-78X39X08</t>
  </si>
  <si>
    <t>90D-HYP-INS-ET-BLOCK-78X39X08</t>
  </si>
  <si>
    <t>HYPINSFMMFETBL78X45X08-90D</t>
  </si>
  <si>
    <t>SFG-INSRBBL-MEM-ETBOR-78X45X08</t>
  </si>
  <si>
    <t>SFG-INSRBBL-MEM-ETCVR-78X45X08</t>
  </si>
  <si>
    <t>90D-HYP-INS-ET-BLOCK-78X45X08</t>
  </si>
  <si>
    <t>HYPINSFMMFETBL78X51X08-90D</t>
  </si>
  <si>
    <t>SFG-INSRBBL-MEM-ETBOR-78X51X08</t>
  </si>
  <si>
    <t>SFG-INSRBBL-MEM-ETCVR-78X51X08</t>
  </si>
  <si>
    <t>90D-HYP-INS-ET-BLOCK-78X51X08</t>
  </si>
  <si>
    <t>HYPINSFMMFETBL78X54X08-90D</t>
  </si>
  <si>
    <t>SFG-INSRBBL-MEM-ETBOR-78X54X08</t>
  </si>
  <si>
    <t>SFG-INSRBBL-MEM-ETCVR-78X54X08</t>
  </si>
  <si>
    <t>90D-HYP-INS-ET-BLOCK-78X54X08</t>
  </si>
  <si>
    <t>HYPINSFMMFETBL78X57X08-90D</t>
  </si>
  <si>
    <t>SFG-INSRBBL-MEM-ETBOR-78X57X08</t>
  </si>
  <si>
    <t>SFG-INSRBBL-MEM-ETCVR-78X57X08</t>
  </si>
  <si>
    <t>90D-HYP-INS-ET-BLOCK-78X57X08</t>
  </si>
  <si>
    <t>HYPINSFMMFETBL78X63X08-90D</t>
  </si>
  <si>
    <t>SFG-INSRBBL-MEM-ETBOR-78X63X08</t>
  </si>
  <si>
    <t>SFG-INSRBBL-MEM-ETCVR-78X63X08</t>
  </si>
  <si>
    <t>90D-HYP-INS-ET-BLOCK-78X63X08</t>
  </si>
  <si>
    <t>HYPINSFMMFETBL78X69X08-90D</t>
  </si>
  <si>
    <t>SFG-INSRBBL-MEM-ETBOR-78X69X08</t>
  </si>
  <si>
    <t>SFG-INSRBBL-MEM-ETCVR-78X69X08</t>
  </si>
  <si>
    <t>90D-HYP-INS-ET-BLOCK-78X69X08</t>
  </si>
  <si>
    <t>HYPINSFMMFETBL80X33X08-90D</t>
  </si>
  <si>
    <t>SFG-INSRBBL-MEM-ETBOR-80X33X08</t>
  </si>
  <si>
    <t>SFG-INSRBBL-MEM-ETCVR-80X33X08</t>
  </si>
  <si>
    <t>90D-HYP-INS-ET-BLOCK-80X33X08</t>
  </si>
  <si>
    <t>HYPINSFMMFETBL80X39X08-90D</t>
  </si>
  <si>
    <t>SFG-INSRBBL-MEM-ETBOR-80X39X08</t>
  </si>
  <si>
    <t>SFG-INSRBBL-MEM-ETCVR-80X39X08</t>
  </si>
  <si>
    <t>90D-HYP-INS-ET-BLOCK-80X39X08</t>
  </si>
  <si>
    <t>HYPINSFMMFETBL80X45X08-90D</t>
  </si>
  <si>
    <t>SFG-INSRBBL-MEM-ETBOR-80X45X08</t>
  </si>
  <si>
    <t>SFG-INSRBBL-MEM-ETCVR-80X45X08</t>
  </si>
  <si>
    <t>90D-HYP-INS-ET-BLOCK-80X45X08</t>
  </si>
  <si>
    <t>HYPINSFMMFETBL80X51X08-90D</t>
  </si>
  <si>
    <t>SFG-INSRBBL-MEM-ETBOR-80X51X08</t>
  </si>
  <si>
    <t>SFG-INSRBBL-MEM-ETCVR-80X51X08</t>
  </si>
  <si>
    <t>90D-HYP-INS-ET-BLOCK-80X51X08</t>
  </si>
  <si>
    <t>HYPINSFMMFETBL80X54X08-90D</t>
  </si>
  <si>
    <t>SFG-INSRBBL-MEM-ETBOR-80X54X08</t>
  </si>
  <si>
    <t>SFG-INSRBBL-MEM-ETCVR-80X54X08</t>
  </si>
  <si>
    <t>90D-HYP-INS-ET-BLOCK-80X54X08</t>
  </si>
  <si>
    <t>HYPINSFMMFETBL80X57X08-90D</t>
  </si>
  <si>
    <t>SFG-INSRBBL-MEM-ETBOR-80X57X08</t>
  </si>
  <si>
    <t>SFG-INSRBBL-MEM-ETCVR-80X57X08</t>
  </si>
  <si>
    <t>90D-HYP-INS-ET-BLOCK-80X57X08</t>
  </si>
  <si>
    <t>HYPINSFMMFETBL80X63X08-90D</t>
  </si>
  <si>
    <t>SFG-INSRBBL-MEM-ETBOR-80X63X08</t>
  </si>
  <si>
    <t>SFG-INSRBBL-MEM-ETCVR-80X63X08</t>
  </si>
  <si>
    <t>90D-HYP-INS-ET-BLOCK-80X63X08</t>
  </si>
  <si>
    <t>HYPINSFMMFETBL80X69X08-90D</t>
  </si>
  <si>
    <t>SFG-INSRBBL-MEM-ETBOR-80X69X08</t>
  </si>
  <si>
    <t>SFG-INSRBBL-MEM-ETCVR-80X69X08</t>
  </si>
  <si>
    <t>90D-HYP-INS-ET-BLOCK-80X69X08</t>
  </si>
  <si>
    <t>HYPINSFMMFETBL84X33X08-90D</t>
  </si>
  <si>
    <t>SFG-INSRBBL-MEM-ETBOR-84X33X08</t>
  </si>
  <si>
    <t>SFG-INSRBBL-MEM-ETCVR-84X33X08</t>
  </si>
  <si>
    <t>90D-HYP-INS-ET-BLOCK-84X33X08</t>
  </si>
  <si>
    <t>HYPINSFMMFETBL84X39X08-90D</t>
  </si>
  <si>
    <t>SFG-INSRBBL-MEM-ETBOR-84X39X08</t>
  </si>
  <si>
    <t>SFG-INSRBBL-MEM-ETCVR-84X39X08</t>
  </si>
  <si>
    <t>90D-HYP-INS-ET-BLOCK-84X39X08</t>
  </si>
  <si>
    <t>HYPINSFMMFETBL84X45X08-90D</t>
  </si>
  <si>
    <t>SFG-INSRBBL-MEM-ETBOR-84X45X08</t>
  </si>
  <si>
    <t>SFG-INSRBBL-MEM-ETCVR-84X45X08</t>
  </si>
  <si>
    <t>90D-HYP-INS-ET-BLOCK-84X45X08</t>
  </si>
  <si>
    <t>HYPINSFMMFETBL84X51X08-90D</t>
  </si>
  <si>
    <t>SFG-INSRBBL-MEM-ETBOR-84X51X08</t>
  </si>
  <si>
    <t>SFG-INSRBBL-MEM-ETCVR-84X51X08</t>
  </si>
  <si>
    <t>90D-HYP-INS-ET-BLOCK-84X51X08</t>
  </si>
  <si>
    <t>HYPINSFMMFETBL84X54X08-90D</t>
  </si>
  <si>
    <t>SFG-INSRBBL-MEM-ETBOR-84X54X08</t>
  </si>
  <si>
    <t>SFG-INSRBBL-MEM-ETCVR-84X54X08</t>
  </si>
  <si>
    <t>90D-HYP-INS-ET-BLOCK-84X54X08</t>
  </si>
  <si>
    <t>HYPINSFMMFETBL84X57X08-90D</t>
  </si>
  <si>
    <t>SFG-INSRBBL-MEM-ETBOR-84X57X08</t>
  </si>
  <si>
    <t>SFG-INSRBBL-MEM-ETCVR-84X57X08</t>
  </si>
  <si>
    <t>90D-HYP-INS-ET-BLOCK-84X57X08</t>
  </si>
  <si>
    <t>HYPINSFMMFETBL84X63X08-90D</t>
  </si>
  <si>
    <t>SFG-INSRBBL-MEM-ETBOR-84X63X08</t>
  </si>
  <si>
    <t>SFG-INSRBBL-MEM-ETCVR-84X63X08</t>
  </si>
  <si>
    <t>90D-HYP-INS-ET-BLOCK-84X63X08</t>
  </si>
  <si>
    <t>HYPINSFMMFETBL84X69X08-90D</t>
  </si>
  <si>
    <t>SFG-INSRBBL-MEM-ETBOR-84X69X08</t>
  </si>
  <si>
    <t>SFG-INSRBBL-MEM-ETCVR-84X69X08</t>
  </si>
  <si>
    <t>90D-HYP-INS-ET-BLOCK-84X69X08</t>
  </si>
  <si>
    <t>HYPINSFMMFETGR72X33X08-90D</t>
  </si>
  <si>
    <t>SFG-INSRBGR-MEM-ETBOR-72X33X08</t>
  </si>
  <si>
    <t>SFG-INSRBGR-MEM-ETCVR-72X33X08</t>
  </si>
  <si>
    <t>HYPINSFMMFETGR72X39X08-90D</t>
  </si>
  <si>
    <t>SFG-INSRBGR-MEM-ETBOR-72X39X08</t>
  </si>
  <si>
    <t>SFG-INSRBGR-MEM-ETCVR-72X39X08</t>
  </si>
  <si>
    <t>HYPINSFMMFETGR72X45X08-90D</t>
  </si>
  <si>
    <t>SFG-INSRBGR-MEM-ETBOR-72X45X08</t>
  </si>
  <si>
    <t>SFG-INSRBGR-MEM-ETCVR-72X45X08</t>
  </si>
  <si>
    <t>HYPINSFMMFETGR72X51X08-90D</t>
  </si>
  <si>
    <t>SFG-INSRBGR-MEM-ETBOR-72X51X08</t>
  </si>
  <si>
    <t>SFG-INSRBGR-MEM-ETCVR-72X51X08</t>
  </si>
  <si>
    <t>HYPINSFMMFETGR72X54X08-90D</t>
  </si>
  <si>
    <t>SFG-INSRBGR-MEM-ETBOR-72X54X08</t>
  </si>
  <si>
    <t>SFG-INSRBGR-MEM-ETCVR-72X54X08</t>
  </si>
  <si>
    <t>HYPINSFMMFETGR72X57X08-90D</t>
  </si>
  <si>
    <t>SFG-INSRBGR-MEM-ETBOR-72X57X08</t>
  </si>
  <si>
    <t>SFG-INSRBGR-MEM-ETCVR-72X57X08</t>
  </si>
  <si>
    <t>HYPINSFMMFETGR72X63X08-90D</t>
  </si>
  <si>
    <t>SFG-INSRBGR-MEM-ETBOR-72X63X08</t>
  </si>
  <si>
    <t>SFG-INSRBGR-MEM-ETCVR-72X63X08</t>
  </si>
  <si>
    <t>HYPINSFMMFETGR72X69X08-90D</t>
  </si>
  <si>
    <t>SFG-INSRBGR-MEM-ETBOR-72X69X08</t>
  </si>
  <si>
    <t>SFG-INSRBGR-MEM-ETCVR-72X69X08</t>
  </si>
  <si>
    <t>HYPINSFMMFETGR75X33X08-90D</t>
  </si>
  <si>
    <t>SFG-INSRBGR-MEM-ETBOR-75X33X08</t>
  </si>
  <si>
    <t>SFG-INSRBGR-MEM-ETCVR-75X33X08</t>
  </si>
  <si>
    <t>HYPINSFMMFETGR75X39X08-90D</t>
  </si>
  <si>
    <t>SFG-INSRBGR-MEM-ETBOR-75X39X08</t>
  </si>
  <si>
    <t>SFG-INSRBGR-MEM-ETCVR-75X39X08</t>
  </si>
  <si>
    <t>HYPINSFMMFETGR75X45X08-90D</t>
  </si>
  <si>
    <t>SFG-INSRBGR-MEM-ETBOR-75X45X08</t>
  </si>
  <si>
    <t>SFG-INSRBGR-MEM-ETCVR-75X45X08</t>
  </si>
  <si>
    <t>HYPINSFMMFETGR75X51X08-90D</t>
  </si>
  <si>
    <t>SFG-INSRBGR-MEM-ETBOR-75X51X08</t>
  </si>
  <si>
    <t>SFG-INSRBGR-MEM-ETCVR-75X51X08</t>
  </si>
  <si>
    <t>HYPINSFMMFETGR75X54X08-90D</t>
  </si>
  <si>
    <t>SFG-INSRBGR-MEM-ETBOR-75X54X08</t>
  </si>
  <si>
    <t>SFG-INSRBGR-MEM-ETCVR-75X54X08</t>
  </si>
  <si>
    <t>HYPINSFMMFETGR75X57X08-90D</t>
  </si>
  <si>
    <t>SFG-INSRBGR-MEM-ETBOR-75X57X08</t>
  </si>
  <si>
    <t>SFG-INSRBGR-MEM-ETCVR-75X57X08</t>
  </si>
  <si>
    <t>HYPINSFMMFETGR75X63X08-90D</t>
  </si>
  <si>
    <t>SFG-INSRBGR-MEM-ETBOR-75X63X08</t>
  </si>
  <si>
    <t>SFG-INSRBGR-MEM-ETCVR-75X63X08</t>
  </si>
  <si>
    <t>HYPINSFMMFETGR75X69X08-90D</t>
  </si>
  <si>
    <t>SFG-INSRBGR-MEM-ETBOR-75X69X08</t>
  </si>
  <si>
    <t>SFG-INSRBGR-MEM-ETCVR-75X69X08</t>
  </si>
  <si>
    <t>HYPINSFMMFETGR78X33X08-90D</t>
  </si>
  <si>
    <t>SFG-INSRBGR-MEM-ETBOR-78X33X08</t>
  </si>
  <si>
    <t>SFG-INSRBGR-MEM-ETCVR-78X33X08</t>
  </si>
  <si>
    <t>HYPINSFMMFETGR78X39X08-90D</t>
  </si>
  <si>
    <t>SFG-INSRBGR-MEM-ETBOR-78X39X08</t>
  </si>
  <si>
    <t>SFG-INSRBGR-MEM-ETCVR-78X39X08</t>
  </si>
  <si>
    <t>HYPINSFMMFETGR78X45X08-90D</t>
  </si>
  <si>
    <t>SFG-INSRBGR-MEM-ETBOR-78X45X08</t>
  </si>
  <si>
    <t>SFG-INSRBGR-MEM-ETCVR-78X45X08</t>
  </si>
  <si>
    <t>HYPINSFMMFETGR78X51X08-90D</t>
  </si>
  <si>
    <t>SFG-INSRBGR-MEM-ETBOR-78X51X08</t>
  </si>
  <si>
    <t>SFG-INSRBGR-MEM-ETCVR-78X51X08</t>
  </si>
  <si>
    <t>HYPINSFMMFETGR78X54X08-90D</t>
  </si>
  <si>
    <t>SFG-INSRBGR-MEM-ETBOR-78X54X08</t>
  </si>
  <si>
    <t>SFG-INSRBGR-MEM-ETCVR-78X54X08</t>
  </si>
  <si>
    <t>HYPINSFMMFETGR78X57X08-90D</t>
  </si>
  <si>
    <t>SFG-INSRBGR-MEM-ETBOR-78X57X08</t>
  </si>
  <si>
    <t>SFG-INSRBGR-MEM-ETCVR-78X57X08</t>
  </si>
  <si>
    <t>HYPINSFMMFETGR78X63X08-90D</t>
  </si>
  <si>
    <t>SFG-INSRBGR-MEM-ETBOR-78X63X08</t>
  </si>
  <si>
    <t>SFG-INSRBGR-MEM-ETCVR-78X63X08</t>
  </si>
  <si>
    <t>HYPINSFMMFETGR78X69X08-90D</t>
  </si>
  <si>
    <t>SFG-INSRBGR-MEM-ETBOR-78X69X08</t>
  </si>
  <si>
    <t>SFG-INSRBGR-MEM-ETCVR-78X69X08</t>
  </si>
  <si>
    <t>HYPINSFMMFETGR80X33X08-90D</t>
  </si>
  <si>
    <t>SFG-INSRBGR-MEM-ETBOR-80X33X08</t>
  </si>
  <si>
    <t>SFG-INSRBGR-MEM-ETCVR-80X33X08</t>
  </si>
  <si>
    <t>HYPINSFMMFETGR80X39X08-90D</t>
  </si>
  <si>
    <t>SFG-INSRBGR-MEM-ETBOR-80X39X08</t>
  </si>
  <si>
    <t>SFG-INSRBGR-MEM-ETCVR-80X39X08</t>
  </si>
  <si>
    <t>HYPINSFMMFETGR80X45X08-90D</t>
  </si>
  <si>
    <t>SFG-INSRBGR-MEM-ETBOR-80X45X08</t>
  </si>
  <si>
    <t>SFG-INSRBGR-MEM-ETCVR-80X45X08</t>
  </si>
  <si>
    <t>HYPINSFMMFETGR80X51X08-90D</t>
  </si>
  <si>
    <t>SFG-INSRBGR-MEM-ETBOR-80X51X08</t>
  </si>
  <si>
    <t>SFG-INSRBGR-MEM-ETCVR-80X51X08</t>
  </si>
  <si>
    <t>HYPINSFMMFETGR80X54X08-90D</t>
  </si>
  <si>
    <t>SFG-INSRBGR-MEM-ETBOR-80X54X08</t>
  </si>
  <si>
    <t>SFG-INSRBGR-MEM-ETCVR-80X54X08</t>
  </si>
  <si>
    <t>HYPINSFMMFETGR80X57X08-90D</t>
  </si>
  <si>
    <t>SFG-INSRBGR-MEM-ETBOR-80X57X08</t>
  </si>
  <si>
    <t>SFG-INSRBGR-MEM-ETCVR-80X57X08</t>
  </si>
  <si>
    <t>HYPINSFMMFETGR80X63X08-90D</t>
  </si>
  <si>
    <t>SFG-INSRBGR-MEM-ETBOR-80X63X08</t>
  </si>
  <si>
    <t>SFG-INSRBGR-MEM-ETCVR-80X63X08</t>
  </si>
  <si>
    <t>HYPINSFMMFETGR80X69X08-90D</t>
  </si>
  <si>
    <t>SFG-INSRBGR-MEM-ETBOR-80X69X08</t>
  </si>
  <si>
    <t>SFG-INSRBGR-MEM-ETCVR-80X69X08</t>
  </si>
  <si>
    <t>HYPINSFMMFETGR84X33X08-90D</t>
  </si>
  <si>
    <t>SFG-INSRBGR-MEM-ETBOR-84X33X08</t>
  </si>
  <si>
    <t>SFG-INSRBGR-MEM-ETCVR-84X33X08</t>
  </si>
  <si>
    <t>HYPINSFMMFETGR84X39X08-90D</t>
  </si>
  <si>
    <t>SFG-INSRBGR-MEM-ETBOR-84X39X08</t>
  </si>
  <si>
    <t>SFG-INSRBGR-MEM-ETCVR-84X39X08</t>
  </si>
  <si>
    <t>HYPINSFMMFETGR84X45X08-90D</t>
  </si>
  <si>
    <t>SFG-INSRBGR-MEM-ETBOR-84X45X08</t>
  </si>
  <si>
    <t>SFG-INSRBGR-MEM-ETCVR-84X45X08</t>
  </si>
  <si>
    <t>HYPINSFMMFETGR84X51X08-90D</t>
  </si>
  <si>
    <t>SFG-INSRBGR-MEM-ETBOR-84X51X08</t>
  </si>
  <si>
    <t>SFG-INSRBGR-MEM-ETCVR-84X51X08</t>
  </si>
  <si>
    <t>HYPINSFMMFETGR84X54X08-90D</t>
  </si>
  <si>
    <t>SFG-INSRBGR-MEM-ETBOR-84X54X08</t>
  </si>
  <si>
    <t>SFG-INSRBGR-MEM-ETCVR-84X54X08</t>
  </si>
  <si>
    <t>HYPINSFMMFETGR84X57X08-90D</t>
  </si>
  <si>
    <t>SFG-INSRBGR-MEM-ETBOR-84X57X08</t>
  </si>
  <si>
    <t>SFG-INSRBGR-MEM-ETCVR-84X57X08</t>
  </si>
  <si>
    <t>HYPINSFMMFETGR84X63X08-90D</t>
  </si>
  <si>
    <t>SFG-INSRBGR-MEM-ETBOR-84X63X08</t>
  </si>
  <si>
    <t>SFG-INSRBGR-MEM-ETCVR-84X63X08</t>
  </si>
  <si>
    <t>HYPINSFMMFETGR84X69X08-90D</t>
  </si>
  <si>
    <t>SFG-INSRBGR-MEM-ETBOR-84X69X08</t>
  </si>
  <si>
    <t>SFG-INSRBGR-MEM-ETCVR-84X69X08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</si>
</sst>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104</v>
      </c>
      <c r="D2" s="9" t="str">
        <f>"HYPINSFMMFET"&amp;IF($N$2="GR","GR",IF($N$2="BL","BL","BL"))&amp;$K$2&amp;"X"&amp;$L$2&amp;"X0"&amp;$M$2&amp;"-90D"</f>
        <v>HYPINSFMMFETGR84X69X08-90D</v>
      </c>
      <c r="E2" s="38" t="str">
        <f>"SFG-INSRB"&amp;IF(N2="GR","GR",IF(N2="BL","BL",IF(N2="MR","MR",0)))&amp;"-MEM-QUILT-90D"</f>
        <v>SFG-INSRBGR-MEM-QUILT-90D</v>
      </c>
      <c r="F2" s="39" t="s">
        <v>14</v>
      </c>
      <c r="G2" s="35">
        <f>IF(K2&lt;81,(L2+1),(K2+1))*0.0254</f>
        <v>2.1589999999999998</v>
      </c>
      <c r="H2" s="10">
        <f t="shared" ref="H2:H3" si="0">ROUND(G2,3)</f>
        <v>2.1589999999999998</v>
      </c>
      <c r="I2" s="33" t="s">
        <v>15</v>
      </c>
      <c r="J2" s="5"/>
      <c r="K2" s="6">
        <v>84</v>
      </c>
      <c r="L2" s="6">
        <v>69</v>
      </c>
      <c r="M2" s="30">
        <v>8</v>
      </c>
      <c r="N2" s="6" t="s">
        <v>114</v>
      </c>
      <c r="P2" s="4" t="s">
        <v>112</v>
      </c>
      <c r="R2" s="28" t="s">
        <v>89</v>
      </c>
      <c r="S2" s="28" t="s">
        <v>98</v>
      </c>
      <c r="T2" s="28">
        <v>8</v>
      </c>
      <c r="U2" s="29" t="s">
        <v>111</v>
      </c>
    </row>
    <row r="3" spans="1:21" s="16" customFormat="1" x14ac:dyDescent="0.25">
      <c r="A3" s="32">
        <v>2</v>
      </c>
      <c r="B3" s="7" t="s">
        <v>94</v>
      </c>
      <c r="C3" s="9" t="s">
        <v>105</v>
      </c>
      <c r="D3" s="9" t="str">
        <f t="shared" ref="D3:D15" si="1">"HYPINSFMMFET"&amp;IF($N$2="GR","GR",IF($N$2="BL","BL","BL"))&amp;$K$2&amp;"X"&amp;$L$2&amp;"X0"&amp;$M$2&amp;"-90D"</f>
        <v>HYPINSFMMFETGR84X69X08-90D</v>
      </c>
      <c r="E3" s="36" t="str">
        <f>"SFG-INSRB"&amp;IF(N2="BL","BL",IF(N2="GR","GR",IF(N2="MR","MR",IF(N2="MR","MR",IF(N2="MR","MR",IF(N2="MR","MR",0))))))&amp;"-MEM-ETBOR-"&amp;K2&amp;"X"&amp;L2&amp;"X"&amp;IF(M2=10,10,"0"&amp;M2)</f>
        <v>SFG-INSRBGR-MEM-ETBOR-84X69X08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113</v>
      </c>
      <c r="R3" s="28" t="s">
        <v>89</v>
      </c>
      <c r="S3" s="28" t="s">
        <v>99</v>
      </c>
      <c r="T3" s="28">
        <v>8</v>
      </c>
      <c r="U3" s="29" t="s">
        <v>111</v>
      </c>
    </row>
    <row r="4" spans="1:21" x14ac:dyDescent="0.25">
      <c r="A4" s="32">
        <v>3</v>
      </c>
      <c r="B4" s="7" t="s">
        <v>94</v>
      </c>
      <c r="C4" s="9" t="s">
        <v>105</v>
      </c>
      <c r="D4" s="9" t="str">
        <f t="shared" si="1"/>
        <v>HYPINSFMMFETGR84X69X08-90D</v>
      </c>
      <c r="E4" s="36" t="str">
        <f>"SFG-INSRB"&amp;IF(N2="BL","BL",IF(N2="GR","GR",IF(N2="MR","MR",IF(N2="MR","MR",IF(N2="MR","MR",IF(N2="MR","MR",0))))))&amp;"-MEM-ETCVR-"&amp;K2&amp;"X"&amp;L2&amp;"X"&amp;"0"&amp;M2</f>
        <v>SFG-INSRBGR-MEM-ETCVR-84X69X08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100</v>
      </c>
      <c r="T4" s="28">
        <v>8</v>
      </c>
      <c r="U4" s="29" t="s">
        <v>111</v>
      </c>
    </row>
    <row r="5" spans="1:21" x14ac:dyDescent="0.25">
      <c r="A5" s="32">
        <v>4</v>
      </c>
      <c r="B5" s="7" t="s">
        <v>94</v>
      </c>
      <c r="C5" s="9" t="s">
        <v>105</v>
      </c>
      <c r="D5" s="9" t="str">
        <f t="shared" si="1"/>
        <v>HYPINSFMMFETGR84X69X08-90D</v>
      </c>
      <c r="E5" s="45" t="s">
        <v>266</v>
      </c>
      <c r="F5" s="39" t="s">
        <v>14</v>
      </c>
      <c r="G5" s="10">
        <f>IF(K2&lt;81,(L2+1),(K2+1))*0.0254</f>
        <v>2.1589999999999998</v>
      </c>
      <c r="H5" s="10">
        <f>ROUND(G5,3)</f>
        <v>2.1589999999999998</v>
      </c>
      <c r="I5" s="33" t="s">
        <v>15</v>
      </c>
      <c r="J5" s="12"/>
      <c r="O5" s="16"/>
      <c r="R5" s="28" t="s">
        <v>89</v>
      </c>
      <c r="S5" s="28" t="s">
        <v>101</v>
      </c>
      <c r="T5" s="28">
        <v>8</v>
      </c>
      <c r="U5" s="29" t="s">
        <v>111</v>
      </c>
    </row>
    <row r="6" spans="1:21" x14ac:dyDescent="0.25">
      <c r="A6" s="32">
        <v>5</v>
      </c>
      <c r="B6" s="7" t="s">
        <v>94</v>
      </c>
      <c r="C6" s="9" t="s">
        <v>106</v>
      </c>
      <c r="D6" s="9" t="str">
        <f t="shared" si="1"/>
        <v>HYPINSFMMFETGR84X69X08-90D</v>
      </c>
      <c r="E6" s="41" t="s">
        <v>107</v>
      </c>
      <c r="F6" s="11" t="s">
        <v>108</v>
      </c>
      <c r="G6" s="34">
        <f>(((K2*L2)/144)*0.00729*4)</f>
        <v>1.1736899999999999</v>
      </c>
      <c r="H6" s="10">
        <f t="shared" ref="H6:H11" si="3">ROUND(G6,3)</f>
        <v>1.1739999999999999</v>
      </c>
      <c r="I6" s="11" t="s">
        <v>13</v>
      </c>
      <c r="J6" s="12"/>
      <c r="R6" s="28" t="s">
        <v>89</v>
      </c>
      <c r="S6" s="28" t="s">
        <v>102</v>
      </c>
      <c r="T6" s="28">
        <v>8</v>
      </c>
      <c r="U6" s="29" t="s">
        <v>111</v>
      </c>
    </row>
    <row r="7" spans="1:21" x14ac:dyDescent="0.25">
      <c r="A7" s="32">
        <v>6</v>
      </c>
      <c r="B7" s="7" t="s">
        <v>96</v>
      </c>
      <c r="C7" s="9" t="s">
        <v>97</v>
      </c>
      <c r="D7" s="9" t="str">
        <f t="shared" si="1"/>
        <v>HYPINSFMMFETGR84X69X08-90D</v>
      </c>
      <c r="E7" s="45" t="s">
        <v>267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103</v>
      </c>
      <c r="T7" s="28">
        <v>8</v>
      </c>
      <c r="U7" s="29" t="s">
        <v>111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HYPINSFMMFETGR84X69X08-90D</v>
      </c>
      <c r="E8" s="43" t="s">
        <v>109</v>
      </c>
      <c r="F8" s="11" t="s">
        <v>14</v>
      </c>
      <c r="G8" s="10">
        <f>((K2+L2+K2+L2)+2)*0.0254*3</f>
        <v>23.4696</v>
      </c>
      <c r="H8" s="10">
        <f t="shared" si="3"/>
        <v>23.47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111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HYPINSFMMFETGR84X69X08-90D</v>
      </c>
      <c r="E9" s="42" t="s">
        <v>16</v>
      </c>
      <c r="F9" s="11" t="s">
        <v>14</v>
      </c>
      <c r="G9" s="35">
        <f>(K2+L2+2)*2*0.0254*(4.73+1.42)*3</f>
        <v>145.27530000000002</v>
      </c>
      <c r="H9" s="10">
        <f t="shared" si="3"/>
        <v>145.27500000000001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98</v>
      </c>
      <c r="T9" s="28">
        <v>8</v>
      </c>
      <c r="U9" s="29" t="s">
        <v>111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HYPINSFMMFETGR84X69X08-90D</v>
      </c>
      <c r="E10" s="45" t="s">
        <v>265</v>
      </c>
      <c r="F10" s="11" t="s">
        <v>12</v>
      </c>
      <c r="G10" s="40">
        <f>(L2+M2+6)*2*0.0254*0.035</f>
        <v>0.14757400000000001</v>
      </c>
      <c r="H10" s="10">
        <f t="shared" si="3"/>
        <v>0.14799999999999999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99</v>
      </c>
      <c r="T10" s="28">
        <v>8</v>
      </c>
      <c r="U10" s="29" t="s">
        <v>111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HYPINSFMMFETGR84X69X08-90D</v>
      </c>
      <c r="E11" s="17" t="str">
        <f>IF(M2=5,"RML-CS-HYP-5.25""",IF(M2=6,"RML-CS-CIR-6.25","RML-CS-CIR-8.5"))</f>
        <v>RML-CS-CIR-8.5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100</v>
      </c>
      <c r="T11" s="28">
        <v>8</v>
      </c>
      <c r="U11" s="29" t="s">
        <v>111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HYPINSFMMFETGR84X69X08-90D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101</v>
      </c>
      <c r="T12" s="28">
        <v>8</v>
      </c>
      <c r="U12" s="29" t="s">
        <v>111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HYPINSFMMFETGR84X69X08-90D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102</v>
      </c>
      <c r="T13" s="28">
        <v>8</v>
      </c>
      <c r="U13" s="29" t="s">
        <v>111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HYPINSFMMFETGR84X69X08-90D</v>
      </c>
      <c r="E14" s="17" t="s">
        <v>110</v>
      </c>
      <c r="F14" s="11" t="s">
        <v>12</v>
      </c>
      <c r="G14" s="40">
        <f>(IF(K2&lt;=79,(L2*2)+(M2*2),(K2*2)+(M2*2))+4)*89.5*0.0254*0.0254*0.00009*1300</f>
        <v>1.27008907272</v>
      </c>
      <c r="H14" s="10">
        <f>ROUND(G14,3)</f>
        <v>1.27</v>
      </c>
      <c r="I14" s="8" t="s">
        <v>13</v>
      </c>
      <c r="J14" s="12"/>
      <c r="M14" s="18"/>
      <c r="O14" s="18"/>
      <c r="R14" s="28" t="s">
        <v>90</v>
      </c>
      <c r="S14" s="28" t="s">
        <v>103</v>
      </c>
      <c r="T14" s="28">
        <v>8</v>
      </c>
      <c r="U14" s="29" t="s">
        <v>111</v>
      </c>
    </row>
    <row r="15" spans="1:21" x14ac:dyDescent="0.25">
      <c r="A15" s="32">
        <v>14</v>
      </c>
      <c r="B15" s="7" t="s">
        <v>17</v>
      </c>
      <c r="C15" s="9" t="s">
        <v>95</v>
      </c>
      <c r="D15" s="9" t="str">
        <f t="shared" si="1"/>
        <v>HYPINSFMMFETGR84X69X08-90D</v>
      </c>
      <c r="E15" s="37" t="str">
        <f>"90D-HYP-INS-ET-BLOCK-"&amp;K2&amp;"X"&amp;L2&amp;"X0"&amp;M2</f>
        <v>90D-HYP-INS-ET-BLOCK-84X69X08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111</v>
      </c>
    </row>
    <row r="16" spans="1:21" x14ac:dyDescent="0.25">
      <c r="J16" s="12"/>
      <c r="M16" s="18"/>
      <c r="N16"/>
      <c r="O16"/>
      <c r="R16" s="28" t="s">
        <v>91</v>
      </c>
      <c r="S16" s="28" t="s">
        <v>98</v>
      </c>
      <c r="T16" s="28">
        <v>8</v>
      </c>
      <c r="U16" s="29" t="s">
        <v>111</v>
      </c>
    </row>
    <row r="17" spans="5:21" x14ac:dyDescent="0.25">
      <c r="H17" s="44"/>
      <c r="J17" s="12"/>
      <c r="N17"/>
      <c r="O17"/>
      <c r="R17" s="28" t="s">
        <v>91</v>
      </c>
      <c r="S17" s="28" t="s">
        <v>99</v>
      </c>
      <c r="T17" s="28">
        <v>8</v>
      </c>
      <c r="U17" s="29" t="s">
        <v>111</v>
      </c>
    </row>
    <row r="18" spans="5:21" x14ac:dyDescent="0.25">
      <c r="J18" s="12"/>
      <c r="N18"/>
      <c r="O18"/>
      <c r="R18" s="28" t="s">
        <v>91</v>
      </c>
      <c r="S18" s="28" t="s">
        <v>100</v>
      </c>
      <c r="T18" s="28">
        <v>8</v>
      </c>
      <c r="U18" s="29" t="s">
        <v>111</v>
      </c>
    </row>
    <row r="19" spans="5:21" x14ac:dyDescent="0.25">
      <c r="J19" s="12"/>
      <c r="N19"/>
      <c r="O19"/>
      <c r="R19" s="28" t="s">
        <v>91</v>
      </c>
      <c r="S19" s="28" t="s">
        <v>101</v>
      </c>
      <c r="T19" s="28">
        <v>8</v>
      </c>
      <c r="U19" s="29" t="s">
        <v>111</v>
      </c>
    </row>
    <row r="20" spans="5:21" x14ac:dyDescent="0.25">
      <c r="J20" s="12"/>
      <c r="N20" s="27"/>
      <c r="O20"/>
      <c r="R20" s="28" t="s">
        <v>91</v>
      </c>
      <c r="S20" s="28" t="s">
        <v>102</v>
      </c>
      <c r="T20" s="28">
        <v>8</v>
      </c>
      <c r="U20" s="29" t="s">
        <v>111</v>
      </c>
    </row>
    <row r="21" spans="5:21" x14ac:dyDescent="0.25">
      <c r="J21" s="12"/>
      <c r="N21"/>
      <c r="O21"/>
      <c r="R21" s="28" t="s">
        <v>91</v>
      </c>
      <c r="S21" s="28" t="s">
        <v>103</v>
      </c>
      <c r="T21" s="28">
        <v>8</v>
      </c>
      <c r="U21" s="29" t="s">
        <v>111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111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98</v>
      </c>
      <c r="T23" s="28">
        <v>8</v>
      </c>
      <c r="U23" s="29" t="s">
        <v>111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99</v>
      </c>
      <c r="T24" s="28">
        <v>8</v>
      </c>
      <c r="U24" s="29" t="s">
        <v>111</v>
      </c>
    </row>
    <row r="25" spans="5:21" x14ac:dyDescent="0.25">
      <c r="N25"/>
      <c r="O25"/>
      <c r="R25" s="28" t="s">
        <v>92</v>
      </c>
      <c r="S25" s="28" t="s">
        <v>100</v>
      </c>
      <c r="T25" s="28">
        <v>8</v>
      </c>
      <c r="U25" s="29" t="s">
        <v>111</v>
      </c>
    </row>
    <row r="26" spans="5:21" x14ac:dyDescent="0.25">
      <c r="N26"/>
      <c r="O26"/>
      <c r="R26" s="28" t="s">
        <v>92</v>
      </c>
      <c r="S26" s="28" t="s">
        <v>101</v>
      </c>
      <c r="T26" s="28">
        <v>8</v>
      </c>
      <c r="U26" s="29" t="s">
        <v>111</v>
      </c>
    </row>
    <row r="27" spans="5:21" x14ac:dyDescent="0.25">
      <c r="N27"/>
      <c r="O27"/>
      <c r="R27" s="28" t="s">
        <v>92</v>
      </c>
      <c r="S27" s="28" t="s">
        <v>102</v>
      </c>
      <c r="T27" s="28">
        <v>8</v>
      </c>
      <c r="U27" s="29" t="s">
        <v>111</v>
      </c>
    </row>
    <row r="28" spans="5:21" x14ac:dyDescent="0.25">
      <c r="M28" s="18"/>
      <c r="N28"/>
      <c r="O28"/>
      <c r="R28" s="28" t="s">
        <v>92</v>
      </c>
      <c r="S28" s="28" t="s">
        <v>103</v>
      </c>
      <c r="T28" s="28">
        <v>8</v>
      </c>
      <c r="U28" s="29" t="s">
        <v>111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111</v>
      </c>
    </row>
    <row r="30" spans="5:21" x14ac:dyDescent="0.25">
      <c r="H30" s="18"/>
      <c r="N30"/>
      <c r="O30"/>
      <c r="R30" s="28" t="s">
        <v>93</v>
      </c>
      <c r="S30" s="28" t="s">
        <v>98</v>
      </c>
      <c r="T30" s="28">
        <v>8</v>
      </c>
      <c r="U30" s="29" t="s">
        <v>111</v>
      </c>
    </row>
    <row r="31" spans="5:21" x14ac:dyDescent="0.25">
      <c r="N31"/>
      <c r="O31"/>
      <c r="R31" s="28" t="s">
        <v>93</v>
      </c>
      <c r="S31" s="28" t="s">
        <v>99</v>
      </c>
      <c r="T31" s="28">
        <v>8</v>
      </c>
      <c r="U31" s="29" t="s">
        <v>111</v>
      </c>
    </row>
    <row r="32" spans="5:21" x14ac:dyDescent="0.25">
      <c r="N32"/>
      <c r="O32"/>
      <c r="R32" s="28" t="s">
        <v>93</v>
      </c>
      <c r="S32" s="28" t="s">
        <v>100</v>
      </c>
      <c r="T32" s="28">
        <v>8</v>
      </c>
      <c r="U32" s="29" t="s">
        <v>111</v>
      </c>
    </row>
    <row r="33" spans="14:21" x14ac:dyDescent="0.25">
      <c r="N33"/>
      <c r="O33"/>
      <c r="R33" s="28" t="s">
        <v>93</v>
      </c>
      <c r="S33" s="28" t="s">
        <v>101</v>
      </c>
      <c r="T33" s="28">
        <v>8</v>
      </c>
      <c r="U33" s="29" t="s">
        <v>111</v>
      </c>
    </row>
    <row r="34" spans="14:21" x14ac:dyDescent="0.25">
      <c r="N34"/>
      <c r="O34"/>
      <c r="R34" s="28" t="s">
        <v>93</v>
      </c>
      <c r="S34" s="28" t="s">
        <v>102</v>
      </c>
      <c r="T34" s="28">
        <v>8</v>
      </c>
      <c r="U34" s="29" t="s">
        <v>111</v>
      </c>
    </row>
    <row r="35" spans="14:21" x14ac:dyDescent="0.25">
      <c r="N35"/>
      <c r="O35"/>
      <c r="R35" s="28" t="s">
        <v>93</v>
      </c>
      <c r="S35" s="28" t="s">
        <v>103</v>
      </c>
      <c r="T35" s="28">
        <v>8</v>
      </c>
      <c r="U35" s="29" t="s">
        <v>111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111</v>
      </c>
    </row>
    <row r="37" spans="14:21" x14ac:dyDescent="0.25">
      <c r="N37"/>
      <c r="O37"/>
      <c r="R37" s="28" t="s">
        <v>89</v>
      </c>
      <c r="S37" s="28" t="s">
        <v>98</v>
      </c>
      <c r="T37" s="28">
        <v>8</v>
      </c>
      <c r="U37" s="29" t="s">
        <v>114</v>
      </c>
    </row>
    <row r="38" spans="14:21" x14ac:dyDescent="0.25">
      <c r="N38"/>
      <c r="O38"/>
      <c r="R38" s="28" t="s">
        <v>89</v>
      </c>
      <c r="S38" s="28" t="s">
        <v>99</v>
      </c>
      <c r="T38" s="28">
        <v>8</v>
      </c>
      <c r="U38" s="29" t="s">
        <v>114</v>
      </c>
    </row>
    <row r="39" spans="14:21" x14ac:dyDescent="0.25">
      <c r="N39"/>
      <c r="O39"/>
      <c r="R39" s="28" t="s">
        <v>89</v>
      </c>
      <c r="S39" s="28" t="s">
        <v>100</v>
      </c>
      <c r="T39" s="28">
        <v>8</v>
      </c>
      <c r="U39" s="29" t="s">
        <v>114</v>
      </c>
    </row>
    <row r="40" spans="14:21" x14ac:dyDescent="0.25">
      <c r="N40"/>
      <c r="O40"/>
      <c r="R40" s="28" t="s">
        <v>89</v>
      </c>
      <c r="S40" s="28" t="s">
        <v>101</v>
      </c>
      <c r="T40" s="28">
        <v>8</v>
      </c>
      <c r="U40" s="29" t="s">
        <v>114</v>
      </c>
    </row>
    <row r="41" spans="14:21" x14ac:dyDescent="0.25">
      <c r="N41"/>
      <c r="O41"/>
      <c r="R41" s="28" t="s">
        <v>89</v>
      </c>
      <c r="S41" s="28" t="s">
        <v>102</v>
      </c>
      <c r="T41" s="28">
        <v>8</v>
      </c>
      <c r="U41" s="29" t="s">
        <v>114</v>
      </c>
    </row>
    <row r="42" spans="14:21" x14ac:dyDescent="0.25">
      <c r="N42"/>
      <c r="O42"/>
      <c r="R42" s="28" t="s">
        <v>89</v>
      </c>
      <c r="S42" s="28" t="s">
        <v>103</v>
      </c>
      <c r="T42" s="28">
        <v>8</v>
      </c>
      <c r="U42" s="29" t="s">
        <v>114</v>
      </c>
    </row>
    <row r="43" spans="14:21" x14ac:dyDescent="0.25">
      <c r="N43"/>
      <c r="O43"/>
      <c r="R43" s="28" t="s">
        <v>89</v>
      </c>
      <c r="S43" s="28" t="s">
        <v>89</v>
      </c>
      <c r="T43" s="28">
        <v>8</v>
      </c>
      <c r="U43" s="29" t="s">
        <v>114</v>
      </c>
    </row>
    <row r="44" spans="14:21" x14ac:dyDescent="0.25">
      <c r="N44"/>
      <c r="O44"/>
      <c r="R44" s="28" t="s">
        <v>90</v>
      </c>
      <c r="S44" s="28" t="s">
        <v>98</v>
      </c>
      <c r="T44" s="28">
        <v>8</v>
      </c>
      <c r="U44" s="29" t="s">
        <v>114</v>
      </c>
    </row>
    <row r="45" spans="14:21" x14ac:dyDescent="0.25">
      <c r="N45"/>
      <c r="O45"/>
      <c r="R45" s="28" t="s">
        <v>90</v>
      </c>
      <c r="S45" s="28" t="s">
        <v>99</v>
      </c>
      <c r="T45" s="28">
        <v>8</v>
      </c>
      <c r="U45" s="29" t="s">
        <v>114</v>
      </c>
    </row>
    <row r="46" spans="14:21" x14ac:dyDescent="0.25">
      <c r="N46"/>
      <c r="O46"/>
      <c r="R46" s="28" t="s">
        <v>90</v>
      </c>
      <c r="S46" s="28" t="s">
        <v>100</v>
      </c>
      <c r="T46" s="28">
        <v>8</v>
      </c>
      <c r="U46" s="29" t="s">
        <v>114</v>
      </c>
    </row>
    <row r="47" spans="14:21" x14ac:dyDescent="0.25">
      <c r="N47"/>
      <c r="O47"/>
      <c r="R47" s="28" t="s">
        <v>90</v>
      </c>
      <c r="S47" s="28" t="s">
        <v>101</v>
      </c>
      <c r="T47" s="28">
        <v>8</v>
      </c>
      <c r="U47" s="29" t="s">
        <v>114</v>
      </c>
    </row>
    <row r="48" spans="14:21" x14ac:dyDescent="0.25">
      <c r="N48"/>
      <c r="O48"/>
      <c r="R48" s="28" t="s">
        <v>90</v>
      </c>
      <c r="S48" s="28" t="s">
        <v>102</v>
      </c>
      <c r="T48" s="28">
        <v>8</v>
      </c>
      <c r="U48" s="29" t="s">
        <v>114</v>
      </c>
    </row>
    <row r="49" spans="14:21" x14ac:dyDescent="0.25">
      <c r="N49"/>
      <c r="O49"/>
      <c r="R49" s="28" t="s">
        <v>90</v>
      </c>
      <c r="S49" s="28" t="s">
        <v>103</v>
      </c>
      <c r="T49" s="28">
        <v>8</v>
      </c>
      <c r="U49" s="29" t="s">
        <v>114</v>
      </c>
    </row>
    <row r="50" spans="14:21" x14ac:dyDescent="0.25">
      <c r="R50" s="28" t="s">
        <v>90</v>
      </c>
      <c r="S50" s="28" t="s">
        <v>89</v>
      </c>
      <c r="T50" s="28">
        <v>8</v>
      </c>
      <c r="U50" s="29" t="s">
        <v>114</v>
      </c>
    </row>
    <row r="51" spans="14:21" x14ac:dyDescent="0.25">
      <c r="R51" s="28" t="s">
        <v>91</v>
      </c>
      <c r="S51" s="28" t="s">
        <v>98</v>
      </c>
      <c r="T51" s="28">
        <v>8</v>
      </c>
      <c r="U51" s="29" t="s">
        <v>114</v>
      </c>
    </row>
    <row r="52" spans="14:21" x14ac:dyDescent="0.25">
      <c r="R52" s="28" t="s">
        <v>91</v>
      </c>
      <c r="S52" s="28" t="s">
        <v>99</v>
      </c>
      <c r="T52" s="28">
        <v>8</v>
      </c>
      <c r="U52" s="29" t="s">
        <v>114</v>
      </c>
    </row>
    <row r="53" spans="14:21" x14ac:dyDescent="0.25">
      <c r="R53" s="28" t="s">
        <v>91</v>
      </c>
      <c r="S53" s="28" t="s">
        <v>100</v>
      </c>
      <c r="T53" s="28">
        <v>8</v>
      </c>
      <c r="U53" s="29" t="s">
        <v>114</v>
      </c>
    </row>
    <row r="54" spans="14:21" x14ac:dyDescent="0.25">
      <c r="R54" s="28" t="s">
        <v>91</v>
      </c>
      <c r="S54" s="28" t="s">
        <v>101</v>
      </c>
      <c r="T54" s="28">
        <v>8</v>
      </c>
      <c r="U54" s="29" t="s">
        <v>114</v>
      </c>
    </row>
    <row r="55" spans="14:21" x14ac:dyDescent="0.25">
      <c r="R55" s="28" t="s">
        <v>91</v>
      </c>
      <c r="S55" s="28" t="s">
        <v>102</v>
      </c>
      <c r="T55" s="28">
        <v>8</v>
      </c>
      <c r="U55" s="29" t="s">
        <v>114</v>
      </c>
    </row>
    <row r="56" spans="14:21" x14ac:dyDescent="0.25">
      <c r="R56" s="28" t="s">
        <v>91</v>
      </c>
      <c r="S56" s="28" t="s">
        <v>103</v>
      </c>
      <c r="T56" s="28">
        <v>8</v>
      </c>
      <c r="U56" s="29" t="s">
        <v>114</v>
      </c>
    </row>
    <row r="57" spans="14:21" x14ac:dyDescent="0.25">
      <c r="R57" s="28" t="s">
        <v>91</v>
      </c>
      <c r="S57" s="28" t="s">
        <v>89</v>
      </c>
      <c r="T57" s="28">
        <v>8</v>
      </c>
      <c r="U57" s="29" t="s">
        <v>114</v>
      </c>
    </row>
    <row r="58" spans="14:21" x14ac:dyDescent="0.25">
      <c r="R58" s="28" t="s">
        <v>92</v>
      </c>
      <c r="S58" s="28" t="s">
        <v>98</v>
      </c>
      <c r="T58" s="28">
        <v>8</v>
      </c>
      <c r="U58" s="29" t="s">
        <v>114</v>
      </c>
    </row>
    <row r="59" spans="14:21" x14ac:dyDescent="0.25">
      <c r="R59" s="28" t="s">
        <v>92</v>
      </c>
      <c r="S59" s="28" t="s">
        <v>99</v>
      </c>
      <c r="T59" s="28">
        <v>8</v>
      </c>
      <c r="U59" s="29" t="s">
        <v>114</v>
      </c>
    </row>
    <row r="60" spans="14:21" x14ac:dyDescent="0.25">
      <c r="R60" s="28" t="s">
        <v>92</v>
      </c>
      <c r="S60" s="28" t="s">
        <v>100</v>
      </c>
      <c r="T60" s="28">
        <v>8</v>
      </c>
      <c r="U60" s="29" t="s">
        <v>114</v>
      </c>
    </row>
    <row r="61" spans="14:21" x14ac:dyDescent="0.25">
      <c r="R61" s="28" t="s">
        <v>92</v>
      </c>
      <c r="S61" s="28" t="s">
        <v>101</v>
      </c>
      <c r="T61" s="28">
        <v>8</v>
      </c>
      <c r="U61" s="29" t="s">
        <v>114</v>
      </c>
    </row>
    <row r="62" spans="14:21" x14ac:dyDescent="0.25">
      <c r="R62" s="28" t="s">
        <v>92</v>
      </c>
      <c r="S62" s="28" t="s">
        <v>102</v>
      </c>
      <c r="T62" s="28">
        <v>8</v>
      </c>
      <c r="U62" s="29" t="s">
        <v>114</v>
      </c>
    </row>
    <row r="63" spans="14:21" x14ac:dyDescent="0.25">
      <c r="R63" s="28" t="s">
        <v>92</v>
      </c>
      <c r="S63" s="28" t="s">
        <v>103</v>
      </c>
      <c r="T63" s="28">
        <v>8</v>
      </c>
      <c r="U63" s="29" t="s">
        <v>114</v>
      </c>
    </row>
    <row r="64" spans="14:21" x14ac:dyDescent="0.25">
      <c r="R64" s="28" t="s">
        <v>92</v>
      </c>
      <c r="S64" s="28" t="s">
        <v>89</v>
      </c>
      <c r="T64" s="28">
        <v>8</v>
      </c>
      <c r="U64" s="29" t="s">
        <v>114</v>
      </c>
    </row>
    <row r="65" spans="18:21" x14ac:dyDescent="0.25">
      <c r="R65" s="28" t="s">
        <v>93</v>
      </c>
      <c r="S65" s="28" t="s">
        <v>98</v>
      </c>
      <c r="T65" s="28">
        <v>8</v>
      </c>
      <c r="U65" s="29" t="s">
        <v>114</v>
      </c>
    </row>
    <row r="66" spans="18:21" x14ac:dyDescent="0.25">
      <c r="R66" s="28" t="s">
        <v>93</v>
      </c>
      <c r="S66" s="28" t="s">
        <v>99</v>
      </c>
      <c r="T66" s="28">
        <v>8</v>
      </c>
      <c r="U66" s="29" t="s">
        <v>114</v>
      </c>
    </row>
    <row r="67" spans="18:21" x14ac:dyDescent="0.25">
      <c r="R67" s="28" t="s">
        <v>93</v>
      </c>
      <c r="S67" s="28" t="s">
        <v>100</v>
      </c>
      <c r="T67" s="28">
        <v>8</v>
      </c>
      <c r="U67" s="29" t="s">
        <v>114</v>
      </c>
    </row>
    <row r="68" spans="18:21" x14ac:dyDescent="0.25">
      <c r="R68" s="28" t="s">
        <v>93</v>
      </c>
      <c r="S68" s="28" t="s">
        <v>101</v>
      </c>
      <c r="T68" s="28">
        <v>8</v>
      </c>
      <c r="U68" s="29" t="s">
        <v>114</v>
      </c>
    </row>
    <row r="69" spans="18:21" x14ac:dyDescent="0.25">
      <c r="R69" s="28" t="s">
        <v>93</v>
      </c>
      <c r="S69" s="28" t="s">
        <v>102</v>
      </c>
      <c r="T69" s="28">
        <v>8</v>
      </c>
      <c r="U69" s="29" t="s">
        <v>114</v>
      </c>
    </row>
    <row r="70" spans="18:21" x14ac:dyDescent="0.25">
      <c r="R70" s="28" t="s">
        <v>93</v>
      </c>
      <c r="S70" s="28" t="s">
        <v>103</v>
      </c>
      <c r="T70" s="28">
        <v>8</v>
      </c>
      <c r="U70" s="29" t="s">
        <v>114</v>
      </c>
    </row>
    <row r="71" spans="18:21" x14ac:dyDescent="0.25">
      <c r="R71" s="28" t="s">
        <v>93</v>
      </c>
      <c r="S71" s="28" t="s">
        <v>89</v>
      </c>
      <c r="T71" s="28">
        <v>8</v>
      </c>
      <c r="U71" s="29" t="s">
        <v>114</v>
      </c>
    </row>
    <row r="72" spans="18:21" x14ac:dyDescent="0.25">
      <c r="R72" s="28" t="s">
        <v>89</v>
      </c>
      <c r="S72" s="28" t="s">
        <v>257</v>
      </c>
      <c r="T72" s="28">
        <v>8</v>
      </c>
      <c r="U72" s="29" t="s">
        <v>111</v>
      </c>
    </row>
    <row r="73" spans="18:21" x14ac:dyDescent="0.25">
      <c r="R73" s="28" t="s">
        <v>89</v>
      </c>
      <c r="S73" s="28" t="s">
        <v>258</v>
      </c>
      <c r="T73" s="28">
        <v>8</v>
      </c>
      <c r="U73" s="29" t="s">
        <v>111</v>
      </c>
    </row>
    <row r="74" spans="18:21" x14ac:dyDescent="0.25">
      <c r="R74" s="28" t="s">
        <v>89</v>
      </c>
      <c r="S74" s="28" t="s">
        <v>259</v>
      </c>
      <c r="T74" s="28">
        <v>8</v>
      </c>
      <c r="U74" s="29" t="s">
        <v>111</v>
      </c>
    </row>
    <row r="75" spans="18:21" x14ac:dyDescent="0.25">
      <c r="R75" s="28" t="s">
        <v>89</v>
      </c>
      <c r="S75" s="28" t="s">
        <v>260</v>
      </c>
      <c r="T75" s="28">
        <v>8</v>
      </c>
      <c r="U75" s="29" t="s">
        <v>111</v>
      </c>
    </row>
    <row r="76" spans="18:21" x14ac:dyDescent="0.25">
      <c r="R76" s="28" t="s">
        <v>89</v>
      </c>
      <c r="S76" s="28" t="s">
        <v>261</v>
      </c>
      <c r="T76" s="28">
        <v>8</v>
      </c>
      <c r="U76" s="29" t="s">
        <v>111</v>
      </c>
    </row>
    <row r="77" spans="18:21" x14ac:dyDescent="0.25">
      <c r="R77" s="28" t="s">
        <v>89</v>
      </c>
      <c r="S77" s="28" t="s">
        <v>262</v>
      </c>
      <c r="T77" s="28">
        <v>8</v>
      </c>
      <c r="U77" s="29" t="s">
        <v>111</v>
      </c>
    </row>
    <row r="78" spans="18:21" x14ac:dyDescent="0.25">
      <c r="R78" s="28" t="s">
        <v>89</v>
      </c>
      <c r="S78" s="28" t="s">
        <v>263</v>
      </c>
      <c r="T78" s="28">
        <v>8</v>
      </c>
      <c r="U78" s="29" t="s">
        <v>111</v>
      </c>
    </row>
    <row r="79" spans="18:21" x14ac:dyDescent="0.25">
      <c r="R79" s="28" t="s">
        <v>89</v>
      </c>
      <c r="S79" s="28" t="s">
        <v>264</v>
      </c>
      <c r="T79" s="28">
        <v>8</v>
      </c>
      <c r="U79" s="29" t="s">
        <v>111</v>
      </c>
    </row>
    <row r="80" spans="18:21" x14ac:dyDescent="0.25">
      <c r="R80" s="28" t="s">
        <v>90</v>
      </c>
      <c r="S80" s="28" t="s">
        <v>257</v>
      </c>
      <c r="T80" s="28">
        <v>8</v>
      </c>
      <c r="U80" s="29" t="s">
        <v>111</v>
      </c>
    </row>
    <row r="81" spans="18:21" x14ac:dyDescent="0.25">
      <c r="R81" s="28" t="s">
        <v>90</v>
      </c>
      <c r="S81" s="28" t="s">
        <v>258</v>
      </c>
      <c r="T81" s="28">
        <v>8</v>
      </c>
      <c r="U81" s="29" t="s">
        <v>111</v>
      </c>
    </row>
    <row r="82" spans="18:21" x14ac:dyDescent="0.25">
      <c r="R82" s="28" t="s">
        <v>90</v>
      </c>
      <c r="S82" s="28" t="s">
        <v>259</v>
      </c>
      <c r="T82" s="28">
        <v>8</v>
      </c>
      <c r="U82" s="29" t="s">
        <v>111</v>
      </c>
    </row>
    <row r="83" spans="18:21" x14ac:dyDescent="0.25">
      <c r="R83" s="28" t="s">
        <v>90</v>
      </c>
      <c r="S83" s="28" t="s">
        <v>260</v>
      </c>
      <c r="T83" s="28">
        <v>8</v>
      </c>
      <c r="U83" s="29" t="s">
        <v>111</v>
      </c>
    </row>
    <row r="84" spans="18:21" x14ac:dyDescent="0.25">
      <c r="R84" s="28" t="s">
        <v>90</v>
      </c>
      <c r="S84" s="28" t="s">
        <v>261</v>
      </c>
      <c r="T84" s="28">
        <v>8</v>
      </c>
      <c r="U84" s="29" t="s">
        <v>111</v>
      </c>
    </row>
    <row r="85" spans="18:21" x14ac:dyDescent="0.25">
      <c r="R85" s="28" t="s">
        <v>90</v>
      </c>
      <c r="S85" s="28" t="s">
        <v>262</v>
      </c>
      <c r="T85" s="28">
        <v>8</v>
      </c>
      <c r="U85" s="29" t="s">
        <v>111</v>
      </c>
    </row>
    <row r="86" spans="18:21" x14ac:dyDescent="0.25">
      <c r="R86" s="28" t="s">
        <v>90</v>
      </c>
      <c r="S86" s="28" t="s">
        <v>263</v>
      </c>
      <c r="T86" s="28">
        <v>8</v>
      </c>
      <c r="U86" s="29" t="s">
        <v>111</v>
      </c>
    </row>
    <row r="87" spans="18:21" x14ac:dyDescent="0.25">
      <c r="R87" s="28" t="s">
        <v>90</v>
      </c>
      <c r="S87" s="28" t="s">
        <v>264</v>
      </c>
      <c r="T87" s="28">
        <v>8</v>
      </c>
      <c r="U87" s="29" t="s">
        <v>111</v>
      </c>
    </row>
    <row r="88" spans="18:21" x14ac:dyDescent="0.25">
      <c r="R88" s="28" t="s">
        <v>91</v>
      </c>
      <c r="S88" s="28" t="s">
        <v>257</v>
      </c>
      <c r="T88" s="28">
        <v>8</v>
      </c>
      <c r="U88" s="29" t="s">
        <v>111</v>
      </c>
    </row>
    <row r="89" spans="18:21" x14ac:dyDescent="0.25">
      <c r="R89" s="28" t="s">
        <v>91</v>
      </c>
      <c r="S89" s="28" t="s">
        <v>258</v>
      </c>
      <c r="T89" s="28">
        <v>8</v>
      </c>
      <c r="U89" s="29" t="s">
        <v>111</v>
      </c>
    </row>
    <row r="90" spans="18:21" x14ac:dyDescent="0.25">
      <c r="R90" s="28" t="s">
        <v>91</v>
      </c>
      <c r="S90" s="28" t="s">
        <v>259</v>
      </c>
      <c r="T90" s="28">
        <v>8</v>
      </c>
      <c r="U90" s="29" t="s">
        <v>111</v>
      </c>
    </row>
    <row r="91" spans="18:21" x14ac:dyDescent="0.25">
      <c r="R91" s="28" t="s">
        <v>91</v>
      </c>
      <c r="S91" s="28" t="s">
        <v>260</v>
      </c>
      <c r="T91" s="28">
        <v>8</v>
      </c>
      <c r="U91" s="29" t="s">
        <v>111</v>
      </c>
    </row>
    <row r="92" spans="18:21" x14ac:dyDescent="0.25">
      <c r="R92" s="28" t="s">
        <v>91</v>
      </c>
      <c r="S92" s="28" t="s">
        <v>261</v>
      </c>
      <c r="T92" s="28">
        <v>8</v>
      </c>
      <c r="U92" s="29" t="s">
        <v>111</v>
      </c>
    </row>
    <row r="93" spans="18:21" x14ac:dyDescent="0.25">
      <c r="R93" s="28" t="s">
        <v>91</v>
      </c>
      <c r="S93" s="28" t="s">
        <v>262</v>
      </c>
      <c r="T93" s="28">
        <v>8</v>
      </c>
      <c r="U93" s="29" t="s">
        <v>111</v>
      </c>
    </row>
    <row r="94" spans="18:21" x14ac:dyDescent="0.25">
      <c r="R94" s="28" t="s">
        <v>91</v>
      </c>
      <c r="S94" s="28" t="s">
        <v>263</v>
      </c>
      <c r="T94" s="28">
        <v>8</v>
      </c>
      <c r="U94" s="29" t="s">
        <v>111</v>
      </c>
    </row>
    <row r="95" spans="18:21" x14ac:dyDescent="0.25">
      <c r="R95" s="28" t="s">
        <v>91</v>
      </c>
      <c r="S95" s="28" t="s">
        <v>264</v>
      </c>
      <c r="T95" s="28">
        <v>8</v>
      </c>
      <c r="U95" s="29" t="s">
        <v>111</v>
      </c>
    </row>
    <row r="96" spans="18:21" x14ac:dyDescent="0.25">
      <c r="R96" s="28" t="s">
        <v>92</v>
      </c>
      <c r="S96" s="28" t="s">
        <v>257</v>
      </c>
      <c r="T96" s="28">
        <v>8</v>
      </c>
      <c r="U96" s="29" t="s">
        <v>111</v>
      </c>
    </row>
    <row r="97" spans="18:21" x14ac:dyDescent="0.25">
      <c r="R97" s="28" t="s">
        <v>92</v>
      </c>
      <c r="S97" s="28" t="s">
        <v>258</v>
      </c>
      <c r="T97" s="28">
        <v>8</v>
      </c>
      <c r="U97" s="29" t="s">
        <v>111</v>
      </c>
    </row>
    <row r="98" spans="18:21" x14ac:dyDescent="0.25">
      <c r="R98" s="28" t="s">
        <v>92</v>
      </c>
      <c r="S98" s="28" t="s">
        <v>259</v>
      </c>
      <c r="T98" s="28">
        <v>8</v>
      </c>
      <c r="U98" s="29" t="s">
        <v>111</v>
      </c>
    </row>
    <row r="99" spans="18:21" x14ac:dyDescent="0.25">
      <c r="R99" s="28" t="s">
        <v>92</v>
      </c>
      <c r="S99" s="28" t="s">
        <v>260</v>
      </c>
      <c r="T99" s="28">
        <v>8</v>
      </c>
      <c r="U99" s="29" t="s">
        <v>111</v>
      </c>
    </row>
    <row r="100" spans="18:21" x14ac:dyDescent="0.25">
      <c r="R100" s="28" t="s">
        <v>92</v>
      </c>
      <c r="S100" s="28" t="s">
        <v>261</v>
      </c>
      <c r="T100" s="28">
        <v>8</v>
      </c>
      <c r="U100" s="29" t="s">
        <v>111</v>
      </c>
    </row>
    <row r="101" spans="18:21" x14ac:dyDescent="0.25">
      <c r="R101" s="28" t="s">
        <v>92</v>
      </c>
      <c r="S101" s="28" t="s">
        <v>262</v>
      </c>
      <c r="T101" s="28">
        <v>8</v>
      </c>
      <c r="U101" s="29" t="s">
        <v>111</v>
      </c>
    </row>
    <row r="102" spans="18:21" x14ac:dyDescent="0.25">
      <c r="R102" s="28" t="s">
        <v>92</v>
      </c>
      <c r="S102" s="28" t="s">
        <v>263</v>
      </c>
      <c r="T102" s="28">
        <v>8</v>
      </c>
      <c r="U102" s="29" t="s">
        <v>111</v>
      </c>
    </row>
    <row r="103" spans="18:21" x14ac:dyDescent="0.25">
      <c r="R103" s="28" t="s">
        <v>92</v>
      </c>
      <c r="S103" s="28" t="s">
        <v>264</v>
      </c>
      <c r="T103" s="28">
        <v>8</v>
      </c>
      <c r="U103" s="29" t="s">
        <v>111</v>
      </c>
    </row>
    <row r="104" spans="18:21" x14ac:dyDescent="0.25">
      <c r="R104" s="28" t="s">
        <v>93</v>
      </c>
      <c r="S104" s="28" t="s">
        <v>257</v>
      </c>
      <c r="T104" s="28">
        <v>8</v>
      </c>
      <c r="U104" s="29" t="s">
        <v>111</v>
      </c>
    </row>
    <row r="105" spans="18:21" x14ac:dyDescent="0.25">
      <c r="R105" s="28" t="s">
        <v>93</v>
      </c>
      <c r="S105" s="28" t="s">
        <v>258</v>
      </c>
      <c r="T105" s="28">
        <v>8</v>
      </c>
      <c r="U105" s="29" t="s">
        <v>111</v>
      </c>
    </row>
    <row r="106" spans="18:21" x14ac:dyDescent="0.25">
      <c r="R106" s="28" t="s">
        <v>93</v>
      </c>
      <c r="S106" s="28" t="s">
        <v>259</v>
      </c>
      <c r="T106" s="28">
        <v>8</v>
      </c>
      <c r="U106" s="29" t="s">
        <v>111</v>
      </c>
    </row>
    <row r="107" spans="18:21" x14ac:dyDescent="0.25">
      <c r="R107" s="28" t="s">
        <v>93</v>
      </c>
      <c r="S107" s="28" t="s">
        <v>260</v>
      </c>
      <c r="T107" s="28">
        <v>8</v>
      </c>
      <c r="U107" s="29" t="s">
        <v>111</v>
      </c>
    </row>
    <row r="108" spans="18:21" x14ac:dyDescent="0.25">
      <c r="R108" s="28" t="s">
        <v>93</v>
      </c>
      <c r="S108" s="28" t="s">
        <v>261</v>
      </c>
      <c r="T108" s="28">
        <v>8</v>
      </c>
      <c r="U108" s="29" t="s">
        <v>111</v>
      </c>
    </row>
    <row r="109" spans="18:21" x14ac:dyDescent="0.25">
      <c r="R109" s="28" t="s">
        <v>93</v>
      </c>
      <c r="S109" s="28" t="s">
        <v>262</v>
      </c>
      <c r="T109" s="28">
        <v>8</v>
      </c>
      <c r="U109" s="29" t="s">
        <v>111</v>
      </c>
    </row>
    <row r="110" spans="18:21" x14ac:dyDescent="0.25">
      <c r="R110" s="28" t="s">
        <v>93</v>
      </c>
      <c r="S110" s="28" t="s">
        <v>263</v>
      </c>
      <c r="T110" s="28">
        <v>8</v>
      </c>
      <c r="U110" s="29" t="s">
        <v>111</v>
      </c>
    </row>
    <row r="111" spans="18:21" x14ac:dyDescent="0.25">
      <c r="R111" s="28" t="s">
        <v>93</v>
      </c>
      <c r="S111" s="28" t="s">
        <v>264</v>
      </c>
      <c r="T111" s="28">
        <v>8</v>
      </c>
      <c r="U111" s="29" t="s">
        <v>111</v>
      </c>
    </row>
    <row r="112" spans="18:21" x14ac:dyDescent="0.25">
      <c r="R112" s="28" t="s">
        <v>89</v>
      </c>
      <c r="S112" s="28" t="s">
        <v>257</v>
      </c>
      <c r="T112" s="28">
        <v>8</v>
      </c>
      <c r="U112" s="29" t="s">
        <v>114</v>
      </c>
    </row>
    <row r="113" spans="18:21" x14ac:dyDescent="0.25">
      <c r="R113" s="28" t="s">
        <v>89</v>
      </c>
      <c r="S113" s="28" t="s">
        <v>258</v>
      </c>
      <c r="T113" s="28">
        <v>8</v>
      </c>
      <c r="U113" s="29" t="s">
        <v>114</v>
      </c>
    </row>
    <row r="114" spans="18:21" x14ac:dyDescent="0.25">
      <c r="R114" s="28" t="s">
        <v>89</v>
      </c>
      <c r="S114" s="28" t="s">
        <v>259</v>
      </c>
      <c r="T114" s="28">
        <v>8</v>
      </c>
      <c r="U114" s="29" t="s">
        <v>114</v>
      </c>
    </row>
    <row r="115" spans="18:21" x14ac:dyDescent="0.25">
      <c r="R115" s="28" t="s">
        <v>89</v>
      </c>
      <c r="S115" s="28" t="s">
        <v>260</v>
      </c>
      <c r="T115" s="28">
        <v>8</v>
      </c>
      <c r="U115" s="29" t="s">
        <v>114</v>
      </c>
    </row>
    <row r="116" spans="18:21" x14ac:dyDescent="0.25">
      <c r="R116" s="28" t="s">
        <v>89</v>
      </c>
      <c r="S116" s="28" t="s">
        <v>261</v>
      </c>
      <c r="T116" s="28">
        <v>8</v>
      </c>
      <c r="U116" s="29" t="s">
        <v>114</v>
      </c>
    </row>
    <row r="117" spans="18:21" x14ac:dyDescent="0.25">
      <c r="R117" s="28" t="s">
        <v>89</v>
      </c>
      <c r="S117" s="28" t="s">
        <v>262</v>
      </c>
      <c r="T117" s="28">
        <v>8</v>
      </c>
      <c r="U117" s="29" t="s">
        <v>114</v>
      </c>
    </row>
    <row r="118" spans="18:21" x14ac:dyDescent="0.25">
      <c r="R118" s="28" t="s">
        <v>89</v>
      </c>
      <c r="S118" s="28" t="s">
        <v>263</v>
      </c>
      <c r="T118" s="28">
        <v>8</v>
      </c>
      <c r="U118" s="29" t="s">
        <v>114</v>
      </c>
    </row>
    <row r="119" spans="18:21" x14ac:dyDescent="0.25">
      <c r="R119" s="28" t="s">
        <v>89</v>
      </c>
      <c r="S119" s="28" t="s">
        <v>264</v>
      </c>
      <c r="T119" s="28">
        <v>8</v>
      </c>
      <c r="U119" s="29" t="s">
        <v>114</v>
      </c>
    </row>
    <row r="120" spans="18:21" x14ac:dyDescent="0.25">
      <c r="R120" s="28" t="s">
        <v>90</v>
      </c>
      <c r="S120" s="28" t="s">
        <v>257</v>
      </c>
      <c r="T120" s="28">
        <v>8</v>
      </c>
      <c r="U120" s="29" t="s">
        <v>114</v>
      </c>
    </row>
    <row r="121" spans="18:21" x14ac:dyDescent="0.25">
      <c r="R121" s="28" t="s">
        <v>90</v>
      </c>
      <c r="S121" s="28" t="s">
        <v>258</v>
      </c>
      <c r="T121" s="28">
        <v>8</v>
      </c>
      <c r="U121" s="29" t="s">
        <v>114</v>
      </c>
    </row>
    <row r="122" spans="18:21" x14ac:dyDescent="0.25">
      <c r="R122" s="28" t="s">
        <v>90</v>
      </c>
      <c r="S122" s="28" t="s">
        <v>259</v>
      </c>
      <c r="T122" s="28">
        <v>8</v>
      </c>
      <c r="U122" s="29" t="s">
        <v>114</v>
      </c>
    </row>
    <row r="123" spans="18:21" x14ac:dyDescent="0.25">
      <c r="R123" s="28" t="s">
        <v>90</v>
      </c>
      <c r="S123" s="28" t="s">
        <v>260</v>
      </c>
      <c r="T123" s="28">
        <v>8</v>
      </c>
      <c r="U123" s="29" t="s">
        <v>114</v>
      </c>
    </row>
    <row r="124" spans="18:21" x14ac:dyDescent="0.25">
      <c r="R124" s="28" t="s">
        <v>90</v>
      </c>
      <c r="S124" s="28" t="s">
        <v>261</v>
      </c>
      <c r="T124" s="28">
        <v>8</v>
      </c>
      <c r="U124" s="29" t="s">
        <v>114</v>
      </c>
    </row>
    <row r="125" spans="18:21" x14ac:dyDescent="0.25">
      <c r="R125" s="28" t="s">
        <v>90</v>
      </c>
      <c r="S125" s="28" t="s">
        <v>262</v>
      </c>
      <c r="T125" s="28">
        <v>8</v>
      </c>
      <c r="U125" s="29" t="s">
        <v>114</v>
      </c>
    </row>
    <row r="126" spans="18:21" x14ac:dyDescent="0.25">
      <c r="R126" s="28" t="s">
        <v>90</v>
      </c>
      <c r="S126" s="28" t="s">
        <v>263</v>
      </c>
      <c r="T126" s="28">
        <v>8</v>
      </c>
      <c r="U126" s="29" t="s">
        <v>114</v>
      </c>
    </row>
    <row r="127" spans="18:21" x14ac:dyDescent="0.25">
      <c r="R127" s="28" t="s">
        <v>90</v>
      </c>
      <c r="S127" s="28" t="s">
        <v>264</v>
      </c>
      <c r="T127" s="28">
        <v>8</v>
      </c>
      <c r="U127" s="29" t="s">
        <v>114</v>
      </c>
    </row>
    <row r="128" spans="18:21" x14ac:dyDescent="0.25">
      <c r="R128" s="28" t="s">
        <v>91</v>
      </c>
      <c r="S128" s="28" t="s">
        <v>257</v>
      </c>
      <c r="T128" s="28">
        <v>8</v>
      </c>
      <c r="U128" s="29" t="s">
        <v>114</v>
      </c>
    </row>
    <row r="129" spans="18:21" x14ac:dyDescent="0.25">
      <c r="R129" s="28" t="s">
        <v>91</v>
      </c>
      <c r="S129" s="28" t="s">
        <v>258</v>
      </c>
      <c r="T129" s="28">
        <v>8</v>
      </c>
      <c r="U129" s="29" t="s">
        <v>114</v>
      </c>
    </row>
    <row r="130" spans="18:21" x14ac:dyDescent="0.25">
      <c r="R130" s="28" t="s">
        <v>91</v>
      </c>
      <c r="S130" s="28" t="s">
        <v>259</v>
      </c>
      <c r="T130" s="28">
        <v>8</v>
      </c>
      <c r="U130" s="29" t="s">
        <v>114</v>
      </c>
    </row>
    <row r="131" spans="18:21" x14ac:dyDescent="0.25">
      <c r="R131" s="28" t="s">
        <v>91</v>
      </c>
      <c r="S131" s="28" t="s">
        <v>260</v>
      </c>
      <c r="T131" s="28">
        <v>8</v>
      </c>
      <c r="U131" s="29" t="s">
        <v>114</v>
      </c>
    </row>
    <row r="132" spans="18:21" x14ac:dyDescent="0.25">
      <c r="R132" s="28" t="s">
        <v>91</v>
      </c>
      <c r="S132" s="28" t="s">
        <v>261</v>
      </c>
      <c r="T132" s="28">
        <v>8</v>
      </c>
      <c r="U132" s="29" t="s">
        <v>114</v>
      </c>
    </row>
    <row r="133" spans="18:21" x14ac:dyDescent="0.25">
      <c r="R133" s="28" t="s">
        <v>91</v>
      </c>
      <c r="S133" s="28" t="s">
        <v>262</v>
      </c>
      <c r="T133" s="28">
        <v>8</v>
      </c>
      <c r="U133" s="29" t="s">
        <v>114</v>
      </c>
    </row>
    <row r="134" spans="18:21" x14ac:dyDescent="0.25">
      <c r="R134" s="28" t="s">
        <v>91</v>
      </c>
      <c r="S134" s="28" t="s">
        <v>263</v>
      </c>
      <c r="T134" s="28">
        <v>8</v>
      </c>
      <c r="U134" s="29" t="s">
        <v>114</v>
      </c>
    </row>
    <row r="135" spans="18:21" x14ac:dyDescent="0.25">
      <c r="R135" s="28" t="s">
        <v>91</v>
      </c>
      <c r="S135" s="28" t="s">
        <v>264</v>
      </c>
      <c r="T135" s="28">
        <v>8</v>
      </c>
      <c r="U135" s="29" t="s">
        <v>114</v>
      </c>
    </row>
    <row r="136" spans="18:21" x14ac:dyDescent="0.25">
      <c r="R136" s="28" t="s">
        <v>92</v>
      </c>
      <c r="S136" s="28" t="s">
        <v>257</v>
      </c>
      <c r="T136" s="28">
        <v>8</v>
      </c>
      <c r="U136" s="29" t="s">
        <v>114</v>
      </c>
    </row>
    <row r="137" spans="18:21" x14ac:dyDescent="0.25">
      <c r="R137" s="28" t="s">
        <v>92</v>
      </c>
      <c r="S137" s="28" t="s">
        <v>258</v>
      </c>
      <c r="T137" s="28">
        <v>8</v>
      </c>
      <c r="U137" s="29" t="s">
        <v>114</v>
      </c>
    </row>
    <row r="138" spans="18:21" x14ac:dyDescent="0.25">
      <c r="R138" s="28" t="s">
        <v>92</v>
      </c>
      <c r="S138" s="28" t="s">
        <v>259</v>
      </c>
      <c r="T138" s="28">
        <v>8</v>
      </c>
      <c r="U138" s="29" t="s">
        <v>114</v>
      </c>
    </row>
    <row r="139" spans="18:21" x14ac:dyDescent="0.25">
      <c r="R139" s="28" t="s">
        <v>92</v>
      </c>
      <c r="S139" s="28" t="s">
        <v>260</v>
      </c>
      <c r="T139" s="28">
        <v>8</v>
      </c>
      <c r="U139" s="29" t="s">
        <v>114</v>
      </c>
    </row>
    <row r="140" spans="18:21" x14ac:dyDescent="0.25">
      <c r="R140" s="28" t="s">
        <v>92</v>
      </c>
      <c r="S140" s="28" t="s">
        <v>261</v>
      </c>
      <c r="T140" s="28">
        <v>8</v>
      </c>
      <c r="U140" s="29" t="s">
        <v>114</v>
      </c>
    </row>
    <row r="141" spans="18:21" x14ac:dyDescent="0.25">
      <c r="R141" s="28" t="s">
        <v>92</v>
      </c>
      <c r="S141" s="28" t="s">
        <v>262</v>
      </c>
      <c r="T141" s="28">
        <v>8</v>
      </c>
      <c r="U141" s="29" t="s">
        <v>114</v>
      </c>
    </row>
    <row r="142" spans="18:21" x14ac:dyDescent="0.25">
      <c r="R142" s="28" t="s">
        <v>92</v>
      </c>
      <c r="S142" s="28" t="s">
        <v>263</v>
      </c>
      <c r="T142" s="28">
        <v>8</v>
      </c>
      <c r="U142" s="29" t="s">
        <v>114</v>
      </c>
    </row>
    <row r="143" spans="18:21" x14ac:dyDescent="0.25">
      <c r="R143" s="28" t="s">
        <v>92</v>
      </c>
      <c r="S143" s="28" t="s">
        <v>264</v>
      </c>
      <c r="T143" s="28">
        <v>8</v>
      </c>
      <c r="U143" s="29" t="s">
        <v>114</v>
      </c>
    </row>
    <row r="144" spans="18:21" x14ac:dyDescent="0.25">
      <c r="R144" s="28" t="s">
        <v>93</v>
      </c>
      <c r="S144" s="28" t="s">
        <v>257</v>
      </c>
      <c r="T144" s="28">
        <v>8</v>
      </c>
      <c r="U144" s="29" t="s">
        <v>114</v>
      </c>
    </row>
    <row r="145" spans="18:21" x14ac:dyDescent="0.25">
      <c r="R145" s="28" t="s">
        <v>93</v>
      </c>
      <c r="S145" s="28" t="s">
        <v>258</v>
      </c>
      <c r="T145" s="28">
        <v>8</v>
      </c>
      <c r="U145" s="29" t="s">
        <v>114</v>
      </c>
    </row>
    <row r="146" spans="18:21" x14ac:dyDescent="0.25">
      <c r="R146" s="28" t="s">
        <v>93</v>
      </c>
      <c r="S146" s="28" t="s">
        <v>259</v>
      </c>
      <c r="T146" s="28">
        <v>8</v>
      </c>
      <c r="U146" s="29" t="s">
        <v>114</v>
      </c>
    </row>
    <row r="147" spans="18:21" x14ac:dyDescent="0.25">
      <c r="R147" s="28" t="s">
        <v>93</v>
      </c>
      <c r="S147" s="28" t="s">
        <v>260</v>
      </c>
      <c r="T147" s="28">
        <v>8</v>
      </c>
      <c r="U147" s="29" t="s">
        <v>114</v>
      </c>
    </row>
    <row r="148" spans="18:21" x14ac:dyDescent="0.25">
      <c r="R148" s="28" t="s">
        <v>93</v>
      </c>
      <c r="S148" s="28" t="s">
        <v>261</v>
      </c>
      <c r="T148" s="28">
        <v>8</v>
      </c>
      <c r="U148" s="29" t="s">
        <v>114</v>
      </c>
    </row>
    <row r="149" spans="18:21" x14ac:dyDescent="0.25">
      <c r="R149" s="28" t="s">
        <v>93</v>
      </c>
      <c r="S149" s="28" t="s">
        <v>262</v>
      </c>
      <c r="T149" s="28">
        <v>8</v>
      </c>
      <c r="U149" s="29" t="s">
        <v>114</v>
      </c>
    </row>
    <row r="150" spans="18:21" x14ac:dyDescent="0.25">
      <c r="R150" s="28" t="s">
        <v>93</v>
      </c>
      <c r="S150" s="28" t="s">
        <v>263</v>
      </c>
      <c r="T150" s="28">
        <v>8</v>
      </c>
      <c r="U150" s="29" t="s">
        <v>114</v>
      </c>
    </row>
    <row r="151" spans="18:21" x14ac:dyDescent="0.25">
      <c r="R151" s="28" t="s">
        <v>93</v>
      </c>
      <c r="S151" s="28" t="s">
        <v>264</v>
      </c>
      <c r="T151" s="28">
        <v>8</v>
      </c>
      <c r="U151" s="29" t="s">
        <v>114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115</v>
      </c>
      <c r="C2">
        <v>10</v>
      </c>
      <c r="D2" t="s">
        <v>116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115</v>
      </c>
      <c r="C3">
        <v>20</v>
      </c>
      <c r="D3" t="s">
        <v>117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115</v>
      </c>
      <c r="C4">
        <v>30</v>
      </c>
      <c r="D4" t="s">
        <v>268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115</v>
      </c>
      <c r="C5">
        <v>40</v>
      </c>
      <c r="D5" t="s">
        <v>266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115</v>
      </c>
      <c r="C6">
        <v>50</v>
      </c>
      <c r="D6" t="s">
        <v>107</v>
      </c>
      <c r="E6" t="s">
        <v>108</v>
      </c>
      <c r="F6">
        <v>0.437</v>
      </c>
      <c r="G6" t="s">
        <v>13</v>
      </c>
    </row>
    <row r="7" spans="1:7" x14ac:dyDescent="0.25">
      <c r="A7">
        <v>1</v>
      </c>
      <c r="B7" t="s">
        <v>115</v>
      </c>
      <c r="C7">
        <v>60</v>
      </c>
      <c r="D7" t="s">
        <v>267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115</v>
      </c>
      <c r="C8">
        <v>70</v>
      </c>
      <c r="D8" t="s">
        <v>109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115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115</v>
      </c>
      <c r="C10">
        <v>90</v>
      </c>
      <c r="D10" t="s">
        <v>265</v>
      </c>
      <c r="E10" t="s">
        <v>12</v>
      </c>
      <c r="F10">
        <v>7.8E-2</v>
      </c>
      <c r="G10" t="s">
        <v>13</v>
      </c>
    </row>
    <row r="11" spans="1:7" x14ac:dyDescent="0.25">
      <c r="A11">
        <v>1</v>
      </c>
      <c r="B11" t="s">
        <v>115</v>
      </c>
      <c r="C11">
        <v>100</v>
      </c>
      <c r="D11" t="s">
        <v>269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115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115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115</v>
      </c>
      <c r="C14">
        <v>130</v>
      </c>
      <c r="D14" t="s">
        <v>110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115</v>
      </c>
      <c r="C15">
        <v>140</v>
      </c>
      <c r="D15" t="s">
        <v>270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118</v>
      </c>
      <c r="C16">
        <v>10</v>
      </c>
      <c r="D16" t="s">
        <v>116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118</v>
      </c>
      <c r="C17">
        <v>20</v>
      </c>
      <c r="D17" t="s">
        <v>119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118</v>
      </c>
      <c r="C18">
        <v>30</v>
      </c>
      <c r="D18" t="s">
        <v>271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118</v>
      </c>
      <c r="C19">
        <v>40</v>
      </c>
      <c r="D19" t="s">
        <v>266</v>
      </c>
      <c r="E19" t="s">
        <v>14</v>
      </c>
      <c r="F19">
        <v>0.94</v>
      </c>
      <c r="G19" t="s">
        <v>15</v>
      </c>
    </row>
    <row r="20" spans="1:7" x14ac:dyDescent="0.25">
      <c r="A20">
        <v>2</v>
      </c>
      <c r="B20" t="s">
        <v>118</v>
      </c>
      <c r="C20">
        <v>50</v>
      </c>
      <c r="D20" t="s">
        <v>107</v>
      </c>
      <c r="E20" t="s">
        <v>108</v>
      </c>
      <c r="F20">
        <v>0.52500000000000002</v>
      </c>
      <c r="G20" t="s">
        <v>13</v>
      </c>
    </row>
    <row r="21" spans="1:7" x14ac:dyDescent="0.25">
      <c r="A21">
        <v>2</v>
      </c>
      <c r="B21" t="s">
        <v>118</v>
      </c>
      <c r="C21">
        <v>60</v>
      </c>
      <c r="D21" t="s">
        <v>267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118</v>
      </c>
      <c r="C22">
        <v>70</v>
      </c>
      <c r="D22" t="s">
        <v>109</v>
      </c>
      <c r="E22" t="s">
        <v>14</v>
      </c>
      <c r="F22">
        <v>16.611999999999998</v>
      </c>
      <c r="G22" t="s">
        <v>13</v>
      </c>
    </row>
    <row r="23" spans="1:7" x14ac:dyDescent="0.25">
      <c r="A23">
        <v>2</v>
      </c>
      <c r="B23" t="s">
        <v>118</v>
      </c>
      <c r="C23">
        <v>80</v>
      </c>
      <c r="D23" t="s">
        <v>16</v>
      </c>
      <c r="E23" t="s">
        <v>14</v>
      </c>
      <c r="F23">
        <v>103.099</v>
      </c>
      <c r="G23" t="s">
        <v>13</v>
      </c>
    </row>
    <row r="24" spans="1:7" x14ac:dyDescent="0.25">
      <c r="A24">
        <v>2</v>
      </c>
      <c r="B24" t="s">
        <v>118</v>
      </c>
      <c r="C24">
        <v>90</v>
      </c>
      <c r="D24" t="s">
        <v>265</v>
      </c>
      <c r="E24" t="s">
        <v>12</v>
      </c>
      <c r="F24">
        <v>8.8999999999999996E-2</v>
      </c>
      <c r="G24" t="s">
        <v>13</v>
      </c>
    </row>
    <row r="25" spans="1:7" x14ac:dyDescent="0.25">
      <c r="A25">
        <v>2</v>
      </c>
      <c r="B25" t="s">
        <v>118</v>
      </c>
      <c r="C25">
        <v>100</v>
      </c>
      <c r="D25" t="s">
        <v>269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118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118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118</v>
      </c>
      <c r="C28">
        <v>130</v>
      </c>
      <c r="D28" t="s">
        <v>110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118</v>
      </c>
      <c r="C29">
        <v>140</v>
      </c>
      <c r="D29" t="s">
        <v>272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120</v>
      </c>
      <c r="C30">
        <v>10</v>
      </c>
      <c r="D30" t="s">
        <v>116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120</v>
      </c>
      <c r="C31">
        <v>20</v>
      </c>
      <c r="D31" t="s">
        <v>121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120</v>
      </c>
      <c r="C32">
        <v>30</v>
      </c>
      <c r="D32" t="s">
        <v>273</v>
      </c>
      <c r="E32" t="s">
        <v>11</v>
      </c>
      <c r="F32">
        <v>1</v>
      </c>
      <c r="G32" t="s">
        <v>15</v>
      </c>
    </row>
    <row r="33" spans="1:7" x14ac:dyDescent="0.25">
      <c r="A33">
        <v>3</v>
      </c>
      <c r="B33" t="s">
        <v>120</v>
      </c>
      <c r="C33">
        <v>40</v>
      </c>
      <c r="D33" t="s">
        <v>266</v>
      </c>
      <c r="E33" t="s">
        <v>14</v>
      </c>
      <c r="F33">
        <v>1.0920000000000001</v>
      </c>
      <c r="G33" t="s">
        <v>15</v>
      </c>
    </row>
    <row r="34" spans="1:7" x14ac:dyDescent="0.25">
      <c r="A34">
        <v>3</v>
      </c>
      <c r="B34" t="s">
        <v>120</v>
      </c>
      <c r="C34">
        <v>50</v>
      </c>
      <c r="D34" t="s">
        <v>107</v>
      </c>
      <c r="E34" t="s">
        <v>108</v>
      </c>
      <c r="F34">
        <v>0.61199999999999999</v>
      </c>
      <c r="G34" t="s">
        <v>13</v>
      </c>
    </row>
    <row r="35" spans="1:7" x14ac:dyDescent="0.25">
      <c r="A35">
        <v>3</v>
      </c>
      <c r="B35" t="s">
        <v>120</v>
      </c>
      <c r="C35">
        <v>60</v>
      </c>
      <c r="D35" t="s">
        <v>267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120</v>
      </c>
      <c r="C36">
        <v>70</v>
      </c>
      <c r="D36" t="s">
        <v>109</v>
      </c>
      <c r="E36" t="s">
        <v>14</v>
      </c>
      <c r="F36">
        <v>17.526</v>
      </c>
      <c r="G36" t="s">
        <v>13</v>
      </c>
    </row>
    <row r="37" spans="1:7" x14ac:dyDescent="0.25">
      <c r="A37">
        <v>3</v>
      </c>
      <c r="B37" t="s">
        <v>120</v>
      </c>
      <c r="C37">
        <v>80</v>
      </c>
      <c r="D37" t="s">
        <v>16</v>
      </c>
      <c r="E37" t="s">
        <v>14</v>
      </c>
      <c r="F37">
        <v>108.72199999999999</v>
      </c>
      <c r="G37" t="s">
        <v>13</v>
      </c>
    </row>
    <row r="38" spans="1:7" x14ac:dyDescent="0.25">
      <c r="A38">
        <v>3</v>
      </c>
      <c r="B38" t="s">
        <v>120</v>
      </c>
      <c r="C38">
        <v>90</v>
      </c>
      <c r="D38" t="s">
        <v>265</v>
      </c>
      <c r="E38" t="s">
        <v>12</v>
      </c>
      <c r="F38">
        <v>0.1</v>
      </c>
      <c r="G38" t="s">
        <v>13</v>
      </c>
    </row>
    <row r="39" spans="1:7" x14ac:dyDescent="0.25">
      <c r="A39">
        <v>3</v>
      </c>
      <c r="B39" t="s">
        <v>120</v>
      </c>
      <c r="C39">
        <v>100</v>
      </c>
      <c r="D39" t="s">
        <v>269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120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120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120</v>
      </c>
      <c r="C42">
        <v>130</v>
      </c>
      <c r="D42" t="s">
        <v>110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120</v>
      </c>
      <c r="C43">
        <v>140</v>
      </c>
      <c r="D43" t="s">
        <v>274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122</v>
      </c>
      <c r="C44">
        <v>10</v>
      </c>
      <c r="D44" t="s">
        <v>116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122</v>
      </c>
      <c r="C45">
        <v>20</v>
      </c>
      <c r="D45" t="s">
        <v>123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122</v>
      </c>
      <c r="C46">
        <v>30</v>
      </c>
      <c r="D46" t="s">
        <v>275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122</v>
      </c>
      <c r="C47">
        <v>40</v>
      </c>
      <c r="D47" t="s">
        <v>266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122</v>
      </c>
      <c r="C48">
        <v>50</v>
      </c>
      <c r="D48" t="s">
        <v>107</v>
      </c>
      <c r="E48" t="s">
        <v>108</v>
      </c>
      <c r="F48">
        <v>0.7</v>
      </c>
      <c r="G48" t="s">
        <v>13</v>
      </c>
    </row>
    <row r="49" spans="1:7" x14ac:dyDescent="0.25">
      <c r="A49">
        <v>4</v>
      </c>
      <c r="B49" t="s">
        <v>122</v>
      </c>
      <c r="C49">
        <v>60</v>
      </c>
      <c r="D49" t="s">
        <v>267</v>
      </c>
      <c r="E49" t="s">
        <v>11</v>
      </c>
      <c r="F49">
        <v>1</v>
      </c>
      <c r="G49" t="s">
        <v>13</v>
      </c>
    </row>
    <row r="50" spans="1:7" x14ac:dyDescent="0.25">
      <c r="A50">
        <v>4</v>
      </c>
      <c r="B50" t="s">
        <v>122</v>
      </c>
      <c r="C50">
        <v>70</v>
      </c>
      <c r="D50" t="s">
        <v>109</v>
      </c>
      <c r="E50" t="s">
        <v>14</v>
      </c>
      <c r="F50">
        <v>18.440000000000001</v>
      </c>
      <c r="G50" t="s">
        <v>13</v>
      </c>
    </row>
    <row r="51" spans="1:7" x14ac:dyDescent="0.25">
      <c r="A51">
        <v>4</v>
      </c>
      <c r="B51" t="s">
        <v>122</v>
      </c>
      <c r="C51">
        <v>80</v>
      </c>
      <c r="D51" t="s">
        <v>16</v>
      </c>
      <c r="E51" t="s">
        <v>14</v>
      </c>
      <c r="F51">
        <v>114.346</v>
      </c>
      <c r="G51" t="s">
        <v>13</v>
      </c>
    </row>
    <row r="52" spans="1:7" x14ac:dyDescent="0.25">
      <c r="A52">
        <v>4</v>
      </c>
      <c r="B52" t="s">
        <v>122</v>
      </c>
      <c r="C52">
        <v>90</v>
      </c>
      <c r="D52" t="s">
        <v>265</v>
      </c>
      <c r="E52" t="s">
        <v>12</v>
      </c>
      <c r="F52">
        <v>0.11</v>
      </c>
      <c r="G52" t="s">
        <v>13</v>
      </c>
    </row>
    <row r="53" spans="1:7" x14ac:dyDescent="0.25">
      <c r="A53">
        <v>4</v>
      </c>
      <c r="B53" t="s">
        <v>122</v>
      </c>
      <c r="C53">
        <v>100</v>
      </c>
      <c r="D53" t="s">
        <v>269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122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122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122</v>
      </c>
      <c r="C56">
        <v>130</v>
      </c>
      <c r="D56" t="s">
        <v>110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122</v>
      </c>
      <c r="C57">
        <v>140</v>
      </c>
      <c r="D57" t="s">
        <v>276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124</v>
      </c>
      <c r="C58">
        <v>10</v>
      </c>
      <c r="D58" t="s">
        <v>116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124</v>
      </c>
      <c r="C59">
        <v>20</v>
      </c>
      <c r="D59" t="s">
        <v>125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124</v>
      </c>
      <c r="C60">
        <v>30</v>
      </c>
      <c r="D60" t="s">
        <v>277</v>
      </c>
      <c r="E60" t="s">
        <v>11</v>
      </c>
      <c r="F60">
        <v>1</v>
      </c>
      <c r="G60" t="s">
        <v>15</v>
      </c>
    </row>
    <row r="61" spans="1:7" x14ac:dyDescent="0.25">
      <c r="A61">
        <v>5</v>
      </c>
      <c r="B61" t="s">
        <v>124</v>
      </c>
      <c r="C61">
        <v>40</v>
      </c>
      <c r="D61" t="s">
        <v>266</v>
      </c>
      <c r="E61" t="s">
        <v>14</v>
      </c>
      <c r="F61">
        <v>1.5489999999999999</v>
      </c>
      <c r="G61" t="s">
        <v>15</v>
      </c>
    </row>
    <row r="62" spans="1:7" x14ac:dyDescent="0.25">
      <c r="A62">
        <v>5</v>
      </c>
      <c r="B62" t="s">
        <v>124</v>
      </c>
      <c r="C62">
        <v>50</v>
      </c>
      <c r="D62" t="s">
        <v>107</v>
      </c>
      <c r="E62" t="s">
        <v>108</v>
      </c>
      <c r="F62">
        <v>0.875</v>
      </c>
      <c r="G62" t="s">
        <v>13</v>
      </c>
    </row>
    <row r="63" spans="1:7" x14ac:dyDescent="0.25">
      <c r="A63">
        <v>5</v>
      </c>
      <c r="B63" t="s">
        <v>124</v>
      </c>
      <c r="C63">
        <v>60</v>
      </c>
      <c r="D63" t="s">
        <v>267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124</v>
      </c>
      <c r="C64">
        <v>70</v>
      </c>
      <c r="D64" t="s">
        <v>109</v>
      </c>
      <c r="E64" t="s">
        <v>14</v>
      </c>
      <c r="F64">
        <v>20.268999999999998</v>
      </c>
      <c r="G64" t="s">
        <v>13</v>
      </c>
    </row>
    <row r="65" spans="1:7" x14ac:dyDescent="0.25">
      <c r="A65">
        <v>5</v>
      </c>
      <c r="B65" t="s">
        <v>124</v>
      </c>
      <c r="C65">
        <v>80</v>
      </c>
      <c r="D65" t="s">
        <v>16</v>
      </c>
      <c r="E65" t="s">
        <v>14</v>
      </c>
      <c r="F65">
        <v>125.593</v>
      </c>
      <c r="G65" t="s">
        <v>13</v>
      </c>
    </row>
    <row r="66" spans="1:7" x14ac:dyDescent="0.25">
      <c r="A66">
        <v>5</v>
      </c>
      <c r="B66" t="s">
        <v>124</v>
      </c>
      <c r="C66">
        <v>90</v>
      </c>
      <c r="D66" t="s">
        <v>265</v>
      </c>
      <c r="E66" t="s">
        <v>12</v>
      </c>
      <c r="F66">
        <v>0.13200000000000001</v>
      </c>
      <c r="G66" t="s">
        <v>13</v>
      </c>
    </row>
    <row r="67" spans="1:7" x14ac:dyDescent="0.25">
      <c r="A67">
        <v>5</v>
      </c>
      <c r="B67" t="s">
        <v>124</v>
      </c>
      <c r="C67">
        <v>100</v>
      </c>
      <c r="D67" t="s">
        <v>269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124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124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124</v>
      </c>
      <c r="C70">
        <v>130</v>
      </c>
      <c r="D70" t="s">
        <v>110</v>
      </c>
      <c r="E70" t="s">
        <v>12</v>
      </c>
      <c r="F70">
        <v>0.94599999999999995</v>
      </c>
      <c r="G70" t="s">
        <v>13</v>
      </c>
    </row>
    <row r="71" spans="1:7" x14ac:dyDescent="0.25">
      <c r="A71">
        <v>5</v>
      </c>
      <c r="B71" t="s">
        <v>124</v>
      </c>
      <c r="C71">
        <v>140</v>
      </c>
      <c r="D71" t="s">
        <v>278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126</v>
      </c>
      <c r="C72">
        <v>10</v>
      </c>
      <c r="D72" t="s">
        <v>116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126</v>
      </c>
      <c r="C73">
        <v>20</v>
      </c>
      <c r="D73" t="s">
        <v>127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126</v>
      </c>
      <c r="C74">
        <v>30</v>
      </c>
      <c r="D74" t="s">
        <v>279</v>
      </c>
      <c r="E74" t="s">
        <v>11</v>
      </c>
      <c r="F74">
        <v>1</v>
      </c>
      <c r="G74" t="s">
        <v>15</v>
      </c>
    </row>
    <row r="75" spans="1:7" x14ac:dyDescent="0.25">
      <c r="A75">
        <v>6</v>
      </c>
      <c r="B75" t="s">
        <v>126</v>
      </c>
      <c r="C75">
        <v>40</v>
      </c>
      <c r="D75" t="s">
        <v>266</v>
      </c>
      <c r="E75" t="s">
        <v>14</v>
      </c>
      <c r="F75">
        <v>1.702</v>
      </c>
      <c r="G75" t="s">
        <v>15</v>
      </c>
    </row>
    <row r="76" spans="1:7" x14ac:dyDescent="0.25">
      <c r="A76">
        <v>6</v>
      </c>
      <c r="B76" t="s">
        <v>126</v>
      </c>
      <c r="C76">
        <v>50</v>
      </c>
      <c r="D76" t="s">
        <v>107</v>
      </c>
      <c r="E76" t="s">
        <v>108</v>
      </c>
      <c r="F76">
        <v>0.96199999999999997</v>
      </c>
      <c r="G76" t="s">
        <v>13</v>
      </c>
    </row>
    <row r="77" spans="1:7" x14ac:dyDescent="0.25">
      <c r="A77">
        <v>6</v>
      </c>
      <c r="B77" t="s">
        <v>126</v>
      </c>
      <c r="C77">
        <v>60</v>
      </c>
      <c r="D77" t="s">
        <v>267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126</v>
      </c>
      <c r="C78">
        <v>70</v>
      </c>
      <c r="D78" t="s">
        <v>109</v>
      </c>
      <c r="E78" t="s">
        <v>14</v>
      </c>
      <c r="F78">
        <v>21.184000000000001</v>
      </c>
      <c r="G78" t="s">
        <v>13</v>
      </c>
    </row>
    <row r="79" spans="1:7" x14ac:dyDescent="0.25">
      <c r="A79">
        <v>6</v>
      </c>
      <c r="B79" t="s">
        <v>126</v>
      </c>
      <c r="C79">
        <v>80</v>
      </c>
      <c r="D79" t="s">
        <v>16</v>
      </c>
      <c r="E79" t="s">
        <v>14</v>
      </c>
      <c r="F79">
        <v>131.21600000000001</v>
      </c>
      <c r="G79" t="s">
        <v>13</v>
      </c>
    </row>
    <row r="80" spans="1:7" x14ac:dyDescent="0.25">
      <c r="A80">
        <v>6</v>
      </c>
      <c r="B80" t="s">
        <v>126</v>
      </c>
      <c r="C80">
        <v>90</v>
      </c>
      <c r="D80" t="s">
        <v>265</v>
      </c>
      <c r="E80" t="s">
        <v>12</v>
      </c>
      <c r="F80">
        <v>0.14199999999999999</v>
      </c>
      <c r="G80" t="s">
        <v>13</v>
      </c>
    </row>
    <row r="81" spans="1:7" x14ac:dyDescent="0.25">
      <c r="A81">
        <v>6</v>
      </c>
      <c r="B81" t="s">
        <v>126</v>
      </c>
      <c r="C81">
        <v>100</v>
      </c>
      <c r="D81" t="s">
        <v>269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126</v>
      </c>
      <c r="C84">
        <v>130</v>
      </c>
      <c r="D84" t="s">
        <v>110</v>
      </c>
      <c r="E84" t="s">
        <v>12</v>
      </c>
      <c r="F84">
        <v>1.0269999999999999</v>
      </c>
      <c r="G84" t="s">
        <v>13</v>
      </c>
    </row>
    <row r="85" spans="1:7" x14ac:dyDescent="0.25">
      <c r="A85">
        <v>6</v>
      </c>
      <c r="B85" t="s">
        <v>126</v>
      </c>
      <c r="C85">
        <v>140</v>
      </c>
      <c r="D85" t="s">
        <v>280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128</v>
      </c>
      <c r="C86">
        <v>10</v>
      </c>
      <c r="D86" t="s">
        <v>116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128</v>
      </c>
      <c r="C87">
        <v>20</v>
      </c>
      <c r="D87" t="s">
        <v>129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128</v>
      </c>
      <c r="C88">
        <v>30</v>
      </c>
      <c r="D88" t="s">
        <v>281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128</v>
      </c>
      <c r="C89">
        <v>40</v>
      </c>
      <c r="D89" t="s">
        <v>266</v>
      </c>
      <c r="E89" t="s">
        <v>14</v>
      </c>
      <c r="F89">
        <v>1.8540000000000001</v>
      </c>
      <c r="G89" t="s">
        <v>15</v>
      </c>
    </row>
    <row r="90" spans="1:7" x14ac:dyDescent="0.25">
      <c r="A90">
        <v>7</v>
      </c>
      <c r="B90" t="s">
        <v>128</v>
      </c>
      <c r="C90">
        <v>50</v>
      </c>
      <c r="D90" t="s">
        <v>107</v>
      </c>
      <c r="E90" t="s">
        <v>108</v>
      </c>
      <c r="F90">
        <v>1.05</v>
      </c>
      <c r="G90" t="s">
        <v>13</v>
      </c>
    </row>
    <row r="91" spans="1:7" x14ac:dyDescent="0.25">
      <c r="A91">
        <v>7</v>
      </c>
      <c r="B91" t="s">
        <v>128</v>
      </c>
      <c r="C91">
        <v>60</v>
      </c>
      <c r="D91" t="s">
        <v>267</v>
      </c>
      <c r="E91" t="s">
        <v>11</v>
      </c>
      <c r="F91">
        <v>1</v>
      </c>
      <c r="G91" t="s">
        <v>13</v>
      </c>
    </row>
    <row r="92" spans="1:7" x14ac:dyDescent="0.25">
      <c r="A92">
        <v>7</v>
      </c>
      <c r="B92" t="s">
        <v>128</v>
      </c>
      <c r="C92">
        <v>70</v>
      </c>
      <c r="D92" t="s">
        <v>109</v>
      </c>
      <c r="E92" t="s">
        <v>14</v>
      </c>
      <c r="F92">
        <v>22.097999999999999</v>
      </c>
      <c r="G92" t="s">
        <v>13</v>
      </c>
    </row>
    <row r="93" spans="1:7" x14ac:dyDescent="0.25">
      <c r="A93">
        <v>7</v>
      </c>
      <c r="B93" t="s">
        <v>128</v>
      </c>
      <c r="C93">
        <v>80</v>
      </c>
      <c r="D93" t="s">
        <v>16</v>
      </c>
      <c r="E93" t="s">
        <v>14</v>
      </c>
      <c r="F93">
        <v>136.84</v>
      </c>
      <c r="G93" t="s">
        <v>13</v>
      </c>
    </row>
    <row r="94" spans="1:7" x14ac:dyDescent="0.25">
      <c r="A94">
        <v>7</v>
      </c>
      <c r="B94" t="s">
        <v>128</v>
      </c>
      <c r="C94">
        <v>90</v>
      </c>
      <c r="D94" t="s">
        <v>265</v>
      </c>
      <c r="E94" t="s">
        <v>12</v>
      </c>
      <c r="F94">
        <v>0.153</v>
      </c>
      <c r="G94" t="s">
        <v>13</v>
      </c>
    </row>
    <row r="95" spans="1:7" x14ac:dyDescent="0.25">
      <c r="A95">
        <v>7</v>
      </c>
      <c r="B95" t="s">
        <v>128</v>
      </c>
      <c r="C95">
        <v>100</v>
      </c>
      <c r="D95" t="s">
        <v>269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128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128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128</v>
      </c>
      <c r="C98">
        <v>130</v>
      </c>
      <c r="D98" t="s">
        <v>110</v>
      </c>
      <c r="E98" t="s">
        <v>12</v>
      </c>
      <c r="F98">
        <v>1.1080000000000001</v>
      </c>
      <c r="G98" t="s">
        <v>13</v>
      </c>
    </row>
    <row r="99" spans="1:7" x14ac:dyDescent="0.25">
      <c r="A99">
        <v>7</v>
      </c>
      <c r="B99" t="s">
        <v>128</v>
      </c>
      <c r="C99">
        <v>140</v>
      </c>
      <c r="D99" t="s">
        <v>282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130</v>
      </c>
      <c r="C100">
        <v>10</v>
      </c>
      <c r="D100" t="s">
        <v>116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130</v>
      </c>
      <c r="C101">
        <v>20</v>
      </c>
      <c r="D101" t="s">
        <v>131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130</v>
      </c>
      <c r="C102">
        <v>30</v>
      </c>
      <c r="D102" t="s">
        <v>283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130</v>
      </c>
      <c r="C103">
        <v>40</v>
      </c>
      <c r="D103" t="s">
        <v>266</v>
      </c>
      <c r="E103" t="s">
        <v>14</v>
      </c>
      <c r="F103">
        <v>0.78700000000000003</v>
      </c>
      <c r="G103" t="s">
        <v>15</v>
      </c>
    </row>
    <row r="104" spans="1:7" x14ac:dyDescent="0.25">
      <c r="A104">
        <v>8</v>
      </c>
      <c r="B104" t="s">
        <v>130</v>
      </c>
      <c r="C104">
        <v>50</v>
      </c>
      <c r="D104" t="s">
        <v>107</v>
      </c>
      <c r="E104" t="s">
        <v>108</v>
      </c>
      <c r="F104">
        <v>0.45600000000000002</v>
      </c>
      <c r="G104" t="s">
        <v>13</v>
      </c>
    </row>
    <row r="105" spans="1:7" x14ac:dyDescent="0.25">
      <c r="A105">
        <v>8</v>
      </c>
      <c r="B105" t="s">
        <v>130</v>
      </c>
      <c r="C105">
        <v>60</v>
      </c>
      <c r="D105" t="s">
        <v>267</v>
      </c>
      <c r="E105" t="s">
        <v>11</v>
      </c>
      <c r="F105">
        <v>1</v>
      </c>
      <c r="G105" t="s">
        <v>13</v>
      </c>
    </row>
    <row r="106" spans="1:7" x14ac:dyDescent="0.25">
      <c r="A106">
        <v>8</v>
      </c>
      <c r="B106" t="s">
        <v>130</v>
      </c>
      <c r="C106">
        <v>70</v>
      </c>
      <c r="D106" t="s">
        <v>109</v>
      </c>
      <c r="E106" t="s">
        <v>14</v>
      </c>
      <c r="F106">
        <v>16.154</v>
      </c>
      <c r="G106" t="s">
        <v>13</v>
      </c>
    </row>
    <row r="107" spans="1:7" x14ac:dyDescent="0.25">
      <c r="A107">
        <v>8</v>
      </c>
      <c r="B107" t="s">
        <v>130</v>
      </c>
      <c r="C107">
        <v>80</v>
      </c>
      <c r="D107" t="s">
        <v>16</v>
      </c>
      <c r="E107" t="s">
        <v>14</v>
      </c>
      <c r="F107">
        <v>100.28700000000001</v>
      </c>
      <c r="G107" t="s">
        <v>13</v>
      </c>
    </row>
    <row r="108" spans="1:7" x14ac:dyDescent="0.25">
      <c r="A108">
        <v>8</v>
      </c>
      <c r="B108" t="s">
        <v>130</v>
      </c>
      <c r="C108">
        <v>90</v>
      </c>
      <c r="D108" t="s">
        <v>265</v>
      </c>
      <c r="E108" t="s">
        <v>12</v>
      </c>
      <c r="F108">
        <v>7.8E-2</v>
      </c>
      <c r="G108" t="s">
        <v>13</v>
      </c>
    </row>
    <row r="109" spans="1:7" x14ac:dyDescent="0.25">
      <c r="A109">
        <v>8</v>
      </c>
      <c r="B109" t="s">
        <v>130</v>
      </c>
      <c r="C109">
        <v>100</v>
      </c>
      <c r="D109" t="s">
        <v>269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130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130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130</v>
      </c>
      <c r="C112">
        <v>130</v>
      </c>
      <c r="D112" t="s">
        <v>110</v>
      </c>
      <c r="E112" t="s">
        <v>12</v>
      </c>
      <c r="F112">
        <v>0.54</v>
      </c>
      <c r="G112" t="s">
        <v>13</v>
      </c>
    </row>
    <row r="113" spans="1:7" x14ac:dyDescent="0.25">
      <c r="A113">
        <v>8</v>
      </c>
      <c r="B113" t="s">
        <v>130</v>
      </c>
      <c r="C113">
        <v>140</v>
      </c>
      <c r="D113" t="s">
        <v>284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132</v>
      </c>
      <c r="C114">
        <v>10</v>
      </c>
      <c r="D114" t="s">
        <v>116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132</v>
      </c>
      <c r="C115">
        <v>20</v>
      </c>
      <c r="D115" t="s">
        <v>133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132</v>
      </c>
      <c r="C116">
        <v>30</v>
      </c>
      <c r="D116" t="s">
        <v>285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132</v>
      </c>
      <c r="C117">
        <v>40</v>
      </c>
      <c r="D117" t="s">
        <v>266</v>
      </c>
      <c r="E117" t="s">
        <v>14</v>
      </c>
      <c r="F117">
        <v>0.94</v>
      </c>
      <c r="G117" t="s">
        <v>15</v>
      </c>
    </row>
    <row r="118" spans="1:7" x14ac:dyDescent="0.25">
      <c r="A118">
        <v>9</v>
      </c>
      <c r="B118" t="s">
        <v>132</v>
      </c>
      <c r="C118">
        <v>50</v>
      </c>
      <c r="D118" t="s">
        <v>107</v>
      </c>
      <c r="E118" t="s">
        <v>108</v>
      </c>
      <c r="F118">
        <v>0.54700000000000004</v>
      </c>
      <c r="G118" t="s">
        <v>13</v>
      </c>
    </row>
    <row r="119" spans="1:7" x14ac:dyDescent="0.25">
      <c r="A119">
        <v>9</v>
      </c>
      <c r="B119" t="s">
        <v>132</v>
      </c>
      <c r="C119">
        <v>60</v>
      </c>
      <c r="D119" t="s">
        <v>267</v>
      </c>
      <c r="E119" t="s">
        <v>11</v>
      </c>
      <c r="F119">
        <v>1</v>
      </c>
      <c r="G119" t="s">
        <v>13</v>
      </c>
    </row>
    <row r="120" spans="1:7" x14ac:dyDescent="0.25">
      <c r="A120">
        <v>9</v>
      </c>
      <c r="B120" t="s">
        <v>132</v>
      </c>
      <c r="C120">
        <v>70</v>
      </c>
      <c r="D120" t="s">
        <v>109</v>
      </c>
      <c r="E120" t="s">
        <v>14</v>
      </c>
      <c r="F120">
        <v>17.068999999999999</v>
      </c>
      <c r="G120" t="s">
        <v>13</v>
      </c>
    </row>
    <row r="121" spans="1:7" x14ac:dyDescent="0.25">
      <c r="A121">
        <v>9</v>
      </c>
      <c r="B121" t="s">
        <v>132</v>
      </c>
      <c r="C121">
        <v>80</v>
      </c>
      <c r="D121" t="s">
        <v>16</v>
      </c>
      <c r="E121" t="s">
        <v>14</v>
      </c>
      <c r="F121">
        <v>105.91</v>
      </c>
      <c r="G121" t="s">
        <v>13</v>
      </c>
    </row>
    <row r="122" spans="1:7" x14ac:dyDescent="0.25">
      <c r="A122">
        <v>9</v>
      </c>
      <c r="B122" t="s">
        <v>132</v>
      </c>
      <c r="C122">
        <v>90</v>
      </c>
      <c r="D122" t="s">
        <v>265</v>
      </c>
      <c r="E122" t="s">
        <v>12</v>
      </c>
      <c r="F122">
        <v>8.8999999999999996E-2</v>
      </c>
      <c r="G122" t="s">
        <v>13</v>
      </c>
    </row>
    <row r="123" spans="1:7" x14ac:dyDescent="0.25">
      <c r="A123">
        <v>9</v>
      </c>
      <c r="B123" t="s">
        <v>132</v>
      </c>
      <c r="C123">
        <v>100</v>
      </c>
      <c r="D123" t="s">
        <v>269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132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132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132</v>
      </c>
      <c r="C126">
        <v>130</v>
      </c>
      <c r="D126" t="s">
        <v>110</v>
      </c>
      <c r="E126" t="s">
        <v>12</v>
      </c>
      <c r="F126">
        <v>0.622</v>
      </c>
      <c r="G126" t="s">
        <v>13</v>
      </c>
    </row>
    <row r="127" spans="1:7" x14ac:dyDescent="0.25">
      <c r="A127">
        <v>9</v>
      </c>
      <c r="B127" t="s">
        <v>132</v>
      </c>
      <c r="C127">
        <v>140</v>
      </c>
      <c r="D127" t="s">
        <v>286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134</v>
      </c>
      <c r="C128">
        <v>10</v>
      </c>
      <c r="D128" t="s">
        <v>116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134</v>
      </c>
      <c r="C129">
        <v>20</v>
      </c>
      <c r="D129" t="s">
        <v>135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134</v>
      </c>
      <c r="C130">
        <v>30</v>
      </c>
      <c r="D130" t="s">
        <v>287</v>
      </c>
      <c r="E130" t="s">
        <v>11</v>
      </c>
      <c r="F130">
        <v>1</v>
      </c>
      <c r="G130" t="s">
        <v>15</v>
      </c>
    </row>
    <row r="131" spans="1:7" x14ac:dyDescent="0.25">
      <c r="A131">
        <v>10</v>
      </c>
      <c r="B131" t="s">
        <v>134</v>
      </c>
      <c r="C131">
        <v>40</v>
      </c>
      <c r="D131" t="s">
        <v>266</v>
      </c>
      <c r="E131" t="s">
        <v>14</v>
      </c>
      <c r="F131">
        <v>1.0920000000000001</v>
      </c>
      <c r="G131" t="s">
        <v>15</v>
      </c>
    </row>
    <row r="132" spans="1:7" x14ac:dyDescent="0.25">
      <c r="A132">
        <v>10</v>
      </c>
      <c r="B132" t="s">
        <v>134</v>
      </c>
      <c r="C132">
        <v>50</v>
      </c>
      <c r="D132" t="s">
        <v>107</v>
      </c>
      <c r="E132" t="s">
        <v>108</v>
      </c>
      <c r="F132">
        <v>0.63800000000000001</v>
      </c>
      <c r="G132" t="s">
        <v>13</v>
      </c>
    </row>
    <row r="133" spans="1:7" x14ac:dyDescent="0.25">
      <c r="A133">
        <v>10</v>
      </c>
      <c r="B133" t="s">
        <v>134</v>
      </c>
      <c r="C133">
        <v>60</v>
      </c>
      <c r="D133" t="s">
        <v>267</v>
      </c>
      <c r="E133" t="s">
        <v>11</v>
      </c>
      <c r="F133">
        <v>1</v>
      </c>
      <c r="G133" t="s">
        <v>13</v>
      </c>
    </row>
    <row r="134" spans="1:7" x14ac:dyDescent="0.25">
      <c r="A134">
        <v>10</v>
      </c>
      <c r="B134" t="s">
        <v>134</v>
      </c>
      <c r="C134">
        <v>70</v>
      </c>
      <c r="D134" t="s">
        <v>109</v>
      </c>
      <c r="E134" t="s">
        <v>14</v>
      </c>
      <c r="F134">
        <v>17.983000000000001</v>
      </c>
      <c r="G134" t="s">
        <v>13</v>
      </c>
    </row>
    <row r="135" spans="1:7" x14ac:dyDescent="0.25">
      <c r="A135">
        <v>10</v>
      </c>
      <c r="B135" t="s">
        <v>134</v>
      </c>
      <c r="C135">
        <v>80</v>
      </c>
      <c r="D135" t="s">
        <v>16</v>
      </c>
      <c r="E135" t="s">
        <v>14</v>
      </c>
      <c r="F135">
        <v>111.53400000000001</v>
      </c>
      <c r="G135" t="s">
        <v>13</v>
      </c>
    </row>
    <row r="136" spans="1:7" x14ac:dyDescent="0.25">
      <c r="A136">
        <v>10</v>
      </c>
      <c r="B136" t="s">
        <v>134</v>
      </c>
      <c r="C136">
        <v>90</v>
      </c>
      <c r="D136" t="s">
        <v>265</v>
      </c>
      <c r="E136" t="s">
        <v>12</v>
      </c>
      <c r="F136">
        <v>0.1</v>
      </c>
      <c r="G136" t="s">
        <v>13</v>
      </c>
    </row>
    <row r="137" spans="1:7" x14ac:dyDescent="0.25">
      <c r="A137">
        <v>10</v>
      </c>
      <c r="B137" t="s">
        <v>134</v>
      </c>
      <c r="C137">
        <v>100</v>
      </c>
      <c r="D137" t="s">
        <v>269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134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134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134</v>
      </c>
      <c r="C140">
        <v>130</v>
      </c>
      <c r="D140" t="s">
        <v>110</v>
      </c>
      <c r="E140" t="s">
        <v>12</v>
      </c>
      <c r="F140">
        <v>0.70299999999999996</v>
      </c>
      <c r="G140" t="s">
        <v>13</v>
      </c>
    </row>
    <row r="141" spans="1:7" x14ac:dyDescent="0.25">
      <c r="A141">
        <v>10</v>
      </c>
      <c r="B141" t="s">
        <v>134</v>
      </c>
      <c r="C141">
        <v>140</v>
      </c>
      <c r="D141" t="s">
        <v>288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136</v>
      </c>
      <c r="C142">
        <v>10</v>
      </c>
      <c r="D142" t="s">
        <v>116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136</v>
      </c>
      <c r="C143">
        <v>20</v>
      </c>
      <c r="D143" t="s">
        <v>137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136</v>
      </c>
      <c r="C144">
        <v>30</v>
      </c>
      <c r="D144" t="s">
        <v>289</v>
      </c>
      <c r="E144" t="s">
        <v>11</v>
      </c>
      <c r="F144">
        <v>1</v>
      </c>
      <c r="G144" t="s">
        <v>15</v>
      </c>
    </row>
    <row r="145" spans="1:7" x14ac:dyDescent="0.25">
      <c r="A145">
        <v>11</v>
      </c>
      <c r="B145" t="s">
        <v>136</v>
      </c>
      <c r="C145">
        <v>40</v>
      </c>
      <c r="D145" t="s">
        <v>266</v>
      </c>
      <c r="E145" t="s">
        <v>14</v>
      </c>
      <c r="F145">
        <v>1.2450000000000001</v>
      </c>
      <c r="G145" t="s">
        <v>15</v>
      </c>
    </row>
    <row r="146" spans="1:7" x14ac:dyDescent="0.25">
      <c r="A146">
        <v>11</v>
      </c>
      <c r="B146" t="s">
        <v>136</v>
      </c>
      <c r="C146">
        <v>50</v>
      </c>
      <c r="D146" t="s">
        <v>107</v>
      </c>
      <c r="E146" t="s">
        <v>108</v>
      </c>
      <c r="F146">
        <v>0.72899999999999998</v>
      </c>
      <c r="G146" t="s">
        <v>13</v>
      </c>
    </row>
    <row r="147" spans="1:7" x14ac:dyDescent="0.25">
      <c r="A147">
        <v>11</v>
      </c>
      <c r="B147" t="s">
        <v>136</v>
      </c>
      <c r="C147">
        <v>60</v>
      </c>
      <c r="D147" t="s">
        <v>267</v>
      </c>
      <c r="E147" t="s">
        <v>11</v>
      </c>
      <c r="F147">
        <v>1</v>
      </c>
      <c r="G147" t="s">
        <v>13</v>
      </c>
    </row>
    <row r="148" spans="1:7" x14ac:dyDescent="0.25">
      <c r="A148">
        <v>11</v>
      </c>
      <c r="B148" t="s">
        <v>136</v>
      </c>
      <c r="C148">
        <v>70</v>
      </c>
      <c r="D148" t="s">
        <v>109</v>
      </c>
      <c r="E148" t="s">
        <v>14</v>
      </c>
      <c r="F148">
        <v>18.898</v>
      </c>
      <c r="G148" t="s">
        <v>13</v>
      </c>
    </row>
    <row r="149" spans="1:7" x14ac:dyDescent="0.25">
      <c r="A149">
        <v>11</v>
      </c>
      <c r="B149" t="s">
        <v>136</v>
      </c>
      <c r="C149">
        <v>80</v>
      </c>
      <c r="D149" t="s">
        <v>16</v>
      </c>
      <c r="E149" t="s">
        <v>14</v>
      </c>
      <c r="F149">
        <v>117.158</v>
      </c>
      <c r="G149" t="s">
        <v>13</v>
      </c>
    </row>
    <row r="150" spans="1:7" x14ac:dyDescent="0.25">
      <c r="A150">
        <v>11</v>
      </c>
      <c r="B150" t="s">
        <v>136</v>
      </c>
      <c r="C150">
        <v>90</v>
      </c>
      <c r="D150" t="s">
        <v>265</v>
      </c>
      <c r="E150" t="s">
        <v>12</v>
      </c>
      <c r="F150">
        <v>0.11</v>
      </c>
      <c r="G150" t="s">
        <v>13</v>
      </c>
    </row>
    <row r="151" spans="1:7" x14ac:dyDescent="0.25">
      <c r="A151">
        <v>11</v>
      </c>
      <c r="B151" t="s">
        <v>136</v>
      </c>
      <c r="C151">
        <v>100</v>
      </c>
      <c r="D151" t="s">
        <v>269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136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136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136</v>
      </c>
      <c r="C154">
        <v>130</v>
      </c>
      <c r="D154" t="s">
        <v>110</v>
      </c>
      <c r="E154" t="s">
        <v>12</v>
      </c>
      <c r="F154">
        <v>0.78400000000000003</v>
      </c>
      <c r="G154" t="s">
        <v>13</v>
      </c>
    </row>
    <row r="155" spans="1:7" x14ac:dyDescent="0.25">
      <c r="A155">
        <v>11</v>
      </c>
      <c r="B155" t="s">
        <v>136</v>
      </c>
      <c r="C155">
        <v>140</v>
      </c>
      <c r="D155" t="s">
        <v>290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138</v>
      </c>
      <c r="C156">
        <v>10</v>
      </c>
      <c r="D156" t="s">
        <v>116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138</v>
      </c>
      <c r="C157">
        <v>20</v>
      </c>
      <c r="D157" t="s">
        <v>139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138</v>
      </c>
      <c r="C158">
        <v>30</v>
      </c>
      <c r="D158" t="s">
        <v>291</v>
      </c>
      <c r="E158" t="s">
        <v>11</v>
      </c>
      <c r="F158">
        <v>1</v>
      </c>
      <c r="G158" t="s">
        <v>15</v>
      </c>
    </row>
    <row r="159" spans="1:7" x14ac:dyDescent="0.25">
      <c r="A159">
        <v>12</v>
      </c>
      <c r="B159" t="s">
        <v>138</v>
      </c>
      <c r="C159">
        <v>40</v>
      </c>
      <c r="D159" t="s">
        <v>266</v>
      </c>
      <c r="E159" t="s">
        <v>14</v>
      </c>
      <c r="F159">
        <v>1.5489999999999999</v>
      </c>
      <c r="G159" t="s">
        <v>15</v>
      </c>
    </row>
    <row r="160" spans="1:7" x14ac:dyDescent="0.25">
      <c r="A160">
        <v>12</v>
      </c>
      <c r="B160" t="s">
        <v>138</v>
      </c>
      <c r="C160">
        <v>50</v>
      </c>
      <c r="D160" t="s">
        <v>107</v>
      </c>
      <c r="E160" t="s">
        <v>108</v>
      </c>
      <c r="F160">
        <v>0.91100000000000003</v>
      </c>
      <c r="G160" t="s">
        <v>13</v>
      </c>
    </row>
    <row r="161" spans="1:7" x14ac:dyDescent="0.25">
      <c r="A161">
        <v>12</v>
      </c>
      <c r="B161" t="s">
        <v>138</v>
      </c>
      <c r="C161">
        <v>60</v>
      </c>
      <c r="D161" t="s">
        <v>267</v>
      </c>
      <c r="E161" t="s">
        <v>11</v>
      </c>
      <c r="F161">
        <v>1</v>
      </c>
      <c r="G161" t="s">
        <v>13</v>
      </c>
    </row>
    <row r="162" spans="1:7" x14ac:dyDescent="0.25">
      <c r="A162">
        <v>12</v>
      </c>
      <c r="B162" t="s">
        <v>138</v>
      </c>
      <c r="C162">
        <v>70</v>
      </c>
      <c r="D162" t="s">
        <v>109</v>
      </c>
      <c r="E162" t="s">
        <v>14</v>
      </c>
      <c r="F162">
        <v>20.725999999999999</v>
      </c>
      <c r="G162" t="s">
        <v>13</v>
      </c>
    </row>
    <row r="163" spans="1:7" x14ac:dyDescent="0.25">
      <c r="A163">
        <v>12</v>
      </c>
      <c r="B163" t="s">
        <v>138</v>
      </c>
      <c r="C163">
        <v>80</v>
      </c>
      <c r="D163" t="s">
        <v>16</v>
      </c>
      <c r="E163" t="s">
        <v>14</v>
      </c>
      <c r="F163">
        <v>128.405</v>
      </c>
      <c r="G163" t="s">
        <v>13</v>
      </c>
    </row>
    <row r="164" spans="1:7" x14ac:dyDescent="0.25">
      <c r="A164">
        <v>12</v>
      </c>
      <c r="B164" t="s">
        <v>138</v>
      </c>
      <c r="C164">
        <v>90</v>
      </c>
      <c r="D164" t="s">
        <v>265</v>
      </c>
      <c r="E164" t="s">
        <v>12</v>
      </c>
      <c r="F164">
        <v>0.13200000000000001</v>
      </c>
      <c r="G164" t="s">
        <v>13</v>
      </c>
    </row>
    <row r="165" spans="1:7" x14ac:dyDescent="0.25">
      <c r="A165">
        <v>12</v>
      </c>
      <c r="B165" t="s">
        <v>138</v>
      </c>
      <c r="C165">
        <v>100</v>
      </c>
      <c r="D165" t="s">
        <v>269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138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138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138</v>
      </c>
      <c r="C168">
        <v>130</v>
      </c>
      <c r="D168" t="s">
        <v>110</v>
      </c>
      <c r="E168" t="s">
        <v>12</v>
      </c>
      <c r="F168">
        <v>0.94599999999999995</v>
      </c>
      <c r="G168" t="s">
        <v>13</v>
      </c>
    </row>
    <row r="169" spans="1:7" x14ac:dyDescent="0.25">
      <c r="A169">
        <v>12</v>
      </c>
      <c r="B169" t="s">
        <v>138</v>
      </c>
      <c r="C169">
        <v>140</v>
      </c>
      <c r="D169" t="s">
        <v>292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140</v>
      </c>
      <c r="C170">
        <v>10</v>
      </c>
      <c r="D170" t="s">
        <v>116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140</v>
      </c>
      <c r="C171">
        <v>20</v>
      </c>
      <c r="D171" t="s">
        <v>141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140</v>
      </c>
      <c r="C172">
        <v>30</v>
      </c>
      <c r="D172" t="s">
        <v>293</v>
      </c>
      <c r="E172" t="s">
        <v>11</v>
      </c>
      <c r="F172">
        <v>1</v>
      </c>
      <c r="G172" t="s">
        <v>15</v>
      </c>
    </row>
    <row r="173" spans="1:7" x14ac:dyDescent="0.25">
      <c r="A173">
        <v>13</v>
      </c>
      <c r="B173" t="s">
        <v>140</v>
      </c>
      <c r="C173">
        <v>40</v>
      </c>
      <c r="D173" t="s">
        <v>266</v>
      </c>
      <c r="E173" t="s">
        <v>14</v>
      </c>
      <c r="F173">
        <v>1.702</v>
      </c>
      <c r="G173" t="s">
        <v>15</v>
      </c>
    </row>
    <row r="174" spans="1:7" x14ac:dyDescent="0.25">
      <c r="A174">
        <v>13</v>
      </c>
      <c r="B174" t="s">
        <v>140</v>
      </c>
      <c r="C174">
        <v>50</v>
      </c>
      <c r="D174" t="s">
        <v>107</v>
      </c>
      <c r="E174" t="s">
        <v>108</v>
      </c>
      <c r="F174">
        <v>1.002</v>
      </c>
      <c r="G174" t="s">
        <v>13</v>
      </c>
    </row>
    <row r="175" spans="1:7" x14ac:dyDescent="0.25">
      <c r="A175">
        <v>13</v>
      </c>
      <c r="B175" t="s">
        <v>140</v>
      </c>
      <c r="C175">
        <v>60</v>
      </c>
      <c r="D175" t="s">
        <v>267</v>
      </c>
      <c r="E175" t="s">
        <v>11</v>
      </c>
      <c r="F175">
        <v>1</v>
      </c>
      <c r="G175" t="s">
        <v>13</v>
      </c>
    </row>
    <row r="176" spans="1:7" x14ac:dyDescent="0.25">
      <c r="A176">
        <v>13</v>
      </c>
      <c r="B176" t="s">
        <v>140</v>
      </c>
      <c r="C176">
        <v>70</v>
      </c>
      <c r="D176" t="s">
        <v>109</v>
      </c>
      <c r="E176" t="s">
        <v>14</v>
      </c>
      <c r="F176">
        <v>21.640999999999998</v>
      </c>
      <c r="G176" t="s">
        <v>13</v>
      </c>
    </row>
    <row r="177" spans="1:7" x14ac:dyDescent="0.25">
      <c r="A177">
        <v>13</v>
      </c>
      <c r="B177" t="s">
        <v>140</v>
      </c>
      <c r="C177">
        <v>80</v>
      </c>
      <c r="D177" t="s">
        <v>16</v>
      </c>
      <c r="E177" t="s">
        <v>14</v>
      </c>
      <c r="F177">
        <v>134.02799999999999</v>
      </c>
      <c r="G177" t="s">
        <v>13</v>
      </c>
    </row>
    <row r="178" spans="1:7" x14ac:dyDescent="0.25">
      <c r="A178">
        <v>13</v>
      </c>
      <c r="B178" t="s">
        <v>140</v>
      </c>
      <c r="C178">
        <v>90</v>
      </c>
      <c r="D178" t="s">
        <v>265</v>
      </c>
      <c r="E178" t="s">
        <v>12</v>
      </c>
      <c r="F178">
        <v>0.14199999999999999</v>
      </c>
      <c r="G178" t="s">
        <v>13</v>
      </c>
    </row>
    <row r="179" spans="1:7" x14ac:dyDescent="0.25">
      <c r="A179">
        <v>13</v>
      </c>
      <c r="B179" t="s">
        <v>140</v>
      </c>
      <c r="C179">
        <v>100</v>
      </c>
      <c r="D179" t="s">
        <v>269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140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140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140</v>
      </c>
      <c r="C182">
        <v>130</v>
      </c>
      <c r="D182" t="s">
        <v>110</v>
      </c>
      <c r="E182" t="s">
        <v>12</v>
      </c>
      <c r="F182">
        <v>1.0269999999999999</v>
      </c>
      <c r="G182" t="s">
        <v>13</v>
      </c>
    </row>
    <row r="183" spans="1:7" x14ac:dyDescent="0.25">
      <c r="A183">
        <v>13</v>
      </c>
      <c r="B183" t="s">
        <v>140</v>
      </c>
      <c r="C183">
        <v>140</v>
      </c>
      <c r="D183" t="s">
        <v>294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142</v>
      </c>
      <c r="C184">
        <v>10</v>
      </c>
      <c r="D184" t="s">
        <v>116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142</v>
      </c>
      <c r="C185">
        <v>20</v>
      </c>
      <c r="D185" t="s">
        <v>143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142</v>
      </c>
      <c r="C186">
        <v>30</v>
      </c>
      <c r="D186" t="s">
        <v>295</v>
      </c>
      <c r="E186" t="s">
        <v>11</v>
      </c>
      <c r="F186">
        <v>1</v>
      </c>
      <c r="G186" t="s">
        <v>15</v>
      </c>
    </row>
    <row r="187" spans="1:7" x14ac:dyDescent="0.25">
      <c r="A187">
        <v>14</v>
      </c>
      <c r="B187" t="s">
        <v>142</v>
      </c>
      <c r="C187">
        <v>40</v>
      </c>
      <c r="D187" t="s">
        <v>266</v>
      </c>
      <c r="E187" t="s">
        <v>14</v>
      </c>
      <c r="F187">
        <v>1.8540000000000001</v>
      </c>
      <c r="G187" t="s">
        <v>15</v>
      </c>
    </row>
    <row r="188" spans="1:7" x14ac:dyDescent="0.25">
      <c r="A188">
        <v>14</v>
      </c>
      <c r="B188" t="s">
        <v>142</v>
      </c>
      <c r="C188">
        <v>50</v>
      </c>
      <c r="D188" t="s">
        <v>107</v>
      </c>
      <c r="E188" t="s">
        <v>108</v>
      </c>
      <c r="F188">
        <v>1.0940000000000001</v>
      </c>
      <c r="G188" t="s">
        <v>13</v>
      </c>
    </row>
    <row r="189" spans="1:7" x14ac:dyDescent="0.25">
      <c r="A189">
        <v>14</v>
      </c>
      <c r="B189" t="s">
        <v>142</v>
      </c>
      <c r="C189">
        <v>60</v>
      </c>
      <c r="D189" t="s">
        <v>267</v>
      </c>
      <c r="E189" t="s">
        <v>11</v>
      </c>
      <c r="F189">
        <v>1</v>
      </c>
      <c r="G189" t="s">
        <v>13</v>
      </c>
    </row>
    <row r="190" spans="1:7" x14ac:dyDescent="0.25">
      <c r="A190">
        <v>14</v>
      </c>
      <c r="B190" t="s">
        <v>142</v>
      </c>
      <c r="C190">
        <v>70</v>
      </c>
      <c r="D190" t="s">
        <v>109</v>
      </c>
      <c r="E190" t="s">
        <v>14</v>
      </c>
      <c r="F190">
        <v>22.555</v>
      </c>
      <c r="G190" t="s">
        <v>13</v>
      </c>
    </row>
    <row r="191" spans="1:7" x14ac:dyDescent="0.25">
      <c r="A191">
        <v>14</v>
      </c>
      <c r="B191" t="s">
        <v>142</v>
      </c>
      <c r="C191">
        <v>80</v>
      </c>
      <c r="D191" t="s">
        <v>16</v>
      </c>
      <c r="E191" t="s">
        <v>14</v>
      </c>
      <c r="F191">
        <v>139.65199999999999</v>
      </c>
      <c r="G191" t="s">
        <v>13</v>
      </c>
    </row>
    <row r="192" spans="1:7" x14ac:dyDescent="0.25">
      <c r="A192">
        <v>14</v>
      </c>
      <c r="B192" t="s">
        <v>142</v>
      </c>
      <c r="C192">
        <v>90</v>
      </c>
      <c r="D192" t="s">
        <v>265</v>
      </c>
      <c r="E192" t="s">
        <v>12</v>
      </c>
      <c r="F192">
        <v>0.153</v>
      </c>
      <c r="G192" t="s">
        <v>13</v>
      </c>
    </row>
    <row r="193" spans="1:7" x14ac:dyDescent="0.25">
      <c r="A193">
        <v>14</v>
      </c>
      <c r="B193" t="s">
        <v>142</v>
      </c>
      <c r="C193">
        <v>100</v>
      </c>
      <c r="D193" t="s">
        <v>269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142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142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142</v>
      </c>
      <c r="C196">
        <v>130</v>
      </c>
      <c r="D196" t="s">
        <v>110</v>
      </c>
      <c r="E196" t="s">
        <v>12</v>
      </c>
      <c r="F196">
        <v>1.1080000000000001</v>
      </c>
      <c r="G196" t="s">
        <v>13</v>
      </c>
    </row>
    <row r="197" spans="1:7" x14ac:dyDescent="0.25">
      <c r="A197">
        <v>14</v>
      </c>
      <c r="B197" t="s">
        <v>142</v>
      </c>
      <c r="C197">
        <v>140</v>
      </c>
      <c r="D197" t="s">
        <v>296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144</v>
      </c>
      <c r="C198">
        <v>10</v>
      </c>
      <c r="D198" t="s">
        <v>116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144</v>
      </c>
      <c r="C199">
        <v>20</v>
      </c>
      <c r="D199" t="s">
        <v>145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144</v>
      </c>
      <c r="C200">
        <v>30</v>
      </c>
      <c r="D200" t="s">
        <v>297</v>
      </c>
      <c r="E200" t="s">
        <v>11</v>
      </c>
      <c r="F200">
        <v>1</v>
      </c>
      <c r="G200" t="s">
        <v>15</v>
      </c>
    </row>
    <row r="201" spans="1:7" x14ac:dyDescent="0.25">
      <c r="A201">
        <v>15</v>
      </c>
      <c r="B201" t="s">
        <v>144</v>
      </c>
      <c r="C201">
        <v>40</v>
      </c>
      <c r="D201" t="s">
        <v>266</v>
      </c>
      <c r="E201" t="s">
        <v>14</v>
      </c>
      <c r="F201">
        <v>0.78700000000000003</v>
      </c>
      <c r="G201" t="s">
        <v>15</v>
      </c>
    </row>
    <row r="202" spans="1:7" x14ac:dyDescent="0.25">
      <c r="A202">
        <v>15</v>
      </c>
      <c r="B202" t="s">
        <v>144</v>
      </c>
      <c r="C202">
        <v>50</v>
      </c>
      <c r="D202" t="s">
        <v>107</v>
      </c>
      <c r="E202" t="s">
        <v>108</v>
      </c>
      <c r="F202">
        <v>0.47399999999999998</v>
      </c>
      <c r="G202" t="s">
        <v>13</v>
      </c>
    </row>
    <row r="203" spans="1:7" x14ac:dyDescent="0.25">
      <c r="A203">
        <v>15</v>
      </c>
      <c r="B203" t="s">
        <v>144</v>
      </c>
      <c r="C203">
        <v>60</v>
      </c>
      <c r="D203" t="s">
        <v>267</v>
      </c>
      <c r="E203" t="s">
        <v>11</v>
      </c>
      <c r="F203">
        <v>1</v>
      </c>
      <c r="G203" t="s">
        <v>13</v>
      </c>
    </row>
    <row r="204" spans="1:7" x14ac:dyDescent="0.25">
      <c r="A204">
        <v>15</v>
      </c>
      <c r="B204" t="s">
        <v>144</v>
      </c>
      <c r="C204">
        <v>70</v>
      </c>
      <c r="D204" t="s">
        <v>109</v>
      </c>
      <c r="E204" t="s">
        <v>14</v>
      </c>
      <c r="F204">
        <v>16.611999999999998</v>
      </c>
      <c r="G204" t="s">
        <v>13</v>
      </c>
    </row>
    <row r="205" spans="1:7" x14ac:dyDescent="0.25">
      <c r="A205">
        <v>15</v>
      </c>
      <c r="B205" t="s">
        <v>144</v>
      </c>
      <c r="C205">
        <v>80</v>
      </c>
      <c r="D205" t="s">
        <v>16</v>
      </c>
      <c r="E205" t="s">
        <v>14</v>
      </c>
      <c r="F205">
        <v>103.099</v>
      </c>
      <c r="G205" t="s">
        <v>13</v>
      </c>
    </row>
    <row r="206" spans="1:7" x14ac:dyDescent="0.25">
      <c r="A206">
        <v>15</v>
      </c>
      <c r="B206" t="s">
        <v>144</v>
      </c>
      <c r="C206">
        <v>90</v>
      </c>
      <c r="D206" t="s">
        <v>265</v>
      </c>
      <c r="E206" t="s">
        <v>12</v>
      </c>
      <c r="F206">
        <v>7.8E-2</v>
      </c>
      <c r="G206" t="s">
        <v>13</v>
      </c>
    </row>
    <row r="207" spans="1:7" x14ac:dyDescent="0.25">
      <c r="A207">
        <v>15</v>
      </c>
      <c r="B207" t="s">
        <v>144</v>
      </c>
      <c r="C207">
        <v>100</v>
      </c>
      <c r="D207" t="s">
        <v>269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144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144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144</v>
      </c>
      <c r="C210">
        <v>130</v>
      </c>
      <c r="D210" t="s">
        <v>110</v>
      </c>
      <c r="E210" t="s">
        <v>12</v>
      </c>
      <c r="F210">
        <v>0.54</v>
      </c>
      <c r="G210" t="s">
        <v>13</v>
      </c>
    </row>
    <row r="211" spans="1:7" x14ac:dyDescent="0.25">
      <c r="A211">
        <v>15</v>
      </c>
      <c r="B211" t="s">
        <v>144</v>
      </c>
      <c r="C211">
        <v>140</v>
      </c>
      <c r="D211" t="s">
        <v>298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146</v>
      </c>
      <c r="C212">
        <v>10</v>
      </c>
      <c r="D212" t="s">
        <v>116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146</v>
      </c>
      <c r="C213">
        <v>20</v>
      </c>
      <c r="D213" t="s">
        <v>147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146</v>
      </c>
      <c r="C214">
        <v>30</v>
      </c>
      <c r="D214" t="s">
        <v>299</v>
      </c>
      <c r="E214" t="s">
        <v>11</v>
      </c>
      <c r="F214">
        <v>1</v>
      </c>
      <c r="G214" t="s">
        <v>15</v>
      </c>
    </row>
    <row r="215" spans="1:7" x14ac:dyDescent="0.25">
      <c r="A215">
        <v>16</v>
      </c>
      <c r="B215" t="s">
        <v>146</v>
      </c>
      <c r="C215">
        <v>40</v>
      </c>
      <c r="D215" t="s">
        <v>266</v>
      </c>
      <c r="E215" t="s">
        <v>14</v>
      </c>
      <c r="F215">
        <v>0.94</v>
      </c>
      <c r="G215" t="s">
        <v>15</v>
      </c>
    </row>
    <row r="216" spans="1:7" x14ac:dyDescent="0.25">
      <c r="A216">
        <v>16</v>
      </c>
      <c r="B216" t="s">
        <v>146</v>
      </c>
      <c r="C216">
        <v>50</v>
      </c>
      <c r="D216" t="s">
        <v>107</v>
      </c>
      <c r="E216" t="s">
        <v>108</v>
      </c>
      <c r="F216">
        <v>0.56899999999999995</v>
      </c>
      <c r="G216" t="s">
        <v>13</v>
      </c>
    </row>
    <row r="217" spans="1:7" x14ac:dyDescent="0.25">
      <c r="A217">
        <v>16</v>
      </c>
      <c r="B217" t="s">
        <v>146</v>
      </c>
      <c r="C217">
        <v>60</v>
      </c>
      <c r="D217" t="s">
        <v>267</v>
      </c>
      <c r="E217" t="s">
        <v>11</v>
      </c>
      <c r="F217">
        <v>1</v>
      </c>
      <c r="G217" t="s">
        <v>13</v>
      </c>
    </row>
    <row r="218" spans="1:7" x14ac:dyDescent="0.25">
      <c r="A218">
        <v>16</v>
      </c>
      <c r="B218" t="s">
        <v>146</v>
      </c>
      <c r="C218">
        <v>70</v>
      </c>
      <c r="D218" t="s">
        <v>109</v>
      </c>
      <c r="E218" t="s">
        <v>14</v>
      </c>
      <c r="F218">
        <v>17.526</v>
      </c>
      <c r="G218" t="s">
        <v>13</v>
      </c>
    </row>
    <row r="219" spans="1:7" x14ac:dyDescent="0.25">
      <c r="A219">
        <v>16</v>
      </c>
      <c r="B219" t="s">
        <v>146</v>
      </c>
      <c r="C219">
        <v>80</v>
      </c>
      <c r="D219" t="s">
        <v>16</v>
      </c>
      <c r="E219" t="s">
        <v>14</v>
      </c>
      <c r="F219">
        <v>108.72199999999999</v>
      </c>
      <c r="G219" t="s">
        <v>13</v>
      </c>
    </row>
    <row r="220" spans="1:7" x14ac:dyDescent="0.25">
      <c r="A220">
        <v>16</v>
      </c>
      <c r="B220" t="s">
        <v>146</v>
      </c>
      <c r="C220">
        <v>90</v>
      </c>
      <c r="D220" t="s">
        <v>265</v>
      </c>
      <c r="E220" t="s">
        <v>12</v>
      </c>
      <c r="F220">
        <v>8.8999999999999996E-2</v>
      </c>
      <c r="G220" t="s">
        <v>13</v>
      </c>
    </row>
    <row r="221" spans="1:7" x14ac:dyDescent="0.25">
      <c r="A221">
        <v>16</v>
      </c>
      <c r="B221" t="s">
        <v>146</v>
      </c>
      <c r="C221">
        <v>100</v>
      </c>
      <c r="D221" t="s">
        <v>269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146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146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146</v>
      </c>
      <c r="C224">
        <v>130</v>
      </c>
      <c r="D224" t="s">
        <v>110</v>
      </c>
      <c r="E224" t="s">
        <v>12</v>
      </c>
      <c r="F224">
        <v>0.622</v>
      </c>
      <c r="G224" t="s">
        <v>13</v>
      </c>
    </row>
    <row r="225" spans="1:7" x14ac:dyDescent="0.25">
      <c r="A225">
        <v>16</v>
      </c>
      <c r="B225" t="s">
        <v>146</v>
      </c>
      <c r="C225">
        <v>140</v>
      </c>
      <c r="D225" t="s">
        <v>300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148</v>
      </c>
      <c r="C226">
        <v>10</v>
      </c>
      <c r="D226" t="s">
        <v>116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148</v>
      </c>
      <c r="C227">
        <v>20</v>
      </c>
      <c r="D227" t="s">
        <v>149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148</v>
      </c>
      <c r="C228">
        <v>30</v>
      </c>
      <c r="D228" t="s">
        <v>301</v>
      </c>
      <c r="E228" t="s">
        <v>11</v>
      </c>
      <c r="F228">
        <v>1</v>
      </c>
      <c r="G228" t="s">
        <v>15</v>
      </c>
    </row>
    <row r="229" spans="1:7" x14ac:dyDescent="0.25">
      <c r="A229">
        <v>17</v>
      </c>
      <c r="B229" t="s">
        <v>148</v>
      </c>
      <c r="C229">
        <v>40</v>
      </c>
      <c r="D229" t="s">
        <v>266</v>
      </c>
      <c r="E229" t="s">
        <v>14</v>
      </c>
      <c r="F229">
        <v>1.0920000000000001</v>
      </c>
      <c r="G229" t="s">
        <v>15</v>
      </c>
    </row>
    <row r="230" spans="1:7" x14ac:dyDescent="0.25">
      <c r="A230">
        <v>17</v>
      </c>
      <c r="B230" t="s">
        <v>148</v>
      </c>
      <c r="C230">
        <v>50</v>
      </c>
      <c r="D230" t="s">
        <v>107</v>
      </c>
      <c r="E230" t="s">
        <v>108</v>
      </c>
      <c r="F230">
        <v>0.66300000000000003</v>
      </c>
      <c r="G230" t="s">
        <v>13</v>
      </c>
    </row>
    <row r="231" spans="1:7" x14ac:dyDescent="0.25">
      <c r="A231">
        <v>17</v>
      </c>
      <c r="B231" t="s">
        <v>148</v>
      </c>
      <c r="C231">
        <v>60</v>
      </c>
      <c r="D231" t="s">
        <v>267</v>
      </c>
      <c r="E231" t="s">
        <v>11</v>
      </c>
      <c r="F231">
        <v>1</v>
      </c>
      <c r="G231" t="s">
        <v>13</v>
      </c>
    </row>
    <row r="232" spans="1:7" x14ac:dyDescent="0.25">
      <c r="A232">
        <v>17</v>
      </c>
      <c r="B232" t="s">
        <v>148</v>
      </c>
      <c r="C232">
        <v>70</v>
      </c>
      <c r="D232" t="s">
        <v>109</v>
      </c>
      <c r="E232" t="s">
        <v>14</v>
      </c>
      <c r="F232">
        <v>18.440000000000001</v>
      </c>
      <c r="G232" t="s">
        <v>13</v>
      </c>
    </row>
    <row r="233" spans="1:7" x14ac:dyDescent="0.25">
      <c r="A233">
        <v>17</v>
      </c>
      <c r="B233" t="s">
        <v>148</v>
      </c>
      <c r="C233">
        <v>80</v>
      </c>
      <c r="D233" t="s">
        <v>16</v>
      </c>
      <c r="E233" t="s">
        <v>14</v>
      </c>
      <c r="F233">
        <v>114.346</v>
      </c>
      <c r="G233" t="s">
        <v>13</v>
      </c>
    </row>
    <row r="234" spans="1:7" x14ac:dyDescent="0.25">
      <c r="A234">
        <v>17</v>
      </c>
      <c r="B234" t="s">
        <v>148</v>
      </c>
      <c r="C234">
        <v>90</v>
      </c>
      <c r="D234" t="s">
        <v>265</v>
      </c>
      <c r="E234" t="s">
        <v>12</v>
      </c>
      <c r="F234">
        <v>0.1</v>
      </c>
      <c r="G234" t="s">
        <v>13</v>
      </c>
    </row>
    <row r="235" spans="1:7" x14ac:dyDescent="0.25">
      <c r="A235">
        <v>17</v>
      </c>
      <c r="B235" t="s">
        <v>148</v>
      </c>
      <c r="C235">
        <v>100</v>
      </c>
      <c r="D235" t="s">
        <v>269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148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148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148</v>
      </c>
      <c r="C238">
        <v>130</v>
      </c>
      <c r="D238" t="s">
        <v>110</v>
      </c>
      <c r="E238" t="s">
        <v>12</v>
      </c>
      <c r="F238">
        <v>0.70299999999999996</v>
      </c>
      <c r="G238" t="s">
        <v>13</v>
      </c>
    </row>
    <row r="239" spans="1:7" x14ac:dyDescent="0.25">
      <c r="A239">
        <v>17</v>
      </c>
      <c r="B239" t="s">
        <v>148</v>
      </c>
      <c r="C239">
        <v>140</v>
      </c>
      <c r="D239" t="s">
        <v>302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150</v>
      </c>
      <c r="C240">
        <v>10</v>
      </c>
      <c r="D240" t="s">
        <v>116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150</v>
      </c>
      <c r="C241">
        <v>20</v>
      </c>
      <c r="D241" t="s">
        <v>151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150</v>
      </c>
      <c r="C242">
        <v>30</v>
      </c>
      <c r="D242" t="s">
        <v>303</v>
      </c>
      <c r="E242" t="s">
        <v>11</v>
      </c>
      <c r="F242">
        <v>1</v>
      </c>
      <c r="G242" t="s">
        <v>15</v>
      </c>
    </row>
    <row r="243" spans="1:7" x14ac:dyDescent="0.25">
      <c r="A243">
        <v>18</v>
      </c>
      <c r="B243" t="s">
        <v>150</v>
      </c>
      <c r="C243">
        <v>40</v>
      </c>
      <c r="D243" t="s">
        <v>266</v>
      </c>
      <c r="E243" t="s">
        <v>14</v>
      </c>
      <c r="F243">
        <v>1.2450000000000001</v>
      </c>
      <c r="G243" t="s">
        <v>15</v>
      </c>
    </row>
    <row r="244" spans="1:7" x14ac:dyDescent="0.25">
      <c r="A244">
        <v>18</v>
      </c>
      <c r="B244" t="s">
        <v>150</v>
      </c>
      <c r="C244">
        <v>50</v>
      </c>
      <c r="D244" t="s">
        <v>107</v>
      </c>
      <c r="E244" t="s">
        <v>108</v>
      </c>
      <c r="F244">
        <v>0.75800000000000001</v>
      </c>
      <c r="G244" t="s">
        <v>13</v>
      </c>
    </row>
    <row r="245" spans="1:7" x14ac:dyDescent="0.25">
      <c r="A245">
        <v>18</v>
      </c>
      <c r="B245" t="s">
        <v>150</v>
      </c>
      <c r="C245">
        <v>60</v>
      </c>
      <c r="D245" t="s">
        <v>267</v>
      </c>
      <c r="E245" t="s">
        <v>11</v>
      </c>
      <c r="F245">
        <v>1</v>
      </c>
      <c r="G245" t="s">
        <v>13</v>
      </c>
    </row>
    <row r="246" spans="1:7" x14ac:dyDescent="0.25">
      <c r="A246">
        <v>18</v>
      </c>
      <c r="B246" t="s">
        <v>150</v>
      </c>
      <c r="C246">
        <v>70</v>
      </c>
      <c r="D246" t="s">
        <v>109</v>
      </c>
      <c r="E246" t="s">
        <v>14</v>
      </c>
      <c r="F246">
        <v>19.355</v>
      </c>
      <c r="G246" t="s">
        <v>13</v>
      </c>
    </row>
    <row r="247" spans="1:7" x14ac:dyDescent="0.25">
      <c r="A247">
        <v>18</v>
      </c>
      <c r="B247" t="s">
        <v>150</v>
      </c>
      <c r="C247">
        <v>80</v>
      </c>
      <c r="D247" t="s">
        <v>16</v>
      </c>
      <c r="E247" t="s">
        <v>14</v>
      </c>
      <c r="F247">
        <v>119.96899999999999</v>
      </c>
      <c r="G247" t="s">
        <v>13</v>
      </c>
    </row>
    <row r="248" spans="1:7" x14ac:dyDescent="0.25">
      <c r="A248">
        <v>18</v>
      </c>
      <c r="B248" t="s">
        <v>150</v>
      </c>
      <c r="C248">
        <v>90</v>
      </c>
      <c r="D248" t="s">
        <v>265</v>
      </c>
      <c r="E248" t="s">
        <v>12</v>
      </c>
      <c r="F248">
        <v>0.11</v>
      </c>
      <c r="G248" t="s">
        <v>13</v>
      </c>
    </row>
    <row r="249" spans="1:7" x14ac:dyDescent="0.25">
      <c r="A249">
        <v>18</v>
      </c>
      <c r="B249" t="s">
        <v>150</v>
      </c>
      <c r="C249">
        <v>100</v>
      </c>
      <c r="D249" t="s">
        <v>269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150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150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150</v>
      </c>
      <c r="C252">
        <v>130</v>
      </c>
      <c r="D252" t="s">
        <v>110</v>
      </c>
      <c r="E252" t="s">
        <v>12</v>
      </c>
      <c r="F252">
        <v>0.78400000000000003</v>
      </c>
      <c r="G252" t="s">
        <v>13</v>
      </c>
    </row>
    <row r="253" spans="1:7" x14ac:dyDescent="0.25">
      <c r="A253">
        <v>18</v>
      </c>
      <c r="B253" t="s">
        <v>150</v>
      </c>
      <c r="C253">
        <v>140</v>
      </c>
      <c r="D253" t="s">
        <v>304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152</v>
      </c>
      <c r="C254">
        <v>10</v>
      </c>
      <c r="D254" t="s">
        <v>116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152</v>
      </c>
      <c r="C255">
        <v>20</v>
      </c>
      <c r="D255" t="s">
        <v>153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152</v>
      </c>
      <c r="C256">
        <v>30</v>
      </c>
      <c r="D256" t="s">
        <v>305</v>
      </c>
      <c r="E256" t="s">
        <v>11</v>
      </c>
      <c r="F256">
        <v>1</v>
      </c>
      <c r="G256" t="s">
        <v>15</v>
      </c>
    </row>
    <row r="257" spans="1:7" x14ac:dyDescent="0.25">
      <c r="A257">
        <v>19</v>
      </c>
      <c r="B257" t="s">
        <v>152</v>
      </c>
      <c r="C257">
        <v>40</v>
      </c>
      <c r="D257" t="s">
        <v>266</v>
      </c>
      <c r="E257" t="s">
        <v>14</v>
      </c>
      <c r="F257">
        <v>1.5489999999999999</v>
      </c>
      <c r="G257" t="s">
        <v>15</v>
      </c>
    </row>
    <row r="258" spans="1:7" x14ac:dyDescent="0.25">
      <c r="A258">
        <v>19</v>
      </c>
      <c r="B258" t="s">
        <v>152</v>
      </c>
      <c r="C258">
        <v>50</v>
      </c>
      <c r="D258" t="s">
        <v>107</v>
      </c>
      <c r="E258" t="s">
        <v>108</v>
      </c>
      <c r="F258">
        <v>0.94799999999999995</v>
      </c>
      <c r="G258" t="s">
        <v>13</v>
      </c>
    </row>
    <row r="259" spans="1:7" x14ac:dyDescent="0.25">
      <c r="A259">
        <v>19</v>
      </c>
      <c r="B259" t="s">
        <v>152</v>
      </c>
      <c r="C259">
        <v>60</v>
      </c>
      <c r="D259" t="s">
        <v>267</v>
      </c>
      <c r="E259" t="s">
        <v>11</v>
      </c>
      <c r="F259">
        <v>1</v>
      </c>
      <c r="G259" t="s">
        <v>13</v>
      </c>
    </row>
    <row r="260" spans="1:7" x14ac:dyDescent="0.25">
      <c r="A260">
        <v>19</v>
      </c>
      <c r="B260" t="s">
        <v>152</v>
      </c>
      <c r="C260">
        <v>70</v>
      </c>
      <c r="D260" t="s">
        <v>109</v>
      </c>
      <c r="E260" t="s">
        <v>14</v>
      </c>
      <c r="F260">
        <v>21.184000000000001</v>
      </c>
      <c r="G260" t="s">
        <v>13</v>
      </c>
    </row>
    <row r="261" spans="1:7" x14ac:dyDescent="0.25">
      <c r="A261">
        <v>19</v>
      </c>
      <c r="B261" t="s">
        <v>152</v>
      </c>
      <c r="C261">
        <v>80</v>
      </c>
      <c r="D261" t="s">
        <v>16</v>
      </c>
      <c r="E261" t="s">
        <v>14</v>
      </c>
      <c r="F261">
        <v>131.21600000000001</v>
      </c>
      <c r="G261" t="s">
        <v>13</v>
      </c>
    </row>
    <row r="262" spans="1:7" x14ac:dyDescent="0.25">
      <c r="A262">
        <v>19</v>
      </c>
      <c r="B262" t="s">
        <v>152</v>
      </c>
      <c r="C262">
        <v>90</v>
      </c>
      <c r="D262" t="s">
        <v>265</v>
      </c>
      <c r="E262" t="s">
        <v>12</v>
      </c>
      <c r="F262">
        <v>0.13200000000000001</v>
      </c>
      <c r="G262" t="s">
        <v>13</v>
      </c>
    </row>
    <row r="263" spans="1:7" x14ac:dyDescent="0.25">
      <c r="A263">
        <v>19</v>
      </c>
      <c r="B263" t="s">
        <v>152</v>
      </c>
      <c r="C263">
        <v>100</v>
      </c>
      <c r="D263" t="s">
        <v>269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152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152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152</v>
      </c>
      <c r="C266">
        <v>130</v>
      </c>
      <c r="D266" t="s">
        <v>110</v>
      </c>
      <c r="E266" t="s">
        <v>12</v>
      </c>
      <c r="F266">
        <v>0.94599999999999995</v>
      </c>
      <c r="G266" t="s">
        <v>13</v>
      </c>
    </row>
    <row r="267" spans="1:7" x14ac:dyDescent="0.25">
      <c r="A267">
        <v>19</v>
      </c>
      <c r="B267" t="s">
        <v>152</v>
      </c>
      <c r="C267">
        <v>140</v>
      </c>
      <c r="D267" t="s">
        <v>306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154</v>
      </c>
      <c r="C268">
        <v>10</v>
      </c>
      <c r="D268" t="s">
        <v>116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154</v>
      </c>
      <c r="C269">
        <v>20</v>
      </c>
      <c r="D269" t="s">
        <v>155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154</v>
      </c>
      <c r="C270">
        <v>30</v>
      </c>
      <c r="D270" t="s">
        <v>307</v>
      </c>
      <c r="E270" t="s">
        <v>11</v>
      </c>
      <c r="F270">
        <v>1</v>
      </c>
      <c r="G270" t="s">
        <v>15</v>
      </c>
    </row>
    <row r="271" spans="1:7" x14ac:dyDescent="0.25">
      <c r="A271">
        <v>20</v>
      </c>
      <c r="B271" t="s">
        <v>154</v>
      </c>
      <c r="C271">
        <v>40</v>
      </c>
      <c r="D271" t="s">
        <v>266</v>
      </c>
      <c r="E271" t="s">
        <v>14</v>
      </c>
      <c r="F271">
        <v>1.702</v>
      </c>
      <c r="G271" t="s">
        <v>15</v>
      </c>
    </row>
    <row r="272" spans="1:7" x14ac:dyDescent="0.25">
      <c r="A272">
        <v>20</v>
      </c>
      <c r="B272" t="s">
        <v>154</v>
      </c>
      <c r="C272">
        <v>50</v>
      </c>
      <c r="D272" t="s">
        <v>107</v>
      </c>
      <c r="E272" t="s">
        <v>108</v>
      </c>
      <c r="F272">
        <v>1.042</v>
      </c>
      <c r="G272" t="s">
        <v>13</v>
      </c>
    </row>
    <row r="273" spans="1:7" x14ac:dyDescent="0.25">
      <c r="A273">
        <v>20</v>
      </c>
      <c r="B273" t="s">
        <v>154</v>
      </c>
      <c r="C273">
        <v>60</v>
      </c>
      <c r="D273" t="s">
        <v>267</v>
      </c>
      <c r="E273" t="s">
        <v>11</v>
      </c>
      <c r="F273">
        <v>1</v>
      </c>
      <c r="G273" t="s">
        <v>13</v>
      </c>
    </row>
    <row r="274" spans="1:7" x14ac:dyDescent="0.25">
      <c r="A274">
        <v>20</v>
      </c>
      <c r="B274" t="s">
        <v>154</v>
      </c>
      <c r="C274">
        <v>70</v>
      </c>
      <c r="D274" t="s">
        <v>109</v>
      </c>
      <c r="E274" t="s">
        <v>14</v>
      </c>
      <c r="F274">
        <v>22.097999999999999</v>
      </c>
      <c r="G274" t="s">
        <v>13</v>
      </c>
    </row>
    <row r="275" spans="1:7" x14ac:dyDescent="0.25">
      <c r="A275">
        <v>20</v>
      </c>
      <c r="B275" t="s">
        <v>154</v>
      </c>
      <c r="C275">
        <v>80</v>
      </c>
      <c r="D275" t="s">
        <v>16</v>
      </c>
      <c r="E275" t="s">
        <v>14</v>
      </c>
      <c r="F275">
        <v>136.84</v>
      </c>
      <c r="G275" t="s">
        <v>13</v>
      </c>
    </row>
    <row r="276" spans="1:7" x14ac:dyDescent="0.25">
      <c r="A276">
        <v>20</v>
      </c>
      <c r="B276" t="s">
        <v>154</v>
      </c>
      <c r="C276">
        <v>90</v>
      </c>
      <c r="D276" t="s">
        <v>265</v>
      </c>
      <c r="E276" t="s">
        <v>12</v>
      </c>
      <c r="F276">
        <v>0.14199999999999999</v>
      </c>
      <c r="G276" t="s">
        <v>13</v>
      </c>
    </row>
    <row r="277" spans="1:7" x14ac:dyDescent="0.25">
      <c r="A277">
        <v>20</v>
      </c>
      <c r="B277" t="s">
        <v>154</v>
      </c>
      <c r="C277">
        <v>100</v>
      </c>
      <c r="D277" t="s">
        <v>269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154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154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154</v>
      </c>
      <c r="C280">
        <v>130</v>
      </c>
      <c r="D280" t="s">
        <v>110</v>
      </c>
      <c r="E280" t="s">
        <v>12</v>
      </c>
      <c r="F280">
        <v>1.0269999999999999</v>
      </c>
      <c r="G280" t="s">
        <v>13</v>
      </c>
    </row>
    <row r="281" spans="1:7" x14ac:dyDescent="0.25">
      <c r="A281">
        <v>20</v>
      </c>
      <c r="B281" t="s">
        <v>154</v>
      </c>
      <c r="C281">
        <v>140</v>
      </c>
      <c r="D281" t="s">
        <v>308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156</v>
      </c>
      <c r="C282">
        <v>10</v>
      </c>
      <c r="D282" t="s">
        <v>116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156</v>
      </c>
      <c r="C283">
        <v>20</v>
      </c>
      <c r="D283" t="s">
        <v>157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156</v>
      </c>
      <c r="C284">
        <v>30</v>
      </c>
      <c r="D284" t="s">
        <v>309</v>
      </c>
      <c r="E284" t="s">
        <v>11</v>
      </c>
      <c r="F284">
        <v>1</v>
      </c>
      <c r="G284" t="s">
        <v>15</v>
      </c>
    </row>
    <row r="285" spans="1:7" x14ac:dyDescent="0.25">
      <c r="A285">
        <v>21</v>
      </c>
      <c r="B285" t="s">
        <v>156</v>
      </c>
      <c r="C285">
        <v>40</v>
      </c>
      <c r="D285" t="s">
        <v>266</v>
      </c>
      <c r="E285" t="s">
        <v>14</v>
      </c>
      <c r="F285">
        <v>1.8540000000000001</v>
      </c>
      <c r="G285" t="s">
        <v>15</v>
      </c>
    </row>
    <row r="286" spans="1:7" x14ac:dyDescent="0.25">
      <c r="A286">
        <v>21</v>
      </c>
      <c r="B286" t="s">
        <v>156</v>
      </c>
      <c r="C286">
        <v>50</v>
      </c>
      <c r="D286" t="s">
        <v>107</v>
      </c>
      <c r="E286" t="s">
        <v>108</v>
      </c>
      <c r="F286">
        <v>1.137</v>
      </c>
      <c r="G286" t="s">
        <v>13</v>
      </c>
    </row>
    <row r="287" spans="1:7" x14ac:dyDescent="0.25">
      <c r="A287">
        <v>21</v>
      </c>
      <c r="B287" t="s">
        <v>156</v>
      </c>
      <c r="C287">
        <v>60</v>
      </c>
      <c r="D287" t="s">
        <v>267</v>
      </c>
      <c r="E287" t="s">
        <v>11</v>
      </c>
      <c r="F287">
        <v>1</v>
      </c>
      <c r="G287" t="s">
        <v>13</v>
      </c>
    </row>
    <row r="288" spans="1:7" x14ac:dyDescent="0.25">
      <c r="A288">
        <v>21</v>
      </c>
      <c r="B288" t="s">
        <v>156</v>
      </c>
      <c r="C288">
        <v>70</v>
      </c>
      <c r="D288" t="s">
        <v>109</v>
      </c>
      <c r="E288" t="s">
        <v>14</v>
      </c>
      <c r="F288">
        <v>23.012</v>
      </c>
      <c r="G288" t="s">
        <v>13</v>
      </c>
    </row>
    <row r="289" spans="1:7" x14ac:dyDescent="0.25">
      <c r="A289">
        <v>21</v>
      </c>
      <c r="B289" t="s">
        <v>156</v>
      </c>
      <c r="C289">
        <v>80</v>
      </c>
      <c r="D289" t="s">
        <v>16</v>
      </c>
      <c r="E289" t="s">
        <v>14</v>
      </c>
      <c r="F289">
        <v>142.464</v>
      </c>
      <c r="G289" t="s">
        <v>13</v>
      </c>
    </row>
    <row r="290" spans="1:7" x14ac:dyDescent="0.25">
      <c r="A290">
        <v>21</v>
      </c>
      <c r="B290" t="s">
        <v>156</v>
      </c>
      <c r="C290">
        <v>90</v>
      </c>
      <c r="D290" t="s">
        <v>265</v>
      </c>
      <c r="E290" t="s">
        <v>12</v>
      </c>
      <c r="F290">
        <v>0.153</v>
      </c>
      <c r="G290" t="s">
        <v>13</v>
      </c>
    </row>
    <row r="291" spans="1:7" x14ac:dyDescent="0.25">
      <c r="A291">
        <v>21</v>
      </c>
      <c r="B291" t="s">
        <v>156</v>
      </c>
      <c r="C291">
        <v>100</v>
      </c>
      <c r="D291" t="s">
        <v>269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156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156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156</v>
      </c>
      <c r="C294">
        <v>130</v>
      </c>
      <c r="D294" t="s">
        <v>110</v>
      </c>
      <c r="E294" t="s">
        <v>12</v>
      </c>
      <c r="F294">
        <v>1.1080000000000001</v>
      </c>
      <c r="G294" t="s">
        <v>13</v>
      </c>
    </row>
    <row r="295" spans="1:7" x14ac:dyDescent="0.25">
      <c r="A295">
        <v>21</v>
      </c>
      <c r="B295" t="s">
        <v>156</v>
      </c>
      <c r="C295">
        <v>140</v>
      </c>
      <c r="D295" t="s">
        <v>310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158</v>
      </c>
      <c r="C296">
        <v>10</v>
      </c>
      <c r="D296" t="s">
        <v>116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158</v>
      </c>
      <c r="C297">
        <v>20</v>
      </c>
      <c r="D297" t="s">
        <v>159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158</v>
      </c>
      <c r="C298">
        <v>30</v>
      </c>
      <c r="D298" t="s">
        <v>311</v>
      </c>
      <c r="E298" t="s">
        <v>11</v>
      </c>
      <c r="F298">
        <v>1</v>
      </c>
      <c r="G298" t="s">
        <v>15</v>
      </c>
    </row>
    <row r="299" spans="1:7" x14ac:dyDescent="0.25">
      <c r="A299">
        <v>22</v>
      </c>
      <c r="B299" t="s">
        <v>158</v>
      </c>
      <c r="C299">
        <v>40</v>
      </c>
      <c r="D299" t="s">
        <v>266</v>
      </c>
      <c r="E299" t="s">
        <v>14</v>
      </c>
      <c r="F299">
        <v>0.78700000000000003</v>
      </c>
      <c r="G299" t="s">
        <v>15</v>
      </c>
    </row>
    <row r="300" spans="1:7" x14ac:dyDescent="0.25">
      <c r="A300">
        <v>22</v>
      </c>
      <c r="B300" t="s">
        <v>158</v>
      </c>
      <c r="C300">
        <v>50</v>
      </c>
      <c r="D300" t="s">
        <v>107</v>
      </c>
      <c r="E300" t="s">
        <v>108</v>
      </c>
      <c r="F300">
        <v>0.48599999999999999</v>
      </c>
      <c r="G300" t="s">
        <v>13</v>
      </c>
    </row>
    <row r="301" spans="1:7" x14ac:dyDescent="0.25">
      <c r="A301">
        <v>22</v>
      </c>
      <c r="B301" t="s">
        <v>158</v>
      </c>
      <c r="C301">
        <v>60</v>
      </c>
      <c r="D301" t="s">
        <v>267</v>
      </c>
      <c r="E301" t="s">
        <v>11</v>
      </c>
      <c r="F301">
        <v>1</v>
      </c>
      <c r="G301" t="s">
        <v>13</v>
      </c>
    </row>
    <row r="302" spans="1:7" x14ac:dyDescent="0.25">
      <c r="A302">
        <v>22</v>
      </c>
      <c r="B302" t="s">
        <v>158</v>
      </c>
      <c r="C302">
        <v>70</v>
      </c>
      <c r="D302" t="s">
        <v>109</v>
      </c>
      <c r="E302" t="s">
        <v>14</v>
      </c>
      <c r="F302">
        <v>16.916</v>
      </c>
      <c r="G302" t="s">
        <v>13</v>
      </c>
    </row>
    <row r="303" spans="1:7" x14ac:dyDescent="0.25">
      <c r="A303">
        <v>22</v>
      </c>
      <c r="B303" t="s">
        <v>158</v>
      </c>
      <c r="C303">
        <v>80</v>
      </c>
      <c r="D303" t="s">
        <v>16</v>
      </c>
      <c r="E303" t="s">
        <v>14</v>
      </c>
      <c r="F303">
        <v>104.973</v>
      </c>
      <c r="G303" t="s">
        <v>13</v>
      </c>
    </row>
    <row r="304" spans="1:7" x14ac:dyDescent="0.25">
      <c r="A304">
        <v>22</v>
      </c>
      <c r="B304" t="s">
        <v>158</v>
      </c>
      <c r="C304">
        <v>90</v>
      </c>
      <c r="D304" t="s">
        <v>265</v>
      </c>
      <c r="E304" t="s">
        <v>12</v>
      </c>
      <c r="F304">
        <v>7.8E-2</v>
      </c>
      <c r="G304" t="s">
        <v>13</v>
      </c>
    </row>
    <row r="305" spans="1:7" x14ac:dyDescent="0.25">
      <c r="A305">
        <v>22</v>
      </c>
      <c r="B305" t="s">
        <v>158</v>
      </c>
      <c r="C305">
        <v>100</v>
      </c>
      <c r="D305" t="s">
        <v>269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158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158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158</v>
      </c>
      <c r="C308">
        <v>130</v>
      </c>
      <c r="D308" t="s">
        <v>110</v>
      </c>
      <c r="E308" t="s">
        <v>12</v>
      </c>
      <c r="F308">
        <v>1.216</v>
      </c>
      <c r="G308" t="s">
        <v>13</v>
      </c>
    </row>
    <row r="309" spans="1:7" x14ac:dyDescent="0.25">
      <c r="A309">
        <v>22</v>
      </c>
      <c r="B309" t="s">
        <v>158</v>
      </c>
      <c r="C309">
        <v>140</v>
      </c>
      <c r="D309" t="s">
        <v>312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160</v>
      </c>
      <c r="C310">
        <v>10</v>
      </c>
      <c r="D310" t="s">
        <v>116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160</v>
      </c>
      <c r="C311">
        <v>20</v>
      </c>
      <c r="D311" t="s">
        <v>161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160</v>
      </c>
      <c r="C312">
        <v>30</v>
      </c>
      <c r="D312" t="s">
        <v>313</v>
      </c>
      <c r="E312" t="s">
        <v>11</v>
      </c>
      <c r="F312">
        <v>1</v>
      </c>
      <c r="G312" t="s">
        <v>15</v>
      </c>
    </row>
    <row r="313" spans="1:7" x14ac:dyDescent="0.25">
      <c r="A313">
        <v>23</v>
      </c>
      <c r="B313" t="s">
        <v>160</v>
      </c>
      <c r="C313">
        <v>40</v>
      </c>
      <c r="D313" t="s">
        <v>266</v>
      </c>
      <c r="E313" t="s">
        <v>14</v>
      </c>
      <c r="F313">
        <v>0.94</v>
      </c>
      <c r="G313" t="s">
        <v>15</v>
      </c>
    </row>
    <row r="314" spans="1:7" x14ac:dyDescent="0.25">
      <c r="A314">
        <v>23</v>
      </c>
      <c r="B314" t="s">
        <v>160</v>
      </c>
      <c r="C314">
        <v>50</v>
      </c>
      <c r="D314" t="s">
        <v>107</v>
      </c>
      <c r="E314" t="s">
        <v>108</v>
      </c>
      <c r="F314">
        <v>0.58299999999999996</v>
      </c>
      <c r="G314" t="s">
        <v>13</v>
      </c>
    </row>
    <row r="315" spans="1:7" x14ac:dyDescent="0.25">
      <c r="A315">
        <v>23</v>
      </c>
      <c r="B315" t="s">
        <v>160</v>
      </c>
      <c r="C315">
        <v>60</v>
      </c>
      <c r="D315" t="s">
        <v>267</v>
      </c>
      <c r="E315" t="s">
        <v>11</v>
      </c>
      <c r="F315">
        <v>1</v>
      </c>
      <c r="G315" t="s">
        <v>13</v>
      </c>
    </row>
    <row r="316" spans="1:7" x14ac:dyDescent="0.25">
      <c r="A316">
        <v>23</v>
      </c>
      <c r="B316" t="s">
        <v>160</v>
      </c>
      <c r="C316">
        <v>70</v>
      </c>
      <c r="D316" t="s">
        <v>109</v>
      </c>
      <c r="E316" t="s">
        <v>14</v>
      </c>
      <c r="F316">
        <v>17.831</v>
      </c>
      <c r="G316" t="s">
        <v>13</v>
      </c>
    </row>
    <row r="317" spans="1:7" x14ac:dyDescent="0.25">
      <c r="A317">
        <v>23</v>
      </c>
      <c r="B317" t="s">
        <v>160</v>
      </c>
      <c r="C317">
        <v>80</v>
      </c>
      <c r="D317" t="s">
        <v>16</v>
      </c>
      <c r="E317" t="s">
        <v>14</v>
      </c>
      <c r="F317">
        <v>110.59699999999999</v>
      </c>
      <c r="G317" t="s">
        <v>13</v>
      </c>
    </row>
    <row r="318" spans="1:7" x14ac:dyDescent="0.25">
      <c r="A318">
        <v>23</v>
      </c>
      <c r="B318" t="s">
        <v>160</v>
      </c>
      <c r="C318">
        <v>90</v>
      </c>
      <c r="D318" t="s">
        <v>265</v>
      </c>
      <c r="E318" t="s">
        <v>12</v>
      </c>
      <c r="F318">
        <v>8.8999999999999996E-2</v>
      </c>
      <c r="G318" t="s">
        <v>13</v>
      </c>
    </row>
    <row r="319" spans="1:7" x14ac:dyDescent="0.25">
      <c r="A319">
        <v>23</v>
      </c>
      <c r="B319" t="s">
        <v>160</v>
      </c>
      <c r="C319">
        <v>100</v>
      </c>
      <c r="D319" t="s">
        <v>269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160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160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160</v>
      </c>
      <c r="C322">
        <v>130</v>
      </c>
      <c r="D322" t="s">
        <v>110</v>
      </c>
      <c r="E322" t="s">
        <v>12</v>
      </c>
      <c r="F322">
        <v>1.216</v>
      </c>
      <c r="G322" t="s">
        <v>13</v>
      </c>
    </row>
    <row r="323" spans="1:7" x14ac:dyDescent="0.25">
      <c r="A323">
        <v>23</v>
      </c>
      <c r="B323" t="s">
        <v>160</v>
      </c>
      <c r="C323">
        <v>140</v>
      </c>
      <c r="D323" t="s">
        <v>314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162</v>
      </c>
      <c r="C324">
        <v>10</v>
      </c>
      <c r="D324" t="s">
        <v>116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162</v>
      </c>
      <c r="C325">
        <v>20</v>
      </c>
      <c r="D325" t="s">
        <v>163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162</v>
      </c>
      <c r="C326">
        <v>30</v>
      </c>
      <c r="D326" t="s">
        <v>315</v>
      </c>
      <c r="E326" t="s">
        <v>11</v>
      </c>
      <c r="F326">
        <v>1</v>
      </c>
      <c r="G326" t="s">
        <v>15</v>
      </c>
    </row>
    <row r="327" spans="1:7" x14ac:dyDescent="0.25">
      <c r="A327">
        <v>24</v>
      </c>
      <c r="B327" t="s">
        <v>162</v>
      </c>
      <c r="C327">
        <v>40</v>
      </c>
      <c r="D327" t="s">
        <v>266</v>
      </c>
      <c r="E327" t="s">
        <v>14</v>
      </c>
      <c r="F327">
        <v>1.0920000000000001</v>
      </c>
      <c r="G327" t="s">
        <v>15</v>
      </c>
    </row>
    <row r="328" spans="1:7" x14ac:dyDescent="0.25">
      <c r="A328">
        <v>24</v>
      </c>
      <c r="B328" t="s">
        <v>162</v>
      </c>
      <c r="C328">
        <v>50</v>
      </c>
      <c r="D328" t="s">
        <v>107</v>
      </c>
      <c r="E328" t="s">
        <v>108</v>
      </c>
      <c r="F328">
        <v>0.68</v>
      </c>
      <c r="G328" t="s">
        <v>13</v>
      </c>
    </row>
    <row r="329" spans="1:7" x14ac:dyDescent="0.25">
      <c r="A329">
        <v>24</v>
      </c>
      <c r="B329" t="s">
        <v>162</v>
      </c>
      <c r="C329">
        <v>60</v>
      </c>
      <c r="D329" t="s">
        <v>267</v>
      </c>
      <c r="E329" t="s">
        <v>11</v>
      </c>
      <c r="F329">
        <v>1</v>
      </c>
      <c r="G329" t="s">
        <v>13</v>
      </c>
    </row>
    <row r="330" spans="1:7" x14ac:dyDescent="0.25">
      <c r="A330">
        <v>24</v>
      </c>
      <c r="B330" t="s">
        <v>162</v>
      </c>
      <c r="C330">
        <v>70</v>
      </c>
      <c r="D330" t="s">
        <v>109</v>
      </c>
      <c r="E330" t="s">
        <v>14</v>
      </c>
      <c r="F330">
        <v>18.745000000000001</v>
      </c>
      <c r="G330" t="s">
        <v>13</v>
      </c>
    </row>
    <row r="331" spans="1:7" x14ac:dyDescent="0.25">
      <c r="A331">
        <v>24</v>
      </c>
      <c r="B331" t="s">
        <v>162</v>
      </c>
      <c r="C331">
        <v>80</v>
      </c>
      <c r="D331" t="s">
        <v>16</v>
      </c>
      <c r="E331" t="s">
        <v>14</v>
      </c>
      <c r="F331">
        <v>116.22</v>
      </c>
      <c r="G331" t="s">
        <v>13</v>
      </c>
    </row>
    <row r="332" spans="1:7" x14ac:dyDescent="0.25">
      <c r="A332">
        <v>24</v>
      </c>
      <c r="B332" t="s">
        <v>162</v>
      </c>
      <c r="C332">
        <v>90</v>
      </c>
      <c r="D332" t="s">
        <v>265</v>
      </c>
      <c r="E332" t="s">
        <v>12</v>
      </c>
      <c r="F332">
        <v>0.1</v>
      </c>
      <c r="G332" t="s">
        <v>13</v>
      </c>
    </row>
    <row r="333" spans="1:7" x14ac:dyDescent="0.25">
      <c r="A333">
        <v>24</v>
      </c>
      <c r="B333" t="s">
        <v>162</v>
      </c>
      <c r="C333">
        <v>100</v>
      </c>
      <c r="D333" t="s">
        <v>269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162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162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162</v>
      </c>
      <c r="C336">
        <v>130</v>
      </c>
      <c r="D336" t="s">
        <v>110</v>
      </c>
      <c r="E336" t="s">
        <v>12</v>
      </c>
      <c r="F336">
        <v>1.216</v>
      </c>
      <c r="G336" t="s">
        <v>13</v>
      </c>
    </row>
    <row r="337" spans="1:7" x14ac:dyDescent="0.25">
      <c r="A337">
        <v>24</v>
      </c>
      <c r="B337" t="s">
        <v>162</v>
      </c>
      <c r="C337">
        <v>140</v>
      </c>
      <c r="D337" t="s">
        <v>316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164</v>
      </c>
      <c r="C338">
        <v>10</v>
      </c>
      <c r="D338" t="s">
        <v>116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164</v>
      </c>
      <c r="C339">
        <v>20</v>
      </c>
      <c r="D339" t="s">
        <v>165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164</v>
      </c>
      <c r="C340">
        <v>30</v>
      </c>
      <c r="D340" t="s">
        <v>317</v>
      </c>
      <c r="E340" t="s">
        <v>11</v>
      </c>
      <c r="F340">
        <v>1</v>
      </c>
      <c r="G340" t="s">
        <v>15</v>
      </c>
    </row>
    <row r="341" spans="1:7" x14ac:dyDescent="0.25">
      <c r="A341">
        <v>25</v>
      </c>
      <c r="B341" t="s">
        <v>164</v>
      </c>
      <c r="C341">
        <v>40</v>
      </c>
      <c r="D341" t="s">
        <v>266</v>
      </c>
      <c r="E341" t="s">
        <v>14</v>
      </c>
      <c r="F341">
        <v>1.2450000000000001</v>
      </c>
      <c r="G341" t="s">
        <v>15</v>
      </c>
    </row>
    <row r="342" spans="1:7" x14ac:dyDescent="0.25">
      <c r="A342">
        <v>25</v>
      </c>
      <c r="B342" t="s">
        <v>164</v>
      </c>
      <c r="C342">
        <v>50</v>
      </c>
      <c r="D342" t="s">
        <v>107</v>
      </c>
      <c r="E342" t="s">
        <v>108</v>
      </c>
      <c r="F342">
        <v>0.77800000000000002</v>
      </c>
      <c r="G342" t="s">
        <v>13</v>
      </c>
    </row>
    <row r="343" spans="1:7" x14ac:dyDescent="0.25">
      <c r="A343">
        <v>25</v>
      </c>
      <c r="B343" t="s">
        <v>164</v>
      </c>
      <c r="C343">
        <v>60</v>
      </c>
      <c r="D343" t="s">
        <v>267</v>
      </c>
      <c r="E343" t="s">
        <v>11</v>
      </c>
      <c r="F343">
        <v>1</v>
      </c>
      <c r="G343" t="s">
        <v>13</v>
      </c>
    </row>
    <row r="344" spans="1:7" x14ac:dyDescent="0.25">
      <c r="A344">
        <v>25</v>
      </c>
      <c r="B344" t="s">
        <v>164</v>
      </c>
      <c r="C344">
        <v>70</v>
      </c>
      <c r="D344" t="s">
        <v>109</v>
      </c>
      <c r="E344" t="s">
        <v>14</v>
      </c>
      <c r="F344">
        <v>19.66</v>
      </c>
      <c r="G344" t="s">
        <v>13</v>
      </c>
    </row>
    <row r="345" spans="1:7" x14ac:dyDescent="0.25">
      <c r="A345">
        <v>25</v>
      </c>
      <c r="B345" t="s">
        <v>164</v>
      </c>
      <c r="C345">
        <v>80</v>
      </c>
      <c r="D345" t="s">
        <v>16</v>
      </c>
      <c r="E345" t="s">
        <v>14</v>
      </c>
      <c r="F345">
        <v>121.84399999999999</v>
      </c>
      <c r="G345" t="s">
        <v>13</v>
      </c>
    </row>
    <row r="346" spans="1:7" x14ac:dyDescent="0.25">
      <c r="A346">
        <v>25</v>
      </c>
      <c r="B346" t="s">
        <v>164</v>
      </c>
      <c r="C346">
        <v>90</v>
      </c>
      <c r="D346" t="s">
        <v>265</v>
      </c>
      <c r="E346" t="s">
        <v>12</v>
      </c>
      <c r="F346">
        <v>0.11</v>
      </c>
      <c r="G346" t="s">
        <v>13</v>
      </c>
    </row>
    <row r="347" spans="1:7" x14ac:dyDescent="0.25">
      <c r="A347">
        <v>25</v>
      </c>
      <c r="B347" t="s">
        <v>164</v>
      </c>
      <c r="C347">
        <v>100</v>
      </c>
      <c r="D347" t="s">
        <v>269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164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164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164</v>
      </c>
      <c r="C350">
        <v>130</v>
      </c>
      <c r="D350" t="s">
        <v>110</v>
      </c>
      <c r="E350" t="s">
        <v>12</v>
      </c>
      <c r="F350">
        <v>1.216</v>
      </c>
      <c r="G350" t="s">
        <v>13</v>
      </c>
    </row>
    <row r="351" spans="1:7" x14ac:dyDescent="0.25">
      <c r="A351">
        <v>25</v>
      </c>
      <c r="B351" t="s">
        <v>164</v>
      </c>
      <c r="C351">
        <v>140</v>
      </c>
      <c r="D351" t="s">
        <v>318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166</v>
      </c>
      <c r="C352">
        <v>10</v>
      </c>
      <c r="D352" t="s">
        <v>116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166</v>
      </c>
      <c r="C353">
        <v>20</v>
      </c>
      <c r="D353" t="s">
        <v>167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166</v>
      </c>
      <c r="C354">
        <v>30</v>
      </c>
      <c r="D354" t="s">
        <v>319</v>
      </c>
      <c r="E354" t="s">
        <v>11</v>
      </c>
      <c r="F354">
        <v>1</v>
      </c>
      <c r="G354" t="s">
        <v>15</v>
      </c>
    </row>
    <row r="355" spans="1:7" x14ac:dyDescent="0.25">
      <c r="A355">
        <v>26</v>
      </c>
      <c r="B355" t="s">
        <v>166</v>
      </c>
      <c r="C355">
        <v>40</v>
      </c>
      <c r="D355" t="s">
        <v>266</v>
      </c>
      <c r="E355" t="s">
        <v>14</v>
      </c>
      <c r="F355">
        <v>1.5489999999999999</v>
      </c>
      <c r="G355" t="s">
        <v>15</v>
      </c>
    </row>
    <row r="356" spans="1:7" x14ac:dyDescent="0.25">
      <c r="A356">
        <v>26</v>
      </c>
      <c r="B356" t="s">
        <v>166</v>
      </c>
      <c r="C356">
        <v>50</v>
      </c>
      <c r="D356" t="s">
        <v>107</v>
      </c>
      <c r="E356" t="s">
        <v>108</v>
      </c>
      <c r="F356">
        <v>0.97199999999999998</v>
      </c>
      <c r="G356" t="s">
        <v>13</v>
      </c>
    </row>
    <row r="357" spans="1:7" x14ac:dyDescent="0.25">
      <c r="A357">
        <v>26</v>
      </c>
      <c r="B357" t="s">
        <v>166</v>
      </c>
      <c r="C357">
        <v>60</v>
      </c>
      <c r="D357" t="s">
        <v>267</v>
      </c>
      <c r="E357" t="s">
        <v>11</v>
      </c>
      <c r="F357">
        <v>1</v>
      </c>
      <c r="G357" t="s">
        <v>13</v>
      </c>
    </row>
    <row r="358" spans="1:7" x14ac:dyDescent="0.25">
      <c r="A358">
        <v>26</v>
      </c>
      <c r="B358" t="s">
        <v>166</v>
      </c>
      <c r="C358">
        <v>70</v>
      </c>
      <c r="D358" t="s">
        <v>109</v>
      </c>
      <c r="E358" t="s">
        <v>14</v>
      </c>
      <c r="F358">
        <v>21.488</v>
      </c>
      <c r="G358" t="s">
        <v>13</v>
      </c>
    </row>
    <row r="359" spans="1:7" x14ac:dyDescent="0.25">
      <c r="A359">
        <v>26</v>
      </c>
      <c r="B359" t="s">
        <v>166</v>
      </c>
      <c r="C359">
        <v>80</v>
      </c>
      <c r="D359" t="s">
        <v>16</v>
      </c>
      <c r="E359" t="s">
        <v>14</v>
      </c>
      <c r="F359">
        <v>133.09100000000001</v>
      </c>
      <c r="G359" t="s">
        <v>13</v>
      </c>
    </row>
    <row r="360" spans="1:7" x14ac:dyDescent="0.25">
      <c r="A360">
        <v>26</v>
      </c>
      <c r="B360" t="s">
        <v>166</v>
      </c>
      <c r="C360">
        <v>90</v>
      </c>
      <c r="D360" t="s">
        <v>265</v>
      </c>
      <c r="E360" t="s">
        <v>12</v>
      </c>
      <c r="F360">
        <v>0.13200000000000001</v>
      </c>
      <c r="G360" t="s">
        <v>13</v>
      </c>
    </row>
    <row r="361" spans="1:7" x14ac:dyDescent="0.25">
      <c r="A361">
        <v>26</v>
      </c>
      <c r="B361" t="s">
        <v>166</v>
      </c>
      <c r="C361">
        <v>100</v>
      </c>
      <c r="D361" t="s">
        <v>269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166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166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166</v>
      </c>
      <c r="C364">
        <v>130</v>
      </c>
      <c r="D364" t="s">
        <v>110</v>
      </c>
      <c r="E364" t="s">
        <v>12</v>
      </c>
      <c r="F364">
        <v>1.216</v>
      </c>
      <c r="G364" t="s">
        <v>13</v>
      </c>
    </row>
    <row r="365" spans="1:7" x14ac:dyDescent="0.25">
      <c r="A365">
        <v>26</v>
      </c>
      <c r="B365" t="s">
        <v>166</v>
      </c>
      <c r="C365">
        <v>140</v>
      </c>
      <c r="D365" t="s">
        <v>320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168</v>
      </c>
      <c r="C366">
        <v>10</v>
      </c>
      <c r="D366" t="s">
        <v>116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168</v>
      </c>
      <c r="C367">
        <v>20</v>
      </c>
      <c r="D367" t="s">
        <v>169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168</v>
      </c>
      <c r="C368">
        <v>30</v>
      </c>
      <c r="D368" t="s">
        <v>321</v>
      </c>
      <c r="E368" t="s">
        <v>11</v>
      </c>
      <c r="F368">
        <v>1</v>
      </c>
      <c r="G368" t="s">
        <v>15</v>
      </c>
    </row>
    <row r="369" spans="1:7" x14ac:dyDescent="0.25">
      <c r="A369">
        <v>27</v>
      </c>
      <c r="B369" t="s">
        <v>168</v>
      </c>
      <c r="C369">
        <v>40</v>
      </c>
      <c r="D369" t="s">
        <v>266</v>
      </c>
      <c r="E369" t="s">
        <v>14</v>
      </c>
      <c r="F369">
        <v>1.702</v>
      </c>
      <c r="G369" t="s">
        <v>15</v>
      </c>
    </row>
    <row r="370" spans="1:7" x14ac:dyDescent="0.25">
      <c r="A370">
        <v>27</v>
      </c>
      <c r="B370" t="s">
        <v>168</v>
      </c>
      <c r="C370">
        <v>50</v>
      </c>
      <c r="D370" t="s">
        <v>107</v>
      </c>
      <c r="E370" t="s">
        <v>108</v>
      </c>
      <c r="F370">
        <v>1.069</v>
      </c>
      <c r="G370" t="s">
        <v>13</v>
      </c>
    </row>
    <row r="371" spans="1:7" x14ac:dyDescent="0.25">
      <c r="A371">
        <v>27</v>
      </c>
      <c r="B371" t="s">
        <v>168</v>
      </c>
      <c r="C371">
        <v>60</v>
      </c>
      <c r="D371" t="s">
        <v>267</v>
      </c>
      <c r="E371" t="s">
        <v>11</v>
      </c>
      <c r="F371">
        <v>1</v>
      </c>
      <c r="G371" t="s">
        <v>13</v>
      </c>
    </row>
    <row r="372" spans="1:7" x14ac:dyDescent="0.25">
      <c r="A372">
        <v>27</v>
      </c>
      <c r="B372" t="s">
        <v>168</v>
      </c>
      <c r="C372">
        <v>70</v>
      </c>
      <c r="D372" t="s">
        <v>109</v>
      </c>
      <c r="E372" t="s">
        <v>14</v>
      </c>
      <c r="F372">
        <v>22.402999999999999</v>
      </c>
      <c r="G372" t="s">
        <v>13</v>
      </c>
    </row>
    <row r="373" spans="1:7" x14ac:dyDescent="0.25">
      <c r="A373">
        <v>27</v>
      </c>
      <c r="B373" t="s">
        <v>168</v>
      </c>
      <c r="C373">
        <v>80</v>
      </c>
      <c r="D373" t="s">
        <v>16</v>
      </c>
      <c r="E373" t="s">
        <v>14</v>
      </c>
      <c r="F373">
        <v>138.714</v>
      </c>
      <c r="G373" t="s">
        <v>13</v>
      </c>
    </row>
    <row r="374" spans="1:7" x14ac:dyDescent="0.25">
      <c r="A374">
        <v>27</v>
      </c>
      <c r="B374" t="s">
        <v>168</v>
      </c>
      <c r="C374">
        <v>90</v>
      </c>
      <c r="D374" t="s">
        <v>265</v>
      </c>
      <c r="E374" t="s">
        <v>12</v>
      </c>
      <c r="F374">
        <v>0.14199999999999999</v>
      </c>
      <c r="G374" t="s">
        <v>13</v>
      </c>
    </row>
    <row r="375" spans="1:7" x14ac:dyDescent="0.25">
      <c r="A375">
        <v>27</v>
      </c>
      <c r="B375" t="s">
        <v>168</v>
      </c>
      <c r="C375">
        <v>100</v>
      </c>
      <c r="D375" t="s">
        <v>269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168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168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168</v>
      </c>
      <c r="C378">
        <v>130</v>
      </c>
      <c r="D378" t="s">
        <v>110</v>
      </c>
      <c r="E378" t="s">
        <v>12</v>
      </c>
      <c r="F378">
        <v>1.216</v>
      </c>
      <c r="G378" t="s">
        <v>13</v>
      </c>
    </row>
    <row r="379" spans="1:7" x14ac:dyDescent="0.25">
      <c r="A379">
        <v>27</v>
      </c>
      <c r="B379" t="s">
        <v>168</v>
      </c>
      <c r="C379">
        <v>140</v>
      </c>
      <c r="D379" t="s">
        <v>322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170</v>
      </c>
      <c r="C380">
        <v>10</v>
      </c>
      <c r="D380" t="s">
        <v>116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170</v>
      </c>
      <c r="C381">
        <v>20</v>
      </c>
      <c r="D381" t="s">
        <v>171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170</v>
      </c>
      <c r="C382">
        <v>30</v>
      </c>
      <c r="D382" t="s">
        <v>323</v>
      </c>
      <c r="E382" t="s">
        <v>11</v>
      </c>
      <c r="F382">
        <v>1</v>
      </c>
      <c r="G382" t="s">
        <v>15</v>
      </c>
    </row>
    <row r="383" spans="1:7" x14ac:dyDescent="0.25">
      <c r="A383">
        <v>28</v>
      </c>
      <c r="B383" t="s">
        <v>170</v>
      </c>
      <c r="C383">
        <v>40</v>
      </c>
      <c r="D383" t="s">
        <v>266</v>
      </c>
      <c r="E383" t="s">
        <v>14</v>
      </c>
      <c r="F383">
        <v>1.8540000000000001</v>
      </c>
      <c r="G383" t="s">
        <v>15</v>
      </c>
    </row>
    <row r="384" spans="1:7" x14ac:dyDescent="0.25">
      <c r="A384">
        <v>28</v>
      </c>
      <c r="B384" t="s">
        <v>170</v>
      </c>
      <c r="C384">
        <v>50</v>
      </c>
      <c r="D384" t="s">
        <v>107</v>
      </c>
      <c r="E384" t="s">
        <v>108</v>
      </c>
      <c r="F384">
        <v>1.1659999999999999</v>
      </c>
      <c r="G384" t="s">
        <v>13</v>
      </c>
    </row>
    <row r="385" spans="1:7" x14ac:dyDescent="0.25">
      <c r="A385">
        <v>28</v>
      </c>
      <c r="B385" t="s">
        <v>170</v>
      </c>
      <c r="C385">
        <v>60</v>
      </c>
      <c r="D385" t="s">
        <v>267</v>
      </c>
      <c r="E385" t="s">
        <v>11</v>
      </c>
      <c r="F385">
        <v>1</v>
      </c>
      <c r="G385" t="s">
        <v>13</v>
      </c>
    </row>
    <row r="386" spans="1:7" x14ac:dyDescent="0.25">
      <c r="A386">
        <v>28</v>
      </c>
      <c r="B386" t="s">
        <v>170</v>
      </c>
      <c r="C386">
        <v>70</v>
      </c>
      <c r="D386" t="s">
        <v>109</v>
      </c>
      <c r="E386" t="s">
        <v>14</v>
      </c>
      <c r="F386">
        <v>23.317</v>
      </c>
      <c r="G386" t="s">
        <v>13</v>
      </c>
    </row>
    <row r="387" spans="1:7" x14ac:dyDescent="0.25">
      <c r="A387">
        <v>28</v>
      </c>
      <c r="B387" t="s">
        <v>170</v>
      </c>
      <c r="C387">
        <v>80</v>
      </c>
      <c r="D387" t="s">
        <v>16</v>
      </c>
      <c r="E387" t="s">
        <v>14</v>
      </c>
      <c r="F387">
        <v>144.33799999999999</v>
      </c>
      <c r="G387" t="s">
        <v>13</v>
      </c>
    </row>
    <row r="388" spans="1:7" x14ac:dyDescent="0.25">
      <c r="A388">
        <v>28</v>
      </c>
      <c r="B388" t="s">
        <v>170</v>
      </c>
      <c r="C388">
        <v>90</v>
      </c>
      <c r="D388" t="s">
        <v>265</v>
      </c>
      <c r="E388" t="s">
        <v>12</v>
      </c>
      <c r="F388">
        <v>0.153</v>
      </c>
      <c r="G388" t="s">
        <v>13</v>
      </c>
    </row>
    <row r="389" spans="1:7" x14ac:dyDescent="0.25">
      <c r="A389">
        <v>28</v>
      </c>
      <c r="B389" t="s">
        <v>170</v>
      </c>
      <c r="C389">
        <v>100</v>
      </c>
      <c r="D389" t="s">
        <v>269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170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170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170</v>
      </c>
      <c r="C392">
        <v>130</v>
      </c>
      <c r="D392" t="s">
        <v>110</v>
      </c>
      <c r="E392" t="s">
        <v>12</v>
      </c>
      <c r="F392">
        <v>1.216</v>
      </c>
      <c r="G392" t="s">
        <v>13</v>
      </c>
    </row>
    <row r="393" spans="1:7" x14ac:dyDescent="0.25">
      <c r="A393">
        <v>28</v>
      </c>
      <c r="B393" t="s">
        <v>170</v>
      </c>
      <c r="C393">
        <v>140</v>
      </c>
      <c r="D393" t="s">
        <v>324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172</v>
      </c>
      <c r="C394">
        <v>10</v>
      </c>
      <c r="D394" t="s">
        <v>116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172</v>
      </c>
      <c r="C395">
        <v>20</v>
      </c>
      <c r="D395" t="s">
        <v>173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172</v>
      </c>
      <c r="C396">
        <v>30</v>
      </c>
      <c r="D396" t="s">
        <v>325</v>
      </c>
      <c r="E396" t="s">
        <v>11</v>
      </c>
      <c r="F396">
        <v>1</v>
      </c>
      <c r="G396" t="s">
        <v>15</v>
      </c>
    </row>
    <row r="397" spans="1:7" x14ac:dyDescent="0.25">
      <c r="A397">
        <v>29</v>
      </c>
      <c r="B397" t="s">
        <v>172</v>
      </c>
      <c r="C397">
        <v>40</v>
      </c>
      <c r="D397" t="s">
        <v>266</v>
      </c>
      <c r="E397" t="s">
        <v>14</v>
      </c>
      <c r="F397">
        <v>2.1589999999999998</v>
      </c>
      <c r="G397" t="s">
        <v>15</v>
      </c>
    </row>
    <row r="398" spans="1:7" x14ac:dyDescent="0.25">
      <c r="A398">
        <v>29</v>
      </c>
      <c r="B398" t="s">
        <v>172</v>
      </c>
      <c r="C398">
        <v>50</v>
      </c>
      <c r="D398" t="s">
        <v>107</v>
      </c>
      <c r="E398" t="s">
        <v>108</v>
      </c>
      <c r="F398">
        <v>0.51</v>
      </c>
      <c r="G398" t="s">
        <v>13</v>
      </c>
    </row>
    <row r="399" spans="1:7" x14ac:dyDescent="0.25">
      <c r="A399">
        <v>29</v>
      </c>
      <c r="B399" t="s">
        <v>172</v>
      </c>
      <c r="C399">
        <v>60</v>
      </c>
      <c r="D399" t="s">
        <v>267</v>
      </c>
      <c r="E399" t="s">
        <v>11</v>
      </c>
      <c r="F399">
        <v>1</v>
      </c>
      <c r="G399" t="s">
        <v>13</v>
      </c>
    </row>
    <row r="400" spans="1:7" x14ac:dyDescent="0.25">
      <c r="A400">
        <v>29</v>
      </c>
      <c r="B400" t="s">
        <v>172</v>
      </c>
      <c r="C400">
        <v>70</v>
      </c>
      <c r="D400" t="s">
        <v>109</v>
      </c>
      <c r="E400" t="s">
        <v>14</v>
      </c>
      <c r="F400">
        <v>17.526</v>
      </c>
      <c r="G400" t="s">
        <v>13</v>
      </c>
    </row>
    <row r="401" spans="1:7" x14ac:dyDescent="0.25">
      <c r="A401">
        <v>29</v>
      </c>
      <c r="B401" t="s">
        <v>172</v>
      </c>
      <c r="C401">
        <v>80</v>
      </c>
      <c r="D401" t="s">
        <v>16</v>
      </c>
      <c r="E401" t="s">
        <v>14</v>
      </c>
      <c r="F401">
        <v>108.72199999999999</v>
      </c>
      <c r="G401" t="s">
        <v>13</v>
      </c>
    </row>
    <row r="402" spans="1:7" x14ac:dyDescent="0.25">
      <c r="A402">
        <v>29</v>
      </c>
      <c r="B402" t="s">
        <v>172</v>
      </c>
      <c r="C402">
        <v>90</v>
      </c>
      <c r="D402" t="s">
        <v>265</v>
      </c>
      <c r="E402" t="s">
        <v>12</v>
      </c>
      <c r="F402">
        <v>7.8E-2</v>
      </c>
      <c r="G402" t="s">
        <v>13</v>
      </c>
    </row>
    <row r="403" spans="1:7" x14ac:dyDescent="0.25">
      <c r="A403">
        <v>29</v>
      </c>
      <c r="B403" t="s">
        <v>172</v>
      </c>
      <c r="C403">
        <v>100</v>
      </c>
      <c r="D403" t="s">
        <v>269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172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172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172</v>
      </c>
      <c r="C406">
        <v>130</v>
      </c>
      <c r="D406" t="s">
        <v>110</v>
      </c>
      <c r="E406" t="s">
        <v>12</v>
      </c>
      <c r="F406">
        <v>1.27</v>
      </c>
      <c r="G406" t="s">
        <v>13</v>
      </c>
    </row>
    <row r="407" spans="1:7" x14ac:dyDescent="0.25">
      <c r="A407">
        <v>29</v>
      </c>
      <c r="B407" t="s">
        <v>172</v>
      </c>
      <c r="C407">
        <v>140</v>
      </c>
      <c r="D407" t="s">
        <v>326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174</v>
      </c>
      <c r="C408">
        <v>10</v>
      </c>
      <c r="D408" t="s">
        <v>116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174</v>
      </c>
      <c r="C409">
        <v>20</v>
      </c>
      <c r="D409" t="s">
        <v>175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174</v>
      </c>
      <c r="C410">
        <v>30</v>
      </c>
      <c r="D410" t="s">
        <v>327</v>
      </c>
      <c r="E410" t="s">
        <v>11</v>
      </c>
      <c r="F410">
        <v>1</v>
      </c>
      <c r="G410" t="s">
        <v>15</v>
      </c>
    </row>
    <row r="411" spans="1:7" x14ac:dyDescent="0.25">
      <c r="A411">
        <v>30</v>
      </c>
      <c r="B411" t="s">
        <v>174</v>
      </c>
      <c r="C411">
        <v>40</v>
      </c>
      <c r="D411" t="s">
        <v>266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30</v>
      </c>
      <c r="B412" t="s">
        <v>174</v>
      </c>
      <c r="C412">
        <v>50</v>
      </c>
      <c r="D412" t="s">
        <v>107</v>
      </c>
      <c r="E412" t="s">
        <v>108</v>
      </c>
      <c r="F412">
        <v>0.61199999999999999</v>
      </c>
      <c r="G412" t="s">
        <v>13</v>
      </c>
    </row>
    <row r="413" spans="1:7" x14ac:dyDescent="0.25">
      <c r="A413">
        <v>30</v>
      </c>
      <c r="B413" t="s">
        <v>174</v>
      </c>
      <c r="C413">
        <v>60</v>
      </c>
      <c r="D413" t="s">
        <v>267</v>
      </c>
      <c r="E413" t="s">
        <v>11</v>
      </c>
      <c r="F413">
        <v>1</v>
      </c>
      <c r="G413" t="s">
        <v>13</v>
      </c>
    </row>
    <row r="414" spans="1:7" x14ac:dyDescent="0.25">
      <c r="A414">
        <v>30</v>
      </c>
      <c r="B414" t="s">
        <v>174</v>
      </c>
      <c r="C414">
        <v>70</v>
      </c>
      <c r="D414" t="s">
        <v>109</v>
      </c>
      <c r="E414" t="s">
        <v>14</v>
      </c>
      <c r="F414">
        <v>18.440000000000001</v>
      </c>
      <c r="G414" t="s">
        <v>13</v>
      </c>
    </row>
    <row r="415" spans="1:7" x14ac:dyDescent="0.25">
      <c r="A415">
        <v>30</v>
      </c>
      <c r="B415" t="s">
        <v>174</v>
      </c>
      <c r="C415">
        <v>80</v>
      </c>
      <c r="D415" t="s">
        <v>16</v>
      </c>
      <c r="E415" t="s">
        <v>14</v>
      </c>
      <c r="F415">
        <v>114.346</v>
      </c>
      <c r="G415" t="s">
        <v>13</v>
      </c>
    </row>
    <row r="416" spans="1:7" x14ac:dyDescent="0.25">
      <c r="A416">
        <v>30</v>
      </c>
      <c r="B416" t="s">
        <v>174</v>
      </c>
      <c r="C416">
        <v>90</v>
      </c>
      <c r="D416" t="s">
        <v>265</v>
      </c>
      <c r="E416" t="s">
        <v>12</v>
      </c>
      <c r="F416">
        <v>8.8999999999999996E-2</v>
      </c>
      <c r="G416" t="s">
        <v>13</v>
      </c>
    </row>
    <row r="417" spans="1:7" x14ac:dyDescent="0.25">
      <c r="A417">
        <v>30</v>
      </c>
      <c r="B417" t="s">
        <v>174</v>
      </c>
      <c r="C417">
        <v>100</v>
      </c>
      <c r="D417" t="s">
        <v>269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174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174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174</v>
      </c>
      <c r="C420">
        <v>130</v>
      </c>
      <c r="D420" t="s">
        <v>110</v>
      </c>
      <c r="E420" t="s">
        <v>12</v>
      </c>
      <c r="F420">
        <v>1.27</v>
      </c>
      <c r="G420" t="s">
        <v>13</v>
      </c>
    </row>
    <row r="421" spans="1:7" x14ac:dyDescent="0.25">
      <c r="A421">
        <v>30</v>
      </c>
      <c r="B421" t="s">
        <v>174</v>
      </c>
      <c r="C421">
        <v>140</v>
      </c>
      <c r="D421" t="s">
        <v>328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176</v>
      </c>
      <c r="C422">
        <v>10</v>
      </c>
      <c r="D422" t="s">
        <v>116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176</v>
      </c>
      <c r="C423">
        <v>20</v>
      </c>
      <c r="D423" t="s">
        <v>177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176</v>
      </c>
      <c r="C424">
        <v>30</v>
      </c>
      <c r="D424" t="s">
        <v>329</v>
      </c>
      <c r="E424" t="s">
        <v>11</v>
      </c>
      <c r="F424">
        <v>1</v>
      </c>
      <c r="G424" t="s">
        <v>15</v>
      </c>
    </row>
    <row r="425" spans="1:7" x14ac:dyDescent="0.25">
      <c r="A425">
        <v>31</v>
      </c>
      <c r="B425" t="s">
        <v>176</v>
      </c>
      <c r="C425">
        <v>40</v>
      </c>
      <c r="D425" t="s">
        <v>266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31</v>
      </c>
      <c r="B426" t="s">
        <v>176</v>
      </c>
      <c r="C426">
        <v>50</v>
      </c>
      <c r="D426" t="s">
        <v>107</v>
      </c>
      <c r="E426" t="s">
        <v>108</v>
      </c>
      <c r="F426">
        <v>0.71399999999999997</v>
      </c>
      <c r="G426" t="s">
        <v>13</v>
      </c>
    </row>
    <row r="427" spans="1:7" x14ac:dyDescent="0.25">
      <c r="A427">
        <v>31</v>
      </c>
      <c r="B427" t="s">
        <v>176</v>
      </c>
      <c r="C427">
        <v>60</v>
      </c>
      <c r="D427" t="s">
        <v>267</v>
      </c>
      <c r="E427" t="s">
        <v>11</v>
      </c>
      <c r="F427">
        <v>1</v>
      </c>
      <c r="G427" t="s">
        <v>13</v>
      </c>
    </row>
    <row r="428" spans="1:7" x14ac:dyDescent="0.25">
      <c r="A428">
        <v>31</v>
      </c>
      <c r="B428" t="s">
        <v>176</v>
      </c>
      <c r="C428">
        <v>70</v>
      </c>
      <c r="D428" t="s">
        <v>109</v>
      </c>
      <c r="E428" t="s">
        <v>14</v>
      </c>
      <c r="F428">
        <v>19.355</v>
      </c>
      <c r="G428" t="s">
        <v>13</v>
      </c>
    </row>
    <row r="429" spans="1:7" x14ac:dyDescent="0.25">
      <c r="A429">
        <v>31</v>
      </c>
      <c r="B429" t="s">
        <v>176</v>
      </c>
      <c r="C429">
        <v>80</v>
      </c>
      <c r="D429" t="s">
        <v>16</v>
      </c>
      <c r="E429" t="s">
        <v>14</v>
      </c>
      <c r="F429">
        <v>119.96899999999999</v>
      </c>
      <c r="G429" t="s">
        <v>13</v>
      </c>
    </row>
    <row r="430" spans="1:7" x14ac:dyDescent="0.25">
      <c r="A430">
        <v>31</v>
      </c>
      <c r="B430" t="s">
        <v>176</v>
      </c>
      <c r="C430">
        <v>90</v>
      </c>
      <c r="D430" t="s">
        <v>265</v>
      </c>
      <c r="E430" t="s">
        <v>12</v>
      </c>
      <c r="F430">
        <v>0.1</v>
      </c>
      <c r="G430" t="s">
        <v>13</v>
      </c>
    </row>
    <row r="431" spans="1:7" x14ac:dyDescent="0.25">
      <c r="A431">
        <v>31</v>
      </c>
      <c r="B431" t="s">
        <v>176</v>
      </c>
      <c r="C431">
        <v>100</v>
      </c>
      <c r="D431" t="s">
        <v>269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176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176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176</v>
      </c>
      <c r="C434">
        <v>130</v>
      </c>
      <c r="D434" t="s">
        <v>110</v>
      </c>
      <c r="E434" t="s">
        <v>12</v>
      </c>
      <c r="F434">
        <v>1.27</v>
      </c>
      <c r="G434" t="s">
        <v>13</v>
      </c>
    </row>
    <row r="435" spans="1:7" x14ac:dyDescent="0.25">
      <c r="A435">
        <v>31</v>
      </c>
      <c r="B435" t="s">
        <v>176</v>
      </c>
      <c r="C435">
        <v>140</v>
      </c>
      <c r="D435" t="s">
        <v>330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178</v>
      </c>
      <c r="C436">
        <v>10</v>
      </c>
      <c r="D436" t="s">
        <v>116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178</v>
      </c>
      <c r="C437">
        <v>20</v>
      </c>
      <c r="D437" t="s">
        <v>179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178</v>
      </c>
      <c r="C438">
        <v>30</v>
      </c>
      <c r="D438" t="s">
        <v>331</v>
      </c>
      <c r="E438" t="s">
        <v>11</v>
      </c>
      <c r="F438">
        <v>1</v>
      </c>
      <c r="G438" t="s">
        <v>15</v>
      </c>
    </row>
    <row r="439" spans="1:7" x14ac:dyDescent="0.25">
      <c r="A439">
        <v>32</v>
      </c>
      <c r="B439" t="s">
        <v>178</v>
      </c>
      <c r="C439">
        <v>40</v>
      </c>
      <c r="D439" t="s">
        <v>266</v>
      </c>
      <c r="E439" t="s">
        <v>14</v>
      </c>
      <c r="F439">
        <v>2.1589999999999998</v>
      </c>
      <c r="G439" t="s">
        <v>15</v>
      </c>
    </row>
    <row r="440" spans="1:7" x14ac:dyDescent="0.25">
      <c r="A440">
        <v>32</v>
      </c>
      <c r="B440" t="s">
        <v>178</v>
      </c>
      <c r="C440">
        <v>50</v>
      </c>
      <c r="D440" t="s">
        <v>107</v>
      </c>
      <c r="E440" t="s">
        <v>108</v>
      </c>
      <c r="F440">
        <v>0.81599999999999995</v>
      </c>
      <c r="G440" t="s">
        <v>13</v>
      </c>
    </row>
    <row r="441" spans="1:7" x14ac:dyDescent="0.25">
      <c r="A441">
        <v>32</v>
      </c>
      <c r="B441" t="s">
        <v>178</v>
      </c>
      <c r="C441">
        <v>60</v>
      </c>
      <c r="D441" t="s">
        <v>267</v>
      </c>
      <c r="E441" t="s">
        <v>11</v>
      </c>
      <c r="F441">
        <v>1</v>
      </c>
      <c r="G441" t="s">
        <v>13</v>
      </c>
    </row>
    <row r="442" spans="1:7" x14ac:dyDescent="0.25">
      <c r="A442">
        <v>32</v>
      </c>
      <c r="B442" t="s">
        <v>178</v>
      </c>
      <c r="C442">
        <v>70</v>
      </c>
      <c r="D442" t="s">
        <v>109</v>
      </c>
      <c r="E442" t="s">
        <v>14</v>
      </c>
      <c r="F442">
        <v>20.268999999999998</v>
      </c>
      <c r="G442" t="s">
        <v>13</v>
      </c>
    </row>
    <row r="443" spans="1:7" x14ac:dyDescent="0.25">
      <c r="A443">
        <v>32</v>
      </c>
      <c r="B443" t="s">
        <v>178</v>
      </c>
      <c r="C443">
        <v>80</v>
      </c>
      <c r="D443" t="s">
        <v>16</v>
      </c>
      <c r="E443" t="s">
        <v>14</v>
      </c>
      <c r="F443">
        <v>125.593</v>
      </c>
      <c r="G443" t="s">
        <v>13</v>
      </c>
    </row>
    <row r="444" spans="1:7" x14ac:dyDescent="0.25">
      <c r="A444">
        <v>32</v>
      </c>
      <c r="B444" t="s">
        <v>178</v>
      </c>
      <c r="C444">
        <v>90</v>
      </c>
      <c r="D444" t="s">
        <v>265</v>
      </c>
      <c r="E444" t="s">
        <v>12</v>
      </c>
      <c r="F444">
        <v>0.11</v>
      </c>
      <c r="G444" t="s">
        <v>13</v>
      </c>
    </row>
    <row r="445" spans="1:7" x14ac:dyDescent="0.25">
      <c r="A445">
        <v>32</v>
      </c>
      <c r="B445" t="s">
        <v>178</v>
      </c>
      <c r="C445">
        <v>100</v>
      </c>
      <c r="D445" t="s">
        <v>269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178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178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178</v>
      </c>
      <c r="C448">
        <v>130</v>
      </c>
      <c r="D448" t="s">
        <v>110</v>
      </c>
      <c r="E448" t="s">
        <v>12</v>
      </c>
      <c r="F448">
        <v>1.27</v>
      </c>
      <c r="G448" t="s">
        <v>13</v>
      </c>
    </row>
    <row r="449" spans="1:7" x14ac:dyDescent="0.25">
      <c r="A449">
        <v>32</v>
      </c>
      <c r="B449" t="s">
        <v>178</v>
      </c>
      <c r="C449">
        <v>140</v>
      </c>
      <c r="D449" t="s">
        <v>332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180</v>
      </c>
      <c r="C450">
        <v>10</v>
      </c>
      <c r="D450" t="s">
        <v>116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180</v>
      </c>
      <c r="C451">
        <v>20</v>
      </c>
      <c r="D451" t="s">
        <v>181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180</v>
      </c>
      <c r="C452">
        <v>30</v>
      </c>
      <c r="D452" t="s">
        <v>333</v>
      </c>
      <c r="E452" t="s">
        <v>11</v>
      </c>
      <c r="F452">
        <v>1</v>
      </c>
      <c r="G452" t="s">
        <v>15</v>
      </c>
    </row>
    <row r="453" spans="1:7" x14ac:dyDescent="0.25">
      <c r="A453">
        <v>33</v>
      </c>
      <c r="B453" t="s">
        <v>180</v>
      </c>
      <c r="C453">
        <v>40</v>
      </c>
      <c r="D453" t="s">
        <v>266</v>
      </c>
      <c r="E453" t="s">
        <v>14</v>
      </c>
      <c r="F453">
        <v>2.1589999999999998</v>
      </c>
      <c r="G453" t="s">
        <v>15</v>
      </c>
    </row>
    <row r="454" spans="1:7" x14ac:dyDescent="0.25">
      <c r="A454">
        <v>33</v>
      </c>
      <c r="B454" t="s">
        <v>180</v>
      </c>
      <c r="C454">
        <v>50</v>
      </c>
      <c r="D454" t="s">
        <v>107</v>
      </c>
      <c r="E454" t="s">
        <v>108</v>
      </c>
      <c r="F454">
        <v>1.0209999999999999</v>
      </c>
      <c r="G454" t="s">
        <v>13</v>
      </c>
    </row>
    <row r="455" spans="1:7" x14ac:dyDescent="0.25">
      <c r="A455">
        <v>33</v>
      </c>
      <c r="B455" t="s">
        <v>180</v>
      </c>
      <c r="C455">
        <v>60</v>
      </c>
      <c r="D455" t="s">
        <v>267</v>
      </c>
      <c r="E455" t="s">
        <v>11</v>
      </c>
      <c r="F455">
        <v>1</v>
      </c>
      <c r="G455" t="s">
        <v>13</v>
      </c>
    </row>
    <row r="456" spans="1:7" x14ac:dyDescent="0.25">
      <c r="A456">
        <v>33</v>
      </c>
      <c r="B456" t="s">
        <v>180</v>
      </c>
      <c r="C456">
        <v>70</v>
      </c>
      <c r="D456" t="s">
        <v>109</v>
      </c>
      <c r="E456" t="s">
        <v>14</v>
      </c>
      <c r="F456">
        <v>22.097999999999999</v>
      </c>
      <c r="G456" t="s">
        <v>13</v>
      </c>
    </row>
    <row r="457" spans="1:7" x14ac:dyDescent="0.25">
      <c r="A457">
        <v>33</v>
      </c>
      <c r="B457" t="s">
        <v>180</v>
      </c>
      <c r="C457">
        <v>80</v>
      </c>
      <c r="D457" t="s">
        <v>16</v>
      </c>
      <c r="E457" t="s">
        <v>14</v>
      </c>
      <c r="F457">
        <v>136.84</v>
      </c>
      <c r="G457" t="s">
        <v>13</v>
      </c>
    </row>
    <row r="458" spans="1:7" x14ac:dyDescent="0.25">
      <c r="A458">
        <v>33</v>
      </c>
      <c r="B458" t="s">
        <v>180</v>
      </c>
      <c r="C458">
        <v>90</v>
      </c>
      <c r="D458" t="s">
        <v>265</v>
      </c>
      <c r="E458" t="s">
        <v>12</v>
      </c>
      <c r="F458">
        <v>0.13200000000000001</v>
      </c>
      <c r="G458" t="s">
        <v>13</v>
      </c>
    </row>
    <row r="459" spans="1:7" x14ac:dyDescent="0.25">
      <c r="A459">
        <v>33</v>
      </c>
      <c r="B459" t="s">
        <v>180</v>
      </c>
      <c r="C459">
        <v>100</v>
      </c>
      <c r="D459" t="s">
        <v>269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180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180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180</v>
      </c>
      <c r="C462">
        <v>130</v>
      </c>
      <c r="D462" t="s">
        <v>110</v>
      </c>
      <c r="E462" t="s">
        <v>12</v>
      </c>
      <c r="F462">
        <v>1.27</v>
      </c>
      <c r="G462" t="s">
        <v>13</v>
      </c>
    </row>
    <row r="463" spans="1:7" x14ac:dyDescent="0.25">
      <c r="A463">
        <v>33</v>
      </c>
      <c r="B463" t="s">
        <v>180</v>
      </c>
      <c r="C463">
        <v>140</v>
      </c>
      <c r="D463" t="s">
        <v>334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182</v>
      </c>
      <c r="C464">
        <v>10</v>
      </c>
      <c r="D464" t="s">
        <v>116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182</v>
      </c>
      <c r="C465">
        <v>20</v>
      </c>
      <c r="D465" t="s">
        <v>183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182</v>
      </c>
      <c r="C466">
        <v>30</v>
      </c>
      <c r="D466" t="s">
        <v>335</v>
      </c>
      <c r="E466" t="s">
        <v>11</v>
      </c>
      <c r="F466">
        <v>1</v>
      </c>
      <c r="G466" t="s">
        <v>15</v>
      </c>
    </row>
    <row r="467" spans="1:7" x14ac:dyDescent="0.25">
      <c r="A467">
        <v>34</v>
      </c>
      <c r="B467" t="s">
        <v>182</v>
      </c>
      <c r="C467">
        <v>40</v>
      </c>
      <c r="D467" t="s">
        <v>266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34</v>
      </c>
      <c r="B468" t="s">
        <v>182</v>
      </c>
      <c r="C468">
        <v>50</v>
      </c>
      <c r="D468" t="s">
        <v>107</v>
      </c>
      <c r="E468" t="s">
        <v>108</v>
      </c>
      <c r="F468">
        <v>1.123</v>
      </c>
      <c r="G468" t="s">
        <v>13</v>
      </c>
    </row>
    <row r="469" spans="1:7" x14ac:dyDescent="0.25">
      <c r="A469">
        <v>34</v>
      </c>
      <c r="B469" t="s">
        <v>182</v>
      </c>
      <c r="C469">
        <v>60</v>
      </c>
      <c r="D469" t="s">
        <v>267</v>
      </c>
      <c r="E469" t="s">
        <v>11</v>
      </c>
      <c r="F469">
        <v>1</v>
      </c>
      <c r="G469" t="s">
        <v>13</v>
      </c>
    </row>
    <row r="470" spans="1:7" x14ac:dyDescent="0.25">
      <c r="A470">
        <v>34</v>
      </c>
      <c r="B470" t="s">
        <v>182</v>
      </c>
      <c r="C470">
        <v>70</v>
      </c>
      <c r="D470" t="s">
        <v>109</v>
      </c>
      <c r="E470" t="s">
        <v>14</v>
      </c>
      <c r="F470">
        <v>23.012</v>
      </c>
      <c r="G470" t="s">
        <v>13</v>
      </c>
    </row>
    <row r="471" spans="1:7" x14ac:dyDescent="0.25">
      <c r="A471">
        <v>34</v>
      </c>
      <c r="B471" t="s">
        <v>182</v>
      </c>
      <c r="C471">
        <v>80</v>
      </c>
      <c r="D471" t="s">
        <v>16</v>
      </c>
      <c r="E471" t="s">
        <v>14</v>
      </c>
      <c r="F471">
        <v>142.464</v>
      </c>
      <c r="G471" t="s">
        <v>13</v>
      </c>
    </row>
    <row r="472" spans="1:7" x14ac:dyDescent="0.25">
      <c r="A472">
        <v>34</v>
      </c>
      <c r="B472" t="s">
        <v>182</v>
      </c>
      <c r="C472">
        <v>90</v>
      </c>
      <c r="D472" t="s">
        <v>265</v>
      </c>
      <c r="E472" t="s">
        <v>12</v>
      </c>
      <c r="F472">
        <v>0.14199999999999999</v>
      </c>
      <c r="G472" t="s">
        <v>13</v>
      </c>
    </row>
    <row r="473" spans="1:7" x14ac:dyDescent="0.25">
      <c r="A473">
        <v>34</v>
      </c>
      <c r="B473" t="s">
        <v>182</v>
      </c>
      <c r="C473">
        <v>100</v>
      </c>
      <c r="D473" t="s">
        <v>269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182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182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182</v>
      </c>
      <c r="C476">
        <v>130</v>
      </c>
      <c r="D476" t="s">
        <v>110</v>
      </c>
      <c r="E476" t="s">
        <v>12</v>
      </c>
      <c r="F476">
        <v>1.27</v>
      </c>
      <c r="G476" t="s">
        <v>13</v>
      </c>
    </row>
    <row r="477" spans="1:7" x14ac:dyDescent="0.25">
      <c r="A477">
        <v>34</v>
      </c>
      <c r="B477" t="s">
        <v>182</v>
      </c>
      <c r="C477">
        <v>140</v>
      </c>
      <c r="D477" t="s">
        <v>336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184</v>
      </c>
      <c r="C478">
        <v>10</v>
      </c>
      <c r="D478" t="s">
        <v>116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184</v>
      </c>
      <c r="C479">
        <v>20</v>
      </c>
      <c r="D479" t="s">
        <v>185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184</v>
      </c>
      <c r="C480">
        <v>30</v>
      </c>
      <c r="D480" t="s">
        <v>337</v>
      </c>
      <c r="E480" t="s">
        <v>11</v>
      </c>
      <c r="F480">
        <v>1</v>
      </c>
      <c r="G480" t="s">
        <v>15</v>
      </c>
    </row>
    <row r="481" spans="1:7" x14ac:dyDescent="0.25">
      <c r="A481">
        <v>35</v>
      </c>
      <c r="B481" t="s">
        <v>184</v>
      </c>
      <c r="C481">
        <v>40</v>
      </c>
      <c r="D481" t="s">
        <v>266</v>
      </c>
      <c r="E481" t="s">
        <v>14</v>
      </c>
      <c r="F481">
        <v>2.1589999999999998</v>
      </c>
      <c r="G481" t="s">
        <v>15</v>
      </c>
    </row>
    <row r="482" spans="1:7" x14ac:dyDescent="0.25">
      <c r="A482">
        <v>35</v>
      </c>
      <c r="B482" t="s">
        <v>184</v>
      </c>
      <c r="C482">
        <v>50</v>
      </c>
      <c r="D482" t="s">
        <v>107</v>
      </c>
      <c r="E482" t="s">
        <v>108</v>
      </c>
      <c r="F482">
        <v>1.2250000000000001</v>
      </c>
      <c r="G482" t="s">
        <v>13</v>
      </c>
    </row>
    <row r="483" spans="1:7" x14ac:dyDescent="0.25">
      <c r="A483">
        <v>35</v>
      </c>
      <c r="B483" t="s">
        <v>184</v>
      </c>
      <c r="C483">
        <v>60</v>
      </c>
      <c r="D483" t="s">
        <v>267</v>
      </c>
      <c r="E483" t="s">
        <v>11</v>
      </c>
      <c r="F483">
        <v>1</v>
      </c>
      <c r="G483" t="s">
        <v>13</v>
      </c>
    </row>
    <row r="484" spans="1:7" x14ac:dyDescent="0.25">
      <c r="A484">
        <v>35</v>
      </c>
      <c r="B484" t="s">
        <v>184</v>
      </c>
      <c r="C484">
        <v>70</v>
      </c>
      <c r="D484" t="s">
        <v>109</v>
      </c>
      <c r="E484" t="s">
        <v>14</v>
      </c>
      <c r="F484">
        <v>23.927</v>
      </c>
      <c r="G484" t="s">
        <v>13</v>
      </c>
    </row>
    <row r="485" spans="1:7" x14ac:dyDescent="0.25">
      <c r="A485">
        <v>35</v>
      </c>
      <c r="B485" t="s">
        <v>184</v>
      </c>
      <c r="C485">
        <v>80</v>
      </c>
      <c r="D485" t="s">
        <v>16</v>
      </c>
      <c r="E485" t="s">
        <v>14</v>
      </c>
      <c r="F485">
        <v>148.08699999999999</v>
      </c>
      <c r="G485" t="s">
        <v>13</v>
      </c>
    </row>
    <row r="486" spans="1:7" x14ac:dyDescent="0.25">
      <c r="A486">
        <v>35</v>
      </c>
      <c r="B486" t="s">
        <v>184</v>
      </c>
      <c r="C486">
        <v>90</v>
      </c>
      <c r="D486" t="s">
        <v>265</v>
      </c>
      <c r="E486" t="s">
        <v>12</v>
      </c>
      <c r="F486">
        <v>0.153</v>
      </c>
      <c r="G486" t="s">
        <v>13</v>
      </c>
    </row>
    <row r="487" spans="1:7" x14ac:dyDescent="0.25">
      <c r="A487">
        <v>35</v>
      </c>
      <c r="B487" t="s">
        <v>184</v>
      </c>
      <c r="C487">
        <v>100</v>
      </c>
      <c r="D487" t="s">
        <v>269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184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184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184</v>
      </c>
      <c r="C490">
        <v>130</v>
      </c>
      <c r="D490" t="s">
        <v>110</v>
      </c>
      <c r="E490" t="s">
        <v>12</v>
      </c>
      <c r="F490">
        <v>1.27</v>
      </c>
      <c r="G490" t="s">
        <v>13</v>
      </c>
    </row>
    <row r="491" spans="1:7" x14ac:dyDescent="0.25">
      <c r="A491">
        <v>35</v>
      </c>
      <c r="B491" t="s">
        <v>184</v>
      </c>
      <c r="C491">
        <v>140</v>
      </c>
      <c r="D491" t="s">
        <v>338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186</v>
      </c>
      <c r="C492">
        <v>10</v>
      </c>
      <c r="D492" t="s">
        <v>187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186</v>
      </c>
      <c r="C493">
        <v>20</v>
      </c>
      <c r="D493" t="s">
        <v>188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186</v>
      </c>
      <c r="C494">
        <v>30</v>
      </c>
      <c r="D494" t="s">
        <v>339</v>
      </c>
      <c r="E494" t="s">
        <v>11</v>
      </c>
      <c r="F494">
        <v>1</v>
      </c>
      <c r="G494" t="s">
        <v>15</v>
      </c>
    </row>
    <row r="495" spans="1:7" x14ac:dyDescent="0.25">
      <c r="A495">
        <v>36</v>
      </c>
      <c r="B495" t="s">
        <v>186</v>
      </c>
      <c r="C495">
        <v>40</v>
      </c>
      <c r="D495" t="s">
        <v>266</v>
      </c>
      <c r="E495" t="s">
        <v>14</v>
      </c>
      <c r="F495">
        <v>0.78700000000000003</v>
      </c>
      <c r="G495" t="s">
        <v>15</v>
      </c>
    </row>
    <row r="496" spans="1:7" x14ac:dyDescent="0.25">
      <c r="A496">
        <v>36</v>
      </c>
      <c r="B496" t="s">
        <v>186</v>
      </c>
      <c r="C496">
        <v>50</v>
      </c>
      <c r="D496" t="s">
        <v>107</v>
      </c>
      <c r="E496" t="s">
        <v>108</v>
      </c>
      <c r="F496">
        <v>0.437</v>
      </c>
      <c r="G496" t="s">
        <v>13</v>
      </c>
    </row>
    <row r="497" spans="1:7" x14ac:dyDescent="0.25">
      <c r="A497">
        <v>36</v>
      </c>
      <c r="B497" t="s">
        <v>186</v>
      </c>
      <c r="C497">
        <v>60</v>
      </c>
      <c r="D497" t="s">
        <v>267</v>
      </c>
      <c r="E497" t="s">
        <v>11</v>
      </c>
      <c r="F497">
        <v>1</v>
      </c>
      <c r="G497" t="s">
        <v>13</v>
      </c>
    </row>
    <row r="498" spans="1:7" x14ac:dyDescent="0.25">
      <c r="A498">
        <v>36</v>
      </c>
      <c r="B498" t="s">
        <v>186</v>
      </c>
      <c r="C498">
        <v>70</v>
      </c>
      <c r="D498" t="s">
        <v>109</v>
      </c>
      <c r="E498" t="s">
        <v>14</v>
      </c>
      <c r="F498">
        <v>15.696999999999999</v>
      </c>
      <c r="G498" t="s">
        <v>13</v>
      </c>
    </row>
    <row r="499" spans="1:7" x14ac:dyDescent="0.25">
      <c r="A499">
        <v>36</v>
      </c>
      <c r="B499" t="s">
        <v>186</v>
      </c>
      <c r="C499">
        <v>80</v>
      </c>
      <c r="D499" t="s">
        <v>16</v>
      </c>
      <c r="E499" t="s">
        <v>14</v>
      </c>
      <c r="F499">
        <v>97.474999999999994</v>
      </c>
      <c r="G499" t="s">
        <v>13</v>
      </c>
    </row>
    <row r="500" spans="1:7" x14ac:dyDescent="0.25">
      <c r="A500">
        <v>36</v>
      </c>
      <c r="B500" t="s">
        <v>186</v>
      </c>
      <c r="C500">
        <v>90</v>
      </c>
      <c r="D500" t="s">
        <v>265</v>
      </c>
      <c r="E500" t="s">
        <v>12</v>
      </c>
      <c r="F500">
        <v>7.8E-2</v>
      </c>
      <c r="G500" t="s">
        <v>13</v>
      </c>
    </row>
    <row r="501" spans="1:7" x14ac:dyDescent="0.25">
      <c r="A501">
        <v>36</v>
      </c>
      <c r="B501" t="s">
        <v>186</v>
      </c>
      <c r="C501">
        <v>100</v>
      </c>
      <c r="D501" t="s">
        <v>269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186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186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186</v>
      </c>
      <c r="C504">
        <v>130</v>
      </c>
      <c r="D504" t="s">
        <v>110</v>
      </c>
      <c r="E504" t="s">
        <v>12</v>
      </c>
      <c r="F504">
        <v>0.54</v>
      </c>
      <c r="G504" t="s">
        <v>13</v>
      </c>
    </row>
    <row r="505" spans="1:7" x14ac:dyDescent="0.25">
      <c r="A505">
        <v>36</v>
      </c>
      <c r="B505" t="s">
        <v>186</v>
      </c>
      <c r="C505">
        <v>140</v>
      </c>
      <c r="D505" t="s">
        <v>270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189</v>
      </c>
      <c r="C506">
        <v>10</v>
      </c>
      <c r="D506" t="s">
        <v>187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189</v>
      </c>
      <c r="C507">
        <v>20</v>
      </c>
      <c r="D507" t="s">
        <v>190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189</v>
      </c>
      <c r="C508">
        <v>30</v>
      </c>
      <c r="D508" t="s">
        <v>340</v>
      </c>
      <c r="E508" t="s">
        <v>11</v>
      </c>
      <c r="F508">
        <v>1</v>
      </c>
      <c r="G508" t="s">
        <v>15</v>
      </c>
    </row>
    <row r="509" spans="1:7" x14ac:dyDescent="0.25">
      <c r="A509">
        <v>37</v>
      </c>
      <c r="B509" t="s">
        <v>189</v>
      </c>
      <c r="C509">
        <v>40</v>
      </c>
      <c r="D509" t="s">
        <v>266</v>
      </c>
      <c r="E509" t="s">
        <v>14</v>
      </c>
      <c r="F509">
        <v>0.94</v>
      </c>
      <c r="G509" t="s">
        <v>15</v>
      </c>
    </row>
    <row r="510" spans="1:7" x14ac:dyDescent="0.25">
      <c r="A510">
        <v>37</v>
      </c>
      <c r="B510" t="s">
        <v>189</v>
      </c>
      <c r="C510">
        <v>50</v>
      </c>
      <c r="D510" t="s">
        <v>107</v>
      </c>
      <c r="E510" t="s">
        <v>108</v>
      </c>
      <c r="F510">
        <v>0.52500000000000002</v>
      </c>
      <c r="G510" t="s">
        <v>13</v>
      </c>
    </row>
    <row r="511" spans="1:7" x14ac:dyDescent="0.25">
      <c r="A511">
        <v>37</v>
      </c>
      <c r="B511" t="s">
        <v>189</v>
      </c>
      <c r="C511">
        <v>60</v>
      </c>
      <c r="D511" t="s">
        <v>267</v>
      </c>
      <c r="E511" t="s">
        <v>11</v>
      </c>
      <c r="F511">
        <v>1</v>
      </c>
      <c r="G511" t="s">
        <v>13</v>
      </c>
    </row>
    <row r="512" spans="1:7" x14ac:dyDescent="0.25">
      <c r="A512">
        <v>37</v>
      </c>
      <c r="B512" t="s">
        <v>189</v>
      </c>
      <c r="C512">
        <v>70</v>
      </c>
      <c r="D512" t="s">
        <v>109</v>
      </c>
      <c r="E512" t="s">
        <v>14</v>
      </c>
      <c r="F512">
        <v>16.611999999999998</v>
      </c>
      <c r="G512" t="s">
        <v>13</v>
      </c>
    </row>
    <row r="513" spans="1:7" x14ac:dyDescent="0.25">
      <c r="A513">
        <v>37</v>
      </c>
      <c r="B513" t="s">
        <v>189</v>
      </c>
      <c r="C513">
        <v>80</v>
      </c>
      <c r="D513" t="s">
        <v>16</v>
      </c>
      <c r="E513" t="s">
        <v>14</v>
      </c>
      <c r="F513">
        <v>103.099</v>
      </c>
      <c r="G513" t="s">
        <v>13</v>
      </c>
    </row>
    <row r="514" spans="1:7" x14ac:dyDescent="0.25">
      <c r="A514">
        <v>37</v>
      </c>
      <c r="B514" t="s">
        <v>189</v>
      </c>
      <c r="C514">
        <v>90</v>
      </c>
      <c r="D514" t="s">
        <v>265</v>
      </c>
      <c r="E514" t="s">
        <v>12</v>
      </c>
      <c r="F514">
        <v>8.8999999999999996E-2</v>
      </c>
      <c r="G514" t="s">
        <v>13</v>
      </c>
    </row>
    <row r="515" spans="1:7" x14ac:dyDescent="0.25">
      <c r="A515">
        <v>37</v>
      </c>
      <c r="B515" t="s">
        <v>189</v>
      </c>
      <c r="C515">
        <v>100</v>
      </c>
      <c r="D515" t="s">
        <v>269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189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189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189</v>
      </c>
      <c r="C518">
        <v>130</v>
      </c>
      <c r="D518" t="s">
        <v>110</v>
      </c>
      <c r="E518" t="s">
        <v>12</v>
      </c>
      <c r="F518">
        <v>0.622</v>
      </c>
      <c r="G518" t="s">
        <v>13</v>
      </c>
    </row>
    <row r="519" spans="1:7" x14ac:dyDescent="0.25">
      <c r="A519">
        <v>37</v>
      </c>
      <c r="B519" t="s">
        <v>189</v>
      </c>
      <c r="C519">
        <v>140</v>
      </c>
      <c r="D519" t="s">
        <v>272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191</v>
      </c>
      <c r="C520">
        <v>10</v>
      </c>
      <c r="D520" t="s">
        <v>187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191</v>
      </c>
      <c r="C521">
        <v>20</v>
      </c>
      <c r="D521" t="s">
        <v>192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191</v>
      </c>
      <c r="C522">
        <v>30</v>
      </c>
      <c r="D522" t="s">
        <v>341</v>
      </c>
      <c r="E522" t="s">
        <v>11</v>
      </c>
      <c r="F522">
        <v>1</v>
      </c>
      <c r="G522" t="s">
        <v>15</v>
      </c>
    </row>
    <row r="523" spans="1:7" x14ac:dyDescent="0.25">
      <c r="A523">
        <v>38</v>
      </c>
      <c r="B523" t="s">
        <v>191</v>
      </c>
      <c r="C523">
        <v>40</v>
      </c>
      <c r="D523" t="s">
        <v>266</v>
      </c>
      <c r="E523" t="s">
        <v>14</v>
      </c>
      <c r="F523">
        <v>1.0920000000000001</v>
      </c>
      <c r="G523" t="s">
        <v>15</v>
      </c>
    </row>
    <row r="524" spans="1:7" x14ac:dyDescent="0.25">
      <c r="A524">
        <v>38</v>
      </c>
      <c r="B524" t="s">
        <v>191</v>
      </c>
      <c r="C524">
        <v>50</v>
      </c>
      <c r="D524" t="s">
        <v>107</v>
      </c>
      <c r="E524" t="s">
        <v>108</v>
      </c>
      <c r="F524">
        <v>0.61199999999999999</v>
      </c>
      <c r="G524" t="s">
        <v>13</v>
      </c>
    </row>
    <row r="525" spans="1:7" x14ac:dyDescent="0.25">
      <c r="A525">
        <v>38</v>
      </c>
      <c r="B525" t="s">
        <v>191</v>
      </c>
      <c r="C525">
        <v>60</v>
      </c>
      <c r="D525" t="s">
        <v>267</v>
      </c>
      <c r="E525" t="s">
        <v>11</v>
      </c>
      <c r="F525">
        <v>1</v>
      </c>
      <c r="G525" t="s">
        <v>13</v>
      </c>
    </row>
    <row r="526" spans="1:7" x14ac:dyDescent="0.25">
      <c r="A526">
        <v>38</v>
      </c>
      <c r="B526" t="s">
        <v>191</v>
      </c>
      <c r="C526">
        <v>70</v>
      </c>
      <c r="D526" t="s">
        <v>109</v>
      </c>
      <c r="E526" t="s">
        <v>14</v>
      </c>
      <c r="F526">
        <v>17.526</v>
      </c>
      <c r="G526" t="s">
        <v>13</v>
      </c>
    </row>
    <row r="527" spans="1:7" x14ac:dyDescent="0.25">
      <c r="A527">
        <v>38</v>
      </c>
      <c r="B527" t="s">
        <v>191</v>
      </c>
      <c r="C527">
        <v>80</v>
      </c>
      <c r="D527" t="s">
        <v>16</v>
      </c>
      <c r="E527" t="s">
        <v>14</v>
      </c>
      <c r="F527">
        <v>108.72199999999999</v>
      </c>
      <c r="G527" t="s">
        <v>13</v>
      </c>
    </row>
    <row r="528" spans="1:7" x14ac:dyDescent="0.25">
      <c r="A528">
        <v>38</v>
      </c>
      <c r="B528" t="s">
        <v>191</v>
      </c>
      <c r="C528">
        <v>90</v>
      </c>
      <c r="D528" t="s">
        <v>265</v>
      </c>
      <c r="E528" t="s">
        <v>12</v>
      </c>
      <c r="F528">
        <v>0.1</v>
      </c>
      <c r="G528" t="s">
        <v>13</v>
      </c>
    </row>
    <row r="529" spans="1:7" x14ac:dyDescent="0.25">
      <c r="A529">
        <v>38</v>
      </c>
      <c r="B529" t="s">
        <v>191</v>
      </c>
      <c r="C529">
        <v>100</v>
      </c>
      <c r="D529" t="s">
        <v>269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191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191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191</v>
      </c>
      <c r="C532">
        <v>130</v>
      </c>
      <c r="D532" t="s">
        <v>110</v>
      </c>
      <c r="E532" t="s">
        <v>12</v>
      </c>
      <c r="F532">
        <v>0.70299999999999996</v>
      </c>
      <c r="G532" t="s">
        <v>13</v>
      </c>
    </row>
    <row r="533" spans="1:7" x14ac:dyDescent="0.25">
      <c r="A533">
        <v>38</v>
      </c>
      <c r="B533" t="s">
        <v>191</v>
      </c>
      <c r="C533">
        <v>140</v>
      </c>
      <c r="D533" t="s">
        <v>274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193</v>
      </c>
      <c r="C534">
        <v>10</v>
      </c>
      <c r="D534" t="s">
        <v>187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193</v>
      </c>
      <c r="C535">
        <v>20</v>
      </c>
      <c r="D535" t="s">
        <v>194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193</v>
      </c>
      <c r="C536">
        <v>30</v>
      </c>
      <c r="D536" t="s">
        <v>342</v>
      </c>
      <c r="E536" t="s">
        <v>11</v>
      </c>
      <c r="F536">
        <v>1</v>
      </c>
      <c r="G536" t="s">
        <v>15</v>
      </c>
    </row>
    <row r="537" spans="1:7" x14ac:dyDescent="0.25">
      <c r="A537">
        <v>39</v>
      </c>
      <c r="B537" t="s">
        <v>193</v>
      </c>
      <c r="C537">
        <v>40</v>
      </c>
      <c r="D537" t="s">
        <v>266</v>
      </c>
      <c r="E537" t="s">
        <v>14</v>
      </c>
      <c r="F537">
        <v>1.2450000000000001</v>
      </c>
      <c r="G537" t="s">
        <v>15</v>
      </c>
    </row>
    <row r="538" spans="1:7" x14ac:dyDescent="0.25">
      <c r="A538">
        <v>39</v>
      </c>
      <c r="B538" t="s">
        <v>193</v>
      </c>
      <c r="C538">
        <v>50</v>
      </c>
      <c r="D538" t="s">
        <v>107</v>
      </c>
      <c r="E538" t="s">
        <v>108</v>
      </c>
      <c r="F538">
        <v>0.7</v>
      </c>
      <c r="G538" t="s">
        <v>13</v>
      </c>
    </row>
    <row r="539" spans="1:7" x14ac:dyDescent="0.25">
      <c r="A539">
        <v>39</v>
      </c>
      <c r="B539" t="s">
        <v>193</v>
      </c>
      <c r="C539">
        <v>60</v>
      </c>
      <c r="D539" t="s">
        <v>267</v>
      </c>
      <c r="E539" t="s">
        <v>11</v>
      </c>
      <c r="F539">
        <v>1</v>
      </c>
      <c r="G539" t="s">
        <v>13</v>
      </c>
    </row>
    <row r="540" spans="1:7" x14ac:dyDescent="0.25">
      <c r="A540">
        <v>39</v>
      </c>
      <c r="B540" t="s">
        <v>193</v>
      </c>
      <c r="C540">
        <v>70</v>
      </c>
      <c r="D540" t="s">
        <v>109</v>
      </c>
      <c r="E540" t="s">
        <v>14</v>
      </c>
      <c r="F540">
        <v>18.440000000000001</v>
      </c>
      <c r="G540" t="s">
        <v>13</v>
      </c>
    </row>
    <row r="541" spans="1:7" x14ac:dyDescent="0.25">
      <c r="A541">
        <v>39</v>
      </c>
      <c r="B541" t="s">
        <v>193</v>
      </c>
      <c r="C541">
        <v>80</v>
      </c>
      <c r="D541" t="s">
        <v>16</v>
      </c>
      <c r="E541" t="s">
        <v>14</v>
      </c>
      <c r="F541">
        <v>114.346</v>
      </c>
      <c r="G541" t="s">
        <v>13</v>
      </c>
    </row>
    <row r="542" spans="1:7" x14ac:dyDescent="0.25">
      <c r="A542">
        <v>39</v>
      </c>
      <c r="B542" t="s">
        <v>193</v>
      </c>
      <c r="C542">
        <v>90</v>
      </c>
      <c r="D542" t="s">
        <v>265</v>
      </c>
      <c r="E542" t="s">
        <v>12</v>
      </c>
      <c r="F542">
        <v>0.11</v>
      </c>
      <c r="G542" t="s">
        <v>13</v>
      </c>
    </row>
    <row r="543" spans="1:7" x14ac:dyDescent="0.25">
      <c r="A543">
        <v>39</v>
      </c>
      <c r="B543" t="s">
        <v>193</v>
      </c>
      <c r="C543">
        <v>100</v>
      </c>
      <c r="D543" t="s">
        <v>269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193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193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193</v>
      </c>
      <c r="C546">
        <v>130</v>
      </c>
      <c r="D546" t="s">
        <v>110</v>
      </c>
      <c r="E546" t="s">
        <v>12</v>
      </c>
      <c r="F546">
        <v>0.78400000000000003</v>
      </c>
      <c r="G546" t="s">
        <v>13</v>
      </c>
    </row>
    <row r="547" spans="1:7" x14ac:dyDescent="0.25">
      <c r="A547">
        <v>39</v>
      </c>
      <c r="B547" t="s">
        <v>193</v>
      </c>
      <c r="C547">
        <v>140</v>
      </c>
      <c r="D547" t="s">
        <v>276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195</v>
      </c>
      <c r="C548">
        <v>10</v>
      </c>
      <c r="D548" t="s">
        <v>187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195</v>
      </c>
      <c r="C549">
        <v>20</v>
      </c>
      <c r="D549" t="s">
        <v>196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195</v>
      </c>
      <c r="C550">
        <v>30</v>
      </c>
      <c r="D550" t="s">
        <v>343</v>
      </c>
      <c r="E550" t="s">
        <v>11</v>
      </c>
      <c r="F550">
        <v>1</v>
      </c>
      <c r="G550" t="s">
        <v>15</v>
      </c>
    </row>
    <row r="551" spans="1:7" x14ac:dyDescent="0.25">
      <c r="A551">
        <v>40</v>
      </c>
      <c r="B551" t="s">
        <v>195</v>
      </c>
      <c r="C551">
        <v>40</v>
      </c>
      <c r="D551" t="s">
        <v>266</v>
      </c>
      <c r="E551" t="s">
        <v>14</v>
      </c>
      <c r="F551">
        <v>1.5489999999999999</v>
      </c>
      <c r="G551" t="s">
        <v>15</v>
      </c>
    </row>
    <row r="552" spans="1:7" x14ac:dyDescent="0.25">
      <c r="A552">
        <v>40</v>
      </c>
      <c r="B552" t="s">
        <v>195</v>
      </c>
      <c r="C552">
        <v>50</v>
      </c>
      <c r="D552" t="s">
        <v>107</v>
      </c>
      <c r="E552" t="s">
        <v>108</v>
      </c>
      <c r="F552">
        <v>0.875</v>
      </c>
      <c r="G552" t="s">
        <v>13</v>
      </c>
    </row>
    <row r="553" spans="1:7" x14ac:dyDescent="0.25">
      <c r="A553">
        <v>40</v>
      </c>
      <c r="B553" t="s">
        <v>195</v>
      </c>
      <c r="C553">
        <v>60</v>
      </c>
      <c r="D553" t="s">
        <v>267</v>
      </c>
      <c r="E553" t="s">
        <v>11</v>
      </c>
      <c r="F553">
        <v>1</v>
      </c>
      <c r="G553" t="s">
        <v>13</v>
      </c>
    </row>
    <row r="554" spans="1:7" x14ac:dyDescent="0.25">
      <c r="A554">
        <v>40</v>
      </c>
      <c r="B554" t="s">
        <v>195</v>
      </c>
      <c r="C554">
        <v>70</v>
      </c>
      <c r="D554" t="s">
        <v>109</v>
      </c>
      <c r="E554" t="s">
        <v>14</v>
      </c>
      <c r="F554">
        <v>20.268999999999998</v>
      </c>
      <c r="G554" t="s">
        <v>13</v>
      </c>
    </row>
    <row r="555" spans="1:7" x14ac:dyDescent="0.25">
      <c r="A555">
        <v>40</v>
      </c>
      <c r="B555" t="s">
        <v>195</v>
      </c>
      <c r="C555">
        <v>80</v>
      </c>
      <c r="D555" t="s">
        <v>16</v>
      </c>
      <c r="E555" t="s">
        <v>14</v>
      </c>
      <c r="F555">
        <v>125.593</v>
      </c>
      <c r="G555" t="s">
        <v>13</v>
      </c>
    </row>
    <row r="556" spans="1:7" x14ac:dyDescent="0.25">
      <c r="A556">
        <v>40</v>
      </c>
      <c r="B556" t="s">
        <v>195</v>
      </c>
      <c r="C556">
        <v>90</v>
      </c>
      <c r="D556" t="s">
        <v>265</v>
      </c>
      <c r="E556" t="s">
        <v>12</v>
      </c>
      <c r="F556">
        <v>0.13200000000000001</v>
      </c>
      <c r="G556" t="s">
        <v>13</v>
      </c>
    </row>
    <row r="557" spans="1:7" x14ac:dyDescent="0.25">
      <c r="A557">
        <v>40</v>
      </c>
      <c r="B557" t="s">
        <v>195</v>
      </c>
      <c r="C557">
        <v>100</v>
      </c>
      <c r="D557" t="s">
        <v>269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195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195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195</v>
      </c>
      <c r="C560">
        <v>130</v>
      </c>
      <c r="D560" t="s">
        <v>110</v>
      </c>
      <c r="E560" t="s">
        <v>12</v>
      </c>
      <c r="F560">
        <v>0.94599999999999995</v>
      </c>
      <c r="G560" t="s">
        <v>13</v>
      </c>
    </row>
    <row r="561" spans="1:7" x14ac:dyDescent="0.25">
      <c r="A561">
        <v>40</v>
      </c>
      <c r="B561" t="s">
        <v>195</v>
      </c>
      <c r="C561">
        <v>140</v>
      </c>
      <c r="D561" t="s">
        <v>278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197</v>
      </c>
      <c r="C562">
        <v>10</v>
      </c>
      <c r="D562" t="s">
        <v>187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197</v>
      </c>
      <c r="C563">
        <v>20</v>
      </c>
      <c r="D563" t="s">
        <v>198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197</v>
      </c>
      <c r="C564">
        <v>30</v>
      </c>
      <c r="D564" t="s">
        <v>344</v>
      </c>
      <c r="E564" t="s">
        <v>11</v>
      </c>
      <c r="F564">
        <v>1</v>
      </c>
      <c r="G564" t="s">
        <v>15</v>
      </c>
    </row>
    <row r="565" spans="1:7" x14ac:dyDescent="0.25">
      <c r="A565">
        <v>41</v>
      </c>
      <c r="B565" t="s">
        <v>197</v>
      </c>
      <c r="C565">
        <v>40</v>
      </c>
      <c r="D565" t="s">
        <v>266</v>
      </c>
      <c r="E565" t="s">
        <v>14</v>
      </c>
      <c r="F565">
        <v>1.702</v>
      </c>
      <c r="G565" t="s">
        <v>15</v>
      </c>
    </row>
    <row r="566" spans="1:7" x14ac:dyDescent="0.25">
      <c r="A566">
        <v>41</v>
      </c>
      <c r="B566" t="s">
        <v>197</v>
      </c>
      <c r="C566">
        <v>50</v>
      </c>
      <c r="D566" t="s">
        <v>107</v>
      </c>
      <c r="E566" t="s">
        <v>108</v>
      </c>
      <c r="F566">
        <v>0.96199999999999997</v>
      </c>
      <c r="G566" t="s">
        <v>13</v>
      </c>
    </row>
    <row r="567" spans="1:7" x14ac:dyDescent="0.25">
      <c r="A567">
        <v>41</v>
      </c>
      <c r="B567" t="s">
        <v>197</v>
      </c>
      <c r="C567">
        <v>60</v>
      </c>
      <c r="D567" t="s">
        <v>267</v>
      </c>
      <c r="E567" t="s">
        <v>11</v>
      </c>
      <c r="F567">
        <v>1</v>
      </c>
      <c r="G567" t="s">
        <v>13</v>
      </c>
    </row>
    <row r="568" spans="1:7" x14ac:dyDescent="0.25">
      <c r="A568">
        <v>41</v>
      </c>
      <c r="B568" t="s">
        <v>197</v>
      </c>
      <c r="C568">
        <v>70</v>
      </c>
      <c r="D568" t="s">
        <v>109</v>
      </c>
      <c r="E568" t="s">
        <v>14</v>
      </c>
      <c r="F568">
        <v>21.184000000000001</v>
      </c>
      <c r="G568" t="s">
        <v>13</v>
      </c>
    </row>
    <row r="569" spans="1:7" x14ac:dyDescent="0.25">
      <c r="A569">
        <v>41</v>
      </c>
      <c r="B569" t="s">
        <v>197</v>
      </c>
      <c r="C569">
        <v>80</v>
      </c>
      <c r="D569" t="s">
        <v>16</v>
      </c>
      <c r="E569" t="s">
        <v>14</v>
      </c>
      <c r="F569">
        <v>131.21600000000001</v>
      </c>
      <c r="G569" t="s">
        <v>13</v>
      </c>
    </row>
    <row r="570" spans="1:7" x14ac:dyDescent="0.25">
      <c r="A570">
        <v>41</v>
      </c>
      <c r="B570" t="s">
        <v>197</v>
      </c>
      <c r="C570">
        <v>90</v>
      </c>
      <c r="D570" t="s">
        <v>265</v>
      </c>
      <c r="E570" t="s">
        <v>12</v>
      </c>
      <c r="F570">
        <v>0.14199999999999999</v>
      </c>
      <c r="G570" t="s">
        <v>13</v>
      </c>
    </row>
    <row r="571" spans="1:7" x14ac:dyDescent="0.25">
      <c r="A571">
        <v>41</v>
      </c>
      <c r="B571" t="s">
        <v>197</v>
      </c>
      <c r="C571">
        <v>100</v>
      </c>
      <c r="D571" t="s">
        <v>269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197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197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197</v>
      </c>
      <c r="C574">
        <v>130</v>
      </c>
      <c r="D574" t="s">
        <v>110</v>
      </c>
      <c r="E574" t="s">
        <v>12</v>
      </c>
      <c r="F574">
        <v>1.0269999999999999</v>
      </c>
      <c r="G574" t="s">
        <v>13</v>
      </c>
    </row>
    <row r="575" spans="1:7" x14ac:dyDescent="0.25">
      <c r="A575">
        <v>41</v>
      </c>
      <c r="B575" t="s">
        <v>197</v>
      </c>
      <c r="C575">
        <v>140</v>
      </c>
      <c r="D575" t="s">
        <v>280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199</v>
      </c>
      <c r="C576">
        <v>10</v>
      </c>
      <c r="D576" t="s">
        <v>187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199</v>
      </c>
      <c r="C577">
        <v>20</v>
      </c>
      <c r="D577" t="s">
        <v>200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199</v>
      </c>
      <c r="C578">
        <v>30</v>
      </c>
      <c r="D578" t="s">
        <v>345</v>
      </c>
      <c r="E578" t="s">
        <v>11</v>
      </c>
      <c r="F578">
        <v>1</v>
      </c>
      <c r="G578" t="s">
        <v>15</v>
      </c>
    </row>
    <row r="579" spans="1:7" x14ac:dyDescent="0.25">
      <c r="A579">
        <v>42</v>
      </c>
      <c r="B579" t="s">
        <v>199</v>
      </c>
      <c r="C579">
        <v>40</v>
      </c>
      <c r="D579" t="s">
        <v>266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42</v>
      </c>
      <c r="B580" t="s">
        <v>199</v>
      </c>
      <c r="C580">
        <v>50</v>
      </c>
      <c r="D580" t="s">
        <v>107</v>
      </c>
      <c r="E580" t="s">
        <v>108</v>
      </c>
      <c r="F580">
        <v>1.05</v>
      </c>
      <c r="G580" t="s">
        <v>13</v>
      </c>
    </row>
    <row r="581" spans="1:7" x14ac:dyDescent="0.25">
      <c r="A581">
        <v>42</v>
      </c>
      <c r="B581" t="s">
        <v>199</v>
      </c>
      <c r="C581">
        <v>60</v>
      </c>
      <c r="D581" t="s">
        <v>267</v>
      </c>
      <c r="E581" t="s">
        <v>11</v>
      </c>
      <c r="F581">
        <v>1</v>
      </c>
      <c r="G581" t="s">
        <v>13</v>
      </c>
    </row>
    <row r="582" spans="1:7" x14ac:dyDescent="0.25">
      <c r="A582">
        <v>42</v>
      </c>
      <c r="B582" t="s">
        <v>199</v>
      </c>
      <c r="C582">
        <v>70</v>
      </c>
      <c r="D582" t="s">
        <v>109</v>
      </c>
      <c r="E582" t="s">
        <v>14</v>
      </c>
      <c r="F582">
        <v>22.097999999999999</v>
      </c>
      <c r="G582" t="s">
        <v>13</v>
      </c>
    </row>
    <row r="583" spans="1:7" x14ac:dyDescent="0.25">
      <c r="A583">
        <v>42</v>
      </c>
      <c r="B583" t="s">
        <v>199</v>
      </c>
      <c r="C583">
        <v>80</v>
      </c>
      <c r="D583" t="s">
        <v>16</v>
      </c>
      <c r="E583" t="s">
        <v>14</v>
      </c>
      <c r="F583">
        <v>136.84</v>
      </c>
      <c r="G583" t="s">
        <v>13</v>
      </c>
    </row>
    <row r="584" spans="1:7" x14ac:dyDescent="0.25">
      <c r="A584">
        <v>42</v>
      </c>
      <c r="B584" t="s">
        <v>199</v>
      </c>
      <c r="C584">
        <v>90</v>
      </c>
      <c r="D584" t="s">
        <v>265</v>
      </c>
      <c r="E584" t="s">
        <v>12</v>
      </c>
      <c r="F584">
        <v>0.153</v>
      </c>
      <c r="G584" t="s">
        <v>13</v>
      </c>
    </row>
    <row r="585" spans="1:7" x14ac:dyDescent="0.25">
      <c r="A585">
        <v>42</v>
      </c>
      <c r="B585" t="s">
        <v>199</v>
      </c>
      <c r="C585">
        <v>100</v>
      </c>
      <c r="D585" t="s">
        <v>269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199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199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199</v>
      </c>
      <c r="C588">
        <v>130</v>
      </c>
      <c r="D588" t="s">
        <v>110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42</v>
      </c>
      <c r="B589" t="s">
        <v>199</v>
      </c>
      <c r="C589">
        <v>140</v>
      </c>
      <c r="D589" t="s">
        <v>282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201</v>
      </c>
      <c r="C590">
        <v>10</v>
      </c>
      <c r="D590" t="s">
        <v>187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201</v>
      </c>
      <c r="C591">
        <v>20</v>
      </c>
      <c r="D591" t="s">
        <v>202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201</v>
      </c>
      <c r="C592">
        <v>30</v>
      </c>
      <c r="D592" t="s">
        <v>346</v>
      </c>
      <c r="E592" t="s">
        <v>11</v>
      </c>
      <c r="F592">
        <v>1</v>
      </c>
      <c r="G592" t="s">
        <v>15</v>
      </c>
    </row>
    <row r="593" spans="1:7" x14ac:dyDescent="0.25">
      <c r="A593">
        <v>43</v>
      </c>
      <c r="B593" t="s">
        <v>201</v>
      </c>
      <c r="C593">
        <v>40</v>
      </c>
      <c r="D593" t="s">
        <v>266</v>
      </c>
      <c r="E593" t="s">
        <v>14</v>
      </c>
      <c r="F593">
        <v>0.78700000000000003</v>
      </c>
      <c r="G593" t="s">
        <v>15</v>
      </c>
    </row>
    <row r="594" spans="1:7" x14ac:dyDescent="0.25">
      <c r="A594">
        <v>43</v>
      </c>
      <c r="B594" t="s">
        <v>201</v>
      </c>
      <c r="C594">
        <v>50</v>
      </c>
      <c r="D594" t="s">
        <v>107</v>
      </c>
      <c r="E594" t="s">
        <v>108</v>
      </c>
      <c r="F594">
        <v>0.45600000000000002</v>
      </c>
      <c r="G594" t="s">
        <v>13</v>
      </c>
    </row>
    <row r="595" spans="1:7" x14ac:dyDescent="0.25">
      <c r="A595">
        <v>43</v>
      </c>
      <c r="B595" t="s">
        <v>201</v>
      </c>
      <c r="C595">
        <v>60</v>
      </c>
      <c r="D595" t="s">
        <v>267</v>
      </c>
      <c r="E595" t="s">
        <v>11</v>
      </c>
      <c r="F595">
        <v>1</v>
      </c>
      <c r="G595" t="s">
        <v>13</v>
      </c>
    </row>
    <row r="596" spans="1:7" x14ac:dyDescent="0.25">
      <c r="A596">
        <v>43</v>
      </c>
      <c r="B596" t="s">
        <v>201</v>
      </c>
      <c r="C596">
        <v>70</v>
      </c>
      <c r="D596" t="s">
        <v>109</v>
      </c>
      <c r="E596" t="s">
        <v>14</v>
      </c>
      <c r="F596">
        <v>16.154</v>
      </c>
      <c r="G596" t="s">
        <v>13</v>
      </c>
    </row>
    <row r="597" spans="1:7" x14ac:dyDescent="0.25">
      <c r="A597">
        <v>43</v>
      </c>
      <c r="B597" t="s">
        <v>201</v>
      </c>
      <c r="C597">
        <v>80</v>
      </c>
      <c r="D597" t="s">
        <v>16</v>
      </c>
      <c r="E597" t="s">
        <v>14</v>
      </c>
      <c r="F597">
        <v>100.28700000000001</v>
      </c>
      <c r="G597" t="s">
        <v>13</v>
      </c>
    </row>
    <row r="598" spans="1:7" x14ac:dyDescent="0.25">
      <c r="A598">
        <v>43</v>
      </c>
      <c r="B598" t="s">
        <v>201</v>
      </c>
      <c r="C598">
        <v>90</v>
      </c>
      <c r="D598" t="s">
        <v>265</v>
      </c>
      <c r="E598" t="s">
        <v>12</v>
      </c>
      <c r="F598">
        <v>7.8E-2</v>
      </c>
      <c r="G598" t="s">
        <v>13</v>
      </c>
    </row>
    <row r="599" spans="1:7" x14ac:dyDescent="0.25">
      <c r="A599">
        <v>43</v>
      </c>
      <c r="B599" t="s">
        <v>201</v>
      </c>
      <c r="C599">
        <v>100</v>
      </c>
      <c r="D599" t="s">
        <v>269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201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201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201</v>
      </c>
      <c r="C602">
        <v>130</v>
      </c>
      <c r="D602" t="s">
        <v>110</v>
      </c>
      <c r="E602" t="s">
        <v>12</v>
      </c>
      <c r="F602">
        <v>0.54</v>
      </c>
      <c r="G602" t="s">
        <v>13</v>
      </c>
    </row>
    <row r="603" spans="1:7" x14ac:dyDescent="0.25">
      <c r="A603">
        <v>43</v>
      </c>
      <c r="B603" t="s">
        <v>201</v>
      </c>
      <c r="C603">
        <v>140</v>
      </c>
      <c r="D603" t="s">
        <v>284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203</v>
      </c>
      <c r="C604">
        <v>10</v>
      </c>
      <c r="D604" t="s">
        <v>187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203</v>
      </c>
      <c r="C605">
        <v>20</v>
      </c>
      <c r="D605" t="s">
        <v>204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203</v>
      </c>
      <c r="C606">
        <v>30</v>
      </c>
      <c r="D606" t="s">
        <v>347</v>
      </c>
      <c r="E606" t="s">
        <v>11</v>
      </c>
      <c r="F606">
        <v>1</v>
      </c>
      <c r="G606" t="s">
        <v>15</v>
      </c>
    </row>
    <row r="607" spans="1:7" x14ac:dyDescent="0.25">
      <c r="A607">
        <v>44</v>
      </c>
      <c r="B607" t="s">
        <v>203</v>
      </c>
      <c r="C607">
        <v>40</v>
      </c>
      <c r="D607" t="s">
        <v>266</v>
      </c>
      <c r="E607" t="s">
        <v>14</v>
      </c>
      <c r="F607">
        <v>0.94</v>
      </c>
      <c r="G607" t="s">
        <v>15</v>
      </c>
    </row>
    <row r="608" spans="1:7" x14ac:dyDescent="0.25">
      <c r="A608">
        <v>44</v>
      </c>
      <c r="B608" t="s">
        <v>203</v>
      </c>
      <c r="C608">
        <v>50</v>
      </c>
      <c r="D608" t="s">
        <v>107</v>
      </c>
      <c r="E608" t="s">
        <v>108</v>
      </c>
      <c r="F608">
        <v>0.54700000000000004</v>
      </c>
      <c r="G608" t="s">
        <v>13</v>
      </c>
    </row>
    <row r="609" spans="1:7" x14ac:dyDescent="0.25">
      <c r="A609">
        <v>44</v>
      </c>
      <c r="B609" t="s">
        <v>203</v>
      </c>
      <c r="C609">
        <v>60</v>
      </c>
      <c r="D609" t="s">
        <v>267</v>
      </c>
      <c r="E609" t="s">
        <v>11</v>
      </c>
      <c r="F609">
        <v>1</v>
      </c>
      <c r="G609" t="s">
        <v>13</v>
      </c>
    </row>
    <row r="610" spans="1:7" x14ac:dyDescent="0.25">
      <c r="A610">
        <v>44</v>
      </c>
      <c r="B610" t="s">
        <v>203</v>
      </c>
      <c r="C610">
        <v>70</v>
      </c>
      <c r="D610" t="s">
        <v>109</v>
      </c>
      <c r="E610" t="s">
        <v>14</v>
      </c>
      <c r="F610">
        <v>17.068999999999999</v>
      </c>
      <c r="G610" t="s">
        <v>13</v>
      </c>
    </row>
    <row r="611" spans="1:7" x14ac:dyDescent="0.25">
      <c r="A611">
        <v>44</v>
      </c>
      <c r="B611" t="s">
        <v>203</v>
      </c>
      <c r="C611">
        <v>80</v>
      </c>
      <c r="D611" t="s">
        <v>16</v>
      </c>
      <c r="E611" t="s">
        <v>14</v>
      </c>
      <c r="F611">
        <v>105.91</v>
      </c>
      <c r="G611" t="s">
        <v>13</v>
      </c>
    </row>
    <row r="612" spans="1:7" x14ac:dyDescent="0.25">
      <c r="A612">
        <v>44</v>
      </c>
      <c r="B612" t="s">
        <v>203</v>
      </c>
      <c r="C612">
        <v>90</v>
      </c>
      <c r="D612" t="s">
        <v>265</v>
      </c>
      <c r="E612" t="s">
        <v>12</v>
      </c>
      <c r="F612">
        <v>8.8999999999999996E-2</v>
      </c>
      <c r="G612" t="s">
        <v>13</v>
      </c>
    </row>
    <row r="613" spans="1:7" x14ac:dyDescent="0.25">
      <c r="A613">
        <v>44</v>
      </c>
      <c r="B613" t="s">
        <v>203</v>
      </c>
      <c r="C613">
        <v>100</v>
      </c>
      <c r="D613" t="s">
        <v>269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203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203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203</v>
      </c>
      <c r="C616">
        <v>130</v>
      </c>
      <c r="D616" t="s">
        <v>110</v>
      </c>
      <c r="E616" t="s">
        <v>12</v>
      </c>
      <c r="F616">
        <v>0.622</v>
      </c>
      <c r="G616" t="s">
        <v>13</v>
      </c>
    </row>
    <row r="617" spans="1:7" x14ac:dyDescent="0.25">
      <c r="A617">
        <v>44</v>
      </c>
      <c r="B617" t="s">
        <v>203</v>
      </c>
      <c r="C617">
        <v>140</v>
      </c>
      <c r="D617" t="s">
        <v>286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205</v>
      </c>
      <c r="C618">
        <v>10</v>
      </c>
      <c r="D618" t="s">
        <v>187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205</v>
      </c>
      <c r="C619">
        <v>20</v>
      </c>
      <c r="D619" t="s">
        <v>206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205</v>
      </c>
      <c r="C620">
        <v>30</v>
      </c>
      <c r="D620" t="s">
        <v>348</v>
      </c>
      <c r="E620" t="s">
        <v>11</v>
      </c>
      <c r="F620">
        <v>1</v>
      </c>
      <c r="G620" t="s">
        <v>15</v>
      </c>
    </row>
    <row r="621" spans="1:7" x14ac:dyDescent="0.25">
      <c r="A621">
        <v>45</v>
      </c>
      <c r="B621" t="s">
        <v>205</v>
      </c>
      <c r="C621">
        <v>40</v>
      </c>
      <c r="D621" t="s">
        <v>266</v>
      </c>
      <c r="E621" t="s">
        <v>14</v>
      </c>
      <c r="F621">
        <v>1.0920000000000001</v>
      </c>
      <c r="G621" t="s">
        <v>15</v>
      </c>
    </row>
    <row r="622" spans="1:7" x14ac:dyDescent="0.25">
      <c r="A622">
        <v>45</v>
      </c>
      <c r="B622" t="s">
        <v>205</v>
      </c>
      <c r="C622">
        <v>50</v>
      </c>
      <c r="D622" t="s">
        <v>107</v>
      </c>
      <c r="E622" t="s">
        <v>108</v>
      </c>
      <c r="F622">
        <v>0.63800000000000001</v>
      </c>
      <c r="G622" t="s">
        <v>13</v>
      </c>
    </row>
    <row r="623" spans="1:7" x14ac:dyDescent="0.25">
      <c r="A623">
        <v>45</v>
      </c>
      <c r="B623" t="s">
        <v>205</v>
      </c>
      <c r="C623">
        <v>60</v>
      </c>
      <c r="D623" t="s">
        <v>267</v>
      </c>
      <c r="E623" t="s">
        <v>11</v>
      </c>
      <c r="F623">
        <v>1</v>
      </c>
      <c r="G623" t="s">
        <v>13</v>
      </c>
    </row>
    <row r="624" spans="1:7" x14ac:dyDescent="0.25">
      <c r="A624">
        <v>45</v>
      </c>
      <c r="B624" t="s">
        <v>205</v>
      </c>
      <c r="C624">
        <v>70</v>
      </c>
      <c r="D624" t="s">
        <v>109</v>
      </c>
      <c r="E624" t="s">
        <v>14</v>
      </c>
      <c r="F624">
        <v>17.983000000000001</v>
      </c>
      <c r="G624" t="s">
        <v>13</v>
      </c>
    </row>
    <row r="625" spans="1:7" x14ac:dyDescent="0.25">
      <c r="A625">
        <v>45</v>
      </c>
      <c r="B625" t="s">
        <v>205</v>
      </c>
      <c r="C625">
        <v>80</v>
      </c>
      <c r="D625" t="s">
        <v>16</v>
      </c>
      <c r="E625" t="s">
        <v>14</v>
      </c>
      <c r="F625">
        <v>111.53400000000001</v>
      </c>
      <c r="G625" t="s">
        <v>13</v>
      </c>
    </row>
    <row r="626" spans="1:7" x14ac:dyDescent="0.25">
      <c r="A626">
        <v>45</v>
      </c>
      <c r="B626" t="s">
        <v>205</v>
      </c>
      <c r="C626">
        <v>90</v>
      </c>
      <c r="D626" t="s">
        <v>265</v>
      </c>
      <c r="E626" t="s">
        <v>12</v>
      </c>
      <c r="F626">
        <v>0.1</v>
      </c>
      <c r="G626" t="s">
        <v>13</v>
      </c>
    </row>
    <row r="627" spans="1:7" x14ac:dyDescent="0.25">
      <c r="A627">
        <v>45</v>
      </c>
      <c r="B627" t="s">
        <v>205</v>
      </c>
      <c r="C627">
        <v>100</v>
      </c>
      <c r="D627" t="s">
        <v>269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205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205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205</v>
      </c>
      <c r="C630">
        <v>130</v>
      </c>
      <c r="D630" t="s">
        <v>110</v>
      </c>
      <c r="E630" t="s">
        <v>12</v>
      </c>
      <c r="F630">
        <v>0.70299999999999996</v>
      </c>
      <c r="G630" t="s">
        <v>13</v>
      </c>
    </row>
    <row r="631" spans="1:7" x14ac:dyDescent="0.25">
      <c r="A631">
        <v>45</v>
      </c>
      <c r="B631" t="s">
        <v>205</v>
      </c>
      <c r="C631">
        <v>140</v>
      </c>
      <c r="D631" t="s">
        <v>288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207</v>
      </c>
      <c r="C632">
        <v>10</v>
      </c>
      <c r="D632" t="s">
        <v>187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207</v>
      </c>
      <c r="C633">
        <v>20</v>
      </c>
      <c r="D633" t="s">
        <v>208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207</v>
      </c>
      <c r="C634">
        <v>30</v>
      </c>
      <c r="D634" t="s">
        <v>349</v>
      </c>
      <c r="E634" t="s">
        <v>11</v>
      </c>
      <c r="F634">
        <v>1</v>
      </c>
      <c r="G634" t="s">
        <v>15</v>
      </c>
    </row>
    <row r="635" spans="1:7" x14ac:dyDescent="0.25">
      <c r="A635">
        <v>46</v>
      </c>
      <c r="B635" t="s">
        <v>207</v>
      </c>
      <c r="C635">
        <v>40</v>
      </c>
      <c r="D635" t="s">
        <v>266</v>
      </c>
      <c r="E635" t="s">
        <v>14</v>
      </c>
      <c r="F635">
        <v>1.2450000000000001</v>
      </c>
      <c r="G635" t="s">
        <v>15</v>
      </c>
    </row>
    <row r="636" spans="1:7" x14ac:dyDescent="0.25">
      <c r="A636">
        <v>46</v>
      </c>
      <c r="B636" t="s">
        <v>207</v>
      </c>
      <c r="C636">
        <v>50</v>
      </c>
      <c r="D636" t="s">
        <v>107</v>
      </c>
      <c r="E636" t="s">
        <v>108</v>
      </c>
      <c r="F636">
        <v>0.72899999999999998</v>
      </c>
      <c r="G636" t="s">
        <v>13</v>
      </c>
    </row>
    <row r="637" spans="1:7" x14ac:dyDescent="0.25">
      <c r="A637">
        <v>46</v>
      </c>
      <c r="B637" t="s">
        <v>207</v>
      </c>
      <c r="C637">
        <v>60</v>
      </c>
      <c r="D637" t="s">
        <v>267</v>
      </c>
      <c r="E637" t="s">
        <v>11</v>
      </c>
      <c r="F637">
        <v>1</v>
      </c>
      <c r="G637" t="s">
        <v>13</v>
      </c>
    </row>
    <row r="638" spans="1:7" x14ac:dyDescent="0.25">
      <c r="A638">
        <v>46</v>
      </c>
      <c r="B638" t="s">
        <v>207</v>
      </c>
      <c r="C638">
        <v>70</v>
      </c>
      <c r="D638" t="s">
        <v>109</v>
      </c>
      <c r="E638" t="s">
        <v>14</v>
      </c>
      <c r="F638">
        <v>18.898</v>
      </c>
      <c r="G638" t="s">
        <v>13</v>
      </c>
    </row>
    <row r="639" spans="1:7" x14ac:dyDescent="0.25">
      <c r="A639">
        <v>46</v>
      </c>
      <c r="B639" t="s">
        <v>207</v>
      </c>
      <c r="C639">
        <v>80</v>
      </c>
      <c r="D639" t="s">
        <v>16</v>
      </c>
      <c r="E639" t="s">
        <v>14</v>
      </c>
      <c r="F639">
        <v>117.158</v>
      </c>
      <c r="G639" t="s">
        <v>13</v>
      </c>
    </row>
    <row r="640" spans="1:7" x14ac:dyDescent="0.25">
      <c r="A640">
        <v>46</v>
      </c>
      <c r="B640" t="s">
        <v>207</v>
      </c>
      <c r="C640">
        <v>90</v>
      </c>
      <c r="D640" t="s">
        <v>265</v>
      </c>
      <c r="E640" t="s">
        <v>12</v>
      </c>
      <c r="F640">
        <v>0.11</v>
      </c>
      <c r="G640" t="s">
        <v>13</v>
      </c>
    </row>
    <row r="641" spans="1:7" x14ac:dyDescent="0.25">
      <c r="A641">
        <v>46</v>
      </c>
      <c r="B641" t="s">
        <v>207</v>
      </c>
      <c r="C641">
        <v>100</v>
      </c>
      <c r="D641" t="s">
        <v>269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207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207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207</v>
      </c>
      <c r="C644">
        <v>130</v>
      </c>
      <c r="D644" t="s">
        <v>110</v>
      </c>
      <c r="E644" t="s">
        <v>12</v>
      </c>
      <c r="F644">
        <v>0.78400000000000003</v>
      </c>
      <c r="G644" t="s">
        <v>13</v>
      </c>
    </row>
    <row r="645" spans="1:7" x14ac:dyDescent="0.25">
      <c r="A645">
        <v>46</v>
      </c>
      <c r="B645" t="s">
        <v>207</v>
      </c>
      <c r="C645">
        <v>140</v>
      </c>
      <c r="D645" t="s">
        <v>290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209</v>
      </c>
      <c r="C646">
        <v>10</v>
      </c>
      <c r="D646" t="s">
        <v>187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209</v>
      </c>
      <c r="C647">
        <v>20</v>
      </c>
      <c r="D647" t="s">
        <v>210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209</v>
      </c>
      <c r="C648">
        <v>30</v>
      </c>
      <c r="D648" t="s">
        <v>350</v>
      </c>
      <c r="E648" t="s">
        <v>11</v>
      </c>
      <c r="F648">
        <v>1</v>
      </c>
      <c r="G648" t="s">
        <v>15</v>
      </c>
    </row>
    <row r="649" spans="1:7" x14ac:dyDescent="0.25">
      <c r="A649">
        <v>47</v>
      </c>
      <c r="B649" t="s">
        <v>209</v>
      </c>
      <c r="C649">
        <v>40</v>
      </c>
      <c r="D649" t="s">
        <v>266</v>
      </c>
      <c r="E649" t="s">
        <v>14</v>
      </c>
      <c r="F649">
        <v>1.5489999999999999</v>
      </c>
      <c r="G649" t="s">
        <v>15</v>
      </c>
    </row>
    <row r="650" spans="1:7" x14ac:dyDescent="0.25">
      <c r="A650">
        <v>47</v>
      </c>
      <c r="B650" t="s">
        <v>209</v>
      </c>
      <c r="C650">
        <v>50</v>
      </c>
      <c r="D650" t="s">
        <v>107</v>
      </c>
      <c r="E650" t="s">
        <v>108</v>
      </c>
      <c r="F650">
        <v>0.91100000000000003</v>
      </c>
      <c r="G650" t="s">
        <v>13</v>
      </c>
    </row>
    <row r="651" spans="1:7" x14ac:dyDescent="0.25">
      <c r="A651">
        <v>47</v>
      </c>
      <c r="B651" t="s">
        <v>209</v>
      </c>
      <c r="C651">
        <v>60</v>
      </c>
      <c r="D651" t="s">
        <v>267</v>
      </c>
      <c r="E651" t="s">
        <v>11</v>
      </c>
      <c r="F651">
        <v>1</v>
      </c>
      <c r="G651" t="s">
        <v>13</v>
      </c>
    </row>
    <row r="652" spans="1:7" x14ac:dyDescent="0.25">
      <c r="A652">
        <v>47</v>
      </c>
      <c r="B652" t="s">
        <v>209</v>
      </c>
      <c r="C652">
        <v>70</v>
      </c>
      <c r="D652" t="s">
        <v>109</v>
      </c>
      <c r="E652" t="s">
        <v>14</v>
      </c>
      <c r="F652">
        <v>20.725999999999999</v>
      </c>
      <c r="G652" t="s">
        <v>13</v>
      </c>
    </row>
    <row r="653" spans="1:7" x14ac:dyDescent="0.25">
      <c r="A653">
        <v>47</v>
      </c>
      <c r="B653" t="s">
        <v>209</v>
      </c>
      <c r="C653">
        <v>80</v>
      </c>
      <c r="D653" t="s">
        <v>16</v>
      </c>
      <c r="E653" t="s">
        <v>14</v>
      </c>
      <c r="F653">
        <v>128.405</v>
      </c>
      <c r="G653" t="s">
        <v>13</v>
      </c>
    </row>
    <row r="654" spans="1:7" x14ac:dyDescent="0.25">
      <c r="A654">
        <v>47</v>
      </c>
      <c r="B654" t="s">
        <v>209</v>
      </c>
      <c r="C654">
        <v>90</v>
      </c>
      <c r="D654" t="s">
        <v>265</v>
      </c>
      <c r="E654" t="s">
        <v>12</v>
      </c>
      <c r="F654">
        <v>0.13200000000000001</v>
      </c>
      <c r="G654" t="s">
        <v>13</v>
      </c>
    </row>
    <row r="655" spans="1:7" x14ac:dyDescent="0.25">
      <c r="A655">
        <v>47</v>
      </c>
      <c r="B655" t="s">
        <v>209</v>
      </c>
      <c r="C655">
        <v>100</v>
      </c>
      <c r="D655" t="s">
        <v>269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209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209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209</v>
      </c>
      <c r="C658">
        <v>130</v>
      </c>
      <c r="D658" t="s">
        <v>110</v>
      </c>
      <c r="E658" t="s">
        <v>12</v>
      </c>
      <c r="F658">
        <v>0.94599999999999995</v>
      </c>
      <c r="G658" t="s">
        <v>13</v>
      </c>
    </row>
    <row r="659" spans="1:7" x14ac:dyDescent="0.25">
      <c r="A659">
        <v>47</v>
      </c>
      <c r="B659" t="s">
        <v>209</v>
      </c>
      <c r="C659">
        <v>140</v>
      </c>
      <c r="D659" t="s">
        <v>292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211</v>
      </c>
      <c r="C660">
        <v>10</v>
      </c>
      <c r="D660" t="s">
        <v>187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211</v>
      </c>
      <c r="C661">
        <v>20</v>
      </c>
      <c r="D661" t="s">
        <v>212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211</v>
      </c>
      <c r="C662">
        <v>30</v>
      </c>
      <c r="D662" t="s">
        <v>351</v>
      </c>
      <c r="E662" t="s">
        <v>11</v>
      </c>
      <c r="F662">
        <v>1</v>
      </c>
      <c r="G662" t="s">
        <v>15</v>
      </c>
    </row>
    <row r="663" spans="1:7" x14ac:dyDescent="0.25">
      <c r="A663">
        <v>48</v>
      </c>
      <c r="B663" t="s">
        <v>211</v>
      </c>
      <c r="C663">
        <v>40</v>
      </c>
      <c r="D663" t="s">
        <v>266</v>
      </c>
      <c r="E663" t="s">
        <v>14</v>
      </c>
      <c r="F663">
        <v>1.702</v>
      </c>
      <c r="G663" t="s">
        <v>15</v>
      </c>
    </row>
    <row r="664" spans="1:7" x14ac:dyDescent="0.25">
      <c r="A664">
        <v>48</v>
      </c>
      <c r="B664" t="s">
        <v>211</v>
      </c>
      <c r="C664">
        <v>50</v>
      </c>
      <c r="D664" t="s">
        <v>107</v>
      </c>
      <c r="E664" t="s">
        <v>108</v>
      </c>
      <c r="F664">
        <v>1.002</v>
      </c>
      <c r="G664" t="s">
        <v>13</v>
      </c>
    </row>
    <row r="665" spans="1:7" x14ac:dyDescent="0.25">
      <c r="A665">
        <v>48</v>
      </c>
      <c r="B665" t="s">
        <v>211</v>
      </c>
      <c r="C665">
        <v>60</v>
      </c>
      <c r="D665" t="s">
        <v>267</v>
      </c>
      <c r="E665" t="s">
        <v>11</v>
      </c>
      <c r="F665">
        <v>1</v>
      </c>
      <c r="G665" t="s">
        <v>13</v>
      </c>
    </row>
    <row r="666" spans="1:7" x14ac:dyDescent="0.25">
      <c r="A666">
        <v>48</v>
      </c>
      <c r="B666" t="s">
        <v>211</v>
      </c>
      <c r="C666">
        <v>70</v>
      </c>
      <c r="D666" t="s">
        <v>109</v>
      </c>
      <c r="E666" t="s">
        <v>14</v>
      </c>
      <c r="F666">
        <v>21.640999999999998</v>
      </c>
      <c r="G666" t="s">
        <v>13</v>
      </c>
    </row>
    <row r="667" spans="1:7" x14ac:dyDescent="0.25">
      <c r="A667">
        <v>48</v>
      </c>
      <c r="B667" t="s">
        <v>211</v>
      </c>
      <c r="C667">
        <v>80</v>
      </c>
      <c r="D667" t="s">
        <v>16</v>
      </c>
      <c r="E667" t="s">
        <v>14</v>
      </c>
      <c r="F667">
        <v>134.02799999999999</v>
      </c>
      <c r="G667" t="s">
        <v>13</v>
      </c>
    </row>
    <row r="668" spans="1:7" x14ac:dyDescent="0.25">
      <c r="A668">
        <v>48</v>
      </c>
      <c r="B668" t="s">
        <v>211</v>
      </c>
      <c r="C668">
        <v>90</v>
      </c>
      <c r="D668" t="s">
        <v>265</v>
      </c>
      <c r="E668" t="s">
        <v>12</v>
      </c>
      <c r="F668">
        <v>0.14199999999999999</v>
      </c>
      <c r="G668" t="s">
        <v>13</v>
      </c>
    </row>
    <row r="669" spans="1:7" x14ac:dyDescent="0.25">
      <c r="A669">
        <v>48</v>
      </c>
      <c r="B669" t="s">
        <v>211</v>
      </c>
      <c r="C669">
        <v>100</v>
      </c>
      <c r="D669" t="s">
        <v>269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211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211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211</v>
      </c>
      <c r="C672">
        <v>130</v>
      </c>
      <c r="D672" t="s">
        <v>110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48</v>
      </c>
      <c r="B673" t="s">
        <v>211</v>
      </c>
      <c r="C673">
        <v>140</v>
      </c>
      <c r="D673" t="s">
        <v>294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213</v>
      </c>
      <c r="C674">
        <v>10</v>
      </c>
      <c r="D674" t="s">
        <v>187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213</v>
      </c>
      <c r="C675">
        <v>20</v>
      </c>
      <c r="D675" t="s">
        <v>214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213</v>
      </c>
      <c r="C676">
        <v>30</v>
      </c>
      <c r="D676" t="s">
        <v>352</v>
      </c>
      <c r="E676" t="s">
        <v>11</v>
      </c>
      <c r="F676">
        <v>1</v>
      </c>
      <c r="G676" t="s">
        <v>15</v>
      </c>
    </row>
    <row r="677" spans="1:7" x14ac:dyDescent="0.25">
      <c r="A677">
        <v>49</v>
      </c>
      <c r="B677" t="s">
        <v>213</v>
      </c>
      <c r="C677">
        <v>40</v>
      </c>
      <c r="D677" t="s">
        <v>266</v>
      </c>
      <c r="E677" t="s">
        <v>14</v>
      </c>
      <c r="F677">
        <v>1.8540000000000001</v>
      </c>
      <c r="G677" t="s">
        <v>15</v>
      </c>
    </row>
    <row r="678" spans="1:7" x14ac:dyDescent="0.25">
      <c r="A678">
        <v>49</v>
      </c>
      <c r="B678" t="s">
        <v>213</v>
      </c>
      <c r="C678">
        <v>50</v>
      </c>
      <c r="D678" t="s">
        <v>107</v>
      </c>
      <c r="E678" t="s">
        <v>108</v>
      </c>
      <c r="F678">
        <v>1.0940000000000001</v>
      </c>
      <c r="G678" t="s">
        <v>13</v>
      </c>
    </row>
    <row r="679" spans="1:7" x14ac:dyDescent="0.25">
      <c r="A679">
        <v>49</v>
      </c>
      <c r="B679" t="s">
        <v>213</v>
      </c>
      <c r="C679">
        <v>60</v>
      </c>
      <c r="D679" t="s">
        <v>267</v>
      </c>
      <c r="E679" t="s">
        <v>11</v>
      </c>
      <c r="F679">
        <v>1</v>
      </c>
      <c r="G679" t="s">
        <v>13</v>
      </c>
    </row>
    <row r="680" spans="1:7" x14ac:dyDescent="0.25">
      <c r="A680">
        <v>49</v>
      </c>
      <c r="B680" t="s">
        <v>213</v>
      </c>
      <c r="C680">
        <v>70</v>
      </c>
      <c r="D680" t="s">
        <v>109</v>
      </c>
      <c r="E680" t="s">
        <v>14</v>
      </c>
      <c r="F680">
        <v>22.555</v>
      </c>
      <c r="G680" t="s">
        <v>13</v>
      </c>
    </row>
    <row r="681" spans="1:7" x14ac:dyDescent="0.25">
      <c r="A681">
        <v>49</v>
      </c>
      <c r="B681" t="s">
        <v>213</v>
      </c>
      <c r="C681">
        <v>80</v>
      </c>
      <c r="D681" t="s">
        <v>16</v>
      </c>
      <c r="E681" t="s">
        <v>14</v>
      </c>
      <c r="F681">
        <v>139.65199999999999</v>
      </c>
      <c r="G681" t="s">
        <v>13</v>
      </c>
    </row>
    <row r="682" spans="1:7" x14ac:dyDescent="0.25">
      <c r="A682">
        <v>49</v>
      </c>
      <c r="B682" t="s">
        <v>213</v>
      </c>
      <c r="C682">
        <v>90</v>
      </c>
      <c r="D682" t="s">
        <v>265</v>
      </c>
      <c r="E682" t="s">
        <v>12</v>
      </c>
      <c r="F682">
        <v>0.153</v>
      </c>
      <c r="G682" t="s">
        <v>13</v>
      </c>
    </row>
    <row r="683" spans="1:7" x14ac:dyDescent="0.25">
      <c r="A683">
        <v>49</v>
      </c>
      <c r="B683" t="s">
        <v>213</v>
      </c>
      <c r="C683">
        <v>100</v>
      </c>
      <c r="D683" t="s">
        <v>269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213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213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213</v>
      </c>
      <c r="C686">
        <v>130</v>
      </c>
      <c r="D686" t="s">
        <v>110</v>
      </c>
      <c r="E686" t="s">
        <v>12</v>
      </c>
      <c r="F686">
        <v>1.1080000000000001</v>
      </c>
      <c r="G686" t="s">
        <v>13</v>
      </c>
    </row>
    <row r="687" spans="1:7" x14ac:dyDescent="0.25">
      <c r="A687">
        <v>49</v>
      </c>
      <c r="B687" t="s">
        <v>213</v>
      </c>
      <c r="C687">
        <v>140</v>
      </c>
      <c r="D687" t="s">
        <v>296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215</v>
      </c>
      <c r="C688">
        <v>10</v>
      </c>
      <c r="D688" t="s">
        <v>187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215</v>
      </c>
      <c r="C689">
        <v>20</v>
      </c>
      <c r="D689" t="s">
        <v>216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215</v>
      </c>
      <c r="C690">
        <v>30</v>
      </c>
      <c r="D690" t="s">
        <v>353</v>
      </c>
      <c r="E690" t="s">
        <v>11</v>
      </c>
      <c r="F690">
        <v>1</v>
      </c>
      <c r="G690" t="s">
        <v>15</v>
      </c>
    </row>
    <row r="691" spans="1:7" x14ac:dyDescent="0.25">
      <c r="A691">
        <v>50</v>
      </c>
      <c r="B691" t="s">
        <v>215</v>
      </c>
      <c r="C691">
        <v>40</v>
      </c>
      <c r="D691" t="s">
        <v>266</v>
      </c>
      <c r="E691" t="s">
        <v>14</v>
      </c>
      <c r="F691">
        <v>0.78700000000000003</v>
      </c>
      <c r="G691" t="s">
        <v>15</v>
      </c>
    </row>
    <row r="692" spans="1:7" x14ac:dyDescent="0.25">
      <c r="A692">
        <v>50</v>
      </c>
      <c r="B692" t="s">
        <v>215</v>
      </c>
      <c r="C692">
        <v>50</v>
      </c>
      <c r="D692" t="s">
        <v>107</v>
      </c>
      <c r="E692" t="s">
        <v>108</v>
      </c>
      <c r="F692">
        <v>0.47399999999999998</v>
      </c>
      <c r="G692" t="s">
        <v>13</v>
      </c>
    </row>
    <row r="693" spans="1:7" x14ac:dyDescent="0.25">
      <c r="A693">
        <v>50</v>
      </c>
      <c r="B693" t="s">
        <v>215</v>
      </c>
      <c r="C693">
        <v>60</v>
      </c>
      <c r="D693" t="s">
        <v>267</v>
      </c>
      <c r="E693" t="s">
        <v>11</v>
      </c>
      <c r="F693">
        <v>1</v>
      </c>
      <c r="G693" t="s">
        <v>13</v>
      </c>
    </row>
    <row r="694" spans="1:7" x14ac:dyDescent="0.25">
      <c r="A694">
        <v>50</v>
      </c>
      <c r="B694" t="s">
        <v>215</v>
      </c>
      <c r="C694">
        <v>70</v>
      </c>
      <c r="D694" t="s">
        <v>109</v>
      </c>
      <c r="E694" t="s">
        <v>14</v>
      </c>
      <c r="F694">
        <v>16.611999999999998</v>
      </c>
      <c r="G694" t="s">
        <v>13</v>
      </c>
    </row>
    <row r="695" spans="1:7" x14ac:dyDescent="0.25">
      <c r="A695">
        <v>50</v>
      </c>
      <c r="B695" t="s">
        <v>215</v>
      </c>
      <c r="C695">
        <v>80</v>
      </c>
      <c r="D695" t="s">
        <v>16</v>
      </c>
      <c r="E695" t="s">
        <v>14</v>
      </c>
      <c r="F695">
        <v>103.099</v>
      </c>
      <c r="G695" t="s">
        <v>13</v>
      </c>
    </row>
    <row r="696" spans="1:7" x14ac:dyDescent="0.25">
      <c r="A696">
        <v>50</v>
      </c>
      <c r="B696" t="s">
        <v>215</v>
      </c>
      <c r="C696">
        <v>90</v>
      </c>
      <c r="D696" t="s">
        <v>265</v>
      </c>
      <c r="E696" t="s">
        <v>12</v>
      </c>
      <c r="F696">
        <v>7.8E-2</v>
      </c>
      <c r="G696" t="s">
        <v>13</v>
      </c>
    </row>
    <row r="697" spans="1:7" x14ac:dyDescent="0.25">
      <c r="A697">
        <v>50</v>
      </c>
      <c r="B697" t="s">
        <v>215</v>
      </c>
      <c r="C697">
        <v>100</v>
      </c>
      <c r="D697" t="s">
        <v>269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215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215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215</v>
      </c>
      <c r="C700">
        <v>130</v>
      </c>
      <c r="D700" t="s">
        <v>110</v>
      </c>
      <c r="E700" t="s">
        <v>12</v>
      </c>
      <c r="F700">
        <v>0.54</v>
      </c>
      <c r="G700" t="s">
        <v>13</v>
      </c>
    </row>
    <row r="701" spans="1:7" x14ac:dyDescent="0.25">
      <c r="A701">
        <v>50</v>
      </c>
      <c r="B701" t="s">
        <v>215</v>
      </c>
      <c r="C701">
        <v>140</v>
      </c>
      <c r="D701" t="s">
        <v>298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217</v>
      </c>
      <c r="C702">
        <v>10</v>
      </c>
      <c r="D702" t="s">
        <v>187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217</v>
      </c>
      <c r="C703">
        <v>20</v>
      </c>
      <c r="D703" t="s">
        <v>218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217</v>
      </c>
      <c r="C704">
        <v>30</v>
      </c>
      <c r="D704" t="s">
        <v>354</v>
      </c>
      <c r="E704" t="s">
        <v>11</v>
      </c>
      <c r="F704">
        <v>1</v>
      </c>
      <c r="G704" t="s">
        <v>15</v>
      </c>
    </row>
    <row r="705" spans="1:7" x14ac:dyDescent="0.25">
      <c r="A705">
        <v>51</v>
      </c>
      <c r="B705" t="s">
        <v>217</v>
      </c>
      <c r="C705">
        <v>40</v>
      </c>
      <c r="D705" t="s">
        <v>266</v>
      </c>
      <c r="E705" t="s">
        <v>14</v>
      </c>
      <c r="F705">
        <v>0.94</v>
      </c>
      <c r="G705" t="s">
        <v>15</v>
      </c>
    </row>
    <row r="706" spans="1:7" x14ac:dyDescent="0.25">
      <c r="A706">
        <v>51</v>
      </c>
      <c r="B706" t="s">
        <v>217</v>
      </c>
      <c r="C706">
        <v>50</v>
      </c>
      <c r="D706" t="s">
        <v>107</v>
      </c>
      <c r="E706" t="s">
        <v>108</v>
      </c>
      <c r="F706">
        <v>0.56899999999999995</v>
      </c>
      <c r="G706" t="s">
        <v>13</v>
      </c>
    </row>
    <row r="707" spans="1:7" x14ac:dyDescent="0.25">
      <c r="A707">
        <v>51</v>
      </c>
      <c r="B707" t="s">
        <v>217</v>
      </c>
      <c r="C707">
        <v>60</v>
      </c>
      <c r="D707" t="s">
        <v>267</v>
      </c>
      <c r="E707" t="s">
        <v>11</v>
      </c>
      <c r="F707">
        <v>1</v>
      </c>
      <c r="G707" t="s">
        <v>13</v>
      </c>
    </row>
    <row r="708" spans="1:7" x14ac:dyDescent="0.25">
      <c r="A708">
        <v>51</v>
      </c>
      <c r="B708" t="s">
        <v>217</v>
      </c>
      <c r="C708">
        <v>70</v>
      </c>
      <c r="D708" t="s">
        <v>109</v>
      </c>
      <c r="E708" t="s">
        <v>14</v>
      </c>
      <c r="F708">
        <v>17.526</v>
      </c>
      <c r="G708" t="s">
        <v>13</v>
      </c>
    </row>
    <row r="709" spans="1:7" x14ac:dyDescent="0.25">
      <c r="A709">
        <v>51</v>
      </c>
      <c r="B709" t="s">
        <v>217</v>
      </c>
      <c r="C709">
        <v>80</v>
      </c>
      <c r="D709" t="s">
        <v>16</v>
      </c>
      <c r="E709" t="s">
        <v>14</v>
      </c>
      <c r="F709">
        <v>108.72199999999999</v>
      </c>
      <c r="G709" t="s">
        <v>13</v>
      </c>
    </row>
    <row r="710" spans="1:7" x14ac:dyDescent="0.25">
      <c r="A710">
        <v>51</v>
      </c>
      <c r="B710" t="s">
        <v>217</v>
      </c>
      <c r="C710">
        <v>90</v>
      </c>
      <c r="D710" t="s">
        <v>265</v>
      </c>
      <c r="E710" t="s">
        <v>12</v>
      </c>
      <c r="F710">
        <v>8.8999999999999996E-2</v>
      </c>
      <c r="G710" t="s">
        <v>13</v>
      </c>
    </row>
    <row r="711" spans="1:7" x14ac:dyDescent="0.25">
      <c r="A711">
        <v>51</v>
      </c>
      <c r="B711" t="s">
        <v>217</v>
      </c>
      <c r="C711">
        <v>100</v>
      </c>
      <c r="D711" t="s">
        <v>269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217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217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217</v>
      </c>
      <c r="C714">
        <v>130</v>
      </c>
      <c r="D714" t="s">
        <v>110</v>
      </c>
      <c r="E714" t="s">
        <v>12</v>
      </c>
      <c r="F714">
        <v>0.622</v>
      </c>
      <c r="G714" t="s">
        <v>13</v>
      </c>
    </row>
    <row r="715" spans="1:7" x14ac:dyDescent="0.25">
      <c r="A715">
        <v>51</v>
      </c>
      <c r="B715" t="s">
        <v>217</v>
      </c>
      <c r="C715">
        <v>140</v>
      </c>
      <c r="D715" t="s">
        <v>300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219</v>
      </c>
      <c r="C716">
        <v>10</v>
      </c>
      <c r="D716" t="s">
        <v>187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219</v>
      </c>
      <c r="C717">
        <v>20</v>
      </c>
      <c r="D717" t="s">
        <v>220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219</v>
      </c>
      <c r="C718">
        <v>30</v>
      </c>
      <c r="D718" t="s">
        <v>355</v>
      </c>
      <c r="E718" t="s">
        <v>11</v>
      </c>
      <c r="F718">
        <v>1</v>
      </c>
      <c r="G718" t="s">
        <v>15</v>
      </c>
    </row>
    <row r="719" spans="1:7" x14ac:dyDescent="0.25">
      <c r="A719">
        <v>52</v>
      </c>
      <c r="B719" t="s">
        <v>219</v>
      </c>
      <c r="C719">
        <v>40</v>
      </c>
      <c r="D719" t="s">
        <v>266</v>
      </c>
      <c r="E719" t="s">
        <v>14</v>
      </c>
      <c r="F719">
        <v>1.0920000000000001</v>
      </c>
      <c r="G719" t="s">
        <v>15</v>
      </c>
    </row>
    <row r="720" spans="1:7" x14ac:dyDescent="0.25">
      <c r="A720">
        <v>52</v>
      </c>
      <c r="B720" t="s">
        <v>219</v>
      </c>
      <c r="C720">
        <v>50</v>
      </c>
      <c r="D720" t="s">
        <v>107</v>
      </c>
      <c r="E720" t="s">
        <v>108</v>
      </c>
      <c r="F720">
        <v>0.66300000000000003</v>
      </c>
      <c r="G720" t="s">
        <v>13</v>
      </c>
    </row>
    <row r="721" spans="1:7" x14ac:dyDescent="0.25">
      <c r="A721">
        <v>52</v>
      </c>
      <c r="B721" t="s">
        <v>219</v>
      </c>
      <c r="C721">
        <v>60</v>
      </c>
      <c r="D721" t="s">
        <v>267</v>
      </c>
      <c r="E721" t="s">
        <v>11</v>
      </c>
      <c r="F721">
        <v>1</v>
      </c>
      <c r="G721" t="s">
        <v>13</v>
      </c>
    </row>
    <row r="722" spans="1:7" x14ac:dyDescent="0.25">
      <c r="A722">
        <v>52</v>
      </c>
      <c r="B722" t="s">
        <v>219</v>
      </c>
      <c r="C722">
        <v>70</v>
      </c>
      <c r="D722" t="s">
        <v>109</v>
      </c>
      <c r="E722" t="s">
        <v>14</v>
      </c>
      <c r="F722">
        <v>18.440000000000001</v>
      </c>
      <c r="G722" t="s">
        <v>13</v>
      </c>
    </row>
    <row r="723" spans="1:7" x14ac:dyDescent="0.25">
      <c r="A723">
        <v>52</v>
      </c>
      <c r="B723" t="s">
        <v>219</v>
      </c>
      <c r="C723">
        <v>80</v>
      </c>
      <c r="D723" t="s">
        <v>16</v>
      </c>
      <c r="E723" t="s">
        <v>14</v>
      </c>
      <c r="F723">
        <v>114.346</v>
      </c>
      <c r="G723" t="s">
        <v>13</v>
      </c>
    </row>
    <row r="724" spans="1:7" x14ac:dyDescent="0.25">
      <c r="A724">
        <v>52</v>
      </c>
      <c r="B724" t="s">
        <v>219</v>
      </c>
      <c r="C724">
        <v>90</v>
      </c>
      <c r="D724" t="s">
        <v>265</v>
      </c>
      <c r="E724" t="s">
        <v>12</v>
      </c>
      <c r="F724">
        <v>0.1</v>
      </c>
      <c r="G724" t="s">
        <v>13</v>
      </c>
    </row>
    <row r="725" spans="1:7" x14ac:dyDescent="0.25">
      <c r="A725">
        <v>52</v>
      </c>
      <c r="B725" t="s">
        <v>219</v>
      </c>
      <c r="C725">
        <v>100</v>
      </c>
      <c r="D725" t="s">
        <v>269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219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219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219</v>
      </c>
      <c r="C728">
        <v>130</v>
      </c>
      <c r="D728" t="s">
        <v>110</v>
      </c>
      <c r="E728" t="s">
        <v>12</v>
      </c>
      <c r="F728">
        <v>0.70299999999999996</v>
      </c>
      <c r="G728" t="s">
        <v>13</v>
      </c>
    </row>
    <row r="729" spans="1:7" x14ac:dyDescent="0.25">
      <c r="A729">
        <v>52</v>
      </c>
      <c r="B729" t="s">
        <v>219</v>
      </c>
      <c r="C729">
        <v>140</v>
      </c>
      <c r="D729" t="s">
        <v>302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221</v>
      </c>
      <c r="C730">
        <v>10</v>
      </c>
      <c r="D730" t="s">
        <v>187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221</v>
      </c>
      <c r="C731">
        <v>20</v>
      </c>
      <c r="D731" t="s">
        <v>222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221</v>
      </c>
      <c r="C732">
        <v>30</v>
      </c>
      <c r="D732" t="s">
        <v>356</v>
      </c>
      <c r="E732" t="s">
        <v>11</v>
      </c>
      <c r="F732">
        <v>1</v>
      </c>
      <c r="G732" t="s">
        <v>15</v>
      </c>
    </row>
    <row r="733" spans="1:7" x14ac:dyDescent="0.25">
      <c r="A733">
        <v>53</v>
      </c>
      <c r="B733" t="s">
        <v>221</v>
      </c>
      <c r="C733">
        <v>40</v>
      </c>
      <c r="D733" t="s">
        <v>266</v>
      </c>
      <c r="E733" t="s">
        <v>14</v>
      </c>
      <c r="F733">
        <v>1.2450000000000001</v>
      </c>
      <c r="G733" t="s">
        <v>15</v>
      </c>
    </row>
    <row r="734" spans="1:7" x14ac:dyDescent="0.25">
      <c r="A734">
        <v>53</v>
      </c>
      <c r="B734" t="s">
        <v>221</v>
      </c>
      <c r="C734">
        <v>50</v>
      </c>
      <c r="D734" t="s">
        <v>107</v>
      </c>
      <c r="E734" t="s">
        <v>108</v>
      </c>
      <c r="F734">
        <v>0.75800000000000001</v>
      </c>
      <c r="G734" t="s">
        <v>13</v>
      </c>
    </row>
    <row r="735" spans="1:7" x14ac:dyDescent="0.25">
      <c r="A735">
        <v>53</v>
      </c>
      <c r="B735" t="s">
        <v>221</v>
      </c>
      <c r="C735">
        <v>60</v>
      </c>
      <c r="D735" t="s">
        <v>267</v>
      </c>
      <c r="E735" t="s">
        <v>11</v>
      </c>
      <c r="F735">
        <v>1</v>
      </c>
      <c r="G735" t="s">
        <v>13</v>
      </c>
    </row>
    <row r="736" spans="1:7" x14ac:dyDescent="0.25">
      <c r="A736">
        <v>53</v>
      </c>
      <c r="B736" t="s">
        <v>221</v>
      </c>
      <c r="C736">
        <v>70</v>
      </c>
      <c r="D736" t="s">
        <v>109</v>
      </c>
      <c r="E736" t="s">
        <v>14</v>
      </c>
      <c r="F736">
        <v>19.355</v>
      </c>
      <c r="G736" t="s">
        <v>13</v>
      </c>
    </row>
    <row r="737" spans="1:7" x14ac:dyDescent="0.25">
      <c r="A737">
        <v>53</v>
      </c>
      <c r="B737" t="s">
        <v>221</v>
      </c>
      <c r="C737">
        <v>80</v>
      </c>
      <c r="D737" t="s">
        <v>16</v>
      </c>
      <c r="E737" t="s">
        <v>14</v>
      </c>
      <c r="F737">
        <v>119.96899999999999</v>
      </c>
      <c r="G737" t="s">
        <v>13</v>
      </c>
    </row>
    <row r="738" spans="1:7" x14ac:dyDescent="0.25">
      <c r="A738">
        <v>53</v>
      </c>
      <c r="B738" t="s">
        <v>221</v>
      </c>
      <c r="C738">
        <v>90</v>
      </c>
      <c r="D738" t="s">
        <v>265</v>
      </c>
      <c r="E738" t="s">
        <v>12</v>
      </c>
      <c r="F738">
        <v>0.11</v>
      </c>
      <c r="G738" t="s">
        <v>13</v>
      </c>
    </row>
    <row r="739" spans="1:7" x14ac:dyDescent="0.25">
      <c r="A739">
        <v>53</v>
      </c>
      <c r="B739" t="s">
        <v>221</v>
      </c>
      <c r="C739">
        <v>100</v>
      </c>
      <c r="D739" t="s">
        <v>269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221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221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221</v>
      </c>
      <c r="C742">
        <v>130</v>
      </c>
      <c r="D742" t="s">
        <v>110</v>
      </c>
      <c r="E742" t="s">
        <v>12</v>
      </c>
      <c r="F742">
        <v>0.78400000000000003</v>
      </c>
      <c r="G742" t="s">
        <v>13</v>
      </c>
    </row>
    <row r="743" spans="1:7" x14ac:dyDescent="0.25">
      <c r="A743">
        <v>53</v>
      </c>
      <c r="B743" t="s">
        <v>221</v>
      </c>
      <c r="C743">
        <v>140</v>
      </c>
      <c r="D743" t="s">
        <v>304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223</v>
      </c>
      <c r="C744">
        <v>10</v>
      </c>
      <c r="D744" t="s">
        <v>187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223</v>
      </c>
      <c r="C745">
        <v>20</v>
      </c>
      <c r="D745" t="s">
        <v>224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223</v>
      </c>
      <c r="C746">
        <v>30</v>
      </c>
      <c r="D746" t="s">
        <v>357</v>
      </c>
      <c r="E746" t="s">
        <v>11</v>
      </c>
      <c r="F746">
        <v>1</v>
      </c>
      <c r="G746" t="s">
        <v>15</v>
      </c>
    </row>
    <row r="747" spans="1:7" x14ac:dyDescent="0.25">
      <c r="A747">
        <v>54</v>
      </c>
      <c r="B747" t="s">
        <v>223</v>
      </c>
      <c r="C747">
        <v>40</v>
      </c>
      <c r="D747" t="s">
        <v>266</v>
      </c>
      <c r="E747" t="s">
        <v>14</v>
      </c>
      <c r="F747">
        <v>1.5489999999999999</v>
      </c>
      <c r="G747" t="s">
        <v>15</v>
      </c>
    </row>
    <row r="748" spans="1:7" x14ac:dyDescent="0.25">
      <c r="A748">
        <v>54</v>
      </c>
      <c r="B748" t="s">
        <v>223</v>
      </c>
      <c r="C748">
        <v>50</v>
      </c>
      <c r="D748" t="s">
        <v>107</v>
      </c>
      <c r="E748" t="s">
        <v>108</v>
      </c>
      <c r="F748">
        <v>0.94799999999999995</v>
      </c>
      <c r="G748" t="s">
        <v>13</v>
      </c>
    </row>
    <row r="749" spans="1:7" x14ac:dyDescent="0.25">
      <c r="A749">
        <v>54</v>
      </c>
      <c r="B749" t="s">
        <v>223</v>
      </c>
      <c r="C749">
        <v>60</v>
      </c>
      <c r="D749" t="s">
        <v>267</v>
      </c>
      <c r="E749" t="s">
        <v>11</v>
      </c>
      <c r="F749">
        <v>1</v>
      </c>
      <c r="G749" t="s">
        <v>13</v>
      </c>
    </row>
    <row r="750" spans="1:7" x14ac:dyDescent="0.25">
      <c r="A750">
        <v>54</v>
      </c>
      <c r="B750" t="s">
        <v>223</v>
      </c>
      <c r="C750">
        <v>70</v>
      </c>
      <c r="D750" t="s">
        <v>109</v>
      </c>
      <c r="E750" t="s">
        <v>14</v>
      </c>
      <c r="F750">
        <v>21.184000000000001</v>
      </c>
      <c r="G750" t="s">
        <v>13</v>
      </c>
    </row>
    <row r="751" spans="1:7" x14ac:dyDescent="0.25">
      <c r="A751">
        <v>54</v>
      </c>
      <c r="B751" t="s">
        <v>223</v>
      </c>
      <c r="C751">
        <v>80</v>
      </c>
      <c r="D751" t="s">
        <v>16</v>
      </c>
      <c r="E751" t="s">
        <v>14</v>
      </c>
      <c r="F751">
        <v>131.21600000000001</v>
      </c>
      <c r="G751" t="s">
        <v>13</v>
      </c>
    </row>
    <row r="752" spans="1:7" x14ac:dyDescent="0.25">
      <c r="A752">
        <v>54</v>
      </c>
      <c r="B752" t="s">
        <v>223</v>
      </c>
      <c r="C752">
        <v>90</v>
      </c>
      <c r="D752" t="s">
        <v>265</v>
      </c>
      <c r="E752" t="s">
        <v>12</v>
      </c>
      <c r="F752">
        <v>0.13200000000000001</v>
      </c>
      <c r="G752" t="s">
        <v>13</v>
      </c>
    </row>
    <row r="753" spans="1:7" x14ac:dyDescent="0.25">
      <c r="A753">
        <v>54</v>
      </c>
      <c r="B753" t="s">
        <v>223</v>
      </c>
      <c r="C753">
        <v>100</v>
      </c>
      <c r="D753" t="s">
        <v>269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223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223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223</v>
      </c>
      <c r="C756">
        <v>130</v>
      </c>
      <c r="D756" t="s">
        <v>110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54</v>
      </c>
      <c r="B757" t="s">
        <v>223</v>
      </c>
      <c r="C757">
        <v>140</v>
      </c>
      <c r="D757" t="s">
        <v>306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225</v>
      </c>
      <c r="C758">
        <v>10</v>
      </c>
      <c r="D758" t="s">
        <v>187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225</v>
      </c>
      <c r="C759">
        <v>20</v>
      </c>
      <c r="D759" t="s">
        <v>226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225</v>
      </c>
      <c r="C760">
        <v>30</v>
      </c>
      <c r="D760" t="s">
        <v>358</v>
      </c>
      <c r="E760" t="s">
        <v>11</v>
      </c>
      <c r="F760">
        <v>1</v>
      </c>
      <c r="G760" t="s">
        <v>15</v>
      </c>
    </row>
    <row r="761" spans="1:7" x14ac:dyDescent="0.25">
      <c r="A761">
        <v>55</v>
      </c>
      <c r="B761" t="s">
        <v>225</v>
      </c>
      <c r="C761">
        <v>40</v>
      </c>
      <c r="D761" t="s">
        <v>266</v>
      </c>
      <c r="E761" t="s">
        <v>14</v>
      </c>
      <c r="F761">
        <v>1.702</v>
      </c>
      <c r="G761" t="s">
        <v>15</v>
      </c>
    </row>
    <row r="762" spans="1:7" x14ac:dyDescent="0.25">
      <c r="A762">
        <v>55</v>
      </c>
      <c r="B762" t="s">
        <v>225</v>
      </c>
      <c r="C762">
        <v>50</v>
      </c>
      <c r="D762" t="s">
        <v>107</v>
      </c>
      <c r="E762" t="s">
        <v>108</v>
      </c>
      <c r="F762">
        <v>1.042</v>
      </c>
      <c r="G762" t="s">
        <v>13</v>
      </c>
    </row>
    <row r="763" spans="1:7" x14ac:dyDescent="0.25">
      <c r="A763">
        <v>55</v>
      </c>
      <c r="B763" t="s">
        <v>225</v>
      </c>
      <c r="C763">
        <v>60</v>
      </c>
      <c r="D763" t="s">
        <v>267</v>
      </c>
      <c r="E763" t="s">
        <v>11</v>
      </c>
      <c r="F763">
        <v>1</v>
      </c>
      <c r="G763" t="s">
        <v>13</v>
      </c>
    </row>
    <row r="764" spans="1:7" x14ac:dyDescent="0.25">
      <c r="A764">
        <v>55</v>
      </c>
      <c r="B764" t="s">
        <v>225</v>
      </c>
      <c r="C764">
        <v>70</v>
      </c>
      <c r="D764" t="s">
        <v>109</v>
      </c>
      <c r="E764" t="s">
        <v>14</v>
      </c>
      <c r="F764">
        <v>22.097999999999999</v>
      </c>
      <c r="G764" t="s">
        <v>13</v>
      </c>
    </row>
    <row r="765" spans="1:7" x14ac:dyDescent="0.25">
      <c r="A765">
        <v>55</v>
      </c>
      <c r="B765" t="s">
        <v>225</v>
      </c>
      <c r="C765">
        <v>80</v>
      </c>
      <c r="D765" t="s">
        <v>16</v>
      </c>
      <c r="E765" t="s">
        <v>14</v>
      </c>
      <c r="F765">
        <v>136.84</v>
      </c>
      <c r="G765" t="s">
        <v>13</v>
      </c>
    </row>
    <row r="766" spans="1:7" x14ac:dyDescent="0.25">
      <c r="A766">
        <v>55</v>
      </c>
      <c r="B766" t="s">
        <v>225</v>
      </c>
      <c r="C766">
        <v>90</v>
      </c>
      <c r="D766" t="s">
        <v>265</v>
      </c>
      <c r="E766" t="s">
        <v>12</v>
      </c>
      <c r="F766">
        <v>0.14199999999999999</v>
      </c>
      <c r="G766" t="s">
        <v>13</v>
      </c>
    </row>
    <row r="767" spans="1:7" x14ac:dyDescent="0.25">
      <c r="A767">
        <v>55</v>
      </c>
      <c r="B767" t="s">
        <v>225</v>
      </c>
      <c r="C767">
        <v>100</v>
      </c>
      <c r="D767" t="s">
        <v>269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225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225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225</v>
      </c>
      <c r="C770">
        <v>130</v>
      </c>
      <c r="D770" t="s">
        <v>110</v>
      </c>
      <c r="E770" t="s">
        <v>12</v>
      </c>
      <c r="F770">
        <v>1.0269999999999999</v>
      </c>
      <c r="G770" t="s">
        <v>13</v>
      </c>
    </row>
    <row r="771" spans="1:7" x14ac:dyDescent="0.25">
      <c r="A771">
        <v>55</v>
      </c>
      <c r="B771" t="s">
        <v>225</v>
      </c>
      <c r="C771">
        <v>140</v>
      </c>
      <c r="D771" t="s">
        <v>308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227</v>
      </c>
      <c r="C772">
        <v>10</v>
      </c>
      <c r="D772" t="s">
        <v>187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227</v>
      </c>
      <c r="C773">
        <v>20</v>
      </c>
      <c r="D773" t="s">
        <v>228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227</v>
      </c>
      <c r="C774">
        <v>30</v>
      </c>
      <c r="D774" t="s">
        <v>359</v>
      </c>
      <c r="E774" t="s">
        <v>11</v>
      </c>
      <c r="F774">
        <v>1</v>
      </c>
      <c r="G774" t="s">
        <v>15</v>
      </c>
    </row>
    <row r="775" spans="1:7" x14ac:dyDescent="0.25">
      <c r="A775">
        <v>56</v>
      </c>
      <c r="B775" t="s">
        <v>227</v>
      </c>
      <c r="C775">
        <v>40</v>
      </c>
      <c r="D775" t="s">
        <v>266</v>
      </c>
      <c r="E775" t="s">
        <v>14</v>
      </c>
      <c r="F775">
        <v>1.8540000000000001</v>
      </c>
      <c r="G775" t="s">
        <v>15</v>
      </c>
    </row>
    <row r="776" spans="1:7" x14ac:dyDescent="0.25">
      <c r="A776">
        <v>56</v>
      </c>
      <c r="B776" t="s">
        <v>227</v>
      </c>
      <c r="C776">
        <v>50</v>
      </c>
      <c r="D776" t="s">
        <v>107</v>
      </c>
      <c r="E776" t="s">
        <v>108</v>
      </c>
      <c r="F776">
        <v>1.137</v>
      </c>
      <c r="G776" t="s">
        <v>13</v>
      </c>
    </row>
    <row r="777" spans="1:7" x14ac:dyDescent="0.25">
      <c r="A777">
        <v>56</v>
      </c>
      <c r="B777" t="s">
        <v>227</v>
      </c>
      <c r="C777">
        <v>60</v>
      </c>
      <c r="D777" t="s">
        <v>267</v>
      </c>
      <c r="E777" t="s">
        <v>11</v>
      </c>
      <c r="F777">
        <v>1</v>
      </c>
      <c r="G777" t="s">
        <v>13</v>
      </c>
    </row>
    <row r="778" spans="1:7" x14ac:dyDescent="0.25">
      <c r="A778">
        <v>56</v>
      </c>
      <c r="B778" t="s">
        <v>227</v>
      </c>
      <c r="C778">
        <v>70</v>
      </c>
      <c r="D778" t="s">
        <v>109</v>
      </c>
      <c r="E778" t="s">
        <v>14</v>
      </c>
      <c r="F778">
        <v>23.012</v>
      </c>
      <c r="G778" t="s">
        <v>13</v>
      </c>
    </row>
    <row r="779" spans="1:7" x14ac:dyDescent="0.25">
      <c r="A779">
        <v>56</v>
      </c>
      <c r="B779" t="s">
        <v>227</v>
      </c>
      <c r="C779">
        <v>80</v>
      </c>
      <c r="D779" t="s">
        <v>16</v>
      </c>
      <c r="E779" t="s">
        <v>14</v>
      </c>
      <c r="F779">
        <v>142.464</v>
      </c>
      <c r="G779" t="s">
        <v>13</v>
      </c>
    </row>
    <row r="780" spans="1:7" x14ac:dyDescent="0.25">
      <c r="A780">
        <v>56</v>
      </c>
      <c r="B780" t="s">
        <v>227</v>
      </c>
      <c r="C780">
        <v>90</v>
      </c>
      <c r="D780" t="s">
        <v>265</v>
      </c>
      <c r="E780" t="s">
        <v>12</v>
      </c>
      <c r="F780">
        <v>0.153</v>
      </c>
      <c r="G780" t="s">
        <v>13</v>
      </c>
    </row>
    <row r="781" spans="1:7" x14ac:dyDescent="0.25">
      <c r="A781">
        <v>56</v>
      </c>
      <c r="B781" t="s">
        <v>227</v>
      </c>
      <c r="C781">
        <v>100</v>
      </c>
      <c r="D781" t="s">
        <v>269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227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227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227</v>
      </c>
      <c r="C784">
        <v>130</v>
      </c>
      <c r="D784" t="s">
        <v>110</v>
      </c>
      <c r="E784" t="s">
        <v>12</v>
      </c>
      <c r="F784">
        <v>1.1080000000000001</v>
      </c>
      <c r="G784" t="s">
        <v>13</v>
      </c>
    </row>
    <row r="785" spans="1:7" x14ac:dyDescent="0.25">
      <c r="A785">
        <v>56</v>
      </c>
      <c r="B785" t="s">
        <v>227</v>
      </c>
      <c r="C785">
        <v>140</v>
      </c>
      <c r="D785" t="s">
        <v>310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229</v>
      </c>
      <c r="C786">
        <v>10</v>
      </c>
      <c r="D786" t="s">
        <v>187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229</v>
      </c>
      <c r="C787">
        <v>20</v>
      </c>
      <c r="D787" t="s">
        <v>230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229</v>
      </c>
      <c r="C788">
        <v>30</v>
      </c>
      <c r="D788" t="s">
        <v>360</v>
      </c>
      <c r="E788" t="s">
        <v>11</v>
      </c>
      <c r="F788">
        <v>1</v>
      </c>
      <c r="G788" t="s">
        <v>15</v>
      </c>
    </row>
    <row r="789" spans="1:7" x14ac:dyDescent="0.25">
      <c r="A789">
        <v>57</v>
      </c>
      <c r="B789" t="s">
        <v>229</v>
      </c>
      <c r="C789">
        <v>40</v>
      </c>
      <c r="D789" t="s">
        <v>266</v>
      </c>
      <c r="E789" t="s">
        <v>14</v>
      </c>
      <c r="F789">
        <v>0.78700000000000003</v>
      </c>
      <c r="G789" t="s">
        <v>15</v>
      </c>
    </row>
    <row r="790" spans="1:7" x14ac:dyDescent="0.25">
      <c r="A790">
        <v>57</v>
      </c>
      <c r="B790" t="s">
        <v>229</v>
      </c>
      <c r="C790">
        <v>50</v>
      </c>
      <c r="D790" t="s">
        <v>107</v>
      </c>
      <c r="E790" t="s">
        <v>108</v>
      </c>
      <c r="F790">
        <v>0.48599999999999999</v>
      </c>
      <c r="G790" t="s">
        <v>13</v>
      </c>
    </row>
    <row r="791" spans="1:7" x14ac:dyDescent="0.25">
      <c r="A791">
        <v>57</v>
      </c>
      <c r="B791" t="s">
        <v>229</v>
      </c>
      <c r="C791">
        <v>60</v>
      </c>
      <c r="D791" t="s">
        <v>267</v>
      </c>
      <c r="E791" t="s">
        <v>11</v>
      </c>
      <c r="F791">
        <v>1</v>
      </c>
      <c r="G791" t="s">
        <v>13</v>
      </c>
    </row>
    <row r="792" spans="1:7" x14ac:dyDescent="0.25">
      <c r="A792">
        <v>57</v>
      </c>
      <c r="B792" t="s">
        <v>229</v>
      </c>
      <c r="C792">
        <v>70</v>
      </c>
      <c r="D792" t="s">
        <v>109</v>
      </c>
      <c r="E792" t="s">
        <v>14</v>
      </c>
      <c r="F792">
        <v>16.916</v>
      </c>
      <c r="G792" t="s">
        <v>13</v>
      </c>
    </row>
    <row r="793" spans="1:7" x14ac:dyDescent="0.25">
      <c r="A793">
        <v>57</v>
      </c>
      <c r="B793" t="s">
        <v>229</v>
      </c>
      <c r="C793">
        <v>80</v>
      </c>
      <c r="D793" t="s">
        <v>16</v>
      </c>
      <c r="E793" t="s">
        <v>14</v>
      </c>
      <c r="F793">
        <v>104.973</v>
      </c>
      <c r="G793" t="s">
        <v>13</v>
      </c>
    </row>
    <row r="794" spans="1:7" x14ac:dyDescent="0.25">
      <c r="A794">
        <v>57</v>
      </c>
      <c r="B794" t="s">
        <v>229</v>
      </c>
      <c r="C794">
        <v>90</v>
      </c>
      <c r="D794" t="s">
        <v>265</v>
      </c>
      <c r="E794" t="s">
        <v>12</v>
      </c>
      <c r="F794">
        <v>7.8E-2</v>
      </c>
      <c r="G794" t="s">
        <v>13</v>
      </c>
    </row>
    <row r="795" spans="1:7" x14ac:dyDescent="0.25">
      <c r="A795">
        <v>57</v>
      </c>
      <c r="B795" t="s">
        <v>229</v>
      </c>
      <c r="C795">
        <v>100</v>
      </c>
      <c r="D795" t="s">
        <v>269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229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229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229</v>
      </c>
      <c r="C798">
        <v>130</v>
      </c>
      <c r="D798" t="s">
        <v>110</v>
      </c>
      <c r="E798" t="s">
        <v>12</v>
      </c>
      <c r="F798">
        <v>1.216</v>
      </c>
      <c r="G798" t="s">
        <v>13</v>
      </c>
    </row>
    <row r="799" spans="1:7" x14ac:dyDescent="0.25">
      <c r="A799">
        <v>57</v>
      </c>
      <c r="B799" t="s">
        <v>229</v>
      </c>
      <c r="C799">
        <v>140</v>
      </c>
      <c r="D799" t="s">
        <v>312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231</v>
      </c>
      <c r="C800">
        <v>10</v>
      </c>
      <c r="D800" t="s">
        <v>187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231</v>
      </c>
      <c r="C801">
        <v>20</v>
      </c>
      <c r="D801" t="s">
        <v>232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231</v>
      </c>
      <c r="C802">
        <v>30</v>
      </c>
      <c r="D802" t="s">
        <v>361</v>
      </c>
      <c r="E802" t="s">
        <v>11</v>
      </c>
      <c r="F802">
        <v>1</v>
      </c>
      <c r="G802" t="s">
        <v>15</v>
      </c>
    </row>
    <row r="803" spans="1:7" x14ac:dyDescent="0.25">
      <c r="A803">
        <v>58</v>
      </c>
      <c r="B803" t="s">
        <v>231</v>
      </c>
      <c r="C803">
        <v>40</v>
      </c>
      <c r="D803" t="s">
        <v>266</v>
      </c>
      <c r="E803" t="s">
        <v>14</v>
      </c>
      <c r="F803">
        <v>0.94</v>
      </c>
      <c r="G803" t="s">
        <v>15</v>
      </c>
    </row>
    <row r="804" spans="1:7" x14ac:dyDescent="0.25">
      <c r="A804">
        <v>58</v>
      </c>
      <c r="B804" t="s">
        <v>231</v>
      </c>
      <c r="C804">
        <v>50</v>
      </c>
      <c r="D804" t="s">
        <v>107</v>
      </c>
      <c r="E804" t="s">
        <v>108</v>
      </c>
      <c r="F804">
        <v>0.58299999999999996</v>
      </c>
      <c r="G804" t="s">
        <v>13</v>
      </c>
    </row>
    <row r="805" spans="1:7" x14ac:dyDescent="0.25">
      <c r="A805">
        <v>58</v>
      </c>
      <c r="B805" t="s">
        <v>231</v>
      </c>
      <c r="C805">
        <v>60</v>
      </c>
      <c r="D805" t="s">
        <v>267</v>
      </c>
      <c r="E805" t="s">
        <v>11</v>
      </c>
      <c r="F805">
        <v>1</v>
      </c>
      <c r="G805" t="s">
        <v>13</v>
      </c>
    </row>
    <row r="806" spans="1:7" x14ac:dyDescent="0.25">
      <c r="A806">
        <v>58</v>
      </c>
      <c r="B806" t="s">
        <v>231</v>
      </c>
      <c r="C806">
        <v>70</v>
      </c>
      <c r="D806" t="s">
        <v>109</v>
      </c>
      <c r="E806" t="s">
        <v>14</v>
      </c>
      <c r="F806">
        <v>17.831</v>
      </c>
      <c r="G806" t="s">
        <v>13</v>
      </c>
    </row>
    <row r="807" spans="1:7" x14ac:dyDescent="0.25">
      <c r="A807">
        <v>58</v>
      </c>
      <c r="B807" t="s">
        <v>231</v>
      </c>
      <c r="C807">
        <v>80</v>
      </c>
      <c r="D807" t="s">
        <v>16</v>
      </c>
      <c r="E807" t="s">
        <v>14</v>
      </c>
      <c r="F807">
        <v>110.59699999999999</v>
      </c>
      <c r="G807" t="s">
        <v>13</v>
      </c>
    </row>
    <row r="808" spans="1:7" x14ac:dyDescent="0.25">
      <c r="A808">
        <v>58</v>
      </c>
      <c r="B808" t="s">
        <v>231</v>
      </c>
      <c r="C808">
        <v>90</v>
      </c>
      <c r="D808" t="s">
        <v>265</v>
      </c>
      <c r="E808" t="s">
        <v>12</v>
      </c>
      <c r="F808">
        <v>8.8999999999999996E-2</v>
      </c>
      <c r="G808" t="s">
        <v>13</v>
      </c>
    </row>
    <row r="809" spans="1:7" x14ac:dyDescent="0.25">
      <c r="A809">
        <v>58</v>
      </c>
      <c r="B809" t="s">
        <v>231</v>
      </c>
      <c r="C809">
        <v>100</v>
      </c>
      <c r="D809" t="s">
        <v>269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231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231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231</v>
      </c>
      <c r="C812">
        <v>130</v>
      </c>
      <c r="D812" t="s">
        <v>110</v>
      </c>
      <c r="E812" t="s">
        <v>12</v>
      </c>
      <c r="F812">
        <v>1.216</v>
      </c>
      <c r="G812" t="s">
        <v>13</v>
      </c>
    </row>
    <row r="813" spans="1:7" x14ac:dyDescent="0.25">
      <c r="A813">
        <v>58</v>
      </c>
      <c r="B813" t="s">
        <v>231</v>
      </c>
      <c r="C813">
        <v>140</v>
      </c>
      <c r="D813" t="s">
        <v>314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233</v>
      </c>
      <c r="C814">
        <v>10</v>
      </c>
      <c r="D814" t="s">
        <v>187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233</v>
      </c>
      <c r="C815">
        <v>20</v>
      </c>
      <c r="D815" t="s">
        <v>234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233</v>
      </c>
      <c r="C816">
        <v>30</v>
      </c>
      <c r="D816" t="s">
        <v>362</v>
      </c>
      <c r="E816" t="s">
        <v>11</v>
      </c>
      <c r="F816">
        <v>1</v>
      </c>
      <c r="G816" t="s">
        <v>15</v>
      </c>
    </row>
    <row r="817" spans="1:7" x14ac:dyDescent="0.25">
      <c r="A817">
        <v>59</v>
      </c>
      <c r="B817" t="s">
        <v>233</v>
      </c>
      <c r="C817">
        <v>40</v>
      </c>
      <c r="D817" t="s">
        <v>266</v>
      </c>
      <c r="E817" t="s">
        <v>14</v>
      </c>
      <c r="F817">
        <v>1.0920000000000001</v>
      </c>
      <c r="G817" t="s">
        <v>15</v>
      </c>
    </row>
    <row r="818" spans="1:7" x14ac:dyDescent="0.25">
      <c r="A818">
        <v>59</v>
      </c>
      <c r="B818" t="s">
        <v>233</v>
      </c>
      <c r="C818">
        <v>50</v>
      </c>
      <c r="D818" t="s">
        <v>107</v>
      </c>
      <c r="E818" t="s">
        <v>108</v>
      </c>
      <c r="F818">
        <v>0.68</v>
      </c>
      <c r="G818" t="s">
        <v>13</v>
      </c>
    </row>
    <row r="819" spans="1:7" x14ac:dyDescent="0.25">
      <c r="A819">
        <v>59</v>
      </c>
      <c r="B819" t="s">
        <v>233</v>
      </c>
      <c r="C819">
        <v>60</v>
      </c>
      <c r="D819" t="s">
        <v>267</v>
      </c>
      <c r="E819" t="s">
        <v>11</v>
      </c>
      <c r="F819">
        <v>1</v>
      </c>
      <c r="G819" t="s">
        <v>13</v>
      </c>
    </row>
    <row r="820" spans="1:7" x14ac:dyDescent="0.25">
      <c r="A820">
        <v>59</v>
      </c>
      <c r="B820" t="s">
        <v>233</v>
      </c>
      <c r="C820">
        <v>70</v>
      </c>
      <c r="D820" t="s">
        <v>109</v>
      </c>
      <c r="E820" t="s">
        <v>14</v>
      </c>
      <c r="F820">
        <v>18.745000000000001</v>
      </c>
      <c r="G820" t="s">
        <v>13</v>
      </c>
    </row>
    <row r="821" spans="1:7" x14ac:dyDescent="0.25">
      <c r="A821">
        <v>59</v>
      </c>
      <c r="B821" t="s">
        <v>233</v>
      </c>
      <c r="C821">
        <v>80</v>
      </c>
      <c r="D821" t="s">
        <v>16</v>
      </c>
      <c r="E821" t="s">
        <v>14</v>
      </c>
      <c r="F821">
        <v>116.22</v>
      </c>
      <c r="G821" t="s">
        <v>13</v>
      </c>
    </row>
    <row r="822" spans="1:7" x14ac:dyDescent="0.25">
      <c r="A822">
        <v>59</v>
      </c>
      <c r="B822" t="s">
        <v>233</v>
      </c>
      <c r="C822">
        <v>90</v>
      </c>
      <c r="D822" t="s">
        <v>265</v>
      </c>
      <c r="E822" t="s">
        <v>12</v>
      </c>
      <c r="F822">
        <v>0.1</v>
      </c>
      <c r="G822" t="s">
        <v>13</v>
      </c>
    </row>
    <row r="823" spans="1:7" x14ac:dyDescent="0.25">
      <c r="A823">
        <v>59</v>
      </c>
      <c r="B823" t="s">
        <v>233</v>
      </c>
      <c r="C823">
        <v>100</v>
      </c>
      <c r="D823" t="s">
        <v>269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233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233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233</v>
      </c>
      <c r="C826">
        <v>130</v>
      </c>
      <c r="D826" t="s">
        <v>110</v>
      </c>
      <c r="E826" t="s">
        <v>12</v>
      </c>
      <c r="F826">
        <v>1.216</v>
      </c>
      <c r="G826" t="s">
        <v>13</v>
      </c>
    </row>
    <row r="827" spans="1:7" x14ac:dyDescent="0.25">
      <c r="A827">
        <v>59</v>
      </c>
      <c r="B827" t="s">
        <v>233</v>
      </c>
      <c r="C827">
        <v>140</v>
      </c>
      <c r="D827" t="s">
        <v>316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235</v>
      </c>
      <c r="C828">
        <v>10</v>
      </c>
      <c r="D828" t="s">
        <v>187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235</v>
      </c>
      <c r="C829">
        <v>20</v>
      </c>
      <c r="D829" t="s">
        <v>236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235</v>
      </c>
      <c r="C830">
        <v>30</v>
      </c>
      <c r="D830" t="s">
        <v>363</v>
      </c>
      <c r="E830" t="s">
        <v>11</v>
      </c>
      <c r="F830">
        <v>1</v>
      </c>
      <c r="G830" t="s">
        <v>15</v>
      </c>
    </row>
    <row r="831" spans="1:7" x14ac:dyDescent="0.25">
      <c r="A831">
        <v>60</v>
      </c>
      <c r="B831" t="s">
        <v>235</v>
      </c>
      <c r="C831">
        <v>40</v>
      </c>
      <c r="D831" t="s">
        <v>266</v>
      </c>
      <c r="E831" t="s">
        <v>14</v>
      </c>
      <c r="F831">
        <v>1.2450000000000001</v>
      </c>
      <c r="G831" t="s">
        <v>15</v>
      </c>
    </row>
    <row r="832" spans="1:7" x14ac:dyDescent="0.25">
      <c r="A832">
        <v>60</v>
      </c>
      <c r="B832" t="s">
        <v>235</v>
      </c>
      <c r="C832">
        <v>50</v>
      </c>
      <c r="D832" t="s">
        <v>107</v>
      </c>
      <c r="E832" t="s">
        <v>108</v>
      </c>
      <c r="F832">
        <v>0.77800000000000002</v>
      </c>
      <c r="G832" t="s">
        <v>13</v>
      </c>
    </row>
    <row r="833" spans="1:7" x14ac:dyDescent="0.25">
      <c r="A833">
        <v>60</v>
      </c>
      <c r="B833" t="s">
        <v>235</v>
      </c>
      <c r="C833">
        <v>60</v>
      </c>
      <c r="D833" t="s">
        <v>267</v>
      </c>
      <c r="E833" t="s">
        <v>11</v>
      </c>
      <c r="F833">
        <v>1</v>
      </c>
      <c r="G833" t="s">
        <v>13</v>
      </c>
    </row>
    <row r="834" spans="1:7" x14ac:dyDescent="0.25">
      <c r="A834">
        <v>60</v>
      </c>
      <c r="B834" t="s">
        <v>235</v>
      </c>
      <c r="C834">
        <v>70</v>
      </c>
      <c r="D834" t="s">
        <v>109</v>
      </c>
      <c r="E834" t="s">
        <v>14</v>
      </c>
      <c r="F834">
        <v>19.66</v>
      </c>
      <c r="G834" t="s">
        <v>13</v>
      </c>
    </row>
    <row r="835" spans="1:7" x14ac:dyDescent="0.25">
      <c r="A835">
        <v>60</v>
      </c>
      <c r="B835" t="s">
        <v>235</v>
      </c>
      <c r="C835">
        <v>80</v>
      </c>
      <c r="D835" t="s">
        <v>16</v>
      </c>
      <c r="E835" t="s">
        <v>14</v>
      </c>
      <c r="F835">
        <v>121.84399999999999</v>
      </c>
      <c r="G835" t="s">
        <v>13</v>
      </c>
    </row>
    <row r="836" spans="1:7" x14ac:dyDescent="0.25">
      <c r="A836">
        <v>60</v>
      </c>
      <c r="B836" t="s">
        <v>235</v>
      </c>
      <c r="C836">
        <v>90</v>
      </c>
      <c r="D836" t="s">
        <v>265</v>
      </c>
      <c r="E836" t="s">
        <v>12</v>
      </c>
      <c r="F836">
        <v>0.11</v>
      </c>
      <c r="G836" t="s">
        <v>13</v>
      </c>
    </row>
    <row r="837" spans="1:7" x14ac:dyDescent="0.25">
      <c r="A837">
        <v>60</v>
      </c>
      <c r="B837" t="s">
        <v>235</v>
      </c>
      <c r="C837">
        <v>100</v>
      </c>
      <c r="D837" t="s">
        <v>269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235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235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235</v>
      </c>
      <c r="C840">
        <v>130</v>
      </c>
      <c r="D840" t="s">
        <v>110</v>
      </c>
      <c r="E840" t="s">
        <v>12</v>
      </c>
      <c r="F840">
        <v>1.216</v>
      </c>
      <c r="G840" t="s">
        <v>13</v>
      </c>
    </row>
    <row r="841" spans="1:7" x14ac:dyDescent="0.25">
      <c r="A841">
        <v>60</v>
      </c>
      <c r="B841" t="s">
        <v>235</v>
      </c>
      <c r="C841">
        <v>140</v>
      </c>
      <c r="D841" t="s">
        <v>318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237</v>
      </c>
      <c r="C842">
        <v>10</v>
      </c>
      <c r="D842" t="s">
        <v>187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237</v>
      </c>
      <c r="C843">
        <v>20</v>
      </c>
      <c r="D843" t="s">
        <v>238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237</v>
      </c>
      <c r="C844">
        <v>30</v>
      </c>
      <c r="D844" t="s">
        <v>364</v>
      </c>
      <c r="E844" t="s">
        <v>11</v>
      </c>
      <c r="F844">
        <v>1</v>
      </c>
      <c r="G844" t="s">
        <v>15</v>
      </c>
    </row>
    <row r="845" spans="1:7" x14ac:dyDescent="0.25">
      <c r="A845">
        <v>61</v>
      </c>
      <c r="B845" t="s">
        <v>237</v>
      </c>
      <c r="C845">
        <v>40</v>
      </c>
      <c r="D845" t="s">
        <v>266</v>
      </c>
      <c r="E845" t="s">
        <v>14</v>
      </c>
      <c r="F845">
        <v>1.5489999999999999</v>
      </c>
      <c r="G845" t="s">
        <v>15</v>
      </c>
    </row>
    <row r="846" spans="1:7" x14ac:dyDescent="0.25">
      <c r="A846">
        <v>61</v>
      </c>
      <c r="B846" t="s">
        <v>237</v>
      </c>
      <c r="C846">
        <v>50</v>
      </c>
      <c r="D846" t="s">
        <v>107</v>
      </c>
      <c r="E846" t="s">
        <v>108</v>
      </c>
      <c r="F846">
        <v>0.97199999999999998</v>
      </c>
      <c r="G846" t="s">
        <v>13</v>
      </c>
    </row>
    <row r="847" spans="1:7" x14ac:dyDescent="0.25">
      <c r="A847">
        <v>61</v>
      </c>
      <c r="B847" t="s">
        <v>237</v>
      </c>
      <c r="C847">
        <v>60</v>
      </c>
      <c r="D847" t="s">
        <v>267</v>
      </c>
      <c r="E847" t="s">
        <v>11</v>
      </c>
      <c r="F847">
        <v>1</v>
      </c>
      <c r="G847" t="s">
        <v>13</v>
      </c>
    </row>
    <row r="848" spans="1:7" x14ac:dyDescent="0.25">
      <c r="A848">
        <v>61</v>
      </c>
      <c r="B848" t="s">
        <v>237</v>
      </c>
      <c r="C848">
        <v>70</v>
      </c>
      <c r="D848" t="s">
        <v>109</v>
      </c>
      <c r="E848" t="s">
        <v>14</v>
      </c>
      <c r="F848">
        <v>21.488</v>
      </c>
      <c r="G848" t="s">
        <v>13</v>
      </c>
    </row>
    <row r="849" spans="1:7" x14ac:dyDescent="0.25">
      <c r="A849">
        <v>61</v>
      </c>
      <c r="B849" t="s">
        <v>237</v>
      </c>
      <c r="C849">
        <v>80</v>
      </c>
      <c r="D849" t="s">
        <v>16</v>
      </c>
      <c r="E849" t="s">
        <v>14</v>
      </c>
      <c r="F849">
        <v>133.09100000000001</v>
      </c>
      <c r="G849" t="s">
        <v>13</v>
      </c>
    </row>
    <row r="850" spans="1:7" x14ac:dyDescent="0.25">
      <c r="A850">
        <v>61</v>
      </c>
      <c r="B850" t="s">
        <v>237</v>
      </c>
      <c r="C850">
        <v>90</v>
      </c>
      <c r="D850" t="s">
        <v>265</v>
      </c>
      <c r="E850" t="s">
        <v>12</v>
      </c>
      <c r="F850">
        <v>0.13200000000000001</v>
      </c>
      <c r="G850" t="s">
        <v>13</v>
      </c>
    </row>
    <row r="851" spans="1:7" x14ac:dyDescent="0.25">
      <c r="A851">
        <v>61</v>
      </c>
      <c r="B851" t="s">
        <v>237</v>
      </c>
      <c r="C851">
        <v>100</v>
      </c>
      <c r="D851" t="s">
        <v>269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237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237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237</v>
      </c>
      <c r="C854">
        <v>130</v>
      </c>
      <c r="D854" t="s">
        <v>110</v>
      </c>
      <c r="E854" t="s">
        <v>12</v>
      </c>
      <c r="F854">
        <v>1.216</v>
      </c>
      <c r="G854" t="s">
        <v>13</v>
      </c>
    </row>
    <row r="855" spans="1:7" x14ac:dyDescent="0.25">
      <c r="A855">
        <v>61</v>
      </c>
      <c r="B855" t="s">
        <v>237</v>
      </c>
      <c r="C855">
        <v>140</v>
      </c>
      <c r="D855" t="s">
        <v>320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239</v>
      </c>
      <c r="C856">
        <v>10</v>
      </c>
      <c r="D856" t="s">
        <v>187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239</v>
      </c>
      <c r="C857">
        <v>20</v>
      </c>
      <c r="D857" t="s">
        <v>240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239</v>
      </c>
      <c r="C858">
        <v>30</v>
      </c>
      <c r="D858" t="s">
        <v>365</v>
      </c>
      <c r="E858" t="s">
        <v>11</v>
      </c>
      <c r="F858">
        <v>1</v>
      </c>
      <c r="G858" t="s">
        <v>15</v>
      </c>
    </row>
    <row r="859" spans="1:7" x14ac:dyDescent="0.25">
      <c r="A859">
        <v>62</v>
      </c>
      <c r="B859" t="s">
        <v>239</v>
      </c>
      <c r="C859">
        <v>40</v>
      </c>
      <c r="D859" t="s">
        <v>266</v>
      </c>
      <c r="E859" t="s">
        <v>14</v>
      </c>
      <c r="F859">
        <v>1.702</v>
      </c>
      <c r="G859" t="s">
        <v>15</v>
      </c>
    </row>
    <row r="860" spans="1:7" x14ac:dyDescent="0.25">
      <c r="A860">
        <v>62</v>
      </c>
      <c r="B860" t="s">
        <v>239</v>
      </c>
      <c r="C860">
        <v>50</v>
      </c>
      <c r="D860" t="s">
        <v>107</v>
      </c>
      <c r="E860" t="s">
        <v>108</v>
      </c>
      <c r="F860">
        <v>1.069</v>
      </c>
      <c r="G860" t="s">
        <v>13</v>
      </c>
    </row>
    <row r="861" spans="1:7" x14ac:dyDescent="0.25">
      <c r="A861">
        <v>62</v>
      </c>
      <c r="B861" t="s">
        <v>239</v>
      </c>
      <c r="C861">
        <v>60</v>
      </c>
      <c r="D861" t="s">
        <v>267</v>
      </c>
      <c r="E861" t="s">
        <v>11</v>
      </c>
      <c r="F861">
        <v>1</v>
      </c>
      <c r="G861" t="s">
        <v>13</v>
      </c>
    </row>
    <row r="862" spans="1:7" x14ac:dyDescent="0.25">
      <c r="A862">
        <v>62</v>
      </c>
      <c r="B862" t="s">
        <v>239</v>
      </c>
      <c r="C862">
        <v>70</v>
      </c>
      <c r="D862" t="s">
        <v>109</v>
      </c>
      <c r="E862" t="s">
        <v>14</v>
      </c>
      <c r="F862">
        <v>22.402999999999999</v>
      </c>
      <c r="G862" t="s">
        <v>13</v>
      </c>
    </row>
    <row r="863" spans="1:7" x14ac:dyDescent="0.25">
      <c r="A863">
        <v>62</v>
      </c>
      <c r="B863" t="s">
        <v>239</v>
      </c>
      <c r="C863">
        <v>80</v>
      </c>
      <c r="D863" t="s">
        <v>16</v>
      </c>
      <c r="E863" t="s">
        <v>14</v>
      </c>
      <c r="F863">
        <v>138.714</v>
      </c>
      <c r="G863" t="s">
        <v>13</v>
      </c>
    </row>
    <row r="864" spans="1:7" x14ac:dyDescent="0.25">
      <c r="A864">
        <v>62</v>
      </c>
      <c r="B864" t="s">
        <v>239</v>
      </c>
      <c r="C864">
        <v>90</v>
      </c>
      <c r="D864" t="s">
        <v>265</v>
      </c>
      <c r="E864" t="s">
        <v>12</v>
      </c>
      <c r="F864">
        <v>0.14199999999999999</v>
      </c>
      <c r="G864" t="s">
        <v>13</v>
      </c>
    </row>
    <row r="865" spans="1:7" x14ac:dyDescent="0.25">
      <c r="A865">
        <v>62</v>
      </c>
      <c r="B865" t="s">
        <v>239</v>
      </c>
      <c r="C865">
        <v>100</v>
      </c>
      <c r="D865" t="s">
        <v>269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239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239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239</v>
      </c>
      <c r="C868">
        <v>130</v>
      </c>
      <c r="D868" t="s">
        <v>110</v>
      </c>
      <c r="E868" t="s">
        <v>12</v>
      </c>
      <c r="F868">
        <v>1.216</v>
      </c>
      <c r="G868" t="s">
        <v>13</v>
      </c>
    </row>
    <row r="869" spans="1:7" x14ac:dyDescent="0.25">
      <c r="A869">
        <v>62</v>
      </c>
      <c r="B869" t="s">
        <v>239</v>
      </c>
      <c r="C869">
        <v>140</v>
      </c>
      <c r="D869" t="s">
        <v>322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241</v>
      </c>
      <c r="C870">
        <v>10</v>
      </c>
      <c r="D870" t="s">
        <v>187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241</v>
      </c>
      <c r="C871">
        <v>20</v>
      </c>
      <c r="D871" t="s">
        <v>242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241</v>
      </c>
      <c r="C872">
        <v>30</v>
      </c>
      <c r="D872" t="s">
        <v>366</v>
      </c>
      <c r="E872" t="s">
        <v>11</v>
      </c>
      <c r="F872">
        <v>1</v>
      </c>
      <c r="G872" t="s">
        <v>15</v>
      </c>
    </row>
    <row r="873" spans="1:7" x14ac:dyDescent="0.25">
      <c r="A873">
        <v>63</v>
      </c>
      <c r="B873" t="s">
        <v>241</v>
      </c>
      <c r="C873">
        <v>40</v>
      </c>
      <c r="D873" t="s">
        <v>266</v>
      </c>
      <c r="E873" t="s">
        <v>14</v>
      </c>
      <c r="F873">
        <v>1.8540000000000001</v>
      </c>
      <c r="G873" t="s">
        <v>15</v>
      </c>
    </row>
    <row r="874" spans="1:7" x14ac:dyDescent="0.25">
      <c r="A874">
        <v>63</v>
      </c>
      <c r="B874" t="s">
        <v>241</v>
      </c>
      <c r="C874">
        <v>50</v>
      </c>
      <c r="D874" t="s">
        <v>107</v>
      </c>
      <c r="E874" t="s">
        <v>108</v>
      </c>
      <c r="F874">
        <v>1.1659999999999999</v>
      </c>
      <c r="G874" t="s">
        <v>13</v>
      </c>
    </row>
    <row r="875" spans="1:7" x14ac:dyDescent="0.25">
      <c r="A875">
        <v>63</v>
      </c>
      <c r="B875" t="s">
        <v>241</v>
      </c>
      <c r="C875">
        <v>60</v>
      </c>
      <c r="D875" t="s">
        <v>267</v>
      </c>
      <c r="E875" t="s">
        <v>11</v>
      </c>
      <c r="F875">
        <v>1</v>
      </c>
      <c r="G875" t="s">
        <v>13</v>
      </c>
    </row>
    <row r="876" spans="1:7" x14ac:dyDescent="0.25">
      <c r="A876">
        <v>63</v>
      </c>
      <c r="B876" t="s">
        <v>241</v>
      </c>
      <c r="C876">
        <v>70</v>
      </c>
      <c r="D876" t="s">
        <v>109</v>
      </c>
      <c r="E876" t="s">
        <v>14</v>
      </c>
      <c r="F876">
        <v>23.317</v>
      </c>
      <c r="G876" t="s">
        <v>13</v>
      </c>
    </row>
    <row r="877" spans="1:7" x14ac:dyDescent="0.25">
      <c r="A877">
        <v>63</v>
      </c>
      <c r="B877" t="s">
        <v>241</v>
      </c>
      <c r="C877">
        <v>80</v>
      </c>
      <c r="D877" t="s">
        <v>16</v>
      </c>
      <c r="E877" t="s">
        <v>14</v>
      </c>
      <c r="F877">
        <v>144.33799999999999</v>
      </c>
      <c r="G877" t="s">
        <v>13</v>
      </c>
    </row>
    <row r="878" spans="1:7" x14ac:dyDescent="0.25">
      <c r="A878">
        <v>63</v>
      </c>
      <c r="B878" t="s">
        <v>241</v>
      </c>
      <c r="C878">
        <v>90</v>
      </c>
      <c r="D878" t="s">
        <v>265</v>
      </c>
      <c r="E878" t="s">
        <v>12</v>
      </c>
      <c r="F878">
        <v>0.153</v>
      </c>
      <c r="G878" t="s">
        <v>13</v>
      </c>
    </row>
    <row r="879" spans="1:7" x14ac:dyDescent="0.25">
      <c r="A879">
        <v>63</v>
      </c>
      <c r="B879" t="s">
        <v>241</v>
      </c>
      <c r="C879">
        <v>100</v>
      </c>
      <c r="D879" t="s">
        <v>269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241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241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241</v>
      </c>
      <c r="C882">
        <v>130</v>
      </c>
      <c r="D882" t="s">
        <v>110</v>
      </c>
      <c r="E882" t="s">
        <v>12</v>
      </c>
      <c r="F882">
        <v>1.216</v>
      </c>
      <c r="G882" t="s">
        <v>13</v>
      </c>
    </row>
    <row r="883" spans="1:7" x14ac:dyDescent="0.25">
      <c r="A883">
        <v>63</v>
      </c>
      <c r="B883" t="s">
        <v>241</v>
      </c>
      <c r="C883">
        <v>140</v>
      </c>
      <c r="D883" t="s">
        <v>324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243</v>
      </c>
      <c r="C884">
        <v>10</v>
      </c>
      <c r="D884" t="s">
        <v>187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243</v>
      </c>
      <c r="C885">
        <v>20</v>
      </c>
      <c r="D885" t="s">
        <v>244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243</v>
      </c>
      <c r="C886">
        <v>30</v>
      </c>
      <c r="D886" t="s">
        <v>367</v>
      </c>
      <c r="E886" t="s">
        <v>11</v>
      </c>
      <c r="F886">
        <v>1</v>
      </c>
      <c r="G886" t="s">
        <v>15</v>
      </c>
    </row>
    <row r="887" spans="1:7" x14ac:dyDescent="0.25">
      <c r="A887">
        <v>64</v>
      </c>
      <c r="B887" t="s">
        <v>243</v>
      </c>
      <c r="C887">
        <v>40</v>
      </c>
      <c r="D887" t="s">
        <v>266</v>
      </c>
      <c r="E887" t="s">
        <v>14</v>
      </c>
      <c r="F887">
        <v>2.1589999999999998</v>
      </c>
      <c r="G887" t="s">
        <v>15</v>
      </c>
    </row>
    <row r="888" spans="1:7" x14ac:dyDescent="0.25">
      <c r="A888">
        <v>64</v>
      </c>
      <c r="B888" t="s">
        <v>243</v>
      </c>
      <c r="C888">
        <v>50</v>
      </c>
      <c r="D888" t="s">
        <v>107</v>
      </c>
      <c r="E888" t="s">
        <v>108</v>
      </c>
      <c r="F888">
        <v>0.51</v>
      </c>
      <c r="G888" t="s">
        <v>13</v>
      </c>
    </row>
    <row r="889" spans="1:7" x14ac:dyDescent="0.25">
      <c r="A889">
        <v>64</v>
      </c>
      <c r="B889" t="s">
        <v>243</v>
      </c>
      <c r="C889">
        <v>60</v>
      </c>
      <c r="D889" t="s">
        <v>267</v>
      </c>
      <c r="E889" t="s">
        <v>11</v>
      </c>
      <c r="F889">
        <v>1</v>
      </c>
      <c r="G889" t="s">
        <v>13</v>
      </c>
    </row>
    <row r="890" spans="1:7" x14ac:dyDescent="0.25">
      <c r="A890">
        <v>64</v>
      </c>
      <c r="B890" t="s">
        <v>243</v>
      </c>
      <c r="C890">
        <v>70</v>
      </c>
      <c r="D890" t="s">
        <v>109</v>
      </c>
      <c r="E890" t="s">
        <v>14</v>
      </c>
      <c r="F890">
        <v>17.526</v>
      </c>
      <c r="G890" t="s">
        <v>13</v>
      </c>
    </row>
    <row r="891" spans="1:7" x14ac:dyDescent="0.25">
      <c r="A891">
        <v>64</v>
      </c>
      <c r="B891" t="s">
        <v>243</v>
      </c>
      <c r="C891">
        <v>80</v>
      </c>
      <c r="D891" t="s">
        <v>16</v>
      </c>
      <c r="E891" t="s">
        <v>14</v>
      </c>
      <c r="F891">
        <v>108.72199999999999</v>
      </c>
      <c r="G891" t="s">
        <v>13</v>
      </c>
    </row>
    <row r="892" spans="1:7" x14ac:dyDescent="0.25">
      <c r="A892">
        <v>64</v>
      </c>
      <c r="B892" t="s">
        <v>243</v>
      </c>
      <c r="C892">
        <v>90</v>
      </c>
      <c r="D892" t="s">
        <v>265</v>
      </c>
      <c r="E892" t="s">
        <v>12</v>
      </c>
      <c r="F892">
        <v>7.8E-2</v>
      </c>
      <c r="G892" t="s">
        <v>13</v>
      </c>
    </row>
    <row r="893" spans="1:7" x14ac:dyDescent="0.25">
      <c r="A893">
        <v>64</v>
      </c>
      <c r="B893" t="s">
        <v>243</v>
      </c>
      <c r="C893">
        <v>100</v>
      </c>
      <c r="D893" t="s">
        <v>269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243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243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243</v>
      </c>
      <c r="C896">
        <v>130</v>
      </c>
      <c r="D896" t="s">
        <v>110</v>
      </c>
      <c r="E896" t="s">
        <v>12</v>
      </c>
      <c r="F896">
        <v>1.27</v>
      </c>
      <c r="G896" t="s">
        <v>13</v>
      </c>
    </row>
    <row r="897" spans="1:7" x14ac:dyDescent="0.25">
      <c r="A897">
        <v>64</v>
      </c>
      <c r="B897" t="s">
        <v>243</v>
      </c>
      <c r="C897">
        <v>140</v>
      </c>
      <c r="D897" t="s">
        <v>326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245</v>
      </c>
      <c r="C898">
        <v>10</v>
      </c>
      <c r="D898" t="s">
        <v>187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245</v>
      </c>
      <c r="C899">
        <v>20</v>
      </c>
      <c r="D899" t="s">
        <v>246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245</v>
      </c>
      <c r="C900">
        <v>30</v>
      </c>
      <c r="D900" t="s">
        <v>368</v>
      </c>
      <c r="E900" t="s">
        <v>11</v>
      </c>
      <c r="F900">
        <v>1</v>
      </c>
      <c r="G900" t="s">
        <v>15</v>
      </c>
    </row>
    <row r="901" spans="1:7" x14ac:dyDescent="0.25">
      <c r="A901">
        <v>65</v>
      </c>
      <c r="B901" t="s">
        <v>245</v>
      </c>
      <c r="C901">
        <v>40</v>
      </c>
      <c r="D901" t="s">
        <v>266</v>
      </c>
      <c r="E901" t="s">
        <v>14</v>
      </c>
      <c r="F901">
        <v>2.1589999999999998</v>
      </c>
      <c r="G901" t="s">
        <v>15</v>
      </c>
    </row>
    <row r="902" spans="1:7" x14ac:dyDescent="0.25">
      <c r="A902">
        <v>65</v>
      </c>
      <c r="B902" t="s">
        <v>245</v>
      </c>
      <c r="C902">
        <v>50</v>
      </c>
      <c r="D902" t="s">
        <v>107</v>
      </c>
      <c r="E902" t="s">
        <v>108</v>
      </c>
      <c r="F902">
        <v>0.61199999999999999</v>
      </c>
      <c r="G902" t="s">
        <v>13</v>
      </c>
    </row>
    <row r="903" spans="1:7" x14ac:dyDescent="0.25">
      <c r="A903">
        <v>65</v>
      </c>
      <c r="B903" t="s">
        <v>245</v>
      </c>
      <c r="C903">
        <v>60</v>
      </c>
      <c r="D903" t="s">
        <v>267</v>
      </c>
      <c r="E903" t="s">
        <v>11</v>
      </c>
      <c r="F903">
        <v>1</v>
      </c>
      <c r="G903" t="s">
        <v>13</v>
      </c>
    </row>
    <row r="904" spans="1:7" x14ac:dyDescent="0.25">
      <c r="A904">
        <v>65</v>
      </c>
      <c r="B904" t="s">
        <v>245</v>
      </c>
      <c r="C904">
        <v>70</v>
      </c>
      <c r="D904" t="s">
        <v>109</v>
      </c>
      <c r="E904" t="s">
        <v>14</v>
      </c>
      <c r="F904">
        <v>18.440000000000001</v>
      </c>
      <c r="G904" t="s">
        <v>13</v>
      </c>
    </row>
    <row r="905" spans="1:7" x14ac:dyDescent="0.25">
      <c r="A905">
        <v>65</v>
      </c>
      <c r="B905" t="s">
        <v>245</v>
      </c>
      <c r="C905">
        <v>80</v>
      </c>
      <c r="D905" t="s">
        <v>16</v>
      </c>
      <c r="E905" t="s">
        <v>14</v>
      </c>
      <c r="F905">
        <v>114.346</v>
      </c>
      <c r="G905" t="s">
        <v>13</v>
      </c>
    </row>
    <row r="906" spans="1:7" x14ac:dyDescent="0.25">
      <c r="A906">
        <v>65</v>
      </c>
      <c r="B906" t="s">
        <v>245</v>
      </c>
      <c r="C906">
        <v>90</v>
      </c>
      <c r="D906" t="s">
        <v>265</v>
      </c>
      <c r="E906" t="s">
        <v>12</v>
      </c>
      <c r="F906">
        <v>8.8999999999999996E-2</v>
      </c>
      <c r="G906" t="s">
        <v>13</v>
      </c>
    </row>
    <row r="907" spans="1:7" x14ac:dyDescent="0.25">
      <c r="A907">
        <v>65</v>
      </c>
      <c r="B907" t="s">
        <v>245</v>
      </c>
      <c r="C907">
        <v>100</v>
      </c>
      <c r="D907" t="s">
        <v>269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245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245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245</v>
      </c>
      <c r="C910">
        <v>130</v>
      </c>
      <c r="D910" t="s">
        <v>110</v>
      </c>
      <c r="E910" t="s">
        <v>12</v>
      </c>
      <c r="F910">
        <v>1.27</v>
      </c>
      <c r="G910" t="s">
        <v>13</v>
      </c>
    </row>
    <row r="911" spans="1:7" x14ac:dyDescent="0.25">
      <c r="A911">
        <v>65</v>
      </c>
      <c r="B911" t="s">
        <v>245</v>
      </c>
      <c r="C911">
        <v>140</v>
      </c>
      <c r="D911" t="s">
        <v>328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247</v>
      </c>
      <c r="C912">
        <v>10</v>
      </c>
      <c r="D912" t="s">
        <v>187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247</v>
      </c>
      <c r="C913">
        <v>20</v>
      </c>
      <c r="D913" t="s">
        <v>248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247</v>
      </c>
      <c r="C914">
        <v>30</v>
      </c>
      <c r="D914" t="s">
        <v>369</v>
      </c>
      <c r="E914" t="s">
        <v>11</v>
      </c>
      <c r="F914">
        <v>1</v>
      </c>
      <c r="G914" t="s">
        <v>15</v>
      </c>
    </row>
    <row r="915" spans="1:7" x14ac:dyDescent="0.25">
      <c r="A915">
        <v>66</v>
      </c>
      <c r="B915" t="s">
        <v>247</v>
      </c>
      <c r="C915">
        <v>40</v>
      </c>
      <c r="D915" t="s">
        <v>266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66</v>
      </c>
      <c r="B916" t="s">
        <v>247</v>
      </c>
      <c r="C916">
        <v>50</v>
      </c>
      <c r="D916" t="s">
        <v>107</v>
      </c>
      <c r="E916" t="s">
        <v>108</v>
      </c>
      <c r="F916">
        <v>0.71399999999999997</v>
      </c>
      <c r="G916" t="s">
        <v>13</v>
      </c>
    </row>
    <row r="917" spans="1:7" x14ac:dyDescent="0.25">
      <c r="A917">
        <v>66</v>
      </c>
      <c r="B917" t="s">
        <v>247</v>
      </c>
      <c r="C917">
        <v>60</v>
      </c>
      <c r="D917" t="s">
        <v>267</v>
      </c>
      <c r="E917" t="s">
        <v>11</v>
      </c>
      <c r="F917">
        <v>1</v>
      </c>
      <c r="G917" t="s">
        <v>13</v>
      </c>
    </row>
    <row r="918" spans="1:7" x14ac:dyDescent="0.25">
      <c r="A918">
        <v>66</v>
      </c>
      <c r="B918" t="s">
        <v>247</v>
      </c>
      <c r="C918">
        <v>70</v>
      </c>
      <c r="D918" t="s">
        <v>109</v>
      </c>
      <c r="E918" t="s">
        <v>14</v>
      </c>
      <c r="F918">
        <v>19.355</v>
      </c>
      <c r="G918" t="s">
        <v>13</v>
      </c>
    </row>
    <row r="919" spans="1:7" x14ac:dyDescent="0.25">
      <c r="A919">
        <v>66</v>
      </c>
      <c r="B919" t="s">
        <v>247</v>
      </c>
      <c r="C919">
        <v>80</v>
      </c>
      <c r="D919" t="s">
        <v>16</v>
      </c>
      <c r="E919" t="s">
        <v>14</v>
      </c>
      <c r="F919">
        <v>119.96899999999999</v>
      </c>
      <c r="G919" t="s">
        <v>13</v>
      </c>
    </row>
    <row r="920" spans="1:7" x14ac:dyDescent="0.25">
      <c r="A920">
        <v>66</v>
      </c>
      <c r="B920" t="s">
        <v>247</v>
      </c>
      <c r="C920">
        <v>90</v>
      </c>
      <c r="D920" t="s">
        <v>265</v>
      </c>
      <c r="E920" t="s">
        <v>12</v>
      </c>
      <c r="F920">
        <v>0.1</v>
      </c>
      <c r="G920" t="s">
        <v>13</v>
      </c>
    </row>
    <row r="921" spans="1:7" x14ac:dyDescent="0.25">
      <c r="A921">
        <v>66</v>
      </c>
      <c r="B921" t="s">
        <v>247</v>
      </c>
      <c r="C921">
        <v>100</v>
      </c>
      <c r="D921" t="s">
        <v>269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247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247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247</v>
      </c>
      <c r="C924">
        <v>130</v>
      </c>
      <c r="D924" t="s">
        <v>110</v>
      </c>
      <c r="E924" t="s">
        <v>12</v>
      </c>
      <c r="F924">
        <v>1.27</v>
      </c>
      <c r="G924" t="s">
        <v>13</v>
      </c>
    </row>
    <row r="925" spans="1:7" x14ac:dyDescent="0.25">
      <c r="A925">
        <v>66</v>
      </c>
      <c r="B925" t="s">
        <v>247</v>
      </c>
      <c r="C925">
        <v>140</v>
      </c>
      <c r="D925" t="s">
        <v>330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249</v>
      </c>
      <c r="C926">
        <v>10</v>
      </c>
      <c r="D926" t="s">
        <v>187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249</v>
      </c>
      <c r="C927">
        <v>20</v>
      </c>
      <c r="D927" t="s">
        <v>250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249</v>
      </c>
      <c r="C928">
        <v>30</v>
      </c>
      <c r="D928" t="s">
        <v>370</v>
      </c>
      <c r="E928" t="s">
        <v>11</v>
      </c>
      <c r="F928">
        <v>1</v>
      </c>
      <c r="G928" t="s">
        <v>15</v>
      </c>
    </row>
    <row r="929" spans="1:7" x14ac:dyDescent="0.25">
      <c r="A929">
        <v>67</v>
      </c>
      <c r="B929" t="s">
        <v>249</v>
      </c>
      <c r="C929">
        <v>40</v>
      </c>
      <c r="D929" t="s">
        <v>266</v>
      </c>
      <c r="E929" t="s">
        <v>14</v>
      </c>
      <c r="F929">
        <v>2.1589999999999998</v>
      </c>
      <c r="G929" t="s">
        <v>15</v>
      </c>
    </row>
    <row r="930" spans="1:7" x14ac:dyDescent="0.25">
      <c r="A930">
        <v>67</v>
      </c>
      <c r="B930" t="s">
        <v>249</v>
      </c>
      <c r="C930">
        <v>50</v>
      </c>
      <c r="D930" t="s">
        <v>107</v>
      </c>
      <c r="E930" t="s">
        <v>108</v>
      </c>
      <c r="F930">
        <v>0.81599999999999995</v>
      </c>
      <c r="G930" t="s">
        <v>13</v>
      </c>
    </row>
    <row r="931" spans="1:7" x14ac:dyDescent="0.25">
      <c r="A931">
        <v>67</v>
      </c>
      <c r="B931" t="s">
        <v>249</v>
      </c>
      <c r="C931">
        <v>60</v>
      </c>
      <c r="D931" t="s">
        <v>267</v>
      </c>
      <c r="E931" t="s">
        <v>11</v>
      </c>
      <c r="F931">
        <v>1</v>
      </c>
      <c r="G931" t="s">
        <v>13</v>
      </c>
    </row>
    <row r="932" spans="1:7" x14ac:dyDescent="0.25">
      <c r="A932">
        <v>67</v>
      </c>
      <c r="B932" t="s">
        <v>249</v>
      </c>
      <c r="C932">
        <v>70</v>
      </c>
      <c r="D932" t="s">
        <v>109</v>
      </c>
      <c r="E932" t="s">
        <v>14</v>
      </c>
      <c r="F932">
        <v>20.268999999999998</v>
      </c>
      <c r="G932" t="s">
        <v>13</v>
      </c>
    </row>
    <row r="933" spans="1:7" x14ac:dyDescent="0.25">
      <c r="A933">
        <v>67</v>
      </c>
      <c r="B933" t="s">
        <v>249</v>
      </c>
      <c r="C933">
        <v>80</v>
      </c>
      <c r="D933" t="s">
        <v>16</v>
      </c>
      <c r="E933" t="s">
        <v>14</v>
      </c>
      <c r="F933">
        <v>125.593</v>
      </c>
      <c r="G933" t="s">
        <v>13</v>
      </c>
    </row>
    <row r="934" spans="1:7" x14ac:dyDescent="0.25">
      <c r="A934">
        <v>67</v>
      </c>
      <c r="B934" t="s">
        <v>249</v>
      </c>
      <c r="C934">
        <v>90</v>
      </c>
      <c r="D934" t="s">
        <v>265</v>
      </c>
      <c r="E934" t="s">
        <v>12</v>
      </c>
      <c r="F934">
        <v>0.11</v>
      </c>
      <c r="G934" t="s">
        <v>13</v>
      </c>
    </row>
    <row r="935" spans="1:7" x14ac:dyDescent="0.25">
      <c r="A935">
        <v>67</v>
      </c>
      <c r="B935" t="s">
        <v>249</v>
      </c>
      <c r="C935">
        <v>100</v>
      </c>
      <c r="D935" t="s">
        <v>269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249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249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249</v>
      </c>
      <c r="C938">
        <v>130</v>
      </c>
      <c r="D938" t="s">
        <v>110</v>
      </c>
      <c r="E938" t="s">
        <v>12</v>
      </c>
      <c r="F938">
        <v>1.27</v>
      </c>
      <c r="G938" t="s">
        <v>13</v>
      </c>
    </row>
    <row r="939" spans="1:7" x14ac:dyDescent="0.25">
      <c r="A939">
        <v>67</v>
      </c>
      <c r="B939" t="s">
        <v>249</v>
      </c>
      <c r="C939">
        <v>140</v>
      </c>
      <c r="D939" t="s">
        <v>332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251</v>
      </c>
      <c r="C940">
        <v>10</v>
      </c>
      <c r="D940" t="s">
        <v>187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251</v>
      </c>
      <c r="C941">
        <v>20</v>
      </c>
      <c r="D941" t="s">
        <v>252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251</v>
      </c>
      <c r="C942">
        <v>30</v>
      </c>
      <c r="D942" t="s">
        <v>371</v>
      </c>
      <c r="E942" t="s">
        <v>11</v>
      </c>
      <c r="F942">
        <v>1</v>
      </c>
      <c r="G942" t="s">
        <v>15</v>
      </c>
    </row>
    <row r="943" spans="1:7" x14ac:dyDescent="0.25">
      <c r="A943">
        <v>68</v>
      </c>
      <c r="B943" t="s">
        <v>251</v>
      </c>
      <c r="C943">
        <v>40</v>
      </c>
      <c r="D943" t="s">
        <v>266</v>
      </c>
      <c r="E943" t="s">
        <v>14</v>
      </c>
      <c r="F943">
        <v>2.1589999999999998</v>
      </c>
      <c r="G943" t="s">
        <v>15</v>
      </c>
    </row>
    <row r="944" spans="1:7" x14ac:dyDescent="0.25">
      <c r="A944">
        <v>68</v>
      </c>
      <c r="B944" t="s">
        <v>251</v>
      </c>
      <c r="C944">
        <v>50</v>
      </c>
      <c r="D944" t="s">
        <v>107</v>
      </c>
      <c r="E944" t="s">
        <v>108</v>
      </c>
      <c r="F944">
        <v>1.0209999999999999</v>
      </c>
      <c r="G944" t="s">
        <v>13</v>
      </c>
    </row>
    <row r="945" spans="1:7" x14ac:dyDescent="0.25">
      <c r="A945">
        <v>68</v>
      </c>
      <c r="B945" t="s">
        <v>251</v>
      </c>
      <c r="C945">
        <v>60</v>
      </c>
      <c r="D945" t="s">
        <v>267</v>
      </c>
      <c r="E945" t="s">
        <v>11</v>
      </c>
      <c r="F945">
        <v>1</v>
      </c>
      <c r="G945" t="s">
        <v>13</v>
      </c>
    </row>
    <row r="946" spans="1:7" x14ac:dyDescent="0.25">
      <c r="A946">
        <v>68</v>
      </c>
      <c r="B946" t="s">
        <v>251</v>
      </c>
      <c r="C946">
        <v>70</v>
      </c>
      <c r="D946" t="s">
        <v>109</v>
      </c>
      <c r="E946" t="s">
        <v>14</v>
      </c>
      <c r="F946">
        <v>22.097999999999999</v>
      </c>
      <c r="G946" t="s">
        <v>13</v>
      </c>
    </row>
    <row r="947" spans="1:7" x14ac:dyDescent="0.25">
      <c r="A947">
        <v>68</v>
      </c>
      <c r="B947" t="s">
        <v>251</v>
      </c>
      <c r="C947">
        <v>80</v>
      </c>
      <c r="D947" t="s">
        <v>16</v>
      </c>
      <c r="E947" t="s">
        <v>14</v>
      </c>
      <c r="F947">
        <v>136.84</v>
      </c>
      <c r="G947" t="s">
        <v>13</v>
      </c>
    </row>
    <row r="948" spans="1:7" x14ac:dyDescent="0.25">
      <c r="A948">
        <v>68</v>
      </c>
      <c r="B948" t="s">
        <v>251</v>
      </c>
      <c r="C948">
        <v>90</v>
      </c>
      <c r="D948" t="s">
        <v>265</v>
      </c>
      <c r="E948" t="s">
        <v>12</v>
      </c>
      <c r="F948">
        <v>0.13200000000000001</v>
      </c>
      <c r="G948" t="s">
        <v>13</v>
      </c>
    </row>
    <row r="949" spans="1:7" x14ac:dyDescent="0.25">
      <c r="A949">
        <v>68</v>
      </c>
      <c r="B949" t="s">
        <v>251</v>
      </c>
      <c r="C949">
        <v>100</v>
      </c>
      <c r="D949" t="s">
        <v>269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251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251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251</v>
      </c>
      <c r="C952">
        <v>130</v>
      </c>
      <c r="D952" t="s">
        <v>110</v>
      </c>
      <c r="E952" t="s">
        <v>12</v>
      </c>
      <c r="F952">
        <v>1.27</v>
      </c>
      <c r="G952" t="s">
        <v>13</v>
      </c>
    </row>
    <row r="953" spans="1:7" x14ac:dyDescent="0.25">
      <c r="A953">
        <v>68</v>
      </c>
      <c r="B953" t="s">
        <v>251</v>
      </c>
      <c r="C953">
        <v>140</v>
      </c>
      <c r="D953" t="s">
        <v>334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253</v>
      </c>
      <c r="C954">
        <v>10</v>
      </c>
      <c r="D954" t="s">
        <v>187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253</v>
      </c>
      <c r="C955">
        <v>20</v>
      </c>
      <c r="D955" t="s">
        <v>254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253</v>
      </c>
      <c r="C956">
        <v>30</v>
      </c>
      <c r="D956" t="s">
        <v>372</v>
      </c>
      <c r="E956" t="s">
        <v>11</v>
      </c>
      <c r="F956">
        <v>1</v>
      </c>
      <c r="G956" t="s">
        <v>15</v>
      </c>
    </row>
    <row r="957" spans="1:7" x14ac:dyDescent="0.25">
      <c r="A957">
        <v>69</v>
      </c>
      <c r="B957" t="s">
        <v>253</v>
      </c>
      <c r="C957">
        <v>40</v>
      </c>
      <c r="D957" t="s">
        <v>266</v>
      </c>
      <c r="E957" t="s">
        <v>14</v>
      </c>
      <c r="F957">
        <v>2.1589999999999998</v>
      </c>
      <c r="G957" t="s">
        <v>15</v>
      </c>
    </row>
    <row r="958" spans="1:7" x14ac:dyDescent="0.25">
      <c r="A958">
        <v>69</v>
      </c>
      <c r="B958" t="s">
        <v>253</v>
      </c>
      <c r="C958">
        <v>50</v>
      </c>
      <c r="D958" t="s">
        <v>107</v>
      </c>
      <c r="E958" t="s">
        <v>108</v>
      </c>
      <c r="F958">
        <v>1.123</v>
      </c>
      <c r="G958" t="s">
        <v>13</v>
      </c>
    </row>
    <row r="959" spans="1:7" x14ac:dyDescent="0.25">
      <c r="A959">
        <v>69</v>
      </c>
      <c r="B959" t="s">
        <v>253</v>
      </c>
      <c r="C959">
        <v>60</v>
      </c>
      <c r="D959" t="s">
        <v>267</v>
      </c>
      <c r="E959" t="s">
        <v>11</v>
      </c>
      <c r="F959">
        <v>1</v>
      </c>
      <c r="G959" t="s">
        <v>13</v>
      </c>
    </row>
    <row r="960" spans="1:7" x14ac:dyDescent="0.25">
      <c r="A960">
        <v>69</v>
      </c>
      <c r="B960" t="s">
        <v>253</v>
      </c>
      <c r="C960">
        <v>70</v>
      </c>
      <c r="D960" t="s">
        <v>109</v>
      </c>
      <c r="E960" t="s">
        <v>14</v>
      </c>
      <c r="F960">
        <v>23.012</v>
      </c>
      <c r="G960" t="s">
        <v>13</v>
      </c>
    </row>
    <row r="961" spans="1:7" x14ac:dyDescent="0.25">
      <c r="A961">
        <v>69</v>
      </c>
      <c r="B961" t="s">
        <v>253</v>
      </c>
      <c r="C961">
        <v>80</v>
      </c>
      <c r="D961" t="s">
        <v>16</v>
      </c>
      <c r="E961" t="s">
        <v>14</v>
      </c>
      <c r="F961">
        <v>142.464</v>
      </c>
      <c r="G961" t="s">
        <v>13</v>
      </c>
    </row>
    <row r="962" spans="1:7" x14ac:dyDescent="0.25">
      <c r="A962">
        <v>69</v>
      </c>
      <c r="B962" t="s">
        <v>253</v>
      </c>
      <c r="C962">
        <v>90</v>
      </c>
      <c r="D962" t="s">
        <v>265</v>
      </c>
      <c r="E962" t="s">
        <v>12</v>
      </c>
      <c r="F962">
        <v>0.14199999999999999</v>
      </c>
      <c r="G962" t="s">
        <v>13</v>
      </c>
    </row>
    <row r="963" spans="1:7" x14ac:dyDescent="0.25">
      <c r="A963">
        <v>69</v>
      </c>
      <c r="B963" t="s">
        <v>253</v>
      </c>
      <c r="C963">
        <v>100</v>
      </c>
      <c r="D963" t="s">
        <v>269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253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253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253</v>
      </c>
      <c r="C966">
        <v>130</v>
      </c>
      <c r="D966" t="s">
        <v>110</v>
      </c>
      <c r="E966" t="s">
        <v>12</v>
      </c>
      <c r="F966">
        <v>1.27</v>
      </c>
      <c r="G966" t="s">
        <v>13</v>
      </c>
    </row>
    <row r="967" spans="1:7" x14ac:dyDescent="0.25">
      <c r="A967">
        <v>69</v>
      </c>
      <c r="B967" t="s">
        <v>253</v>
      </c>
      <c r="C967">
        <v>140</v>
      </c>
      <c r="D967" t="s">
        <v>336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255</v>
      </c>
      <c r="C968">
        <v>10</v>
      </c>
      <c r="D968" t="s">
        <v>187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255</v>
      </c>
      <c r="C969">
        <v>20</v>
      </c>
      <c r="D969" t="s">
        <v>256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255</v>
      </c>
      <c r="C970">
        <v>30</v>
      </c>
      <c r="D970" t="s">
        <v>373</v>
      </c>
      <c r="E970" t="s">
        <v>11</v>
      </c>
      <c r="F970">
        <v>1</v>
      </c>
      <c r="G970" t="s">
        <v>15</v>
      </c>
    </row>
    <row r="971" spans="1:7" x14ac:dyDescent="0.25">
      <c r="A971">
        <v>70</v>
      </c>
      <c r="B971" t="s">
        <v>255</v>
      </c>
      <c r="C971">
        <v>40</v>
      </c>
      <c r="D971" t="s">
        <v>266</v>
      </c>
      <c r="E971" t="s">
        <v>14</v>
      </c>
      <c r="F971">
        <v>2.1589999999999998</v>
      </c>
      <c r="G971" t="s">
        <v>15</v>
      </c>
    </row>
    <row r="972" spans="1:7" x14ac:dyDescent="0.25">
      <c r="A972">
        <v>70</v>
      </c>
      <c r="B972" t="s">
        <v>255</v>
      </c>
      <c r="C972">
        <v>50</v>
      </c>
      <c r="D972" t="s">
        <v>107</v>
      </c>
      <c r="E972" t="s">
        <v>108</v>
      </c>
      <c r="F972">
        <v>1.2250000000000001</v>
      </c>
      <c r="G972" t="s">
        <v>13</v>
      </c>
    </row>
    <row r="973" spans="1:7" x14ac:dyDescent="0.25">
      <c r="A973">
        <v>70</v>
      </c>
      <c r="B973" t="s">
        <v>255</v>
      </c>
      <c r="C973">
        <v>60</v>
      </c>
      <c r="D973" t="s">
        <v>267</v>
      </c>
      <c r="E973" t="s">
        <v>11</v>
      </c>
      <c r="F973">
        <v>1</v>
      </c>
      <c r="G973" t="s">
        <v>13</v>
      </c>
    </row>
    <row r="974" spans="1:7" x14ac:dyDescent="0.25">
      <c r="A974">
        <v>70</v>
      </c>
      <c r="B974" t="s">
        <v>255</v>
      </c>
      <c r="C974">
        <v>70</v>
      </c>
      <c r="D974" t="s">
        <v>109</v>
      </c>
      <c r="E974" t="s">
        <v>14</v>
      </c>
      <c r="F974">
        <v>23.927</v>
      </c>
      <c r="G974" t="s">
        <v>13</v>
      </c>
    </row>
    <row r="975" spans="1:7" x14ac:dyDescent="0.25">
      <c r="A975">
        <v>70</v>
      </c>
      <c r="B975" t="s">
        <v>255</v>
      </c>
      <c r="C975">
        <v>80</v>
      </c>
      <c r="D975" t="s">
        <v>16</v>
      </c>
      <c r="E975" t="s">
        <v>14</v>
      </c>
      <c r="F975">
        <v>148.08699999999999</v>
      </c>
      <c r="G975" t="s">
        <v>13</v>
      </c>
    </row>
    <row r="976" spans="1:7" x14ac:dyDescent="0.25">
      <c r="A976">
        <v>70</v>
      </c>
      <c r="B976" t="s">
        <v>255</v>
      </c>
      <c r="C976">
        <v>90</v>
      </c>
      <c r="D976" t="s">
        <v>265</v>
      </c>
      <c r="E976" t="s">
        <v>12</v>
      </c>
      <c r="F976">
        <v>0.153</v>
      </c>
      <c r="G976" t="s">
        <v>13</v>
      </c>
    </row>
    <row r="977" spans="1:7" x14ac:dyDescent="0.25">
      <c r="A977">
        <v>70</v>
      </c>
      <c r="B977" t="s">
        <v>255</v>
      </c>
      <c r="C977">
        <v>100</v>
      </c>
      <c r="D977" t="s">
        <v>269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255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255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255</v>
      </c>
      <c r="C980">
        <v>130</v>
      </c>
      <c r="D980" t="s">
        <v>110</v>
      </c>
      <c r="E980" t="s">
        <v>12</v>
      </c>
      <c r="F980">
        <v>1.27</v>
      </c>
      <c r="G980" t="s">
        <v>13</v>
      </c>
    </row>
    <row r="981" spans="1:7" x14ac:dyDescent="0.25">
      <c r="A981">
        <v>70</v>
      </c>
      <c r="B981" t="s">
        <v>255</v>
      </c>
      <c r="C981">
        <v>140</v>
      </c>
      <c r="D981" t="s">
        <v>338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374</v>
      </c>
      <c r="C982">
        <v>10</v>
      </c>
      <c r="D982" t="s">
        <v>116</v>
      </c>
      <c r="E982" t="s">
        <v>14</v>
      </c>
      <c r="F982">
        <v>0.86399999999999999</v>
      </c>
      <c r="G982" t="s">
        <v>15</v>
      </c>
    </row>
    <row r="983" spans="1:7" x14ac:dyDescent="0.25">
      <c r="A983">
        <v>71</v>
      </c>
      <c r="B983" t="s">
        <v>374</v>
      </c>
      <c r="C983">
        <v>20</v>
      </c>
      <c r="D983" t="s">
        <v>375</v>
      </c>
      <c r="E983" t="s">
        <v>11</v>
      </c>
      <c r="F983">
        <v>1</v>
      </c>
      <c r="G983" t="s">
        <v>15</v>
      </c>
    </row>
    <row r="984" spans="1:7" x14ac:dyDescent="0.25">
      <c r="A984">
        <v>71</v>
      </c>
      <c r="B984" t="s">
        <v>374</v>
      </c>
      <c r="C984">
        <v>30</v>
      </c>
      <c r="D984" t="s">
        <v>376</v>
      </c>
      <c r="E984" t="s">
        <v>11</v>
      </c>
      <c r="F984">
        <v>1</v>
      </c>
      <c r="G984" t="s">
        <v>15</v>
      </c>
    </row>
    <row r="985" spans="1:7" x14ac:dyDescent="0.25">
      <c r="A985">
        <v>71</v>
      </c>
      <c r="B985" t="s">
        <v>374</v>
      </c>
      <c r="C985">
        <v>40</v>
      </c>
      <c r="D985" t="s">
        <v>266</v>
      </c>
      <c r="E985" t="s">
        <v>14</v>
      </c>
      <c r="F985">
        <v>0.86399999999999999</v>
      </c>
      <c r="G985" t="s">
        <v>15</v>
      </c>
    </row>
    <row r="986" spans="1:7" x14ac:dyDescent="0.25">
      <c r="A986">
        <v>71</v>
      </c>
      <c r="B986" t="s">
        <v>374</v>
      </c>
      <c r="C986">
        <v>50</v>
      </c>
      <c r="D986" t="s">
        <v>107</v>
      </c>
      <c r="E986" t="s">
        <v>108</v>
      </c>
      <c r="F986">
        <v>0.48099999999999998</v>
      </c>
      <c r="G986" t="s">
        <v>13</v>
      </c>
    </row>
    <row r="987" spans="1:7" x14ac:dyDescent="0.25">
      <c r="A987">
        <v>71</v>
      </c>
      <c r="B987" t="s">
        <v>374</v>
      </c>
      <c r="C987">
        <v>60</v>
      </c>
      <c r="D987" t="s">
        <v>267</v>
      </c>
      <c r="E987" t="s">
        <v>11</v>
      </c>
      <c r="F987">
        <v>1</v>
      </c>
      <c r="G987" t="s">
        <v>13</v>
      </c>
    </row>
    <row r="988" spans="1:7" x14ac:dyDescent="0.25">
      <c r="A988">
        <v>71</v>
      </c>
      <c r="B988" t="s">
        <v>374</v>
      </c>
      <c r="C988">
        <v>70</v>
      </c>
      <c r="D988" t="s">
        <v>109</v>
      </c>
      <c r="E988" t="s">
        <v>14</v>
      </c>
      <c r="F988">
        <v>16.154</v>
      </c>
      <c r="G988" t="s">
        <v>13</v>
      </c>
    </row>
    <row r="989" spans="1:7" x14ac:dyDescent="0.25">
      <c r="A989">
        <v>71</v>
      </c>
      <c r="B989" t="s">
        <v>374</v>
      </c>
      <c r="C989">
        <v>80</v>
      </c>
      <c r="D989" t="s">
        <v>16</v>
      </c>
      <c r="E989" t="s">
        <v>14</v>
      </c>
      <c r="F989">
        <v>100.28700000000001</v>
      </c>
      <c r="G989" t="s">
        <v>13</v>
      </c>
    </row>
    <row r="990" spans="1:7" x14ac:dyDescent="0.25">
      <c r="A990">
        <v>71</v>
      </c>
      <c r="B990" t="s">
        <v>374</v>
      </c>
      <c r="C990">
        <v>90</v>
      </c>
      <c r="D990" t="s">
        <v>265</v>
      </c>
      <c r="E990" t="s">
        <v>12</v>
      </c>
      <c r="F990">
        <v>8.4000000000000005E-2</v>
      </c>
      <c r="G990" t="s">
        <v>13</v>
      </c>
    </row>
    <row r="991" spans="1:7" x14ac:dyDescent="0.25">
      <c r="A991">
        <v>71</v>
      </c>
      <c r="B991" t="s">
        <v>374</v>
      </c>
      <c r="C991">
        <v>100</v>
      </c>
      <c r="D991" t="s">
        <v>269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374</v>
      </c>
      <c r="C992">
        <v>110</v>
      </c>
      <c r="D992" t="s">
        <v>20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374</v>
      </c>
      <c r="C993">
        <v>120</v>
      </c>
      <c r="D993" t="s">
        <v>21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374</v>
      </c>
      <c r="C994">
        <v>130</v>
      </c>
      <c r="D994" t="s">
        <v>110</v>
      </c>
      <c r="E994" t="s">
        <v>12</v>
      </c>
      <c r="F994">
        <v>0.58099999999999996</v>
      </c>
      <c r="G994" t="s">
        <v>13</v>
      </c>
    </row>
    <row r="995" spans="1:7" x14ac:dyDescent="0.25">
      <c r="A995">
        <v>71</v>
      </c>
      <c r="B995" t="s">
        <v>374</v>
      </c>
      <c r="C995">
        <v>140</v>
      </c>
      <c r="D995" t="s">
        <v>377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378</v>
      </c>
      <c r="C996">
        <v>10</v>
      </c>
      <c r="D996" t="s">
        <v>116</v>
      </c>
      <c r="E996" t="s">
        <v>14</v>
      </c>
      <c r="F996">
        <v>1.016</v>
      </c>
      <c r="G996" t="s">
        <v>15</v>
      </c>
    </row>
    <row r="997" spans="1:7" x14ac:dyDescent="0.25">
      <c r="A997">
        <v>72</v>
      </c>
      <c r="B997" t="s">
        <v>378</v>
      </c>
      <c r="C997">
        <v>20</v>
      </c>
      <c r="D997" t="s">
        <v>379</v>
      </c>
      <c r="E997" t="s">
        <v>11</v>
      </c>
      <c r="F997">
        <v>1</v>
      </c>
      <c r="G997" t="s">
        <v>15</v>
      </c>
    </row>
    <row r="998" spans="1:7" x14ac:dyDescent="0.25">
      <c r="A998">
        <v>72</v>
      </c>
      <c r="B998" t="s">
        <v>378</v>
      </c>
      <c r="C998">
        <v>30</v>
      </c>
      <c r="D998" t="s">
        <v>380</v>
      </c>
      <c r="E998" t="s">
        <v>11</v>
      </c>
      <c r="F998">
        <v>1</v>
      </c>
      <c r="G998" t="s">
        <v>15</v>
      </c>
    </row>
    <row r="999" spans="1:7" x14ac:dyDescent="0.25">
      <c r="A999">
        <v>72</v>
      </c>
      <c r="B999" t="s">
        <v>378</v>
      </c>
      <c r="C999">
        <v>40</v>
      </c>
      <c r="D999" t="s">
        <v>266</v>
      </c>
      <c r="E999" t="s">
        <v>14</v>
      </c>
      <c r="F999">
        <v>1.016</v>
      </c>
      <c r="G999" t="s">
        <v>15</v>
      </c>
    </row>
    <row r="1000" spans="1:7" x14ac:dyDescent="0.25">
      <c r="A1000">
        <v>72</v>
      </c>
      <c r="B1000" t="s">
        <v>378</v>
      </c>
      <c r="C1000">
        <v>50</v>
      </c>
      <c r="D1000" t="s">
        <v>107</v>
      </c>
      <c r="E1000" t="s">
        <v>108</v>
      </c>
      <c r="F1000">
        <v>0.56899999999999995</v>
      </c>
      <c r="G1000" t="s">
        <v>13</v>
      </c>
    </row>
    <row r="1001" spans="1:7" x14ac:dyDescent="0.25">
      <c r="A1001">
        <v>72</v>
      </c>
      <c r="B1001" t="s">
        <v>378</v>
      </c>
      <c r="C1001">
        <v>60</v>
      </c>
      <c r="D1001" t="s">
        <v>267</v>
      </c>
      <c r="E1001" t="s">
        <v>11</v>
      </c>
      <c r="F1001">
        <v>1</v>
      </c>
      <c r="G1001" t="s">
        <v>13</v>
      </c>
    </row>
    <row r="1002" spans="1:7" x14ac:dyDescent="0.25">
      <c r="A1002">
        <v>72</v>
      </c>
      <c r="B1002" t="s">
        <v>378</v>
      </c>
      <c r="C1002">
        <v>70</v>
      </c>
      <c r="D1002" t="s">
        <v>109</v>
      </c>
      <c r="E1002" t="s">
        <v>14</v>
      </c>
      <c r="F1002">
        <v>17.068999999999999</v>
      </c>
      <c r="G1002" t="s">
        <v>13</v>
      </c>
    </row>
    <row r="1003" spans="1:7" x14ac:dyDescent="0.25">
      <c r="A1003">
        <v>72</v>
      </c>
      <c r="B1003" t="s">
        <v>378</v>
      </c>
      <c r="C1003">
        <v>80</v>
      </c>
      <c r="D1003" t="s">
        <v>16</v>
      </c>
      <c r="E1003" t="s">
        <v>14</v>
      </c>
      <c r="F1003">
        <v>105.91</v>
      </c>
      <c r="G1003" t="s">
        <v>13</v>
      </c>
    </row>
    <row r="1004" spans="1:7" x14ac:dyDescent="0.25">
      <c r="A1004">
        <v>72</v>
      </c>
      <c r="B1004" t="s">
        <v>378</v>
      </c>
      <c r="C1004">
        <v>90</v>
      </c>
      <c r="D1004" t="s">
        <v>265</v>
      </c>
      <c r="E1004" t="s">
        <v>12</v>
      </c>
      <c r="F1004">
        <v>9.4E-2</v>
      </c>
      <c r="G1004" t="s">
        <v>13</v>
      </c>
    </row>
    <row r="1005" spans="1:7" x14ac:dyDescent="0.25">
      <c r="A1005">
        <v>72</v>
      </c>
      <c r="B1005" t="s">
        <v>378</v>
      </c>
      <c r="C1005">
        <v>100</v>
      </c>
      <c r="D1005" t="s">
        <v>269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378</v>
      </c>
      <c r="C1006">
        <v>110</v>
      </c>
      <c r="D1006" t="s">
        <v>20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378</v>
      </c>
      <c r="C1007">
        <v>120</v>
      </c>
      <c r="D1007" t="s">
        <v>21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378</v>
      </c>
      <c r="C1008">
        <v>130</v>
      </c>
      <c r="D1008" t="s">
        <v>110</v>
      </c>
      <c r="E1008" t="s">
        <v>12</v>
      </c>
      <c r="F1008">
        <v>0.66200000000000003</v>
      </c>
      <c r="G1008" t="s">
        <v>13</v>
      </c>
    </row>
    <row r="1009" spans="1:7" x14ac:dyDescent="0.25">
      <c r="A1009">
        <v>72</v>
      </c>
      <c r="B1009" t="s">
        <v>378</v>
      </c>
      <c r="C1009">
        <v>140</v>
      </c>
      <c r="D1009" t="s">
        <v>381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382</v>
      </c>
      <c r="C1010">
        <v>10</v>
      </c>
      <c r="D1010" t="s">
        <v>116</v>
      </c>
      <c r="E1010" t="s">
        <v>14</v>
      </c>
      <c r="F1010">
        <v>1.1679999999999999</v>
      </c>
      <c r="G1010" t="s">
        <v>15</v>
      </c>
    </row>
    <row r="1011" spans="1:7" x14ac:dyDescent="0.25">
      <c r="A1011">
        <v>73</v>
      </c>
      <c r="B1011" t="s">
        <v>382</v>
      </c>
      <c r="C1011">
        <v>20</v>
      </c>
      <c r="D1011" t="s">
        <v>383</v>
      </c>
      <c r="E1011" t="s">
        <v>11</v>
      </c>
      <c r="F1011">
        <v>1</v>
      </c>
      <c r="G1011" t="s">
        <v>15</v>
      </c>
    </row>
    <row r="1012" spans="1:7" x14ac:dyDescent="0.25">
      <c r="A1012">
        <v>73</v>
      </c>
      <c r="B1012" t="s">
        <v>382</v>
      </c>
      <c r="C1012">
        <v>30</v>
      </c>
      <c r="D1012" t="s">
        <v>384</v>
      </c>
      <c r="E1012" t="s">
        <v>11</v>
      </c>
      <c r="F1012">
        <v>1</v>
      </c>
      <c r="G1012" t="s">
        <v>15</v>
      </c>
    </row>
    <row r="1013" spans="1:7" x14ac:dyDescent="0.25">
      <c r="A1013">
        <v>73</v>
      </c>
      <c r="B1013" t="s">
        <v>382</v>
      </c>
      <c r="C1013">
        <v>40</v>
      </c>
      <c r="D1013" t="s">
        <v>266</v>
      </c>
      <c r="E1013" t="s">
        <v>14</v>
      </c>
      <c r="F1013">
        <v>1.1679999999999999</v>
      </c>
      <c r="G1013" t="s">
        <v>15</v>
      </c>
    </row>
    <row r="1014" spans="1:7" x14ac:dyDescent="0.25">
      <c r="A1014">
        <v>73</v>
      </c>
      <c r="B1014" t="s">
        <v>382</v>
      </c>
      <c r="C1014">
        <v>50</v>
      </c>
      <c r="D1014" t="s">
        <v>107</v>
      </c>
      <c r="E1014" t="s">
        <v>108</v>
      </c>
      <c r="F1014">
        <v>0.65600000000000003</v>
      </c>
      <c r="G1014" t="s">
        <v>13</v>
      </c>
    </row>
    <row r="1015" spans="1:7" x14ac:dyDescent="0.25">
      <c r="A1015">
        <v>73</v>
      </c>
      <c r="B1015" t="s">
        <v>382</v>
      </c>
      <c r="C1015">
        <v>60</v>
      </c>
      <c r="D1015" t="s">
        <v>267</v>
      </c>
      <c r="E1015" t="s">
        <v>11</v>
      </c>
      <c r="F1015">
        <v>1</v>
      </c>
      <c r="G1015" t="s">
        <v>13</v>
      </c>
    </row>
    <row r="1016" spans="1:7" x14ac:dyDescent="0.25">
      <c r="A1016">
        <v>73</v>
      </c>
      <c r="B1016" t="s">
        <v>382</v>
      </c>
      <c r="C1016">
        <v>70</v>
      </c>
      <c r="D1016" t="s">
        <v>109</v>
      </c>
      <c r="E1016" t="s">
        <v>14</v>
      </c>
      <c r="F1016">
        <v>17.983000000000001</v>
      </c>
      <c r="G1016" t="s">
        <v>13</v>
      </c>
    </row>
    <row r="1017" spans="1:7" x14ac:dyDescent="0.25">
      <c r="A1017">
        <v>73</v>
      </c>
      <c r="B1017" t="s">
        <v>382</v>
      </c>
      <c r="C1017">
        <v>80</v>
      </c>
      <c r="D1017" t="s">
        <v>16</v>
      </c>
      <c r="E1017" t="s">
        <v>14</v>
      </c>
      <c r="F1017">
        <v>111.53400000000001</v>
      </c>
      <c r="G1017" t="s">
        <v>13</v>
      </c>
    </row>
    <row r="1018" spans="1:7" x14ac:dyDescent="0.25">
      <c r="A1018">
        <v>73</v>
      </c>
      <c r="B1018" t="s">
        <v>382</v>
      </c>
      <c r="C1018">
        <v>90</v>
      </c>
      <c r="D1018" t="s">
        <v>265</v>
      </c>
      <c r="E1018" t="s">
        <v>12</v>
      </c>
      <c r="F1018">
        <v>0.105</v>
      </c>
      <c r="G1018" t="s">
        <v>13</v>
      </c>
    </row>
    <row r="1019" spans="1:7" x14ac:dyDescent="0.25">
      <c r="A1019">
        <v>73</v>
      </c>
      <c r="B1019" t="s">
        <v>382</v>
      </c>
      <c r="C1019">
        <v>100</v>
      </c>
      <c r="D1019" t="s">
        <v>269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382</v>
      </c>
      <c r="C1020">
        <v>110</v>
      </c>
      <c r="D1020" t="s">
        <v>20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382</v>
      </c>
      <c r="C1021">
        <v>120</v>
      </c>
      <c r="D1021" t="s">
        <v>21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382</v>
      </c>
      <c r="C1022">
        <v>130</v>
      </c>
      <c r="D1022" t="s">
        <v>110</v>
      </c>
      <c r="E1022" t="s">
        <v>12</v>
      </c>
      <c r="F1022">
        <v>0.74299999999999999</v>
      </c>
      <c r="G1022" t="s">
        <v>13</v>
      </c>
    </row>
    <row r="1023" spans="1:7" x14ac:dyDescent="0.25">
      <c r="A1023">
        <v>73</v>
      </c>
      <c r="B1023" t="s">
        <v>382</v>
      </c>
      <c r="C1023">
        <v>140</v>
      </c>
      <c r="D1023" t="s">
        <v>385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386</v>
      </c>
      <c r="C1024">
        <v>10</v>
      </c>
      <c r="D1024" t="s">
        <v>116</v>
      </c>
      <c r="E1024" t="s">
        <v>14</v>
      </c>
      <c r="F1024">
        <v>1.321</v>
      </c>
      <c r="G1024" t="s">
        <v>15</v>
      </c>
    </row>
    <row r="1025" spans="1:7" x14ac:dyDescent="0.25">
      <c r="A1025">
        <v>74</v>
      </c>
      <c r="B1025" t="s">
        <v>386</v>
      </c>
      <c r="C1025">
        <v>20</v>
      </c>
      <c r="D1025" t="s">
        <v>387</v>
      </c>
      <c r="E1025" t="s">
        <v>11</v>
      </c>
      <c r="F1025">
        <v>1</v>
      </c>
      <c r="G1025" t="s">
        <v>15</v>
      </c>
    </row>
    <row r="1026" spans="1:7" x14ac:dyDescent="0.25">
      <c r="A1026">
        <v>74</v>
      </c>
      <c r="B1026" t="s">
        <v>386</v>
      </c>
      <c r="C1026">
        <v>30</v>
      </c>
      <c r="D1026" t="s">
        <v>388</v>
      </c>
      <c r="E1026" t="s">
        <v>11</v>
      </c>
      <c r="F1026">
        <v>1</v>
      </c>
      <c r="G1026" t="s">
        <v>15</v>
      </c>
    </row>
    <row r="1027" spans="1:7" x14ac:dyDescent="0.25">
      <c r="A1027">
        <v>74</v>
      </c>
      <c r="B1027" t="s">
        <v>386</v>
      </c>
      <c r="C1027">
        <v>40</v>
      </c>
      <c r="D1027" t="s">
        <v>266</v>
      </c>
      <c r="E1027" t="s">
        <v>14</v>
      </c>
      <c r="F1027">
        <v>1.321</v>
      </c>
      <c r="G1027" t="s">
        <v>15</v>
      </c>
    </row>
    <row r="1028" spans="1:7" x14ac:dyDescent="0.25">
      <c r="A1028">
        <v>74</v>
      </c>
      <c r="B1028" t="s">
        <v>386</v>
      </c>
      <c r="C1028">
        <v>50</v>
      </c>
      <c r="D1028" t="s">
        <v>107</v>
      </c>
      <c r="E1028" t="s">
        <v>108</v>
      </c>
      <c r="F1028">
        <v>0.74399999999999999</v>
      </c>
      <c r="G1028" t="s">
        <v>13</v>
      </c>
    </row>
    <row r="1029" spans="1:7" x14ac:dyDescent="0.25">
      <c r="A1029">
        <v>74</v>
      </c>
      <c r="B1029" t="s">
        <v>386</v>
      </c>
      <c r="C1029">
        <v>60</v>
      </c>
      <c r="D1029" t="s">
        <v>267</v>
      </c>
      <c r="E1029" t="s">
        <v>11</v>
      </c>
      <c r="F1029">
        <v>1</v>
      </c>
      <c r="G1029" t="s">
        <v>13</v>
      </c>
    </row>
    <row r="1030" spans="1:7" x14ac:dyDescent="0.25">
      <c r="A1030">
        <v>74</v>
      </c>
      <c r="B1030" t="s">
        <v>386</v>
      </c>
      <c r="C1030">
        <v>70</v>
      </c>
      <c r="D1030" t="s">
        <v>109</v>
      </c>
      <c r="E1030" t="s">
        <v>14</v>
      </c>
      <c r="F1030">
        <v>18.898</v>
      </c>
      <c r="G1030" t="s">
        <v>13</v>
      </c>
    </row>
    <row r="1031" spans="1:7" x14ac:dyDescent="0.25">
      <c r="A1031">
        <v>74</v>
      </c>
      <c r="B1031" t="s">
        <v>386</v>
      </c>
      <c r="C1031">
        <v>80</v>
      </c>
      <c r="D1031" t="s">
        <v>16</v>
      </c>
      <c r="E1031" t="s">
        <v>14</v>
      </c>
      <c r="F1031">
        <v>117.158</v>
      </c>
      <c r="G1031" t="s">
        <v>13</v>
      </c>
    </row>
    <row r="1032" spans="1:7" x14ac:dyDescent="0.25">
      <c r="A1032">
        <v>74</v>
      </c>
      <c r="B1032" t="s">
        <v>386</v>
      </c>
      <c r="C1032">
        <v>90</v>
      </c>
      <c r="D1032" t="s">
        <v>265</v>
      </c>
      <c r="E1032" t="s">
        <v>12</v>
      </c>
      <c r="F1032">
        <v>0.11600000000000001</v>
      </c>
      <c r="G1032" t="s">
        <v>13</v>
      </c>
    </row>
    <row r="1033" spans="1:7" x14ac:dyDescent="0.25">
      <c r="A1033">
        <v>74</v>
      </c>
      <c r="B1033" t="s">
        <v>386</v>
      </c>
      <c r="C1033">
        <v>100</v>
      </c>
      <c r="D1033" t="s">
        <v>269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386</v>
      </c>
      <c r="C1034">
        <v>110</v>
      </c>
      <c r="D1034" t="s">
        <v>20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386</v>
      </c>
      <c r="C1035">
        <v>120</v>
      </c>
      <c r="D1035" t="s">
        <v>21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386</v>
      </c>
      <c r="C1036">
        <v>130</v>
      </c>
      <c r="D1036" t="s">
        <v>110</v>
      </c>
      <c r="E1036" t="s">
        <v>12</v>
      </c>
      <c r="F1036">
        <v>0.82399999999999995</v>
      </c>
      <c r="G1036" t="s">
        <v>13</v>
      </c>
    </row>
    <row r="1037" spans="1:7" x14ac:dyDescent="0.25">
      <c r="A1037">
        <v>74</v>
      </c>
      <c r="B1037" t="s">
        <v>386</v>
      </c>
      <c r="C1037">
        <v>140</v>
      </c>
      <c r="D1037" t="s">
        <v>389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390</v>
      </c>
      <c r="C1038">
        <v>10</v>
      </c>
      <c r="D1038" t="s">
        <v>116</v>
      </c>
      <c r="E1038" t="s">
        <v>14</v>
      </c>
      <c r="F1038">
        <v>1.397</v>
      </c>
      <c r="G1038" t="s">
        <v>15</v>
      </c>
    </row>
    <row r="1039" spans="1:7" x14ac:dyDescent="0.25">
      <c r="A1039">
        <v>75</v>
      </c>
      <c r="B1039" t="s">
        <v>390</v>
      </c>
      <c r="C1039">
        <v>20</v>
      </c>
      <c r="D1039" t="s">
        <v>391</v>
      </c>
      <c r="E1039" t="s">
        <v>11</v>
      </c>
      <c r="F1039">
        <v>1</v>
      </c>
      <c r="G1039" t="s">
        <v>15</v>
      </c>
    </row>
    <row r="1040" spans="1:7" x14ac:dyDescent="0.25">
      <c r="A1040">
        <v>75</v>
      </c>
      <c r="B1040" t="s">
        <v>390</v>
      </c>
      <c r="C1040">
        <v>30</v>
      </c>
      <c r="D1040" t="s">
        <v>392</v>
      </c>
      <c r="E1040" t="s">
        <v>11</v>
      </c>
      <c r="F1040">
        <v>1</v>
      </c>
      <c r="G1040" t="s">
        <v>15</v>
      </c>
    </row>
    <row r="1041" spans="1:7" x14ac:dyDescent="0.25">
      <c r="A1041">
        <v>75</v>
      </c>
      <c r="B1041" t="s">
        <v>390</v>
      </c>
      <c r="C1041">
        <v>40</v>
      </c>
      <c r="D1041" t="s">
        <v>266</v>
      </c>
      <c r="E1041" t="s">
        <v>14</v>
      </c>
      <c r="F1041">
        <v>1.397</v>
      </c>
      <c r="G1041" t="s">
        <v>15</v>
      </c>
    </row>
    <row r="1042" spans="1:7" x14ac:dyDescent="0.25">
      <c r="A1042">
        <v>75</v>
      </c>
      <c r="B1042" t="s">
        <v>390</v>
      </c>
      <c r="C1042">
        <v>50</v>
      </c>
      <c r="D1042" t="s">
        <v>107</v>
      </c>
      <c r="E1042" t="s">
        <v>108</v>
      </c>
      <c r="F1042">
        <v>0.78700000000000003</v>
      </c>
      <c r="G1042" t="s">
        <v>13</v>
      </c>
    </row>
    <row r="1043" spans="1:7" x14ac:dyDescent="0.25">
      <c r="A1043">
        <v>75</v>
      </c>
      <c r="B1043" t="s">
        <v>390</v>
      </c>
      <c r="C1043">
        <v>60</v>
      </c>
      <c r="D1043" t="s">
        <v>267</v>
      </c>
      <c r="E1043" t="s">
        <v>11</v>
      </c>
      <c r="F1043">
        <v>1</v>
      </c>
      <c r="G1043" t="s">
        <v>13</v>
      </c>
    </row>
    <row r="1044" spans="1:7" x14ac:dyDescent="0.25">
      <c r="A1044">
        <v>75</v>
      </c>
      <c r="B1044" t="s">
        <v>390</v>
      </c>
      <c r="C1044">
        <v>70</v>
      </c>
      <c r="D1044" t="s">
        <v>109</v>
      </c>
      <c r="E1044" t="s">
        <v>14</v>
      </c>
      <c r="F1044">
        <v>19.355</v>
      </c>
      <c r="G1044" t="s">
        <v>13</v>
      </c>
    </row>
    <row r="1045" spans="1:7" x14ac:dyDescent="0.25">
      <c r="A1045">
        <v>75</v>
      </c>
      <c r="B1045" t="s">
        <v>390</v>
      </c>
      <c r="C1045">
        <v>80</v>
      </c>
      <c r="D1045" t="s">
        <v>16</v>
      </c>
      <c r="E1045" t="s">
        <v>14</v>
      </c>
      <c r="F1045">
        <v>119.96899999999999</v>
      </c>
      <c r="G1045" t="s">
        <v>13</v>
      </c>
    </row>
    <row r="1046" spans="1:7" x14ac:dyDescent="0.25">
      <c r="A1046">
        <v>75</v>
      </c>
      <c r="B1046" t="s">
        <v>390</v>
      </c>
      <c r="C1046">
        <v>90</v>
      </c>
      <c r="D1046" t="s">
        <v>265</v>
      </c>
      <c r="E1046" t="s">
        <v>12</v>
      </c>
      <c r="F1046">
        <v>0.121</v>
      </c>
      <c r="G1046" t="s">
        <v>13</v>
      </c>
    </row>
    <row r="1047" spans="1:7" x14ac:dyDescent="0.25">
      <c r="A1047">
        <v>75</v>
      </c>
      <c r="B1047" t="s">
        <v>390</v>
      </c>
      <c r="C1047">
        <v>100</v>
      </c>
      <c r="D1047" t="s">
        <v>269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390</v>
      </c>
      <c r="C1048">
        <v>110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390</v>
      </c>
      <c r="C1049">
        <v>120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390</v>
      </c>
      <c r="C1050">
        <v>130</v>
      </c>
      <c r="D1050" t="s">
        <v>110</v>
      </c>
      <c r="E1050" t="s">
        <v>12</v>
      </c>
      <c r="F1050">
        <v>0.86499999999999999</v>
      </c>
      <c r="G1050" t="s">
        <v>13</v>
      </c>
    </row>
    <row r="1051" spans="1:7" x14ac:dyDescent="0.25">
      <c r="A1051">
        <v>75</v>
      </c>
      <c r="B1051" t="s">
        <v>390</v>
      </c>
      <c r="C1051">
        <v>140</v>
      </c>
      <c r="D1051" t="s">
        <v>393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394</v>
      </c>
      <c r="C1052">
        <v>10</v>
      </c>
      <c r="D1052" t="s">
        <v>116</v>
      </c>
      <c r="E1052" t="s">
        <v>14</v>
      </c>
      <c r="F1052">
        <v>1.4730000000000001</v>
      </c>
      <c r="G1052" t="s">
        <v>15</v>
      </c>
    </row>
    <row r="1053" spans="1:7" x14ac:dyDescent="0.25">
      <c r="A1053">
        <v>76</v>
      </c>
      <c r="B1053" t="s">
        <v>394</v>
      </c>
      <c r="C1053">
        <v>20</v>
      </c>
      <c r="D1053" t="s">
        <v>395</v>
      </c>
      <c r="E1053" t="s">
        <v>11</v>
      </c>
      <c r="F1053">
        <v>1</v>
      </c>
      <c r="G1053" t="s">
        <v>15</v>
      </c>
    </row>
    <row r="1054" spans="1:7" x14ac:dyDescent="0.25">
      <c r="A1054">
        <v>76</v>
      </c>
      <c r="B1054" t="s">
        <v>394</v>
      </c>
      <c r="C1054">
        <v>30</v>
      </c>
      <c r="D1054" t="s">
        <v>396</v>
      </c>
      <c r="E1054" t="s">
        <v>11</v>
      </c>
      <c r="F1054">
        <v>1</v>
      </c>
      <c r="G1054" t="s">
        <v>15</v>
      </c>
    </row>
    <row r="1055" spans="1:7" x14ac:dyDescent="0.25">
      <c r="A1055">
        <v>76</v>
      </c>
      <c r="B1055" t="s">
        <v>394</v>
      </c>
      <c r="C1055">
        <v>40</v>
      </c>
      <c r="D1055" t="s">
        <v>266</v>
      </c>
      <c r="E1055" t="s">
        <v>14</v>
      </c>
      <c r="F1055">
        <v>1.4730000000000001</v>
      </c>
      <c r="G1055" t="s">
        <v>15</v>
      </c>
    </row>
    <row r="1056" spans="1:7" x14ac:dyDescent="0.25">
      <c r="A1056">
        <v>76</v>
      </c>
      <c r="B1056" t="s">
        <v>394</v>
      </c>
      <c r="C1056">
        <v>50</v>
      </c>
      <c r="D1056" t="s">
        <v>107</v>
      </c>
      <c r="E1056" t="s">
        <v>108</v>
      </c>
      <c r="F1056">
        <v>0.83099999999999996</v>
      </c>
      <c r="G1056" t="s">
        <v>13</v>
      </c>
    </row>
    <row r="1057" spans="1:7" x14ac:dyDescent="0.25">
      <c r="A1057">
        <v>76</v>
      </c>
      <c r="B1057" t="s">
        <v>394</v>
      </c>
      <c r="C1057">
        <v>60</v>
      </c>
      <c r="D1057" t="s">
        <v>267</v>
      </c>
      <c r="E1057" t="s">
        <v>11</v>
      </c>
      <c r="F1057">
        <v>1</v>
      </c>
      <c r="G1057" t="s">
        <v>13</v>
      </c>
    </row>
    <row r="1058" spans="1:7" x14ac:dyDescent="0.25">
      <c r="A1058">
        <v>76</v>
      </c>
      <c r="B1058" t="s">
        <v>394</v>
      </c>
      <c r="C1058">
        <v>70</v>
      </c>
      <c r="D1058" t="s">
        <v>109</v>
      </c>
      <c r="E1058" t="s">
        <v>14</v>
      </c>
      <c r="F1058">
        <v>19.812000000000001</v>
      </c>
      <c r="G1058" t="s">
        <v>13</v>
      </c>
    </row>
    <row r="1059" spans="1:7" x14ac:dyDescent="0.25">
      <c r="A1059">
        <v>76</v>
      </c>
      <c r="B1059" t="s">
        <v>394</v>
      </c>
      <c r="C1059">
        <v>80</v>
      </c>
      <c r="D1059" t="s">
        <v>16</v>
      </c>
      <c r="E1059" t="s">
        <v>14</v>
      </c>
      <c r="F1059">
        <v>122.78100000000001</v>
      </c>
      <c r="G1059" t="s">
        <v>13</v>
      </c>
    </row>
    <row r="1060" spans="1:7" x14ac:dyDescent="0.25">
      <c r="A1060">
        <v>76</v>
      </c>
      <c r="B1060" t="s">
        <v>394</v>
      </c>
      <c r="C1060">
        <v>90</v>
      </c>
      <c r="D1060" t="s">
        <v>265</v>
      </c>
      <c r="E1060" t="s">
        <v>12</v>
      </c>
      <c r="F1060">
        <v>0.126</v>
      </c>
      <c r="G1060" t="s">
        <v>13</v>
      </c>
    </row>
    <row r="1061" spans="1:7" x14ac:dyDescent="0.25">
      <c r="A1061">
        <v>76</v>
      </c>
      <c r="B1061" t="s">
        <v>394</v>
      </c>
      <c r="C1061">
        <v>100</v>
      </c>
      <c r="D1061" t="s">
        <v>269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394</v>
      </c>
      <c r="C1062">
        <v>110</v>
      </c>
      <c r="D1062" t="s">
        <v>20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394</v>
      </c>
      <c r="C1063">
        <v>120</v>
      </c>
      <c r="D1063" t="s">
        <v>21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394</v>
      </c>
      <c r="C1064">
        <v>130</v>
      </c>
      <c r="D1064" t="s">
        <v>110</v>
      </c>
      <c r="E1064" t="s">
        <v>12</v>
      </c>
      <c r="F1064">
        <v>0.90500000000000003</v>
      </c>
      <c r="G1064" t="s">
        <v>13</v>
      </c>
    </row>
    <row r="1065" spans="1:7" x14ac:dyDescent="0.25">
      <c r="A1065">
        <v>76</v>
      </c>
      <c r="B1065" t="s">
        <v>394</v>
      </c>
      <c r="C1065">
        <v>140</v>
      </c>
      <c r="D1065" t="s">
        <v>397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398</v>
      </c>
      <c r="C1066">
        <v>10</v>
      </c>
      <c r="D1066" t="s">
        <v>116</v>
      </c>
      <c r="E1066" t="s">
        <v>14</v>
      </c>
      <c r="F1066">
        <v>1.6259999999999999</v>
      </c>
      <c r="G1066" t="s">
        <v>15</v>
      </c>
    </row>
    <row r="1067" spans="1:7" x14ac:dyDescent="0.25">
      <c r="A1067">
        <v>77</v>
      </c>
      <c r="B1067" t="s">
        <v>398</v>
      </c>
      <c r="C1067">
        <v>20</v>
      </c>
      <c r="D1067" t="s">
        <v>399</v>
      </c>
      <c r="E1067" t="s">
        <v>11</v>
      </c>
      <c r="F1067">
        <v>1</v>
      </c>
      <c r="G1067" t="s">
        <v>15</v>
      </c>
    </row>
    <row r="1068" spans="1:7" x14ac:dyDescent="0.25">
      <c r="A1068">
        <v>77</v>
      </c>
      <c r="B1068" t="s">
        <v>398</v>
      </c>
      <c r="C1068">
        <v>30</v>
      </c>
      <c r="D1068" t="s">
        <v>400</v>
      </c>
      <c r="E1068" t="s">
        <v>11</v>
      </c>
      <c r="F1068">
        <v>1</v>
      </c>
      <c r="G1068" t="s">
        <v>15</v>
      </c>
    </row>
    <row r="1069" spans="1:7" x14ac:dyDescent="0.25">
      <c r="A1069">
        <v>77</v>
      </c>
      <c r="B1069" t="s">
        <v>398</v>
      </c>
      <c r="C1069">
        <v>40</v>
      </c>
      <c r="D1069" t="s">
        <v>266</v>
      </c>
      <c r="E1069" t="s">
        <v>14</v>
      </c>
      <c r="F1069">
        <v>1.6259999999999999</v>
      </c>
      <c r="G1069" t="s">
        <v>15</v>
      </c>
    </row>
    <row r="1070" spans="1:7" x14ac:dyDescent="0.25">
      <c r="A1070">
        <v>77</v>
      </c>
      <c r="B1070" t="s">
        <v>398</v>
      </c>
      <c r="C1070">
        <v>50</v>
      </c>
      <c r="D1070" t="s">
        <v>107</v>
      </c>
      <c r="E1070" t="s">
        <v>108</v>
      </c>
      <c r="F1070">
        <v>0.91900000000000004</v>
      </c>
      <c r="G1070" t="s">
        <v>13</v>
      </c>
    </row>
    <row r="1071" spans="1:7" x14ac:dyDescent="0.25">
      <c r="A1071">
        <v>77</v>
      </c>
      <c r="B1071" t="s">
        <v>398</v>
      </c>
      <c r="C1071">
        <v>60</v>
      </c>
      <c r="D1071" t="s">
        <v>267</v>
      </c>
      <c r="E1071" t="s">
        <v>11</v>
      </c>
      <c r="F1071">
        <v>1</v>
      </c>
      <c r="G1071" t="s">
        <v>13</v>
      </c>
    </row>
    <row r="1072" spans="1:7" x14ac:dyDescent="0.25">
      <c r="A1072">
        <v>77</v>
      </c>
      <c r="B1072" t="s">
        <v>398</v>
      </c>
      <c r="C1072">
        <v>70</v>
      </c>
      <c r="D1072" t="s">
        <v>109</v>
      </c>
      <c r="E1072" t="s">
        <v>14</v>
      </c>
      <c r="F1072">
        <v>20.725999999999999</v>
      </c>
      <c r="G1072" t="s">
        <v>13</v>
      </c>
    </row>
    <row r="1073" spans="1:7" x14ac:dyDescent="0.25">
      <c r="A1073">
        <v>77</v>
      </c>
      <c r="B1073" t="s">
        <v>398</v>
      </c>
      <c r="C1073">
        <v>80</v>
      </c>
      <c r="D1073" t="s">
        <v>16</v>
      </c>
      <c r="E1073" t="s">
        <v>14</v>
      </c>
      <c r="F1073">
        <v>128.405</v>
      </c>
      <c r="G1073" t="s">
        <v>13</v>
      </c>
    </row>
    <row r="1074" spans="1:7" x14ac:dyDescent="0.25">
      <c r="A1074">
        <v>77</v>
      </c>
      <c r="B1074" t="s">
        <v>398</v>
      </c>
      <c r="C1074">
        <v>90</v>
      </c>
      <c r="D1074" t="s">
        <v>265</v>
      </c>
      <c r="E1074" t="s">
        <v>12</v>
      </c>
      <c r="F1074">
        <v>0.13700000000000001</v>
      </c>
      <c r="G1074" t="s">
        <v>13</v>
      </c>
    </row>
    <row r="1075" spans="1:7" x14ac:dyDescent="0.25">
      <c r="A1075">
        <v>77</v>
      </c>
      <c r="B1075" t="s">
        <v>398</v>
      </c>
      <c r="C1075">
        <v>100</v>
      </c>
      <c r="D1075" t="s">
        <v>269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398</v>
      </c>
      <c r="C1076">
        <v>110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398</v>
      </c>
      <c r="C1077">
        <v>120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398</v>
      </c>
      <c r="C1078">
        <v>130</v>
      </c>
      <c r="D1078" t="s">
        <v>110</v>
      </c>
      <c r="E1078" t="s">
        <v>12</v>
      </c>
      <c r="F1078">
        <v>0.98599999999999999</v>
      </c>
      <c r="G1078" t="s">
        <v>13</v>
      </c>
    </row>
    <row r="1079" spans="1:7" x14ac:dyDescent="0.25">
      <c r="A1079">
        <v>77</v>
      </c>
      <c r="B1079" t="s">
        <v>398</v>
      </c>
      <c r="C1079">
        <v>140</v>
      </c>
      <c r="D1079" t="s">
        <v>401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402</v>
      </c>
      <c r="C1080">
        <v>10</v>
      </c>
      <c r="D1080" t="s">
        <v>116</v>
      </c>
      <c r="E1080" t="s">
        <v>14</v>
      </c>
      <c r="F1080">
        <v>1.778</v>
      </c>
      <c r="G1080" t="s">
        <v>15</v>
      </c>
    </row>
    <row r="1081" spans="1:7" x14ac:dyDescent="0.25">
      <c r="A1081">
        <v>78</v>
      </c>
      <c r="B1081" t="s">
        <v>402</v>
      </c>
      <c r="C1081">
        <v>20</v>
      </c>
      <c r="D1081" t="s">
        <v>403</v>
      </c>
      <c r="E1081" t="s">
        <v>11</v>
      </c>
      <c r="F1081">
        <v>1</v>
      </c>
      <c r="G1081" t="s">
        <v>15</v>
      </c>
    </row>
    <row r="1082" spans="1:7" x14ac:dyDescent="0.25">
      <c r="A1082">
        <v>78</v>
      </c>
      <c r="B1082" t="s">
        <v>402</v>
      </c>
      <c r="C1082">
        <v>30</v>
      </c>
      <c r="D1082" t="s">
        <v>404</v>
      </c>
      <c r="E1082" t="s">
        <v>11</v>
      </c>
      <c r="F1082">
        <v>1</v>
      </c>
      <c r="G1082" t="s">
        <v>15</v>
      </c>
    </row>
    <row r="1083" spans="1:7" x14ac:dyDescent="0.25">
      <c r="A1083">
        <v>78</v>
      </c>
      <c r="B1083" t="s">
        <v>402</v>
      </c>
      <c r="C1083">
        <v>40</v>
      </c>
      <c r="D1083" t="s">
        <v>266</v>
      </c>
      <c r="E1083" t="s">
        <v>14</v>
      </c>
      <c r="F1083">
        <v>1.778</v>
      </c>
      <c r="G1083" t="s">
        <v>15</v>
      </c>
    </row>
    <row r="1084" spans="1:7" x14ac:dyDescent="0.25">
      <c r="A1084">
        <v>78</v>
      </c>
      <c r="B1084" t="s">
        <v>402</v>
      </c>
      <c r="C1084">
        <v>50</v>
      </c>
      <c r="D1084" t="s">
        <v>107</v>
      </c>
      <c r="E1084" t="s">
        <v>108</v>
      </c>
      <c r="F1084">
        <v>1.006</v>
      </c>
      <c r="G1084" t="s">
        <v>13</v>
      </c>
    </row>
    <row r="1085" spans="1:7" x14ac:dyDescent="0.25">
      <c r="A1085">
        <v>78</v>
      </c>
      <c r="B1085" t="s">
        <v>402</v>
      </c>
      <c r="C1085">
        <v>60</v>
      </c>
      <c r="D1085" t="s">
        <v>267</v>
      </c>
      <c r="E1085" t="s">
        <v>11</v>
      </c>
      <c r="F1085">
        <v>1</v>
      </c>
      <c r="G1085" t="s">
        <v>13</v>
      </c>
    </row>
    <row r="1086" spans="1:7" x14ac:dyDescent="0.25">
      <c r="A1086">
        <v>78</v>
      </c>
      <c r="B1086" t="s">
        <v>402</v>
      </c>
      <c r="C1086">
        <v>70</v>
      </c>
      <c r="D1086" t="s">
        <v>109</v>
      </c>
      <c r="E1086" t="s">
        <v>14</v>
      </c>
      <c r="F1086">
        <v>21.640999999999998</v>
      </c>
      <c r="G1086" t="s">
        <v>13</v>
      </c>
    </row>
    <row r="1087" spans="1:7" x14ac:dyDescent="0.25">
      <c r="A1087">
        <v>78</v>
      </c>
      <c r="B1087" t="s">
        <v>402</v>
      </c>
      <c r="C1087">
        <v>80</v>
      </c>
      <c r="D1087" t="s">
        <v>16</v>
      </c>
      <c r="E1087" t="s">
        <v>14</v>
      </c>
      <c r="F1087">
        <v>134.02799999999999</v>
      </c>
      <c r="G1087" t="s">
        <v>13</v>
      </c>
    </row>
    <row r="1088" spans="1:7" x14ac:dyDescent="0.25">
      <c r="A1088">
        <v>78</v>
      </c>
      <c r="B1088" t="s">
        <v>402</v>
      </c>
      <c r="C1088">
        <v>90</v>
      </c>
      <c r="D1088" t="s">
        <v>265</v>
      </c>
      <c r="E1088" t="s">
        <v>12</v>
      </c>
      <c r="F1088">
        <v>0.14799999999999999</v>
      </c>
      <c r="G1088" t="s">
        <v>13</v>
      </c>
    </row>
    <row r="1089" spans="1:7" x14ac:dyDescent="0.25">
      <c r="A1089">
        <v>78</v>
      </c>
      <c r="B1089" t="s">
        <v>402</v>
      </c>
      <c r="C1089">
        <v>100</v>
      </c>
      <c r="D1089" t="s">
        <v>269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402</v>
      </c>
      <c r="C1090">
        <v>110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402</v>
      </c>
      <c r="C1091">
        <v>120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402</v>
      </c>
      <c r="C1092">
        <v>130</v>
      </c>
      <c r="D1092" t="s">
        <v>110</v>
      </c>
      <c r="E1092" t="s">
        <v>12</v>
      </c>
      <c r="F1092">
        <v>1.0669999999999999</v>
      </c>
      <c r="G1092" t="s">
        <v>13</v>
      </c>
    </row>
    <row r="1093" spans="1:7" x14ac:dyDescent="0.25">
      <c r="A1093">
        <v>78</v>
      </c>
      <c r="B1093" t="s">
        <v>402</v>
      </c>
      <c r="C1093">
        <v>140</v>
      </c>
      <c r="D1093" t="s">
        <v>405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406</v>
      </c>
      <c r="C1094">
        <v>10</v>
      </c>
      <c r="D1094" t="s">
        <v>116</v>
      </c>
      <c r="E1094" t="s">
        <v>14</v>
      </c>
      <c r="F1094">
        <v>0.86399999999999999</v>
      </c>
      <c r="G1094" t="s">
        <v>15</v>
      </c>
    </row>
    <row r="1095" spans="1:7" x14ac:dyDescent="0.25">
      <c r="A1095">
        <v>79</v>
      </c>
      <c r="B1095" t="s">
        <v>406</v>
      </c>
      <c r="C1095">
        <v>20</v>
      </c>
      <c r="D1095" t="s">
        <v>407</v>
      </c>
      <c r="E1095" t="s">
        <v>11</v>
      </c>
      <c r="F1095">
        <v>1</v>
      </c>
      <c r="G1095" t="s">
        <v>15</v>
      </c>
    </row>
    <row r="1096" spans="1:7" x14ac:dyDescent="0.25">
      <c r="A1096">
        <v>79</v>
      </c>
      <c r="B1096" t="s">
        <v>406</v>
      </c>
      <c r="C1096">
        <v>30</v>
      </c>
      <c r="D1096" t="s">
        <v>408</v>
      </c>
      <c r="E1096" t="s">
        <v>11</v>
      </c>
      <c r="F1096">
        <v>1</v>
      </c>
      <c r="G1096" t="s">
        <v>15</v>
      </c>
    </row>
    <row r="1097" spans="1:7" x14ac:dyDescent="0.25">
      <c r="A1097">
        <v>79</v>
      </c>
      <c r="B1097" t="s">
        <v>406</v>
      </c>
      <c r="C1097">
        <v>40</v>
      </c>
      <c r="D1097" t="s">
        <v>266</v>
      </c>
      <c r="E1097" t="s">
        <v>14</v>
      </c>
      <c r="F1097">
        <v>0.86399999999999999</v>
      </c>
      <c r="G1097" t="s">
        <v>15</v>
      </c>
    </row>
    <row r="1098" spans="1:7" x14ac:dyDescent="0.25">
      <c r="A1098">
        <v>79</v>
      </c>
      <c r="B1098" t="s">
        <v>406</v>
      </c>
      <c r="C1098">
        <v>50</v>
      </c>
      <c r="D1098" t="s">
        <v>107</v>
      </c>
      <c r="E1098" t="s">
        <v>108</v>
      </c>
      <c r="F1098">
        <v>0.501</v>
      </c>
      <c r="G1098" t="s">
        <v>13</v>
      </c>
    </row>
    <row r="1099" spans="1:7" x14ac:dyDescent="0.25">
      <c r="A1099">
        <v>79</v>
      </c>
      <c r="B1099" t="s">
        <v>406</v>
      </c>
      <c r="C1099">
        <v>60</v>
      </c>
      <c r="D1099" t="s">
        <v>267</v>
      </c>
      <c r="E1099" t="s">
        <v>11</v>
      </c>
      <c r="F1099">
        <v>1</v>
      </c>
      <c r="G1099" t="s">
        <v>13</v>
      </c>
    </row>
    <row r="1100" spans="1:7" x14ac:dyDescent="0.25">
      <c r="A1100">
        <v>79</v>
      </c>
      <c r="B1100" t="s">
        <v>406</v>
      </c>
      <c r="C1100">
        <v>70</v>
      </c>
      <c r="D1100" t="s">
        <v>109</v>
      </c>
      <c r="E1100" t="s">
        <v>14</v>
      </c>
      <c r="F1100">
        <v>16.611999999999998</v>
      </c>
      <c r="G1100" t="s">
        <v>13</v>
      </c>
    </row>
    <row r="1101" spans="1:7" x14ac:dyDescent="0.25">
      <c r="A1101">
        <v>79</v>
      </c>
      <c r="B1101" t="s">
        <v>406</v>
      </c>
      <c r="C1101">
        <v>80</v>
      </c>
      <c r="D1101" t="s">
        <v>16</v>
      </c>
      <c r="E1101" t="s">
        <v>14</v>
      </c>
      <c r="F1101">
        <v>103.099</v>
      </c>
      <c r="G1101" t="s">
        <v>13</v>
      </c>
    </row>
    <row r="1102" spans="1:7" x14ac:dyDescent="0.25">
      <c r="A1102">
        <v>79</v>
      </c>
      <c r="B1102" t="s">
        <v>406</v>
      </c>
      <c r="C1102">
        <v>90</v>
      </c>
      <c r="D1102" t="s">
        <v>265</v>
      </c>
      <c r="E1102" t="s">
        <v>12</v>
      </c>
      <c r="F1102">
        <v>8.4000000000000005E-2</v>
      </c>
      <c r="G1102" t="s">
        <v>13</v>
      </c>
    </row>
    <row r="1103" spans="1:7" x14ac:dyDescent="0.25">
      <c r="A1103">
        <v>79</v>
      </c>
      <c r="B1103" t="s">
        <v>406</v>
      </c>
      <c r="C1103">
        <v>100</v>
      </c>
      <c r="D1103" t="s">
        <v>269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406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406</v>
      </c>
      <c r="C1105">
        <v>120</v>
      </c>
      <c r="D1105" t="s">
        <v>21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406</v>
      </c>
      <c r="C1106">
        <v>130</v>
      </c>
      <c r="D1106" t="s">
        <v>110</v>
      </c>
      <c r="E1106" t="s">
        <v>12</v>
      </c>
      <c r="F1106">
        <v>0.58099999999999996</v>
      </c>
      <c r="G1106" t="s">
        <v>13</v>
      </c>
    </row>
    <row r="1107" spans="1:7" x14ac:dyDescent="0.25">
      <c r="A1107">
        <v>79</v>
      </c>
      <c r="B1107" t="s">
        <v>406</v>
      </c>
      <c r="C1107">
        <v>140</v>
      </c>
      <c r="D1107" t="s">
        <v>409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410</v>
      </c>
      <c r="C1108">
        <v>10</v>
      </c>
      <c r="D1108" t="s">
        <v>116</v>
      </c>
      <c r="E1108" t="s">
        <v>14</v>
      </c>
      <c r="F1108">
        <v>1.016</v>
      </c>
      <c r="G1108" t="s">
        <v>15</v>
      </c>
    </row>
    <row r="1109" spans="1:7" x14ac:dyDescent="0.25">
      <c r="A1109">
        <v>80</v>
      </c>
      <c r="B1109" t="s">
        <v>410</v>
      </c>
      <c r="C1109">
        <v>20</v>
      </c>
      <c r="D1109" t="s">
        <v>411</v>
      </c>
      <c r="E1109" t="s">
        <v>11</v>
      </c>
      <c r="F1109">
        <v>1</v>
      </c>
      <c r="G1109" t="s">
        <v>15</v>
      </c>
    </row>
    <row r="1110" spans="1:7" x14ac:dyDescent="0.25">
      <c r="A1110">
        <v>80</v>
      </c>
      <c r="B1110" t="s">
        <v>410</v>
      </c>
      <c r="C1110">
        <v>30</v>
      </c>
      <c r="D1110" t="s">
        <v>412</v>
      </c>
      <c r="E1110" t="s">
        <v>11</v>
      </c>
      <c r="F1110">
        <v>1</v>
      </c>
      <c r="G1110" t="s">
        <v>15</v>
      </c>
    </row>
    <row r="1111" spans="1:7" x14ac:dyDescent="0.25">
      <c r="A1111">
        <v>80</v>
      </c>
      <c r="B1111" t="s">
        <v>410</v>
      </c>
      <c r="C1111">
        <v>40</v>
      </c>
      <c r="D1111" t="s">
        <v>266</v>
      </c>
      <c r="E1111" t="s">
        <v>14</v>
      </c>
      <c r="F1111">
        <v>1.016</v>
      </c>
      <c r="G1111" t="s">
        <v>15</v>
      </c>
    </row>
    <row r="1112" spans="1:7" x14ac:dyDescent="0.25">
      <c r="A1112">
        <v>80</v>
      </c>
      <c r="B1112" t="s">
        <v>410</v>
      </c>
      <c r="C1112">
        <v>50</v>
      </c>
      <c r="D1112" t="s">
        <v>107</v>
      </c>
      <c r="E1112" t="s">
        <v>108</v>
      </c>
      <c r="F1112">
        <v>0.59199999999999997</v>
      </c>
      <c r="G1112" t="s">
        <v>13</v>
      </c>
    </row>
    <row r="1113" spans="1:7" x14ac:dyDescent="0.25">
      <c r="A1113">
        <v>80</v>
      </c>
      <c r="B1113" t="s">
        <v>410</v>
      </c>
      <c r="C1113">
        <v>60</v>
      </c>
      <c r="D1113" t="s">
        <v>267</v>
      </c>
      <c r="E1113" t="s">
        <v>11</v>
      </c>
      <c r="F1113">
        <v>1</v>
      </c>
      <c r="G1113" t="s">
        <v>13</v>
      </c>
    </row>
    <row r="1114" spans="1:7" x14ac:dyDescent="0.25">
      <c r="A1114">
        <v>80</v>
      </c>
      <c r="B1114" t="s">
        <v>410</v>
      </c>
      <c r="C1114">
        <v>70</v>
      </c>
      <c r="D1114" t="s">
        <v>109</v>
      </c>
      <c r="E1114" t="s">
        <v>14</v>
      </c>
      <c r="F1114">
        <v>17.526</v>
      </c>
      <c r="G1114" t="s">
        <v>13</v>
      </c>
    </row>
    <row r="1115" spans="1:7" x14ac:dyDescent="0.25">
      <c r="A1115">
        <v>80</v>
      </c>
      <c r="B1115" t="s">
        <v>410</v>
      </c>
      <c r="C1115">
        <v>80</v>
      </c>
      <c r="D1115" t="s">
        <v>16</v>
      </c>
      <c r="E1115" t="s">
        <v>14</v>
      </c>
      <c r="F1115">
        <v>108.72199999999999</v>
      </c>
      <c r="G1115" t="s">
        <v>13</v>
      </c>
    </row>
    <row r="1116" spans="1:7" x14ac:dyDescent="0.25">
      <c r="A1116">
        <v>80</v>
      </c>
      <c r="B1116" t="s">
        <v>410</v>
      </c>
      <c r="C1116">
        <v>90</v>
      </c>
      <c r="D1116" t="s">
        <v>265</v>
      </c>
      <c r="E1116" t="s">
        <v>12</v>
      </c>
      <c r="F1116">
        <v>9.4E-2</v>
      </c>
      <c r="G1116" t="s">
        <v>13</v>
      </c>
    </row>
    <row r="1117" spans="1:7" x14ac:dyDescent="0.25">
      <c r="A1117">
        <v>80</v>
      </c>
      <c r="B1117" t="s">
        <v>410</v>
      </c>
      <c r="C1117">
        <v>100</v>
      </c>
      <c r="D1117" t="s">
        <v>269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410</v>
      </c>
      <c r="C1118">
        <v>110</v>
      </c>
      <c r="D1118" t="s">
        <v>20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410</v>
      </c>
      <c r="C1119">
        <v>120</v>
      </c>
      <c r="D1119" t="s">
        <v>21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410</v>
      </c>
      <c r="C1120">
        <v>130</v>
      </c>
      <c r="D1120" t="s">
        <v>110</v>
      </c>
      <c r="E1120" t="s">
        <v>12</v>
      </c>
      <c r="F1120">
        <v>0.66200000000000003</v>
      </c>
      <c r="G1120" t="s">
        <v>13</v>
      </c>
    </row>
    <row r="1121" spans="1:7" x14ac:dyDescent="0.25">
      <c r="A1121">
        <v>80</v>
      </c>
      <c r="B1121" t="s">
        <v>410</v>
      </c>
      <c r="C1121">
        <v>140</v>
      </c>
      <c r="D1121" t="s">
        <v>413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414</v>
      </c>
      <c r="C1122">
        <v>10</v>
      </c>
      <c r="D1122" t="s">
        <v>116</v>
      </c>
      <c r="E1122" t="s">
        <v>14</v>
      </c>
      <c r="F1122">
        <v>1.1679999999999999</v>
      </c>
      <c r="G1122" t="s">
        <v>15</v>
      </c>
    </row>
    <row r="1123" spans="1:7" x14ac:dyDescent="0.25">
      <c r="A1123">
        <v>81</v>
      </c>
      <c r="B1123" t="s">
        <v>414</v>
      </c>
      <c r="C1123">
        <v>20</v>
      </c>
      <c r="D1123" t="s">
        <v>415</v>
      </c>
      <c r="E1123" t="s">
        <v>11</v>
      </c>
      <c r="F1123">
        <v>1</v>
      </c>
      <c r="G1123" t="s">
        <v>15</v>
      </c>
    </row>
    <row r="1124" spans="1:7" x14ac:dyDescent="0.25">
      <c r="A1124">
        <v>81</v>
      </c>
      <c r="B1124" t="s">
        <v>414</v>
      </c>
      <c r="C1124">
        <v>30</v>
      </c>
      <c r="D1124" t="s">
        <v>416</v>
      </c>
      <c r="E1124" t="s">
        <v>11</v>
      </c>
      <c r="F1124">
        <v>1</v>
      </c>
      <c r="G1124" t="s">
        <v>15</v>
      </c>
    </row>
    <row r="1125" spans="1:7" x14ac:dyDescent="0.25">
      <c r="A1125">
        <v>81</v>
      </c>
      <c r="B1125" t="s">
        <v>414</v>
      </c>
      <c r="C1125">
        <v>40</v>
      </c>
      <c r="D1125" t="s">
        <v>266</v>
      </c>
      <c r="E1125" t="s">
        <v>14</v>
      </c>
      <c r="F1125">
        <v>1.1679999999999999</v>
      </c>
      <c r="G1125" t="s">
        <v>15</v>
      </c>
    </row>
    <row r="1126" spans="1:7" x14ac:dyDescent="0.25">
      <c r="A1126">
        <v>81</v>
      </c>
      <c r="B1126" t="s">
        <v>414</v>
      </c>
      <c r="C1126">
        <v>50</v>
      </c>
      <c r="D1126" t="s">
        <v>107</v>
      </c>
      <c r="E1126" t="s">
        <v>108</v>
      </c>
      <c r="F1126">
        <v>0.68300000000000005</v>
      </c>
      <c r="G1126" t="s">
        <v>13</v>
      </c>
    </row>
    <row r="1127" spans="1:7" x14ac:dyDescent="0.25">
      <c r="A1127">
        <v>81</v>
      </c>
      <c r="B1127" t="s">
        <v>414</v>
      </c>
      <c r="C1127">
        <v>60</v>
      </c>
      <c r="D1127" t="s">
        <v>267</v>
      </c>
      <c r="E1127" t="s">
        <v>11</v>
      </c>
      <c r="F1127">
        <v>1</v>
      </c>
      <c r="G1127" t="s">
        <v>13</v>
      </c>
    </row>
    <row r="1128" spans="1:7" x14ac:dyDescent="0.25">
      <c r="A1128">
        <v>81</v>
      </c>
      <c r="B1128" t="s">
        <v>414</v>
      </c>
      <c r="C1128">
        <v>70</v>
      </c>
      <c r="D1128" t="s">
        <v>109</v>
      </c>
      <c r="E1128" t="s">
        <v>14</v>
      </c>
      <c r="F1128">
        <v>18.440000000000001</v>
      </c>
      <c r="G1128" t="s">
        <v>13</v>
      </c>
    </row>
    <row r="1129" spans="1:7" x14ac:dyDescent="0.25">
      <c r="A1129">
        <v>81</v>
      </c>
      <c r="B1129" t="s">
        <v>414</v>
      </c>
      <c r="C1129">
        <v>80</v>
      </c>
      <c r="D1129" t="s">
        <v>16</v>
      </c>
      <c r="E1129" t="s">
        <v>14</v>
      </c>
      <c r="F1129">
        <v>114.346</v>
      </c>
      <c r="G1129" t="s">
        <v>13</v>
      </c>
    </row>
    <row r="1130" spans="1:7" x14ac:dyDescent="0.25">
      <c r="A1130">
        <v>81</v>
      </c>
      <c r="B1130" t="s">
        <v>414</v>
      </c>
      <c r="C1130">
        <v>90</v>
      </c>
      <c r="D1130" t="s">
        <v>265</v>
      </c>
      <c r="E1130" t="s">
        <v>12</v>
      </c>
      <c r="F1130">
        <v>0.105</v>
      </c>
      <c r="G1130" t="s">
        <v>13</v>
      </c>
    </row>
    <row r="1131" spans="1:7" x14ac:dyDescent="0.25">
      <c r="A1131">
        <v>81</v>
      </c>
      <c r="B1131" t="s">
        <v>414</v>
      </c>
      <c r="C1131">
        <v>100</v>
      </c>
      <c r="D1131" t="s">
        <v>269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414</v>
      </c>
      <c r="C1132">
        <v>110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414</v>
      </c>
      <c r="C1133">
        <v>120</v>
      </c>
      <c r="D1133" t="s">
        <v>21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414</v>
      </c>
      <c r="C1134">
        <v>130</v>
      </c>
      <c r="D1134" t="s">
        <v>110</v>
      </c>
      <c r="E1134" t="s">
        <v>12</v>
      </c>
      <c r="F1134">
        <v>0.74299999999999999</v>
      </c>
      <c r="G1134" t="s">
        <v>13</v>
      </c>
    </row>
    <row r="1135" spans="1:7" x14ac:dyDescent="0.25">
      <c r="A1135">
        <v>81</v>
      </c>
      <c r="B1135" t="s">
        <v>414</v>
      </c>
      <c r="C1135">
        <v>140</v>
      </c>
      <c r="D1135" t="s">
        <v>417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418</v>
      </c>
      <c r="C1136">
        <v>10</v>
      </c>
      <c r="D1136" t="s">
        <v>116</v>
      </c>
      <c r="E1136" t="s">
        <v>14</v>
      </c>
      <c r="F1136">
        <v>1.321</v>
      </c>
      <c r="G1136" t="s">
        <v>15</v>
      </c>
    </row>
    <row r="1137" spans="1:7" x14ac:dyDescent="0.25">
      <c r="A1137">
        <v>82</v>
      </c>
      <c r="B1137" t="s">
        <v>418</v>
      </c>
      <c r="C1137">
        <v>20</v>
      </c>
      <c r="D1137" t="s">
        <v>419</v>
      </c>
      <c r="E1137" t="s">
        <v>11</v>
      </c>
      <c r="F1137">
        <v>1</v>
      </c>
      <c r="G1137" t="s">
        <v>15</v>
      </c>
    </row>
    <row r="1138" spans="1:7" x14ac:dyDescent="0.25">
      <c r="A1138">
        <v>82</v>
      </c>
      <c r="B1138" t="s">
        <v>418</v>
      </c>
      <c r="C1138">
        <v>30</v>
      </c>
      <c r="D1138" t="s">
        <v>420</v>
      </c>
      <c r="E1138" t="s">
        <v>11</v>
      </c>
      <c r="F1138">
        <v>1</v>
      </c>
      <c r="G1138" t="s">
        <v>15</v>
      </c>
    </row>
    <row r="1139" spans="1:7" x14ac:dyDescent="0.25">
      <c r="A1139">
        <v>82</v>
      </c>
      <c r="B1139" t="s">
        <v>418</v>
      </c>
      <c r="C1139">
        <v>40</v>
      </c>
      <c r="D1139" t="s">
        <v>266</v>
      </c>
      <c r="E1139" t="s">
        <v>14</v>
      </c>
      <c r="F1139">
        <v>1.321</v>
      </c>
      <c r="G1139" t="s">
        <v>15</v>
      </c>
    </row>
    <row r="1140" spans="1:7" x14ac:dyDescent="0.25">
      <c r="A1140">
        <v>82</v>
      </c>
      <c r="B1140" t="s">
        <v>418</v>
      </c>
      <c r="C1140">
        <v>50</v>
      </c>
      <c r="D1140" t="s">
        <v>107</v>
      </c>
      <c r="E1140" t="s">
        <v>108</v>
      </c>
      <c r="F1140">
        <v>0.77500000000000002</v>
      </c>
      <c r="G1140" t="s">
        <v>13</v>
      </c>
    </row>
    <row r="1141" spans="1:7" x14ac:dyDescent="0.25">
      <c r="A1141">
        <v>82</v>
      </c>
      <c r="B1141" t="s">
        <v>418</v>
      </c>
      <c r="C1141">
        <v>60</v>
      </c>
      <c r="D1141" t="s">
        <v>267</v>
      </c>
      <c r="E1141" t="s">
        <v>11</v>
      </c>
      <c r="F1141">
        <v>1</v>
      </c>
      <c r="G1141" t="s">
        <v>13</v>
      </c>
    </row>
    <row r="1142" spans="1:7" x14ac:dyDescent="0.25">
      <c r="A1142">
        <v>82</v>
      </c>
      <c r="B1142" t="s">
        <v>418</v>
      </c>
      <c r="C1142">
        <v>70</v>
      </c>
      <c r="D1142" t="s">
        <v>109</v>
      </c>
      <c r="E1142" t="s">
        <v>14</v>
      </c>
      <c r="F1142">
        <v>19.355</v>
      </c>
      <c r="G1142" t="s">
        <v>13</v>
      </c>
    </row>
    <row r="1143" spans="1:7" x14ac:dyDescent="0.25">
      <c r="A1143">
        <v>82</v>
      </c>
      <c r="B1143" t="s">
        <v>418</v>
      </c>
      <c r="C1143">
        <v>80</v>
      </c>
      <c r="D1143" t="s">
        <v>16</v>
      </c>
      <c r="E1143" t="s">
        <v>14</v>
      </c>
      <c r="F1143">
        <v>119.96899999999999</v>
      </c>
      <c r="G1143" t="s">
        <v>13</v>
      </c>
    </row>
    <row r="1144" spans="1:7" x14ac:dyDescent="0.25">
      <c r="A1144">
        <v>82</v>
      </c>
      <c r="B1144" t="s">
        <v>418</v>
      </c>
      <c r="C1144">
        <v>90</v>
      </c>
      <c r="D1144" t="s">
        <v>265</v>
      </c>
      <c r="E1144" t="s">
        <v>12</v>
      </c>
      <c r="F1144">
        <v>0.11600000000000001</v>
      </c>
      <c r="G1144" t="s">
        <v>13</v>
      </c>
    </row>
    <row r="1145" spans="1:7" x14ac:dyDescent="0.25">
      <c r="A1145">
        <v>82</v>
      </c>
      <c r="B1145" t="s">
        <v>418</v>
      </c>
      <c r="C1145">
        <v>100</v>
      </c>
      <c r="D1145" t="s">
        <v>269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418</v>
      </c>
      <c r="C1146">
        <v>110</v>
      </c>
      <c r="D1146" t="s">
        <v>20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418</v>
      </c>
      <c r="C1147">
        <v>120</v>
      </c>
      <c r="D1147" t="s">
        <v>21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418</v>
      </c>
      <c r="C1148">
        <v>130</v>
      </c>
      <c r="D1148" t="s">
        <v>110</v>
      </c>
      <c r="E1148" t="s">
        <v>12</v>
      </c>
      <c r="F1148">
        <v>0.82399999999999995</v>
      </c>
      <c r="G1148" t="s">
        <v>13</v>
      </c>
    </row>
    <row r="1149" spans="1:7" x14ac:dyDescent="0.25">
      <c r="A1149">
        <v>82</v>
      </c>
      <c r="B1149" t="s">
        <v>418</v>
      </c>
      <c r="C1149">
        <v>140</v>
      </c>
      <c r="D1149" t="s">
        <v>421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422</v>
      </c>
      <c r="C1150">
        <v>10</v>
      </c>
      <c r="D1150" t="s">
        <v>116</v>
      </c>
      <c r="E1150" t="s">
        <v>14</v>
      </c>
      <c r="F1150">
        <v>1.397</v>
      </c>
      <c r="G1150" t="s">
        <v>15</v>
      </c>
    </row>
    <row r="1151" spans="1:7" x14ac:dyDescent="0.25">
      <c r="A1151">
        <v>83</v>
      </c>
      <c r="B1151" t="s">
        <v>422</v>
      </c>
      <c r="C1151">
        <v>20</v>
      </c>
      <c r="D1151" t="s">
        <v>423</v>
      </c>
      <c r="E1151" t="s">
        <v>11</v>
      </c>
      <c r="F1151">
        <v>1</v>
      </c>
      <c r="G1151" t="s">
        <v>15</v>
      </c>
    </row>
    <row r="1152" spans="1:7" x14ac:dyDescent="0.25">
      <c r="A1152">
        <v>83</v>
      </c>
      <c r="B1152" t="s">
        <v>422</v>
      </c>
      <c r="C1152">
        <v>30</v>
      </c>
      <c r="D1152" t="s">
        <v>424</v>
      </c>
      <c r="E1152" t="s">
        <v>11</v>
      </c>
      <c r="F1152">
        <v>1</v>
      </c>
      <c r="G1152" t="s">
        <v>15</v>
      </c>
    </row>
    <row r="1153" spans="1:7" x14ac:dyDescent="0.25">
      <c r="A1153">
        <v>83</v>
      </c>
      <c r="B1153" t="s">
        <v>422</v>
      </c>
      <c r="C1153">
        <v>40</v>
      </c>
      <c r="D1153" t="s">
        <v>266</v>
      </c>
      <c r="E1153" t="s">
        <v>14</v>
      </c>
      <c r="F1153">
        <v>1.397</v>
      </c>
      <c r="G1153" t="s">
        <v>15</v>
      </c>
    </row>
    <row r="1154" spans="1:7" x14ac:dyDescent="0.25">
      <c r="A1154">
        <v>83</v>
      </c>
      <c r="B1154" t="s">
        <v>422</v>
      </c>
      <c r="C1154">
        <v>50</v>
      </c>
      <c r="D1154" t="s">
        <v>107</v>
      </c>
      <c r="E1154" t="s">
        <v>108</v>
      </c>
      <c r="F1154">
        <v>0.82</v>
      </c>
      <c r="G1154" t="s">
        <v>13</v>
      </c>
    </row>
    <row r="1155" spans="1:7" x14ac:dyDescent="0.25">
      <c r="A1155">
        <v>83</v>
      </c>
      <c r="B1155" t="s">
        <v>422</v>
      </c>
      <c r="C1155">
        <v>60</v>
      </c>
      <c r="D1155" t="s">
        <v>267</v>
      </c>
      <c r="E1155" t="s">
        <v>11</v>
      </c>
      <c r="F1155">
        <v>1</v>
      </c>
      <c r="G1155" t="s">
        <v>13</v>
      </c>
    </row>
    <row r="1156" spans="1:7" x14ac:dyDescent="0.25">
      <c r="A1156">
        <v>83</v>
      </c>
      <c r="B1156" t="s">
        <v>422</v>
      </c>
      <c r="C1156">
        <v>70</v>
      </c>
      <c r="D1156" t="s">
        <v>109</v>
      </c>
      <c r="E1156" t="s">
        <v>14</v>
      </c>
      <c r="F1156">
        <v>19.812000000000001</v>
      </c>
      <c r="G1156" t="s">
        <v>13</v>
      </c>
    </row>
    <row r="1157" spans="1:7" x14ac:dyDescent="0.25">
      <c r="A1157">
        <v>83</v>
      </c>
      <c r="B1157" t="s">
        <v>422</v>
      </c>
      <c r="C1157">
        <v>80</v>
      </c>
      <c r="D1157" t="s">
        <v>16</v>
      </c>
      <c r="E1157" t="s">
        <v>14</v>
      </c>
      <c r="F1157">
        <v>122.78100000000001</v>
      </c>
      <c r="G1157" t="s">
        <v>13</v>
      </c>
    </row>
    <row r="1158" spans="1:7" x14ac:dyDescent="0.25">
      <c r="A1158">
        <v>83</v>
      </c>
      <c r="B1158" t="s">
        <v>422</v>
      </c>
      <c r="C1158">
        <v>90</v>
      </c>
      <c r="D1158" t="s">
        <v>265</v>
      </c>
      <c r="E1158" t="s">
        <v>12</v>
      </c>
      <c r="F1158">
        <v>0.121</v>
      </c>
      <c r="G1158" t="s">
        <v>13</v>
      </c>
    </row>
    <row r="1159" spans="1:7" x14ac:dyDescent="0.25">
      <c r="A1159">
        <v>83</v>
      </c>
      <c r="B1159" t="s">
        <v>422</v>
      </c>
      <c r="C1159">
        <v>100</v>
      </c>
      <c r="D1159" t="s">
        <v>269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422</v>
      </c>
      <c r="C1160">
        <v>110</v>
      </c>
      <c r="D1160" t="s">
        <v>20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422</v>
      </c>
      <c r="C1161">
        <v>120</v>
      </c>
      <c r="D1161" t="s">
        <v>21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422</v>
      </c>
      <c r="C1162">
        <v>130</v>
      </c>
      <c r="D1162" t="s">
        <v>110</v>
      </c>
      <c r="E1162" t="s">
        <v>12</v>
      </c>
      <c r="F1162">
        <v>0.86499999999999999</v>
      </c>
      <c r="G1162" t="s">
        <v>13</v>
      </c>
    </row>
    <row r="1163" spans="1:7" x14ac:dyDescent="0.25">
      <c r="A1163">
        <v>83</v>
      </c>
      <c r="B1163" t="s">
        <v>422</v>
      </c>
      <c r="C1163">
        <v>140</v>
      </c>
      <c r="D1163" t="s">
        <v>425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426</v>
      </c>
      <c r="C1164">
        <v>10</v>
      </c>
      <c r="D1164" t="s">
        <v>116</v>
      </c>
      <c r="E1164" t="s">
        <v>14</v>
      </c>
      <c r="F1164">
        <v>1.4730000000000001</v>
      </c>
      <c r="G1164" t="s">
        <v>15</v>
      </c>
    </row>
    <row r="1165" spans="1:7" x14ac:dyDescent="0.25">
      <c r="A1165">
        <v>84</v>
      </c>
      <c r="B1165" t="s">
        <v>426</v>
      </c>
      <c r="C1165">
        <v>20</v>
      </c>
      <c r="D1165" t="s">
        <v>427</v>
      </c>
      <c r="E1165" t="s">
        <v>11</v>
      </c>
      <c r="F1165">
        <v>1</v>
      </c>
      <c r="G1165" t="s">
        <v>15</v>
      </c>
    </row>
    <row r="1166" spans="1:7" x14ac:dyDescent="0.25">
      <c r="A1166">
        <v>84</v>
      </c>
      <c r="B1166" t="s">
        <v>426</v>
      </c>
      <c r="C1166">
        <v>30</v>
      </c>
      <c r="D1166" t="s">
        <v>428</v>
      </c>
      <c r="E1166" t="s">
        <v>11</v>
      </c>
      <c r="F1166">
        <v>1</v>
      </c>
      <c r="G1166" t="s">
        <v>15</v>
      </c>
    </row>
    <row r="1167" spans="1:7" x14ac:dyDescent="0.25">
      <c r="A1167">
        <v>84</v>
      </c>
      <c r="B1167" t="s">
        <v>426</v>
      </c>
      <c r="C1167">
        <v>40</v>
      </c>
      <c r="D1167" t="s">
        <v>266</v>
      </c>
      <c r="E1167" t="s">
        <v>14</v>
      </c>
      <c r="F1167">
        <v>1.4730000000000001</v>
      </c>
      <c r="G1167" t="s">
        <v>15</v>
      </c>
    </row>
    <row r="1168" spans="1:7" x14ac:dyDescent="0.25">
      <c r="A1168">
        <v>84</v>
      </c>
      <c r="B1168" t="s">
        <v>426</v>
      </c>
      <c r="C1168">
        <v>50</v>
      </c>
      <c r="D1168" t="s">
        <v>107</v>
      </c>
      <c r="E1168" t="s">
        <v>108</v>
      </c>
      <c r="F1168">
        <v>0.86599999999999999</v>
      </c>
      <c r="G1168" t="s">
        <v>13</v>
      </c>
    </row>
    <row r="1169" spans="1:7" x14ac:dyDescent="0.25">
      <c r="A1169">
        <v>84</v>
      </c>
      <c r="B1169" t="s">
        <v>426</v>
      </c>
      <c r="C1169">
        <v>60</v>
      </c>
      <c r="D1169" t="s">
        <v>267</v>
      </c>
      <c r="E1169" t="s">
        <v>11</v>
      </c>
      <c r="F1169">
        <v>1</v>
      </c>
      <c r="G1169" t="s">
        <v>13</v>
      </c>
    </row>
    <row r="1170" spans="1:7" x14ac:dyDescent="0.25">
      <c r="A1170">
        <v>84</v>
      </c>
      <c r="B1170" t="s">
        <v>426</v>
      </c>
      <c r="C1170">
        <v>70</v>
      </c>
      <c r="D1170" t="s">
        <v>109</v>
      </c>
      <c r="E1170" t="s">
        <v>14</v>
      </c>
      <c r="F1170">
        <v>20.268999999999998</v>
      </c>
      <c r="G1170" t="s">
        <v>13</v>
      </c>
    </row>
    <row r="1171" spans="1:7" x14ac:dyDescent="0.25">
      <c r="A1171">
        <v>84</v>
      </c>
      <c r="B1171" t="s">
        <v>426</v>
      </c>
      <c r="C1171">
        <v>80</v>
      </c>
      <c r="D1171" t="s">
        <v>16</v>
      </c>
      <c r="E1171" t="s">
        <v>14</v>
      </c>
      <c r="F1171">
        <v>125.593</v>
      </c>
      <c r="G1171" t="s">
        <v>13</v>
      </c>
    </row>
    <row r="1172" spans="1:7" x14ac:dyDescent="0.25">
      <c r="A1172">
        <v>84</v>
      </c>
      <c r="B1172" t="s">
        <v>426</v>
      </c>
      <c r="C1172">
        <v>90</v>
      </c>
      <c r="D1172" t="s">
        <v>265</v>
      </c>
      <c r="E1172" t="s">
        <v>12</v>
      </c>
      <c r="F1172">
        <v>0.126</v>
      </c>
      <c r="G1172" t="s">
        <v>13</v>
      </c>
    </row>
    <row r="1173" spans="1:7" x14ac:dyDescent="0.25">
      <c r="A1173">
        <v>84</v>
      </c>
      <c r="B1173" t="s">
        <v>426</v>
      </c>
      <c r="C1173">
        <v>100</v>
      </c>
      <c r="D1173" t="s">
        <v>269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426</v>
      </c>
      <c r="C1174">
        <v>110</v>
      </c>
      <c r="D1174" t="s">
        <v>20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426</v>
      </c>
      <c r="C1175">
        <v>120</v>
      </c>
      <c r="D1175" t="s">
        <v>21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426</v>
      </c>
      <c r="C1176">
        <v>130</v>
      </c>
      <c r="D1176" t="s">
        <v>110</v>
      </c>
      <c r="E1176" t="s">
        <v>12</v>
      </c>
      <c r="F1176">
        <v>0.90500000000000003</v>
      </c>
      <c r="G1176" t="s">
        <v>13</v>
      </c>
    </row>
    <row r="1177" spans="1:7" x14ac:dyDescent="0.25">
      <c r="A1177">
        <v>84</v>
      </c>
      <c r="B1177" t="s">
        <v>426</v>
      </c>
      <c r="C1177">
        <v>140</v>
      </c>
      <c r="D1177" t="s">
        <v>429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430</v>
      </c>
      <c r="C1178">
        <v>10</v>
      </c>
      <c r="D1178" t="s">
        <v>116</v>
      </c>
      <c r="E1178" t="s">
        <v>14</v>
      </c>
      <c r="F1178">
        <v>1.6259999999999999</v>
      </c>
      <c r="G1178" t="s">
        <v>15</v>
      </c>
    </row>
    <row r="1179" spans="1:7" x14ac:dyDescent="0.25">
      <c r="A1179">
        <v>85</v>
      </c>
      <c r="B1179" t="s">
        <v>430</v>
      </c>
      <c r="C1179">
        <v>20</v>
      </c>
      <c r="D1179" t="s">
        <v>431</v>
      </c>
      <c r="E1179" t="s">
        <v>11</v>
      </c>
      <c r="F1179">
        <v>1</v>
      </c>
      <c r="G1179" t="s">
        <v>15</v>
      </c>
    </row>
    <row r="1180" spans="1:7" x14ac:dyDescent="0.25">
      <c r="A1180">
        <v>85</v>
      </c>
      <c r="B1180" t="s">
        <v>430</v>
      </c>
      <c r="C1180">
        <v>30</v>
      </c>
      <c r="D1180" t="s">
        <v>432</v>
      </c>
      <c r="E1180" t="s">
        <v>11</v>
      </c>
      <c r="F1180">
        <v>1</v>
      </c>
      <c r="G1180" t="s">
        <v>15</v>
      </c>
    </row>
    <row r="1181" spans="1:7" x14ac:dyDescent="0.25">
      <c r="A1181">
        <v>85</v>
      </c>
      <c r="B1181" t="s">
        <v>430</v>
      </c>
      <c r="C1181">
        <v>40</v>
      </c>
      <c r="D1181" t="s">
        <v>266</v>
      </c>
      <c r="E1181" t="s">
        <v>14</v>
      </c>
      <c r="F1181">
        <v>1.6259999999999999</v>
      </c>
      <c r="G1181" t="s">
        <v>15</v>
      </c>
    </row>
    <row r="1182" spans="1:7" x14ac:dyDescent="0.25">
      <c r="A1182">
        <v>85</v>
      </c>
      <c r="B1182" t="s">
        <v>430</v>
      </c>
      <c r="C1182">
        <v>50</v>
      </c>
      <c r="D1182" t="s">
        <v>107</v>
      </c>
      <c r="E1182" t="s">
        <v>108</v>
      </c>
      <c r="F1182">
        <v>0.95699999999999996</v>
      </c>
      <c r="G1182" t="s">
        <v>13</v>
      </c>
    </row>
    <row r="1183" spans="1:7" x14ac:dyDescent="0.25">
      <c r="A1183">
        <v>85</v>
      </c>
      <c r="B1183" t="s">
        <v>430</v>
      </c>
      <c r="C1183">
        <v>60</v>
      </c>
      <c r="D1183" t="s">
        <v>267</v>
      </c>
      <c r="E1183" t="s">
        <v>11</v>
      </c>
      <c r="F1183">
        <v>1</v>
      </c>
      <c r="G1183" t="s">
        <v>13</v>
      </c>
    </row>
    <row r="1184" spans="1:7" x14ac:dyDescent="0.25">
      <c r="A1184">
        <v>85</v>
      </c>
      <c r="B1184" t="s">
        <v>430</v>
      </c>
      <c r="C1184">
        <v>70</v>
      </c>
      <c r="D1184" t="s">
        <v>109</v>
      </c>
      <c r="E1184" t="s">
        <v>14</v>
      </c>
      <c r="F1184">
        <v>21.184000000000001</v>
      </c>
      <c r="G1184" t="s">
        <v>13</v>
      </c>
    </row>
    <row r="1185" spans="1:7" x14ac:dyDescent="0.25">
      <c r="A1185">
        <v>85</v>
      </c>
      <c r="B1185" t="s">
        <v>430</v>
      </c>
      <c r="C1185">
        <v>80</v>
      </c>
      <c r="D1185" t="s">
        <v>16</v>
      </c>
      <c r="E1185" t="s">
        <v>14</v>
      </c>
      <c r="F1185">
        <v>131.21600000000001</v>
      </c>
      <c r="G1185" t="s">
        <v>13</v>
      </c>
    </row>
    <row r="1186" spans="1:7" x14ac:dyDescent="0.25">
      <c r="A1186">
        <v>85</v>
      </c>
      <c r="B1186" t="s">
        <v>430</v>
      </c>
      <c r="C1186">
        <v>90</v>
      </c>
      <c r="D1186" t="s">
        <v>265</v>
      </c>
      <c r="E1186" t="s">
        <v>12</v>
      </c>
      <c r="F1186">
        <v>0.13700000000000001</v>
      </c>
      <c r="G1186" t="s">
        <v>13</v>
      </c>
    </row>
    <row r="1187" spans="1:7" x14ac:dyDescent="0.25">
      <c r="A1187">
        <v>85</v>
      </c>
      <c r="B1187" t="s">
        <v>430</v>
      </c>
      <c r="C1187">
        <v>100</v>
      </c>
      <c r="D1187" t="s">
        <v>269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430</v>
      </c>
      <c r="C1188">
        <v>110</v>
      </c>
      <c r="D1188" t="s">
        <v>20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430</v>
      </c>
      <c r="C1189">
        <v>120</v>
      </c>
      <c r="D1189" t="s">
        <v>21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430</v>
      </c>
      <c r="C1190">
        <v>130</v>
      </c>
      <c r="D1190" t="s">
        <v>110</v>
      </c>
      <c r="E1190" t="s">
        <v>12</v>
      </c>
      <c r="F1190">
        <v>0.98599999999999999</v>
      </c>
      <c r="G1190" t="s">
        <v>13</v>
      </c>
    </row>
    <row r="1191" spans="1:7" x14ac:dyDescent="0.25">
      <c r="A1191">
        <v>85</v>
      </c>
      <c r="B1191" t="s">
        <v>430</v>
      </c>
      <c r="C1191">
        <v>140</v>
      </c>
      <c r="D1191" t="s">
        <v>433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434</v>
      </c>
      <c r="C1192">
        <v>10</v>
      </c>
      <c r="D1192" t="s">
        <v>116</v>
      </c>
      <c r="E1192" t="s">
        <v>14</v>
      </c>
      <c r="F1192">
        <v>1.778</v>
      </c>
      <c r="G1192" t="s">
        <v>15</v>
      </c>
    </row>
    <row r="1193" spans="1:7" x14ac:dyDescent="0.25">
      <c r="A1193">
        <v>86</v>
      </c>
      <c r="B1193" t="s">
        <v>434</v>
      </c>
      <c r="C1193">
        <v>20</v>
      </c>
      <c r="D1193" t="s">
        <v>435</v>
      </c>
      <c r="E1193" t="s">
        <v>11</v>
      </c>
      <c r="F1193">
        <v>1</v>
      </c>
      <c r="G1193" t="s">
        <v>15</v>
      </c>
    </row>
    <row r="1194" spans="1:7" x14ac:dyDescent="0.25">
      <c r="A1194">
        <v>86</v>
      </c>
      <c r="B1194" t="s">
        <v>434</v>
      </c>
      <c r="C1194">
        <v>30</v>
      </c>
      <c r="D1194" t="s">
        <v>436</v>
      </c>
      <c r="E1194" t="s">
        <v>11</v>
      </c>
      <c r="F1194">
        <v>1</v>
      </c>
      <c r="G1194" t="s">
        <v>15</v>
      </c>
    </row>
    <row r="1195" spans="1:7" x14ac:dyDescent="0.25">
      <c r="A1195">
        <v>86</v>
      </c>
      <c r="B1195" t="s">
        <v>434</v>
      </c>
      <c r="C1195">
        <v>40</v>
      </c>
      <c r="D1195" t="s">
        <v>266</v>
      </c>
      <c r="E1195" t="s">
        <v>14</v>
      </c>
      <c r="F1195">
        <v>1.778</v>
      </c>
      <c r="G1195" t="s">
        <v>15</v>
      </c>
    </row>
    <row r="1196" spans="1:7" x14ac:dyDescent="0.25">
      <c r="A1196">
        <v>86</v>
      </c>
      <c r="B1196" t="s">
        <v>434</v>
      </c>
      <c r="C1196">
        <v>50</v>
      </c>
      <c r="D1196" t="s">
        <v>107</v>
      </c>
      <c r="E1196" t="s">
        <v>108</v>
      </c>
      <c r="F1196">
        <v>1.048</v>
      </c>
      <c r="G1196" t="s">
        <v>13</v>
      </c>
    </row>
    <row r="1197" spans="1:7" x14ac:dyDescent="0.25">
      <c r="A1197">
        <v>86</v>
      </c>
      <c r="B1197" t="s">
        <v>434</v>
      </c>
      <c r="C1197">
        <v>60</v>
      </c>
      <c r="D1197" t="s">
        <v>267</v>
      </c>
      <c r="E1197" t="s">
        <v>11</v>
      </c>
      <c r="F1197">
        <v>1</v>
      </c>
      <c r="G1197" t="s">
        <v>13</v>
      </c>
    </row>
    <row r="1198" spans="1:7" x14ac:dyDescent="0.25">
      <c r="A1198">
        <v>86</v>
      </c>
      <c r="B1198" t="s">
        <v>434</v>
      </c>
      <c r="C1198">
        <v>70</v>
      </c>
      <c r="D1198" t="s">
        <v>109</v>
      </c>
      <c r="E1198" t="s">
        <v>14</v>
      </c>
      <c r="F1198">
        <v>22.097999999999999</v>
      </c>
      <c r="G1198" t="s">
        <v>13</v>
      </c>
    </row>
    <row r="1199" spans="1:7" x14ac:dyDescent="0.25">
      <c r="A1199">
        <v>86</v>
      </c>
      <c r="B1199" t="s">
        <v>434</v>
      </c>
      <c r="C1199">
        <v>80</v>
      </c>
      <c r="D1199" t="s">
        <v>16</v>
      </c>
      <c r="E1199" t="s">
        <v>14</v>
      </c>
      <c r="F1199">
        <v>136.84</v>
      </c>
      <c r="G1199" t="s">
        <v>13</v>
      </c>
    </row>
    <row r="1200" spans="1:7" x14ac:dyDescent="0.25">
      <c r="A1200">
        <v>86</v>
      </c>
      <c r="B1200" t="s">
        <v>434</v>
      </c>
      <c r="C1200">
        <v>90</v>
      </c>
      <c r="D1200" t="s">
        <v>265</v>
      </c>
      <c r="E1200" t="s">
        <v>12</v>
      </c>
      <c r="F1200">
        <v>0.14799999999999999</v>
      </c>
      <c r="G1200" t="s">
        <v>13</v>
      </c>
    </row>
    <row r="1201" spans="1:7" x14ac:dyDescent="0.25">
      <c r="A1201">
        <v>86</v>
      </c>
      <c r="B1201" t="s">
        <v>434</v>
      </c>
      <c r="C1201">
        <v>100</v>
      </c>
      <c r="D1201" t="s">
        <v>269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434</v>
      </c>
      <c r="C1202">
        <v>110</v>
      </c>
      <c r="D1202" t="s">
        <v>20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434</v>
      </c>
      <c r="C1203">
        <v>120</v>
      </c>
      <c r="D1203" t="s">
        <v>21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434</v>
      </c>
      <c r="C1204">
        <v>130</v>
      </c>
      <c r="D1204" t="s">
        <v>110</v>
      </c>
      <c r="E1204" t="s">
        <v>12</v>
      </c>
      <c r="F1204">
        <v>1.0669999999999999</v>
      </c>
      <c r="G1204" t="s">
        <v>13</v>
      </c>
    </row>
    <row r="1205" spans="1:7" x14ac:dyDescent="0.25">
      <c r="A1205">
        <v>86</v>
      </c>
      <c r="B1205" t="s">
        <v>434</v>
      </c>
      <c r="C1205">
        <v>140</v>
      </c>
      <c r="D1205" t="s">
        <v>437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438</v>
      </c>
      <c r="C1206">
        <v>10</v>
      </c>
      <c r="D1206" t="s">
        <v>116</v>
      </c>
      <c r="E1206" t="s">
        <v>14</v>
      </c>
      <c r="F1206">
        <v>0.86399999999999999</v>
      </c>
      <c r="G1206" t="s">
        <v>15</v>
      </c>
    </row>
    <row r="1207" spans="1:7" x14ac:dyDescent="0.25">
      <c r="A1207">
        <v>87</v>
      </c>
      <c r="B1207" t="s">
        <v>438</v>
      </c>
      <c r="C1207">
        <v>20</v>
      </c>
      <c r="D1207" t="s">
        <v>439</v>
      </c>
      <c r="E1207" t="s">
        <v>11</v>
      </c>
      <c r="F1207">
        <v>1</v>
      </c>
      <c r="G1207" t="s">
        <v>15</v>
      </c>
    </row>
    <row r="1208" spans="1:7" x14ac:dyDescent="0.25">
      <c r="A1208">
        <v>87</v>
      </c>
      <c r="B1208" t="s">
        <v>438</v>
      </c>
      <c r="C1208">
        <v>30</v>
      </c>
      <c r="D1208" t="s">
        <v>440</v>
      </c>
      <c r="E1208" t="s">
        <v>11</v>
      </c>
      <c r="F1208">
        <v>1</v>
      </c>
      <c r="G1208" t="s">
        <v>15</v>
      </c>
    </row>
    <row r="1209" spans="1:7" x14ac:dyDescent="0.25">
      <c r="A1209">
        <v>87</v>
      </c>
      <c r="B1209" t="s">
        <v>438</v>
      </c>
      <c r="C1209">
        <v>40</v>
      </c>
      <c r="D1209" t="s">
        <v>266</v>
      </c>
      <c r="E1209" t="s">
        <v>14</v>
      </c>
      <c r="F1209">
        <v>0.86399999999999999</v>
      </c>
      <c r="G1209" t="s">
        <v>15</v>
      </c>
    </row>
    <row r="1210" spans="1:7" x14ac:dyDescent="0.25">
      <c r="A1210">
        <v>87</v>
      </c>
      <c r="B1210" t="s">
        <v>438</v>
      </c>
      <c r="C1210">
        <v>50</v>
      </c>
      <c r="D1210" t="s">
        <v>107</v>
      </c>
      <c r="E1210" t="s">
        <v>108</v>
      </c>
      <c r="F1210">
        <v>0.52100000000000002</v>
      </c>
      <c r="G1210" t="s">
        <v>13</v>
      </c>
    </row>
    <row r="1211" spans="1:7" x14ac:dyDescent="0.25">
      <c r="A1211">
        <v>87</v>
      </c>
      <c r="B1211" t="s">
        <v>438</v>
      </c>
      <c r="C1211">
        <v>60</v>
      </c>
      <c r="D1211" t="s">
        <v>267</v>
      </c>
      <c r="E1211" t="s">
        <v>11</v>
      </c>
      <c r="F1211">
        <v>1</v>
      </c>
      <c r="G1211" t="s">
        <v>13</v>
      </c>
    </row>
    <row r="1212" spans="1:7" x14ac:dyDescent="0.25">
      <c r="A1212">
        <v>87</v>
      </c>
      <c r="B1212" t="s">
        <v>438</v>
      </c>
      <c r="C1212">
        <v>70</v>
      </c>
      <c r="D1212" t="s">
        <v>109</v>
      </c>
      <c r="E1212" t="s">
        <v>14</v>
      </c>
      <c r="F1212">
        <v>17.068999999999999</v>
      </c>
      <c r="G1212" t="s">
        <v>13</v>
      </c>
    </row>
    <row r="1213" spans="1:7" x14ac:dyDescent="0.25">
      <c r="A1213">
        <v>87</v>
      </c>
      <c r="B1213" t="s">
        <v>438</v>
      </c>
      <c r="C1213">
        <v>80</v>
      </c>
      <c r="D1213" t="s">
        <v>16</v>
      </c>
      <c r="E1213" t="s">
        <v>14</v>
      </c>
      <c r="F1213">
        <v>105.91</v>
      </c>
      <c r="G1213" t="s">
        <v>13</v>
      </c>
    </row>
    <row r="1214" spans="1:7" x14ac:dyDescent="0.25">
      <c r="A1214">
        <v>87</v>
      </c>
      <c r="B1214" t="s">
        <v>438</v>
      </c>
      <c r="C1214">
        <v>90</v>
      </c>
      <c r="D1214" t="s">
        <v>265</v>
      </c>
      <c r="E1214" t="s">
        <v>12</v>
      </c>
      <c r="F1214">
        <v>8.4000000000000005E-2</v>
      </c>
      <c r="G1214" t="s">
        <v>13</v>
      </c>
    </row>
    <row r="1215" spans="1:7" x14ac:dyDescent="0.25">
      <c r="A1215">
        <v>87</v>
      </c>
      <c r="B1215" t="s">
        <v>438</v>
      </c>
      <c r="C1215">
        <v>100</v>
      </c>
      <c r="D1215" t="s">
        <v>269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438</v>
      </c>
      <c r="C1216">
        <v>110</v>
      </c>
      <c r="D1216" t="s">
        <v>20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438</v>
      </c>
      <c r="C1217">
        <v>120</v>
      </c>
      <c r="D1217" t="s">
        <v>21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438</v>
      </c>
      <c r="C1218">
        <v>130</v>
      </c>
      <c r="D1218" t="s">
        <v>110</v>
      </c>
      <c r="E1218" t="s">
        <v>12</v>
      </c>
      <c r="F1218">
        <v>0.58099999999999996</v>
      </c>
      <c r="G1218" t="s">
        <v>13</v>
      </c>
    </row>
    <row r="1219" spans="1:7" x14ac:dyDescent="0.25">
      <c r="A1219">
        <v>87</v>
      </c>
      <c r="B1219" t="s">
        <v>438</v>
      </c>
      <c r="C1219">
        <v>140</v>
      </c>
      <c r="D1219" t="s">
        <v>441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442</v>
      </c>
      <c r="C1220">
        <v>10</v>
      </c>
      <c r="D1220" t="s">
        <v>116</v>
      </c>
      <c r="E1220" t="s">
        <v>14</v>
      </c>
      <c r="F1220">
        <v>1.016</v>
      </c>
      <c r="G1220" t="s">
        <v>15</v>
      </c>
    </row>
    <row r="1221" spans="1:7" x14ac:dyDescent="0.25">
      <c r="A1221">
        <v>88</v>
      </c>
      <c r="B1221" t="s">
        <v>442</v>
      </c>
      <c r="C1221">
        <v>20</v>
      </c>
      <c r="D1221" t="s">
        <v>443</v>
      </c>
      <c r="E1221" t="s">
        <v>11</v>
      </c>
      <c r="F1221">
        <v>1</v>
      </c>
      <c r="G1221" t="s">
        <v>15</v>
      </c>
    </row>
    <row r="1222" spans="1:7" x14ac:dyDescent="0.25">
      <c r="A1222">
        <v>88</v>
      </c>
      <c r="B1222" t="s">
        <v>442</v>
      </c>
      <c r="C1222">
        <v>30</v>
      </c>
      <c r="D1222" t="s">
        <v>444</v>
      </c>
      <c r="E1222" t="s">
        <v>11</v>
      </c>
      <c r="F1222">
        <v>1</v>
      </c>
      <c r="G1222" t="s">
        <v>15</v>
      </c>
    </row>
    <row r="1223" spans="1:7" x14ac:dyDescent="0.25">
      <c r="A1223">
        <v>88</v>
      </c>
      <c r="B1223" t="s">
        <v>442</v>
      </c>
      <c r="C1223">
        <v>40</v>
      </c>
      <c r="D1223" t="s">
        <v>266</v>
      </c>
      <c r="E1223" t="s">
        <v>14</v>
      </c>
      <c r="F1223">
        <v>1.016</v>
      </c>
      <c r="G1223" t="s">
        <v>15</v>
      </c>
    </row>
    <row r="1224" spans="1:7" x14ac:dyDescent="0.25">
      <c r="A1224">
        <v>88</v>
      </c>
      <c r="B1224" t="s">
        <v>442</v>
      </c>
      <c r="C1224">
        <v>50</v>
      </c>
      <c r="D1224" t="s">
        <v>107</v>
      </c>
      <c r="E1224" t="s">
        <v>108</v>
      </c>
      <c r="F1224">
        <v>0.61599999999999999</v>
      </c>
      <c r="G1224" t="s">
        <v>13</v>
      </c>
    </row>
    <row r="1225" spans="1:7" x14ac:dyDescent="0.25">
      <c r="A1225">
        <v>88</v>
      </c>
      <c r="B1225" t="s">
        <v>442</v>
      </c>
      <c r="C1225">
        <v>60</v>
      </c>
      <c r="D1225" t="s">
        <v>267</v>
      </c>
      <c r="E1225" t="s">
        <v>11</v>
      </c>
      <c r="F1225">
        <v>1</v>
      </c>
      <c r="G1225" t="s">
        <v>13</v>
      </c>
    </row>
    <row r="1226" spans="1:7" x14ac:dyDescent="0.25">
      <c r="A1226">
        <v>88</v>
      </c>
      <c r="B1226" t="s">
        <v>442</v>
      </c>
      <c r="C1226">
        <v>70</v>
      </c>
      <c r="D1226" t="s">
        <v>109</v>
      </c>
      <c r="E1226" t="s">
        <v>14</v>
      </c>
      <c r="F1226">
        <v>17.983000000000001</v>
      </c>
      <c r="G1226" t="s">
        <v>13</v>
      </c>
    </row>
    <row r="1227" spans="1:7" x14ac:dyDescent="0.25">
      <c r="A1227">
        <v>88</v>
      </c>
      <c r="B1227" t="s">
        <v>442</v>
      </c>
      <c r="C1227">
        <v>80</v>
      </c>
      <c r="D1227" t="s">
        <v>16</v>
      </c>
      <c r="E1227" t="s">
        <v>14</v>
      </c>
      <c r="F1227">
        <v>111.53400000000001</v>
      </c>
      <c r="G1227" t="s">
        <v>13</v>
      </c>
    </row>
    <row r="1228" spans="1:7" x14ac:dyDescent="0.25">
      <c r="A1228">
        <v>88</v>
      </c>
      <c r="B1228" t="s">
        <v>442</v>
      </c>
      <c r="C1228">
        <v>90</v>
      </c>
      <c r="D1228" t="s">
        <v>265</v>
      </c>
      <c r="E1228" t="s">
        <v>12</v>
      </c>
      <c r="F1228">
        <v>9.4E-2</v>
      </c>
      <c r="G1228" t="s">
        <v>13</v>
      </c>
    </row>
    <row r="1229" spans="1:7" x14ac:dyDescent="0.25">
      <c r="A1229">
        <v>88</v>
      </c>
      <c r="B1229" t="s">
        <v>442</v>
      </c>
      <c r="C1229">
        <v>100</v>
      </c>
      <c r="D1229" t="s">
        <v>269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442</v>
      </c>
      <c r="C1230">
        <v>110</v>
      </c>
      <c r="D1230" t="s">
        <v>20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442</v>
      </c>
      <c r="C1231">
        <v>120</v>
      </c>
      <c r="D1231" t="s">
        <v>21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442</v>
      </c>
      <c r="C1232">
        <v>130</v>
      </c>
      <c r="D1232" t="s">
        <v>110</v>
      </c>
      <c r="E1232" t="s">
        <v>12</v>
      </c>
      <c r="F1232">
        <v>0.66200000000000003</v>
      </c>
      <c r="G1232" t="s">
        <v>13</v>
      </c>
    </row>
    <row r="1233" spans="1:7" x14ac:dyDescent="0.25">
      <c r="A1233">
        <v>88</v>
      </c>
      <c r="B1233" t="s">
        <v>442</v>
      </c>
      <c r="C1233">
        <v>140</v>
      </c>
      <c r="D1233" t="s">
        <v>445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446</v>
      </c>
      <c r="C1234">
        <v>10</v>
      </c>
      <c r="D1234" t="s">
        <v>116</v>
      </c>
      <c r="E1234" t="s">
        <v>14</v>
      </c>
      <c r="F1234">
        <v>1.1679999999999999</v>
      </c>
      <c r="G1234" t="s">
        <v>15</v>
      </c>
    </row>
    <row r="1235" spans="1:7" x14ac:dyDescent="0.25">
      <c r="A1235">
        <v>89</v>
      </c>
      <c r="B1235" t="s">
        <v>446</v>
      </c>
      <c r="C1235">
        <v>20</v>
      </c>
      <c r="D1235" t="s">
        <v>447</v>
      </c>
      <c r="E1235" t="s">
        <v>11</v>
      </c>
      <c r="F1235">
        <v>1</v>
      </c>
      <c r="G1235" t="s">
        <v>15</v>
      </c>
    </row>
    <row r="1236" spans="1:7" x14ac:dyDescent="0.25">
      <c r="A1236">
        <v>89</v>
      </c>
      <c r="B1236" t="s">
        <v>446</v>
      </c>
      <c r="C1236">
        <v>30</v>
      </c>
      <c r="D1236" t="s">
        <v>448</v>
      </c>
      <c r="E1236" t="s">
        <v>11</v>
      </c>
      <c r="F1236">
        <v>1</v>
      </c>
      <c r="G1236" t="s">
        <v>15</v>
      </c>
    </row>
    <row r="1237" spans="1:7" x14ac:dyDescent="0.25">
      <c r="A1237">
        <v>89</v>
      </c>
      <c r="B1237" t="s">
        <v>446</v>
      </c>
      <c r="C1237">
        <v>40</v>
      </c>
      <c r="D1237" t="s">
        <v>266</v>
      </c>
      <c r="E1237" t="s">
        <v>14</v>
      </c>
      <c r="F1237">
        <v>1.1679999999999999</v>
      </c>
      <c r="G1237" t="s">
        <v>15</v>
      </c>
    </row>
    <row r="1238" spans="1:7" x14ac:dyDescent="0.25">
      <c r="A1238">
        <v>89</v>
      </c>
      <c r="B1238" t="s">
        <v>446</v>
      </c>
      <c r="C1238">
        <v>50</v>
      </c>
      <c r="D1238" t="s">
        <v>107</v>
      </c>
      <c r="E1238" t="s">
        <v>108</v>
      </c>
      <c r="F1238">
        <v>0.71099999999999997</v>
      </c>
      <c r="G1238" t="s">
        <v>13</v>
      </c>
    </row>
    <row r="1239" spans="1:7" x14ac:dyDescent="0.25">
      <c r="A1239">
        <v>89</v>
      </c>
      <c r="B1239" t="s">
        <v>446</v>
      </c>
      <c r="C1239">
        <v>60</v>
      </c>
      <c r="D1239" t="s">
        <v>267</v>
      </c>
      <c r="E1239" t="s">
        <v>11</v>
      </c>
      <c r="F1239">
        <v>1</v>
      </c>
      <c r="G1239" t="s">
        <v>13</v>
      </c>
    </row>
    <row r="1240" spans="1:7" x14ac:dyDescent="0.25">
      <c r="A1240">
        <v>89</v>
      </c>
      <c r="B1240" t="s">
        <v>446</v>
      </c>
      <c r="C1240">
        <v>70</v>
      </c>
      <c r="D1240" t="s">
        <v>109</v>
      </c>
      <c r="E1240" t="s">
        <v>14</v>
      </c>
      <c r="F1240">
        <v>18.898</v>
      </c>
      <c r="G1240" t="s">
        <v>13</v>
      </c>
    </row>
    <row r="1241" spans="1:7" x14ac:dyDescent="0.25">
      <c r="A1241">
        <v>89</v>
      </c>
      <c r="B1241" t="s">
        <v>446</v>
      </c>
      <c r="C1241">
        <v>80</v>
      </c>
      <c r="D1241" t="s">
        <v>16</v>
      </c>
      <c r="E1241" t="s">
        <v>14</v>
      </c>
      <c r="F1241">
        <v>117.158</v>
      </c>
      <c r="G1241" t="s">
        <v>13</v>
      </c>
    </row>
    <row r="1242" spans="1:7" x14ac:dyDescent="0.25">
      <c r="A1242">
        <v>89</v>
      </c>
      <c r="B1242" t="s">
        <v>446</v>
      </c>
      <c r="C1242">
        <v>90</v>
      </c>
      <c r="D1242" t="s">
        <v>265</v>
      </c>
      <c r="E1242" t="s">
        <v>12</v>
      </c>
      <c r="F1242">
        <v>0.105</v>
      </c>
      <c r="G1242" t="s">
        <v>13</v>
      </c>
    </row>
    <row r="1243" spans="1:7" x14ac:dyDescent="0.25">
      <c r="A1243">
        <v>89</v>
      </c>
      <c r="B1243" t="s">
        <v>446</v>
      </c>
      <c r="C1243">
        <v>100</v>
      </c>
      <c r="D1243" t="s">
        <v>269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446</v>
      </c>
      <c r="C1244">
        <v>110</v>
      </c>
      <c r="D1244" t="s">
        <v>20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446</v>
      </c>
      <c r="C1245">
        <v>120</v>
      </c>
      <c r="D1245" t="s">
        <v>21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446</v>
      </c>
      <c r="C1246">
        <v>130</v>
      </c>
      <c r="D1246" t="s">
        <v>110</v>
      </c>
      <c r="E1246" t="s">
        <v>12</v>
      </c>
      <c r="F1246">
        <v>0.74299999999999999</v>
      </c>
      <c r="G1246" t="s">
        <v>13</v>
      </c>
    </row>
    <row r="1247" spans="1:7" x14ac:dyDescent="0.25">
      <c r="A1247">
        <v>89</v>
      </c>
      <c r="B1247" t="s">
        <v>446</v>
      </c>
      <c r="C1247">
        <v>140</v>
      </c>
      <c r="D1247" t="s">
        <v>449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450</v>
      </c>
      <c r="C1248">
        <v>10</v>
      </c>
      <c r="D1248" t="s">
        <v>116</v>
      </c>
      <c r="E1248" t="s">
        <v>14</v>
      </c>
      <c r="F1248">
        <v>1.321</v>
      </c>
      <c r="G1248" t="s">
        <v>15</v>
      </c>
    </row>
    <row r="1249" spans="1:7" x14ac:dyDescent="0.25">
      <c r="A1249">
        <v>90</v>
      </c>
      <c r="B1249" t="s">
        <v>450</v>
      </c>
      <c r="C1249">
        <v>20</v>
      </c>
      <c r="D1249" t="s">
        <v>451</v>
      </c>
      <c r="E1249" t="s">
        <v>11</v>
      </c>
      <c r="F1249">
        <v>1</v>
      </c>
      <c r="G1249" t="s">
        <v>15</v>
      </c>
    </row>
    <row r="1250" spans="1:7" x14ac:dyDescent="0.25">
      <c r="A1250">
        <v>90</v>
      </c>
      <c r="B1250" t="s">
        <v>450</v>
      </c>
      <c r="C1250">
        <v>30</v>
      </c>
      <c r="D1250" t="s">
        <v>452</v>
      </c>
      <c r="E1250" t="s">
        <v>11</v>
      </c>
      <c r="F1250">
        <v>1</v>
      </c>
      <c r="G1250" t="s">
        <v>15</v>
      </c>
    </row>
    <row r="1251" spans="1:7" x14ac:dyDescent="0.25">
      <c r="A1251">
        <v>90</v>
      </c>
      <c r="B1251" t="s">
        <v>450</v>
      </c>
      <c r="C1251">
        <v>40</v>
      </c>
      <c r="D1251" t="s">
        <v>266</v>
      </c>
      <c r="E1251" t="s">
        <v>14</v>
      </c>
      <c r="F1251">
        <v>1.321</v>
      </c>
      <c r="G1251" t="s">
        <v>15</v>
      </c>
    </row>
    <row r="1252" spans="1:7" x14ac:dyDescent="0.25">
      <c r="A1252">
        <v>90</v>
      </c>
      <c r="B1252" t="s">
        <v>450</v>
      </c>
      <c r="C1252">
        <v>50</v>
      </c>
      <c r="D1252" t="s">
        <v>107</v>
      </c>
      <c r="E1252" t="s">
        <v>108</v>
      </c>
      <c r="F1252">
        <v>0.80600000000000005</v>
      </c>
      <c r="G1252" t="s">
        <v>13</v>
      </c>
    </row>
    <row r="1253" spans="1:7" x14ac:dyDescent="0.25">
      <c r="A1253">
        <v>90</v>
      </c>
      <c r="B1253" t="s">
        <v>450</v>
      </c>
      <c r="C1253">
        <v>60</v>
      </c>
      <c r="D1253" t="s">
        <v>267</v>
      </c>
      <c r="E1253" t="s">
        <v>11</v>
      </c>
      <c r="F1253">
        <v>1</v>
      </c>
      <c r="G1253" t="s">
        <v>13</v>
      </c>
    </row>
    <row r="1254" spans="1:7" x14ac:dyDescent="0.25">
      <c r="A1254">
        <v>90</v>
      </c>
      <c r="B1254" t="s">
        <v>450</v>
      </c>
      <c r="C1254">
        <v>70</v>
      </c>
      <c r="D1254" t="s">
        <v>109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90</v>
      </c>
      <c r="B1255" t="s">
        <v>450</v>
      </c>
      <c r="C1255">
        <v>80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90</v>
      </c>
      <c r="B1256" t="s">
        <v>450</v>
      </c>
      <c r="C1256">
        <v>90</v>
      </c>
      <c r="D1256" t="s">
        <v>265</v>
      </c>
      <c r="E1256" t="s">
        <v>12</v>
      </c>
      <c r="F1256">
        <v>0.11600000000000001</v>
      </c>
      <c r="G1256" t="s">
        <v>13</v>
      </c>
    </row>
    <row r="1257" spans="1:7" x14ac:dyDescent="0.25">
      <c r="A1257">
        <v>90</v>
      </c>
      <c r="B1257" t="s">
        <v>450</v>
      </c>
      <c r="C1257">
        <v>100</v>
      </c>
      <c r="D1257" t="s">
        <v>269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450</v>
      </c>
      <c r="C1258">
        <v>110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450</v>
      </c>
      <c r="C1259">
        <v>120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450</v>
      </c>
      <c r="C1260">
        <v>130</v>
      </c>
      <c r="D1260" t="s">
        <v>110</v>
      </c>
      <c r="E1260" t="s">
        <v>12</v>
      </c>
      <c r="F1260">
        <v>0.82399999999999995</v>
      </c>
      <c r="G1260" t="s">
        <v>13</v>
      </c>
    </row>
    <row r="1261" spans="1:7" x14ac:dyDescent="0.25">
      <c r="A1261">
        <v>90</v>
      </c>
      <c r="B1261" t="s">
        <v>450</v>
      </c>
      <c r="C1261">
        <v>140</v>
      </c>
      <c r="D1261" t="s">
        <v>453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454</v>
      </c>
      <c r="C1262">
        <v>10</v>
      </c>
      <c r="D1262" t="s">
        <v>116</v>
      </c>
      <c r="E1262" t="s">
        <v>14</v>
      </c>
      <c r="F1262">
        <v>1.397</v>
      </c>
      <c r="G1262" t="s">
        <v>15</v>
      </c>
    </row>
    <row r="1263" spans="1:7" x14ac:dyDescent="0.25">
      <c r="A1263">
        <v>91</v>
      </c>
      <c r="B1263" t="s">
        <v>454</v>
      </c>
      <c r="C1263">
        <v>20</v>
      </c>
      <c r="D1263" t="s">
        <v>455</v>
      </c>
      <c r="E1263" t="s">
        <v>11</v>
      </c>
      <c r="F1263">
        <v>1</v>
      </c>
      <c r="G1263" t="s">
        <v>15</v>
      </c>
    </row>
    <row r="1264" spans="1:7" x14ac:dyDescent="0.25">
      <c r="A1264">
        <v>91</v>
      </c>
      <c r="B1264" t="s">
        <v>454</v>
      </c>
      <c r="C1264">
        <v>30</v>
      </c>
      <c r="D1264" t="s">
        <v>456</v>
      </c>
      <c r="E1264" t="s">
        <v>11</v>
      </c>
      <c r="F1264">
        <v>1</v>
      </c>
      <c r="G1264" t="s">
        <v>15</v>
      </c>
    </row>
    <row r="1265" spans="1:7" x14ac:dyDescent="0.25">
      <c r="A1265">
        <v>91</v>
      </c>
      <c r="B1265" t="s">
        <v>454</v>
      </c>
      <c r="C1265">
        <v>40</v>
      </c>
      <c r="D1265" t="s">
        <v>266</v>
      </c>
      <c r="E1265" t="s">
        <v>14</v>
      </c>
      <c r="F1265">
        <v>1.397</v>
      </c>
      <c r="G1265" t="s">
        <v>15</v>
      </c>
    </row>
    <row r="1266" spans="1:7" x14ac:dyDescent="0.25">
      <c r="A1266">
        <v>91</v>
      </c>
      <c r="B1266" t="s">
        <v>454</v>
      </c>
      <c r="C1266">
        <v>50</v>
      </c>
      <c r="D1266" t="s">
        <v>107</v>
      </c>
      <c r="E1266" t="s">
        <v>108</v>
      </c>
      <c r="F1266">
        <v>0.85299999999999998</v>
      </c>
      <c r="G1266" t="s">
        <v>13</v>
      </c>
    </row>
    <row r="1267" spans="1:7" x14ac:dyDescent="0.25">
      <c r="A1267">
        <v>91</v>
      </c>
      <c r="B1267" t="s">
        <v>454</v>
      </c>
      <c r="C1267">
        <v>60</v>
      </c>
      <c r="D1267" t="s">
        <v>267</v>
      </c>
      <c r="E1267" t="s">
        <v>11</v>
      </c>
      <c r="F1267">
        <v>1</v>
      </c>
      <c r="G1267" t="s">
        <v>13</v>
      </c>
    </row>
    <row r="1268" spans="1:7" x14ac:dyDescent="0.25">
      <c r="A1268">
        <v>91</v>
      </c>
      <c r="B1268" t="s">
        <v>454</v>
      </c>
      <c r="C1268">
        <v>70</v>
      </c>
      <c r="D1268" t="s">
        <v>109</v>
      </c>
      <c r="E1268" t="s">
        <v>14</v>
      </c>
      <c r="F1268">
        <v>20.268999999999998</v>
      </c>
      <c r="G1268" t="s">
        <v>13</v>
      </c>
    </row>
    <row r="1269" spans="1:7" x14ac:dyDescent="0.25">
      <c r="A1269">
        <v>91</v>
      </c>
      <c r="B1269" t="s">
        <v>454</v>
      </c>
      <c r="C1269">
        <v>80</v>
      </c>
      <c r="D1269" t="s">
        <v>16</v>
      </c>
      <c r="E1269" t="s">
        <v>14</v>
      </c>
      <c r="F1269">
        <v>125.593</v>
      </c>
      <c r="G1269" t="s">
        <v>13</v>
      </c>
    </row>
    <row r="1270" spans="1:7" x14ac:dyDescent="0.25">
      <c r="A1270">
        <v>91</v>
      </c>
      <c r="B1270" t="s">
        <v>454</v>
      </c>
      <c r="C1270">
        <v>90</v>
      </c>
      <c r="D1270" t="s">
        <v>265</v>
      </c>
      <c r="E1270" t="s">
        <v>12</v>
      </c>
      <c r="F1270">
        <v>0.121</v>
      </c>
      <c r="G1270" t="s">
        <v>13</v>
      </c>
    </row>
    <row r="1271" spans="1:7" x14ac:dyDescent="0.25">
      <c r="A1271">
        <v>91</v>
      </c>
      <c r="B1271" t="s">
        <v>454</v>
      </c>
      <c r="C1271">
        <v>100</v>
      </c>
      <c r="D1271" t="s">
        <v>269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454</v>
      </c>
      <c r="C1272">
        <v>110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454</v>
      </c>
      <c r="C1273">
        <v>120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454</v>
      </c>
      <c r="C1274">
        <v>130</v>
      </c>
      <c r="D1274" t="s">
        <v>110</v>
      </c>
      <c r="E1274" t="s">
        <v>12</v>
      </c>
      <c r="F1274">
        <v>0.86499999999999999</v>
      </c>
      <c r="G1274" t="s">
        <v>13</v>
      </c>
    </row>
    <row r="1275" spans="1:7" x14ac:dyDescent="0.25">
      <c r="A1275">
        <v>91</v>
      </c>
      <c r="B1275" t="s">
        <v>454</v>
      </c>
      <c r="C1275">
        <v>140</v>
      </c>
      <c r="D1275" t="s">
        <v>457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458</v>
      </c>
      <c r="C1276">
        <v>10</v>
      </c>
      <c r="D1276" t="s">
        <v>116</v>
      </c>
      <c r="E1276" t="s">
        <v>14</v>
      </c>
      <c r="F1276">
        <v>1.4730000000000001</v>
      </c>
      <c r="G1276" t="s">
        <v>15</v>
      </c>
    </row>
    <row r="1277" spans="1:7" x14ac:dyDescent="0.25">
      <c r="A1277">
        <v>92</v>
      </c>
      <c r="B1277" t="s">
        <v>458</v>
      </c>
      <c r="C1277">
        <v>20</v>
      </c>
      <c r="D1277" t="s">
        <v>459</v>
      </c>
      <c r="E1277" t="s">
        <v>11</v>
      </c>
      <c r="F1277">
        <v>1</v>
      </c>
      <c r="G1277" t="s">
        <v>15</v>
      </c>
    </row>
    <row r="1278" spans="1:7" x14ac:dyDescent="0.25">
      <c r="A1278">
        <v>92</v>
      </c>
      <c r="B1278" t="s">
        <v>458</v>
      </c>
      <c r="C1278">
        <v>30</v>
      </c>
      <c r="D1278" t="s">
        <v>460</v>
      </c>
      <c r="E1278" t="s">
        <v>11</v>
      </c>
      <c r="F1278">
        <v>1</v>
      </c>
      <c r="G1278" t="s">
        <v>15</v>
      </c>
    </row>
    <row r="1279" spans="1:7" x14ac:dyDescent="0.25">
      <c r="A1279">
        <v>92</v>
      </c>
      <c r="B1279" t="s">
        <v>458</v>
      </c>
      <c r="C1279">
        <v>40</v>
      </c>
      <c r="D1279" t="s">
        <v>266</v>
      </c>
      <c r="E1279" t="s">
        <v>14</v>
      </c>
      <c r="F1279">
        <v>1.4730000000000001</v>
      </c>
      <c r="G1279" t="s">
        <v>15</v>
      </c>
    </row>
    <row r="1280" spans="1:7" x14ac:dyDescent="0.25">
      <c r="A1280">
        <v>92</v>
      </c>
      <c r="B1280" t="s">
        <v>458</v>
      </c>
      <c r="C1280">
        <v>50</v>
      </c>
      <c r="D1280" t="s">
        <v>107</v>
      </c>
      <c r="E1280" t="s">
        <v>108</v>
      </c>
      <c r="F1280">
        <v>0.9</v>
      </c>
      <c r="G1280" t="s">
        <v>13</v>
      </c>
    </row>
    <row r="1281" spans="1:7" x14ac:dyDescent="0.25">
      <c r="A1281">
        <v>92</v>
      </c>
      <c r="B1281" t="s">
        <v>458</v>
      </c>
      <c r="C1281">
        <v>60</v>
      </c>
      <c r="D1281" t="s">
        <v>267</v>
      </c>
      <c r="E1281" t="s">
        <v>11</v>
      </c>
      <c r="F1281">
        <v>1</v>
      </c>
      <c r="G1281" t="s">
        <v>13</v>
      </c>
    </row>
    <row r="1282" spans="1:7" x14ac:dyDescent="0.25">
      <c r="A1282">
        <v>92</v>
      </c>
      <c r="B1282" t="s">
        <v>458</v>
      </c>
      <c r="C1282">
        <v>70</v>
      </c>
      <c r="D1282" t="s">
        <v>109</v>
      </c>
      <c r="E1282" t="s">
        <v>14</v>
      </c>
      <c r="F1282">
        <v>20.725999999999999</v>
      </c>
      <c r="G1282" t="s">
        <v>13</v>
      </c>
    </row>
    <row r="1283" spans="1:7" x14ac:dyDescent="0.25">
      <c r="A1283">
        <v>92</v>
      </c>
      <c r="B1283" t="s">
        <v>458</v>
      </c>
      <c r="C1283">
        <v>80</v>
      </c>
      <c r="D1283" t="s">
        <v>16</v>
      </c>
      <c r="E1283" t="s">
        <v>14</v>
      </c>
      <c r="F1283">
        <v>128.405</v>
      </c>
      <c r="G1283" t="s">
        <v>13</v>
      </c>
    </row>
    <row r="1284" spans="1:7" x14ac:dyDescent="0.25">
      <c r="A1284">
        <v>92</v>
      </c>
      <c r="B1284" t="s">
        <v>458</v>
      </c>
      <c r="C1284">
        <v>90</v>
      </c>
      <c r="D1284" t="s">
        <v>265</v>
      </c>
      <c r="E1284" t="s">
        <v>12</v>
      </c>
      <c r="F1284">
        <v>0.126</v>
      </c>
      <c r="G1284" t="s">
        <v>13</v>
      </c>
    </row>
    <row r="1285" spans="1:7" x14ac:dyDescent="0.25">
      <c r="A1285">
        <v>92</v>
      </c>
      <c r="B1285" t="s">
        <v>458</v>
      </c>
      <c r="C1285">
        <v>100</v>
      </c>
      <c r="D1285" t="s">
        <v>269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458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458</v>
      </c>
      <c r="C1287">
        <v>120</v>
      </c>
      <c r="D1287" t="s">
        <v>21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458</v>
      </c>
      <c r="C1288">
        <v>130</v>
      </c>
      <c r="D1288" t="s">
        <v>110</v>
      </c>
      <c r="E1288" t="s">
        <v>12</v>
      </c>
      <c r="F1288">
        <v>0.90500000000000003</v>
      </c>
      <c r="G1288" t="s">
        <v>13</v>
      </c>
    </row>
    <row r="1289" spans="1:7" x14ac:dyDescent="0.25">
      <c r="A1289">
        <v>92</v>
      </c>
      <c r="B1289" t="s">
        <v>458</v>
      </c>
      <c r="C1289">
        <v>140</v>
      </c>
      <c r="D1289" t="s">
        <v>461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462</v>
      </c>
      <c r="C1290">
        <v>10</v>
      </c>
      <c r="D1290" t="s">
        <v>116</v>
      </c>
      <c r="E1290" t="s">
        <v>14</v>
      </c>
      <c r="F1290">
        <v>1.6259999999999999</v>
      </c>
      <c r="G1290" t="s">
        <v>15</v>
      </c>
    </row>
    <row r="1291" spans="1:7" x14ac:dyDescent="0.25">
      <c r="A1291">
        <v>93</v>
      </c>
      <c r="B1291" t="s">
        <v>462</v>
      </c>
      <c r="C1291">
        <v>20</v>
      </c>
      <c r="D1291" t="s">
        <v>463</v>
      </c>
      <c r="E1291" t="s">
        <v>11</v>
      </c>
      <c r="F1291">
        <v>1</v>
      </c>
      <c r="G1291" t="s">
        <v>15</v>
      </c>
    </row>
    <row r="1292" spans="1:7" x14ac:dyDescent="0.25">
      <c r="A1292">
        <v>93</v>
      </c>
      <c r="B1292" t="s">
        <v>462</v>
      </c>
      <c r="C1292">
        <v>30</v>
      </c>
      <c r="D1292" t="s">
        <v>464</v>
      </c>
      <c r="E1292" t="s">
        <v>11</v>
      </c>
      <c r="F1292">
        <v>1</v>
      </c>
      <c r="G1292" t="s">
        <v>15</v>
      </c>
    </row>
    <row r="1293" spans="1:7" x14ac:dyDescent="0.25">
      <c r="A1293">
        <v>93</v>
      </c>
      <c r="B1293" t="s">
        <v>462</v>
      </c>
      <c r="C1293">
        <v>40</v>
      </c>
      <c r="D1293" t="s">
        <v>266</v>
      </c>
      <c r="E1293" t="s">
        <v>14</v>
      </c>
      <c r="F1293">
        <v>1.6259999999999999</v>
      </c>
      <c r="G1293" t="s">
        <v>15</v>
      </c>
    </row>
    <row r="1294" spans="1:7" x14ac:dyDescent="0.25">
      <c r="A1294">
        <v>93</v>
      </c>
      <c r="B1294" t="s">
        <v>462</v>
      </c>
      <c r="C1294">
        <v>50</v>
      </c>
      <c r="D1294" t="s">
        <v>107</v>
      </c>
      <c r="E1294" t="s">
        <v>108</v>
      </c>
      <c r="F1294">
        <v>0.995</v>
      </c>
      <c r="G1294" t="s">
        <v>13</v>
      </c>
    </row>
    <row r="1295" spans="1:7" x14ac:dyDescent="0.25">
      <c r="A1295">
        <v>93</v>
      </c>
      <c r="B1295" t="s">
        <v>462</v>
      </c>
      <c r="C1295">
        <v>60</v>
      </c>
      <c r="D1295" t="s">
        <v>267</v>
      </c>
      <c r="E1295" t="s">
        <v>11</v>
      </c>
      <c r="F1295">
        <v>1</v>
      </c>
      <c r="G1295" t="s">
        <v>13</v>
      </c>
    </row>
    <row r="1296" spans="1:7" x14ac:dyDescent="0.25">
      <c r="A1296">
        <v>93</v>
      </c>
      <c r="B1296" t="s">
        <v>462</v>
      </c>
      <c r="C1296">
        <v>70</v>
      </c>
      <c r="D1296" t="s">
        <v>109</v>
      </c>
      <c r="E1296" t="s">
        <v>14</v>
      </c>
      <c r="F1296">
        <v>21.640999999999998</v>
      </c>
      <c r="G1296" t="s">
        <v>13</v>
      </c>
    </row>
    <row r="1297" spans="1:7" x14ac:dyDescent="0.25">
      <c r="A1297">
        <v>93</v>
      </c>
      <c r="B1297" t="s">
        <v>462</v>
      </c>
      <c r="C1297">
        <v>80</v>
      </c>
      <c r="D1297" t="s">
        <v>16</v>
      </c>
      <c r="E1297" t="s">
        <v>14</v>
      </c>
      <c r="F1297">
        <v>134.02799999999999</v>
      </c>
      <c r="G1297" t="s">
        <v>13</v>
      </c>
    </row>
    <row r="1298" spans="1:7" x14ac:dyDescent="0.25">
      <c r="A1298">
        <v>93</v>
      </c>
      <c r="B1298" t="s">
        <v>462</v>
      </c>
      <c r="C1298">
        <v>90</v>
      </c>
      <c r="D1298" t="s">
        <v>265</v>
      </c>
      <c r="E1298" t="s">
        <v>12</v>
      </c>
      <c r="F1298">
        <v>0.13700000000000001</v>
      </c>
      <c r="G1298" t="s">
        <v>13</v>
      </c>
    </row>
    <row r="1299" spans="1:7" x14ac:dyDescent="0.25">
      <c r="A1299">
        <v>93</v>
      </c>
      <c r="B1299" t="s">
        <v>462</v>
      </c>
      <c r="C1299">
        <v>100</v>
      </c>
      <c r="D1299" t="s">
        <v>269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462</v>
      </c>
      <c r="C1300">
        <v>110</v>
      </c>
      <c r="D1300" t="s">
        <v>20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462</v>
      </c>
      <c r="C1301">
        <v>120</v>
      </c>
      <c r="D1301" t="s">
        <v>21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462</v>
      </c>
      <c r="C1302">
        <v>130</v>
      </c>
      <c r="D1302" t="s">
        <v>110</v>
      </c>
      <c r="E1302" t="s">
        <v>12</v>
      </c>
      <c r="F1302">
        <v>0.98599999999999999</v>
      </c>
      <c r="G1302" t="s">
        <v>13</v>
      </c>
    </row>
    <row r="1303" spans="1:7" x14ac:dyDescent="0.25">
      <c r="A1303">
        <v>93</v>
      </c>
      <c r="B1303" t="s">
        <v>462</v>
      </c>
      <c r="C1303">
        <v>140</v>
      </c>
      <c r="D1303" t="s">
        <v>465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466</v>
      </c>
      <c r="C1304">
        <v>10</v>
      </c>
      <c r="D1304" t="s">
        <v>116</v>
      </c>
      <c r="E1304" t="s">
        <v>14</v>
      </c>
      <c r="F1304">
        <v>1.778</v>
      </c>
      <c r="G1304" t="s">
        <v>15</v>
      </c>
    </row>
    <row r="1305" spans="1:7" x14ac:dyDescent="0.25">
      <c r="A1305">
        <v>94</v>
      </c>
      <c r="B1305" t="s">
        <v>466</v>
      </c>
      <c r="C1305">
        <v>20</v>
      </c>
      <c r="D1305" t="s">
        <v>467</v>
      </c>
      <c r="E1305" t="s">
        <v>11</v>
      </c>
      <c r="F1305">
        <v>1</v>
      </c>
      <c r="G1305" t="s">
        <v>15</v>
      </c>
    </row>
    <row r="1306" spans="1:7" x14ac:dyDescent="0.25">
      <c r="A1306">
        <v>94</v>
      </c>
      <c r="B1306" t="s">
        <v>466</v>
      </c>
      <c r="C1306">
        <v>30</v>
      </c>
      <c r="D1306" t="s">
        <v>468</v>
      </c>
      <c r="E1306" t="s">
        <v>11</v>
      </c>
      <c r="F1306">
        <v>1</v>
      </c>
      <c r="G1306" t="s">
        <v>15</v>
      </c>
    </row>
    <row r="1307" spans="1:7" x14ac:dyDescent="0.25">
      <c r="A1307">
        <v>94</v>
      </c>
      <c r="B1307" t="s">
        <v>466</v>
      </c>
      <c r="C1307">
        <v>40</v>
      </c>
      <c r="D1307" t="s">
        <v>266</v>
      </c>
      <c r="E1307" t="s">
        <v>14</v>
      </c>
      <c r="F1307">
        <v>1.778</v>
      </c>
      <c r="G1307" t="s">
        <v>15</v>
      </c>
    </row>
    <row r="1308" spans="1:7" x14ac:dyDescent="0.25">
      <c r="A1308">
        <v>94</v>
      </c>
      <c r="B1308" t="s">
        <v>466</v>
      </c>
      <c r="C1308">
        <v>50</v>
      </c>
      <c r="D1308" t="s">
        <v>107</v>
      </c>
      <c r="E1308" t="s">
        <v>108</v>
      </c>
      <c r="F1308">
        <v>1.0900000000000001</v>
      </c>
      <c r="G1308" t="s">
        <v>13</v>
      </c>
    </row>
    <row r="1309" spans="1:7" x14ac:dyDescent="0.25">
      <c r="A1309">
        <v>94</v>
      </c>
      <c r="B1309" t="s">
        <v>466</v>
      </c>
      <c r="C1309">
        <v>60</v>
      </c>
      <c r="D1309" t="s">
        <v>267</v>
      </c>
      <c r="E1309" t="s">
        <v>11</v>
      </c>
      <c r="F1309">
        <v>1</v>
      </c>
      <c r="G1309" t="s">
        <v>13</v>
      </c>
    </row>
    <row r="1310" spans="1:7" x14ac:dyDescent="0.25">
      <c r="A1310">
        <v>94</v>
      </c>
      <c r="B1310" t="s">
        <v>466</v>
      </c>
      <c r="C1310">
        <v>70</v>
      </c>
      <c r="D1310" t="s">
        <v>109</v>
      </c>
      <c r="E1310" t="s">
        <v>14</v>
      </c>
      <c r="F1310">
        <v>22.555</v>
      </c>
      <c r="G1310" t="s">
        <v>13</v>
      </c>
    </row>
    <row r="1311" spans="1:7" x14ac:dyDescent="0.25">
      <c r="A1311">
        <v>94</v>
      </c>
      <c r="B1311" t="s">
        <v>466</v>
      </c>
      <c r="C1311">
        <v>80</v>
      </c>
      <c r="D1311" t="s">
        <v>16</v>
      </c>
      <c r="E1311" t="s">
        <v>14</v>
      </c>
      <c r="F1311">
        <v>139.65199999999999</v>
      </c>
      <c r="G1311" t="s">
        <v>13</v>
      </c>
    </row>
    <row r="1312" spans="1:7" x14ac:dyDescent="0.25">
      <c r="A1312">
        <v>94</v>
      </c>
      <c r="B1312" t="s">
        <v>466</v>
      </c>
      <c r="C1312">
        <v>90</v>
      </c>
      <c r="D1312" t="s">
        <v>265</v>
      </c>
      <c r="E1312" t="s">
        <v>12</v>
      </c>
      <c r="F1312">
        <v>0.14799999999999999</v>
      </c>
      <c r="G1312" t="s">
        <v>13</v>
      </c>
    </row>
    <row r="1313" spans="1:7" x14ac:dyDescent="0.25">
      <c r="A1313">
        <v>94</v>
      </c>
      <c r="B1313" t="s">
        <v>466</v>
      </c>
      <c r="C1313">
        <v>100</v>
      </c>
      <c r="D1313" t="s">
        <v>269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466</v>
      </c>
      <c r="C1314">
        <v>110</v>
      </c>
      <c r="D1314" t="s">
        <v>20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466</v>
      </c>
      <c r="C1315">
        <v>120</v>
      </c>
      <c r="D1315" t="s">
        <v>21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466</v>
      </c>
      <c r="C1316">
        <v>130</v>
      </c>
      <c r="D1316" t="s">
        <v>110</v>
      </c>
      <c r="E1316" t="s">
        <v>12</v>
      </c>
      <c r="F1316">
        <v>1.0669999999999999</v>
      </c>
      <c r="G1316" t="s">
        <v>13</v>
      </c>
    </row>
    <row r="1317" spans="1:7" x14ac:dyDescent="0.25">
      <c r="A1317">
        <v>94</v>
      </c>
      <c r="B1317" t="s">
        <v>466</v>
      </c>
      <c r="C1317">
        <v>140</v>
      </c>
      <c r="D1317" t="s">
        <v>469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470</v>
      </c>
      <c r="C1318">
        <v>10</v>
      </c>
      <c r="D1318" t="s">
        <v>116</v>
      </c>
      <c r="E1318" t="s">
        <v>14</v>
      </c>
      <c r="F1318">
        <v>0.86399999999999999</v>
      </c>
      <c r="G1318" t="s">
        <v>15</v>
      </c>
    </row>
    <row r="1319" spans="1:7" x14ac:dyDescent="0.25">
      <c r="A1319">
        <v>95</v>
      </c>
      <c r="B1319" t="s">
        <v>470</v>
      </c>
      <c r="C1319">
        <v>20</v>
      </c>
      <c r="D1319" t="s">
        <v>471</v>
      </c>
      <c r="E1319" t="s">
        <v>11</v>
      </c>
      <c r="F1319">
        <v>1</v>
      </c>
      <c r="G1319" t="s">
        <v>15</v>
      </c>
    </row>
    <row r="1320" spans="1:7" x14ac:dyDescent="0.25">
      <c r="A1320">
        <v>95</v>
      </c>
      <c r="B1320" t="s">
        <v>470</v>
      </c>
      <c r="C1320">
        <v>30</v>
      </c>
      <c r="D1320" t="s">
        <v>472</v>
      </c>
      <c r="E1320" t="s">
        <v>11</v>
      </c>
      <c r="F1320">
        <v>1</v>
      </c>
      <c r="G1320" t="s">
        <v>15</v>
      </c>
    </row>
    <row r="1321" spans="1:7" x14ac:dyDescent="0.25">
      <c r="A1321">
        <v>95</v>
      </c>
      <c r="B1321" t="s">
        <v>470</v>
      </c>
      <c r="C1321">
        <v>40</v>
      </c>
      <c r="D1321" t="s">
        <v>266</v>
      </c>
      <c r="E1321" t="s">
        <v>14</v>
      </c>
      <c r="F1321">
        <v>0.86399999999999999</v>
      </c>
      <c r="G1321" t="s">
        <v>15</v>
      </c>
    </row>
    <row r="1322" spans="1:7" x14ac:dyDescent="0.25">
      <c r="A1322">
        <v>95</v>
      </c>
      <c r="B1322" t="s">
        <v>470</v>
      </c>
      <c r="C1322">
        <v>50</v>
      </c>
      <c r="D1322" t="s">
        <v>107</v>
      </c>
      <c r="E1322" t="s">
        <v>108</v>
      </c>
      <c r="F1322">
        <v>0.53500000000000003</v>
      </c>
      <c r="G1322" t="s">
        <v>13</v>
      </c>
    </row>
    <row r="1323" spans="1:7" x14ac:dyDescent="0.25">
      <c r="A1323">
        <v>95</v>
      </c>
      <c r="B1323" t="s">
        <v>470</v>
      </c>
      <c r="C1323">
        <v>60</v>
      </c>
      <c r="D1323" t="s">
        <v>267</v>
      </c>
      <c r="E1323" t="s">
        <v>11</v>
      </c>
      <c r="F1323">
        <v>1</v>
      </c>
      <c r="G1323" t="s">
        <v>13</v>
      </c>
    </row>
    <row r="1324" spans="1:7" x14ac:dyDescent="0.25">
      <c r="A1324">
        <v>95</v>
      </c>
      <c r="B1324" t="s">
        <v>470</v>
      </c>
      <c r="C1324">
        <v>70</v>
      </c>
      <c r="D1324" t="s">
        <v>109</v>
      </c>
      <c r="E1324" t="s">
        <v>14</v>
      </c>
      <c r="F1324">
        <v>17.373999999999999</v>
      </c>
      <c r="G1324" t="s">
        <v>13</v>
      </c>
    </row>
    <row r="1325" spans="1:7" x14ac:dyDescent="0.25">
      <c r="A1325">
        <v>95</v>
      </c>
      <c r="B1325" t="s">
        <v>470</v>
      </c>
      <c r="C1325">
        <v>80</v>
      </c>
      <c r="D1325" t="s">
        <v>16</v>
      </c>
      <c r="E1325" t="s">
        <v>14</v>
      </c>
      <c r="F1325">
        <v>107.785</v>
      </c>
      <c r="G1325" t="s">
        <v>13</v>
      </c>
    </row>
    <row r="1326" spans="1:7" x14ac:dyDescent="0.25">
      <c r="A1326">
        <v>95</v>
      </c>
      <c r="B1326" t="s">
        <v>470</v>
      </c>
      <c r="C1326">
        <v>90</v>
      </c>
      <c r="D1326" t="s">
        <v>265</v>
      </c>
      <c r="E1326" t="s">
        <v>12</v>
      </c>
      <c r="F1326">
        <v>8.4000000000000005E-2</v>
      </c>
      <c r="G1326" t="s">
        <v>13</v>
      </c>
    </row>
    <row r="1327" spans="1:7" x14ac:dyDescent="0.25">
      <c r="A1327">
        <v>95</v>
      </c>
      <c r="B1327" t="s">
        <v>470</v>
      </c>
      <c r="C1327">
        <v>100</v>
      </c>
      <c r="D1327" t="s">
        <v>269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470</v>
      </c>
      <c r="C1328">
        <v>110</v>
      </c>
      <c r="D1328" t="s">
        <v>20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470</v>
      </c>
      <c r="C1329">
        <v>120</v>
      </c>
      <c r="D1329" t="s">
        <v>21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470</v>
      </c>
      <c r="C1330">
        <v>130</v>
      </c>
      <c r="D1330" t="s">
        <v>110</v>
      </c>
      <c r="E1330" t="s">
        <v>12</v>
      </c>
      <c r="F1330">
        <v>1.216</v>
      </c>
      <c r="G1330" t="s">
        <v>13</v>
      </c>
    </row>
    <row r="1331" spans="1:7" x14ac:dyDescent="0.25">
      <c r="A1331">
        <v>95</v>
      </c>
      <c r="B1331" t="s">
        <v>470</v>
      </c>
      <c r="C1331">
        <v>140</v>
      </c>
      <c r="D1331" t="s">
        <v>473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474</v>
      </c>
      <c r="C1332">
        <v>10</v>
      </c>
      <c r="D1332" t="s">
        <v>116</v>
      </c>
      <c r="E1332" t="s">
        <v>14</v>
      </c>
      <c r="F1332">
        <v>1.016</v>
      </c>
      <c r="G1332" t="s">
        <v>15</v>
      </c>
    </row>
    <row r="1333" spans="1:7" x14ac:dyDescent="0.25">
      <c r="A1333">
        <v>96</v>
      </c>
      <c r="B1333" t="s">
        <v>474</v>
      </c>
      <c r="C1333">
        <v>20</v>
      </c>
      <c r="D1333" t="s">
        <v>475</v>
      </c>
      <c r="E1333" t="s">
        <v>11</v>
      </c>
      <c r="F1333">
        <v>1</v>
      </c>
      <c r="G1333" t="s">
        <v>15</v>
      </c>
    </row>
    <row r="1334" spans="1:7" x14ac:dyDescent="0.25">
      <c r="A1334">
        <v>96</v>
      </c>
      <c r="B1334" t="s">
        <v>474</v>
      </c>
      <c r="C1334">
        <v>30</v>
      </c>
      <c r="D1334" t="s">
        <v>476</v>
      </c>
      <c r="E1334" t="s">
        <v>11</v>
      </c>
      <c r="F1334">
        <v>1</v>
      </c>
      <c r="G1334" t="s">
        <v>15</v>
      </c>
    </row>
    <row r="1335" spans="1:7" x14ac:dyDescent="0.25">
      <c r="A1335">
        <v>96</v>
      </c>
      <c r="B1335" t="s">
        <v>474</v>
      </c>
      <c r="C1335">
        <v>40</v>
      </c>
      <c r="D1335" t="s">
        <v>266</v>
      </c>
      <c r="E1335" t="s">
        <v>14</v>
      </c>
      <c r="F1335">
        <v>1.016</v>
      </c>
      <c r="G1335" t="s">
        <v>15</v>
      </c>
    </row>
    <row r="1336" spans="1:7" x14ac:dyDescent="0.25">
      <c r="A1336">
        <v>96</v>
      </c>
      <c r="B1336" t="s">
        <v>474</v>
      </c>
      <c r="C1336">
        <v>50</v>
      </c>
      <c r="D1336" t="s">
        <v>107</v>
      </c>
      <c r="E1336" t="s">
        <v>108</v>
      </c>
      <c r="F1336">
        <v>0.63200000000000001</v>
      </c>
      <c r="G1336" t="s">
        <v>13</v>
      </c>
    </row>
    <row r="1337" spans="1:7" x14ac:dyDescent="0.25">
      <c r="A1337">
        <v>96</v>
      </c>
      <c r="B1337" t="s">
        <v>474</v>
      </c>
      <c r="C1337">
        <v>60</v>
      </c>
      <c r="D1337" t="s">
        <v>267</v>
      </c>
      <c r="E1337" t="s">
        <v>11</v>
      </c>
      <c r="F1337">
        <v>1</v>
      </c>
      <c r="G1337" t="s">
        <v>13</v>
      </c>
    </row>
    <row r="1338" spans="1:7" x14ac:dyDescent="0.25">
      <c r="A1338">
        <v>96</v>
      </c>
      <c r="B1338" t="s">
        <v>474</v>
      </c>
      <c r="C1338">
        <v>70</v>
      </c>
      <c r="D1338" t="s">
        <v>109</v>
      </c>
      <c r="E1338" t="s">
        <v>14</v>
      </c>
      <c r="F1338">
        <v>18.288</v>
      </c>
      <c r="G1338" t="s">
        <v>13</v>
      </c>
    </row>
    <row r="1339" spans="1:7" x14ac:dyDescent="0.25">
      <c r="A1339">
        <v>96</v>
      </c>
      <c r="B1339" t="s">
        <v>474</v>
      </c>
      <c r="C1339">
        <v>80</v>
      </c>
      <c r="D1339" t="s">
        <v>16</v>
      </c>
      <c r="E1339" t="s">
        <v>14</v>
      </c>
      <c r="F1339">
        <v>113.408</v>
      </c>
      <c r="G1339" t="s">
        <v>13</v>
      </c>
    </row>
    <row r="1340" spans="1:7" x14ac:dyDescent="0.25">
      <c r="A1340">
        <v>96</v>
      </c>
      <c r="B1340" t="s">
        <v>474</v>
      </c>
      <c r="C1340">
        <v>90</v>
      </c>
      <c r="D1340" t="s">
        <v>265</v>
      </c>
      <c r="E1340" t="s">
        <v>12</v>
      </c>
      <c r="F1340">
        <v>9.4E-2</v>
      </c>
      <c r="G1340" t="s">
        <v>13</v>
      </c>
    </row>
    <row r="1341" spans="1:7" x14ac:dyDescent="0.25">
      <c r="A1341">
        <v>96</v>
      </c>
      <c r="B1341" t="s">
        <v>474</v>
      </c>
      <c r="C1341">
        <v>100</v>
      </c>
      <c r="D1341" t="s">
        <v>269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474</v>
      </c>
      <c r="C1342">
        <v>110</v>
      </c>
      <c r="D1342" t="s">
        <v>20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474</v>
      </c>
      <c r="C1343">
        <v>120</v>
      </c>
      <c r="D1343" t="s">
        <v>21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474</v>
      </c>
      <c r="C1344">
        <v>130</v>
      </c>
      <c r="D1344" t="s">
        <v>110</v>
      </c>
      <c r="E1344" t="s">
        <v>12</v>
      </c>
      <c r="F1344">
        <v>1.216</v>
      </c>
      <c r="G1344" t="s">
        <v>13</v>
      </c>
    </row>
    <row r="1345" spans="1:7" x14ac:dyDescent="0.25">
      <c r="A1345">
        <v>96</v>
      </c>
      <c r="B1345" t="s">
        <v>474</v>
      </c>
      <c r="C1345">
        <v>140</v>
      </c>
      <c r="D1345" t="s">
        <v>477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478</v>
      </c>
      <c r="C1346">
        <v>10</v>
      </c>
      <c r="D1346" t="s">
        <v>116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97</v>
      </c>
      <c r="B1347" t="s">
        <v>478</v>
      </c>
      <c r="C1347">
        <v>20</v>
      </c>
      <c r="D1347" t="s">
        <v>479</v>
      </c>
      <c r="E1347" t="s">
        <v>11</v>
      </c>
      <c r="F1347">
        <v>1</v>
      </c>
      <c r="G1347" t="s">
        <v>15</v>
      </c>
    </row>
    <row r="1348" spans="1:7" x14ac:dyDescent="0.25">
      <c r="A1348">
        <v>97</v>
      </c>
      <c r="B1348" t="s">
        <v>478</v>
      </c>
      <c r="C1348">
        <v>30</v>
      </c>
      <c r="D1348" t="s">
        <v>480</v>
      </c>
      <c r="E1348" t="s">
        <v>11</v>
      </c>
      <c r="F1348">
        <v>1</v>
      </c>
      <c r="G1348" t="s">
        <v>15</v>
      </c>
    </row>
    <row r="1349" spans="1:7" x14ac:dyDescent="0.25">
      <c r="A1349">
        <v>97</v>
      </c>
      <c r="B1349" t="s">
        <v>478</v>
      </c>
      <c r="C1349">
        <v>40</v>
      </c>
      <c r="D1349" t="s">
        <v>266</v>
      </c>
      <c r="E1349" t="s">
        <v>14</v>
      </c>
      <c r="F1349">
        <v>1.1679999999999999</v>
      </c>
      <c r="G1349" t="s">
        <v>15</v>
      </c>
    </row>
    <row r="1350" spans="1:7" x14ac:dyDescent="0.25">
      <c r="A1350">
        <v>97</v>
      </c>
      <c r="B1350" t="s">
        <v>478</v>
      </c>
      <c r="C1350">
        <v>50</v>
      </c>
      <c r="D1350" t="s">
        <v>107</v>
      </c>
      <c r="E1350" t="s">
        <v>108</v>
      </c>
      <c r="F1350">
        <v>0.72899999999999998</v>
      </c>
      <c r="G1350" t="s">
        <v>13</v>
      </c>
    </row>
    <row r="1351" spans="1:7" x14ac:dyDescent="0.25">
      <c r="A1351">
        <v>97</v>
      </c>
      <c r="B1351" t="s">
        <v>478</v>
      </c>
      <c r="C1351">
        <v>60</v>
      </c>
      <c r="D1351" t="s">
        <v>267</v>
      </c>
      <c r="E1351" t="s">
        <v>11</v>
      </c>
      <c r="F1351">
        <v>1</v>
      </c>
      <c r="G1351" t="s">
        <v>13</v>
      </c>
    </row>
    <row r="1352" spans="1:7" x14ac:dyDescent="0.25">
      <c r="A1352">
        <v>97</v>
      </c>
      <c r="B1352" t="s">
        <v>478</v>
      </c>
      <c r="C1352">
        <v>70</v>
      </c>
      <c r="D1352" t="s">
        <v>109</v>
      </c>
      <c r="E1352" t="s">
        <v>14</v>
      </c>
      <c r="F1352">
        <v>19.202000000000002</v>
      </c>
      <c r="G1352" t="s">
        <v>13</v>
      </c>
    </row>
    <row r="1353" spans="1:7" x14ac:dyDescent="0.25">
      <c r="A1353">
        <v>97</v>
      </c>
      <c r="B1353" t="s">
        <v>478</v>
      </c>
      <c r="C1353">
        <v>80</v>
      </c>
      <c r="D1353" t="s">
        <v>16</v>
      </c>
      <c r="E1353" t="s">
        <v>14</v>
      </c>
      <c r="F1353">
        <v>119.032</v>
      </c>
      <c r="G1353" t="s">
        <v>13</v>
      </c>
    </row>
    <row r="1354" spans="1:7" x14ac:dyDescent="0.25">
      <c r="A1354">
        <v>97</v>
      </c>
      <c r="B1354" t="s">
        <v>478</v>
      </c>
      <c r="C1354">
        <v>90</v>
      </c>
      <c r="D1354" t="s">
        <v>265</v>
      </c>
      <c r="E1354" t="s">
        <v>12</v>
      </c>
      <c r="F1354">
        <v>0.105</v>
      </c>
      <c r="G1354" t="s">
        <v>13</v>
      </c>
    </row>
    <row r="1355" spans="1:7" x14ac:dyDescent="0.25">
      <c r="A1355">
        <v>97</v>
      </c>
      <c r="B1355" t="s">
        <v>478</v>
      </c>
      <c r="C1355">
        <v>100</v>
      </c>
      <c r="D1355" t="s">
        <v>269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478</v>
      </c>
      <c r="C1356">
        <v>110</v>
      </c>
      <c r="D1356" t="s">
        <v>20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478</v>
      </c>
      <c r="C1357">
        <v>120</v>
      </c>
      <c r="D1357" t="s">
        <v>21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478</v>
      </c>
      <c r="C1358">
        <v>130</v>
      </c>
      <c r="D1358" t="s">
        <v>110</v>
      </c>
      <c r="E1358" t="s">
        <v>12</v>
      </c>
      <c r="F1358">
        <v>1.216</v>
      </c>
      <c r="G1358" t="s">
        <v>13</v>
      </c>
    </row>
    <row r="1359" spans="1:7" x14ac:dyDescent="0.25">
      <c r="A1359">
        <v>97</v>
      </c>
      <c r="B1359" t="s">
        <v>478</v>
      </c>
      <c r="C1359">
        <v>140</v>
      </c>
      <c r="D1359" t="s">
        <v>481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482</v>
      </c>
      <c r="C1360">
        <v>10</v>
      </c>
      <c r="D1360" t="s">
        <v>116</v>
      </c>
      <c r="E1360" t="s">
        <v>14</v>
      </c>
      <c r="F1360">
        <v>1.321</v>
      </c>
      <c r="G1360" t="s">
        <v>15</v>
      </c>
    </row>
    <row r="1361" spans="1:7" x14ac:dyDescent="0.25">
      <c r="A1361">
        <v>98</v>
      </c>
      <c r="B1361" t="s">
        <v>482</v>
      </c>
      <c r="C1361">
        <v>20</v>
      </c>
      <c r="D1361" t="s">
        <v>483</v>
      </c>
      <c r="E1361" t="s">
        <v>11</v>
      </c>
      <c r="F1361">
        <v>1</v>
      </c>
      <c r="G1361" t="s">
        <v>15</v>
      </c>
    </row>
    <row r="1362" spans="1:7" x14ac:dyDescent="0.25">
      <c r="A1362">
        <v>98</v>
      </c>
      <c r="B1362" t="s">
        <v>482</v>
      </c>
      <c r="C1362">
        <v>30</v>
      </c>
      <c r="D1362" t="s">
        <v>484</v>
      </c>
      <c r="E1362" t="s">
        <v>11</v>
      </c>
      <c r="F1362">
        <v>1</v>
      </c>
      <c r="G1362" t="s">
        <v>15</v>
      </c>
    </row>
    <row r="1363" spans="1:7" x14ac:dyDescent="0.25">
      <c r="A1363">
        <v>98</v>
      </c>
      <c r="B1363" t="s">
        <v>482</v>
      </c>
      <c r="C1363">
        <v>40</v>
      </c>
      <c r="D1363" t="s">
        <v>266</v>
      </c>
      <c r="E1363" t="s">
        <v>14</v>
      </c>
      <c r="F1363">
        <v>1.321</v>
      </c>
      <c r="G1363" t="s">
        <v>15</v>
      </c>
    </row>
    <row r="1364" spans="1:7" x14ac:dyDescent="0.25">
      <c r="A1364">
        <v>98</v>
      </c>
      <c r="B1364" t="s">
        <v>482</v>
      </c>
      <c r="C1364">
        <v>50</v>
      </c>
      <c r="D1364" t="s">
        <v>107</v>
      </c>
      <c r="E1364" t="s">
        <v>108</v>
      </c>
      <c r="F1364">
        <v>0.82599999999999996</v>
      </c>
      <c r="G1364" t="s">
        <v>13</v>
      </c>
    </row>
    <row r="1365" spans="1:7" x14ac:dyDescent="0.25">
      <c r="A1365">
        <v>98</v>
      </c>
      <c r="B1365" t="s">
        <v>482</v>
      </c>
      <c r="C1365">
        <v>60</v>
      </c>
      <c r="D1365" t="s">
        <v>267</v>
      </c>
      <c r="E1365" t="s">
        <v>11</v>
      </c>
      <c r="F1365">
        <v>1</v>
      </c>
      <c r="G1365" t="s">
        <v>13</v>
      </c>
    </row>
    <row r="1366" spans="1:7" x14ac:dyDescent="0.25">
      <c r="A1366">
        <v>98</v>
      </c>
      <c r="B1366" t="s">
        <v>482</v>
      </c>
      <c r="C1366">
        <v>70</v>
      </c>
      <c r="D1366" t="s">
        <v>109</v>
      </c>
      <c r="E1366" t="s">
        <v>14</v>
      </c>
      <c r="F1366">
        <v>20.117000000000001</v>
      </c>
      <c r="G1366" t="s">
        <v>13</v>
      </c>
    </row>
    <row r="1367" spans="1:7" x14ac:dyDescent="0.25">
      <c r="A1367">
        <v>98</v>
      </c>
      <c r="B1367" t="s">
        <v>482</v>
      </c>
      <c r="C1367">
        <v>80</v>
      </c>
      <c r="D1367" t="s">
        <v>16</v>
      </c>
      <c r="E1367" t="s">
        <v>14</v>
      </c>
      <c r="F1367">
        <v>124.65600000000001</v>
      </c>
      <c r="G1367" t="s">
        <v>13</v>
      </c>
    </row>
    <row r="1368" spans="1:7" x14ac:dyDescent="0.25">
      <c r="A1368">
        <v>98</v>
      </c>
      <c r="B1368" t="s">
        <v>482</v>
      </c>
      <c r="C1368">
        <v>90</v>
      </c>
      <c r="D1368" t="s">
        <v>265</v>
      </c>
      <c r="E1368" t="s">
        <v>12</v>
      </c>
      <c r="F1368">
        <v>0.11600000000000001</v>
      </c>
      <c r="G1368" t="s">
        <v>13</v>
      </c>
    </row>
    <row r="1369" spans="1:7" x14ac:dyDescent="0.25">
      <c r="A1369">
        <v>98</v>
      </c>
      <c r="B1369" t="s">
        <v>482</v>
      </c>
      <c r="C1369">
        <v>100</v>
      </c>
      <c r="D1369" t="s">
        <v>269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482</v>
      </c>
      <c r="C1370">
        <v>110</v>
      </c>
      <c r="D1370" t="s">
        <v>20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482</v>
      </c>
      <c r="C1371">
        <v>120</v>
      </c>
      <c r="D1371" t="s">
        <v>21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482</v>
      </c>
      <c r="C1372">
        <v>130</v>
      </c>
      <c r="D1372" t="s">
        <v>110</v>
      </c>
      <c r="E1372" t="s">
        <v>12</v>
      </c>
      <c r="F1372">
        <v>1.216</v>
      </c>
      <c r="G1372" t="s">
        <v>13</v>
      </c>
    </row>
    <row r="1373" spans="1:7" x14ac:dyDescent="0.25">
      <c r="A1373">
        <v>98</v>
      </c>
      <c r="B1373" t="s">
        <v>482</v>
      </c>
      <c r="C1373">
        <v>140</v>
      </c>
      <c r="D1373" t="s">
        <v>485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486</v>
      </c>
      <c r="C1374">
        <v>10</v>
      </c>
      <c r="D1374" t="s">
        <v>116</v>
      </c>
      <c r="E1374" t="s">
        <v>14</v>
      </c>
      <c r="F1374">
        <v>1.397</v>
      </c>
      <c r="G1374" t="s">
        <v>15</v>
      </c>
    </row>
    <row r="1375" spans="1:7" x14ac:dyDescent="0.25">
      <c r="A1375">
        <v>99</v>
      </c>
      <c r="B1375" t="s">
        <v>486</v>
      </c>
      <c r="C1375">
        <v>20</v>
      </c>
      <c r="D1375" t="s">
        <v>487</v>
      </c>
      <c r="E1375" t="s">
        <v>11</v>
      </c>
      <c r="F1375">
        <v>1</v>
      </c>
      <c r="G1375" t="s">
        <v>15</v>
      </c>
    </row>
    <row r="1376" spans="1:7" x14ac:dyDescent="0.25">
      <c r="A1376">
        <v>99</v>
      </c>
      <c r="B1376" t="s">
        <v>486</v>
      </c>
      <c r="C1376">
        <v>30</v>
      </c>
      <c r="D1376" t="s">
        <v>488</v>
      </c>
      <c r="E1376" t="s">
        <v>11</v>
      </c>
      <c r="F1376">
        <v>1</v>
      </c>
      <c r="G1376" t="s">
        <v>15</v>
      </c>
    </row>
    <row r="1377" spans="1:7" x14ac:dyDescent="0.25">
      <c r="A1377">
        <v>99</v>
      </c>
      <c r="B1377" t="s">
        <v>486</v>
      </c>
      <c r="C1377">
        <v>40</v>
      </c>
      <c r="D1377" t="s">
        <v>266</v>
      </c>
      <c r="E1377" t="s">
        <v>14</v>
      </c>
      <c r="F1377">
        <v>1.397</v>
      </c>
      <c r="G1377" t="s">
        <v>15</v>
      </c>
    </row>
    <row r="1378" spans="1:7" x14ac:dyDescent="0.25">
      <c r="A1378">
        <v>99</v>
      </c>
      <c r="B1378" t="s">
        <v>486</v>
      </c>
      <c r="C1378">
        <v>50</v>
      </c>
      <c r="D1378" t="s">
        <v>107</v>
      </c>
      <c r="E1378" t="s">
        <v>108</v>
      </c>
      <c r="F1378">
        <v>0.875</v>
      </c>
      <c r="G1378" t="s">
        <v>13</v>
      </c>
    </row>
    <row r="1379" spans="1:7" x14ac:dyDescent="0.25">
      <c r="A1379">
        <v>99</v>
      </c>
      <c r="B1379" t="s">
        <v>486</v>
      </c>
      <c r="C1379">
        <v>60</v>
      </c>
      <c r="D1379" t="s">
        <v>267</v>
      </c>
      <c r="E1379" t="s">
        <v>11</v>
      </c>
      <c r="F1379">
        <v>1</v>
      </c>
      <c r="G1379" t="s">
        <v>13</v>
      </c>
    </row>
    <row r="1380" spans="1:7" x14ac:dyDescent="0.25">
      <c r="A1380">
        <v>99</v>
      </c>
      <c r="B1380" t="s">
        <v>486</v>
      </c>
      <c r="C1380">
        <v>70</v>
      </c>
      <c r="D1380" t="s">
        <v>109</v>
      </c>
      <c r="E1380" t="s">
        <v>14</v>
      </c>
      <c r="F1380">
        <v>20.574000000000002</v>
      </c>
      <c r="G1380" t="s">
        <v>13</v>
      </c>
    </row>
    <row r="1381" spans="1:7" x14ac:dyDescent="0.25">
      <c r="A1381">
        <v>99</v>
      </c>
      <c r="B1381" t="s">
        <v>486</v>
      </c>
      <c r="C1381">
        <v>80</v>
      </c>
      <c r="D1381" t="s">
        <v>16</v>
      </c>
      <c r="E1381" t="s">
        <v>14</v>
      </c>
      <c r="F1381">
        <v>127.467</v>
      </c>
      <c r="G1381" t="s">
        <v>13</v>
      </c>
    </row>
    <row r="1382" spans="1:7" x14ac:dyDescent="0.25">
      <c r="A1382">
        <v>99</v>
      </c>
      <c r="B1382" t="s">
        <v>486</v>
      </c>
      <c r="C1382">
        <v>90</v>
      </c>
      <c r="D1382" t="s">
        <v>265</v>
      </c>
      <c r="E1382" t="s">
        <v>12</v>
      </c>
      <c r="F1382">
        <v>0.121</v>
      </c>
      <c r="G1382" t="s">
        <v>13</v>
      </c>
    </row>
    <row r="1383" spans="1:7" x14ac:dyDescent="0.25">
      <c r="A1383">
        <v>99</v>
      </c>
      <c r="B1383" t="s">
        <v>486</v>
      </c>
      <c r="C1383">
        <v>100</v>
      </c>
      <c r="D1383" t="s">
        <v>269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486</v>
      </c>
      <c r="C1384">
        <v>110</v>
      </c>
      <c r="D1384" t="s">
        <v>20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486</v>
      </c>
      <c r="C1385">
        <v>120</v>
      </c>
      <c r="D1385" t="s">
        <v>21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486</v>
      </c>
      <c r="C1386">
        <v>130</v>
      </c>
      <c r="D1386" t="s">
        <v>110</v>
      </c>
      <c r="E1386" t="s">
        <v>12</v>
      </c>
      <c r="F1386">
        <v>1.216</v>
      </c>
      <c r="G1386" t="s">
        <v>13</v>
      </c>
    </row>
    <row r="1387" spans="1:7" x14ac:dyDescent="0.25">
      <c r="A1387">
        <v>99</v>
      </c>
      <c r="B1387" t="s">
        <v>486</v>
      </c>
      <c r="C1387">
        <v>140</v>
      </c>
      <c r="D1387" t="s">
        <v>489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490</v>
      </c>
      <c r="C1388">
        <v>10</v>
      </c>
      <c r="D1388" t="s">
        <v>116</v>
      </c>
      <c r="E1388" t="s">
        <v>14</v>
      </c>
      <c r="F1388">
        <v>1.4730000000000001</v>
      </c>
      <c r="G1388" t="s">
        <v>15</v>
      </c>
    </row>
    <row r="1389" spans="1:7" x14ac:dyDescent="0.25">
      <c r="A1389">
        <v>100</v>
      </c>
      <c r="B1389" t="s">
        <v>490</v>
      </c>
      <c r="C1389">
        <v>20</v>
      </c>
      <c r="D1389" t="s">
        <v>491</v>
      </c>
      <c r="E1389" t="s">
        <v>11</v>
      </c>
      <c r="F1389">
        <v>1</v>
      </c>
      <c r="G1389" t="s">
        <v>15</v>
      </c>
    </row>
    <row r="1390" spans="1:7" x14ac:dyDescent="0.25">
      <c r="A1390">
        <v>100</v>
      </c>
      <c r="B1390" t="s">
        <v>490</v>
      </c>
      <c r="C1390">
        <v>30</v>
      </c>
      <c r="D1390" t="s">
        <v>492</v>
      </c>
      <c r="E1390" t="s">
        <v>11</v>
      </c>
      <c r="F1390">
        <v>1</v>
      </c>
      <c r="G1390" t="s">
        <v>15</v>
      </c>
    </row>
    <row r="1391" spans="1:7" x14ac:dyDescent="0.25">
      <c r="A1391">
        <v>100</v>
      </c>
      <c r="B1391" t="s">
        <v>490</v>
      </c>
      <c r="C1391">
        <v>40</v>
      </c>
      <c r="D1391" t="s">
        <v>266</v>
      </c>
      <c r="E1391" t="s">
        <v>14</v>
      </c>
      <c r="F1391">
        <v>1.4730000000000001</v>
      </c>
      <c r="G1391" t="s">
        <v>15</v>
      </c>
    </row>
    <row r="1392" spans="1:7" x14ac:dyDescent="0.25">
      <c r="A1392">
        <v>100</v>
      </c>
      <c r="B1392" t="s">
        <v>490</v>
      </c>
      <c r="C1392">
        <v>50</v>
      </c>
      <c r="D1392" t="s">
        <v>107</v>
      </c>
      <c r="E1392" t="s">
        <v>108</v>
      </c>
      <c r="F1392">
        <v>0.92300000000000004</v>
      </c>
      <c r="G1392" t="s">
        <v>13</v>
      </c>
    </row>
    <row r="1393" spans="1:7" x14ac:dyDescent="0.25">
      <c r="A1393">
        <v>100</v>
      </c>
      <c r="B1393" t="s">
        <v>490</v>
      </c>
      <c r="C1393">
        <v>60</v>
      </c>
      <c r="D1393" t="s">
        <v>267</v>
      </c>
      <c r="E1393" t="s">
        <v>11</v>
      </c>
      <c r="F1393">
        <v>1</v>
      </c>
      <c r="G1393" t="s">
        <v>13</v>
      </c>
    </row>
    <row r="1394" spans="1:7" x14ac:dyDescent="0.25">
      <c r="A1394">
        <v>100</v>
      </c>
      <c r="B1394" t="s">
        <v>490</v>
      </c>
      <c r="C1394">
        <v>70</v>
      </c>
      <c r="D1394" t="s">
        <v>109</v>
      </c>
      <c r="E1394" t="s">
        <v>14</v>
      </c>
      <c r="F1394">
        <v>21.030999999999999</v>
      </c>
      <c r="G1394" t="s">
        <v>13</v>
      </c>
    </row>
    <row r="1395" spans="1:7" x14ac:dyDescent="0.25">
      <c r="A1395">
        <v>100</v>
      </c>
      <c r="B1395" t="s">
        <v>490</v>
      </c>
      <c r="C1395">
        <v>80</v>
      </c>
      <c r="D1395" t="s">
        <v>16</v>
      </c>
      <c r="E1395" t="s">
        <v>14</v>
      </c>
      <c r="F1395">
        <v>130.279</v>
      </c>
      <c r="G1395" t="s">
        <v>13</v>
      </c>
    </row>
    <row r="1396" spans="1:7" x14ac:dyDescent="0.25">
      <c r="A1396">
        <v>100</v>
      </c>
      <c r="B1396" t="s">
        <v>490</v>
      </c>
      <c r="C1396">
        <v>90</v>
      </c>
      <c r="D1396" t="s">
        <v>265</v>
      </c>
      <c r="E1396" t="s">
        <v>12</v>
      </c>
      <c r="F1396">
        <v>0.126</v>
      </c>
      <c r="G1396" t="s">
        <v>13</v>
      </c>
    </row>
    <row r="1397" spans="1:7" x14ac:dyDescent="0.25">
      <c r="A1397">
        <v>100</v>
      </c>
      <c r="B1397" t="s">
        <v>490</v>
      </c>
      <c r="C1397">
        <v>100</v>
      </c>
      <c r="D1397" t="s">
        <v>269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490</v>
      </c>
      <c r="C1398">
        <v>110</v>
      </c>
      <c r="D1398" t="s">
        <v>20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490</v>
      </c>
      <c r="C1399">
        <v>120</v>
      </c>
      <c r="D1399" t="s">
        <v>21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490</v>
      </c>
      <c r="C1400">
        <v>130</v>
      </c>
      <c r="D1400" t="s">
        <v>110</v>
      </c>
      <c r="E1400" t="s">
        <v>12</v>
      </c>
      <c r="F1400">
        <v>1.216</v>
      </c>
      <c r="G1400" t="s">
        <v>13</v>
      </c>
    </row>
    <row r="1401" spans="1:7" x14ac:dyDescent="0.25">
      <c r="A1401">
        <v>100</v>
      </c>
      <c r="B1401" t="s">
        <v>490</v>
      </c>
      <c r="C1401">
        <v>140</v>
      </c>
      <c r="D1401" t="s">
        <v>493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494</v>
      </c>
      <c r="C1402">
        <v>10</v>
      </c>
      <c r="D1402" t="s">
        <v>116</v>
      </c>
      <c r="E1402" t="s">
        <v>14</v>
      </c>
      <c r="F1402">
        <v>1.6259999999999999</v>
      </c>
      <c r="G1402" t="s">
        <v>15</v>
      </c>
    </row>
    <row r="1403" spans="1:7" x14ac:dyDescent="0.25">
      <c r="A1403">
        <v>101</v>
      </c>
      <c r="B1403" t="s">
        <v>494</v>
      </c>
      <c r="C1403">
        <v>20</v>
      </c>
      <c r="D1403" t="s">
        <v>495</v>
      </c>
      <c r="E1403" t="s">
        <v>11</v>
      </c>
      <c r="F1403">
        <v>1</v>
      </c>
      <c r="G1403" t="s">
        <v>15</v>
      </c>
    </row>
    <row r="1404" spans="1:7" x14ac:dyDescent="0.25">
      <c r="A1404">
        <v>101</v>
      </c>
      <c r="B1404" t="s">
        <v>494</v>
      </c>
      <c r="C1404">
        <v>30</v>
      </c>
      <c r="D1404" t="s">
        <v>496</v>
      </c>
      <c r="E1404" t="s">
        <v>11</v>
      </c>
      <c r="F1404">
        <v>1</v>
      </c>
      <c r="G1404" t="s">
        <v>15</v>
      </c>
    </row>
    <row r="1405" spans="1:7" x14ac:dyDescent="0.25">
      <c r="A1405">
        <v>101</v>
      </c>
      <c r="B1405" t="s">
        <v>494</v>
      </c>
      <c r="C1405">
        <v>40</v>
      </c>
      <c r="D1405" t="s">
        <v>266</v>
      </c>
      <c r="E1405" t="s">
        <v>14</v>
      </c>
      <c r="F1405">
        <v>1.6259999999999999</v>
      </c>
      <c r="G1405" t="s">
        <v>15</v>
      </c>
    </row>
    <row r="1406" spans="1:7" x14ac:dyDescent="0.25">
      <c r="A1406">
        <v>101</v>
      </c>
      <c r="B1406" t="s">
        <v>494</v>
      </c>
      <c r="C1406">
        <v>50</v>
      </c>
      <c r="D1406" t="s">
        <v>107</v>
      </c>
      <c r="E1406" t="s">
        <v>108</v>
      </c>
      <c r="F1406">
        <v>1.0209999999999999</v>
      </c>
      <c r="G1406" t="s">
        <v>13</v>
      </c>
    </row>
    <row r="1407" spans="1:7" x14ac:dyDescent="0.25">
      <c r="A1407">
        <v>101</v>
      </c>
      <c r="B1407" t="s">
        <v>494</v>
      </c>
      <c r="C1407">
        <v>60</v>
      </c>
      <c r="D1407" t="s">
        <v>267</v>
      </c>
      <c r="E1407" t="s">
        <v>11</v>
      </c>
      <c r="F1407">
        <v>1</v>
      </c>
      <c r="G1407" t="s">
        <v>13</v>
      </c>
    </row>
    <row r="1408" spans="1:7" x14ac:dyDescent="0.25">
      <c r="A1408">
        <v>101</v>
      </c>
      <c r="B1408" t="s">
        <v>494</v>
      </c>
      <c r="C1408">
        <v>70</v>
      </c>
      <c r="D1408" t="s">
        <v>109</v>
      </c>
      <c r="E1408" t="s">
        <v>14</v>
      </c>
      <c r="F1408">
        <v>21.946000000000002</v>
      </c>
      <c r="G1408" t="s">
        <v>13</v>
      </c>
    </row>
    <row r="1409" spans="1:7" x14ac:dyDescent="0.25">
      <c r="A1409">
        <v>101</v>
      </c>
      <c r="B1409" t="s">
        <v>494</v>
      </c>
      <c r="C1409">
        <v>80</v>
      </c>
      <c r="D1409" t="s">
        <v>16</v>
      </c>
      <c r="E1409" t="s">
        <v>14</v>
      </c>
      <c r="F1409">
        <v>135.90299999999999</v>
      </c>
      <c r="G1409" t="s">
        <v>13</v>
      </c>
    </row>
    <row r="1410" spans="1:7" x14ac:dyDescent="0.25">
      <c r="A1410">
        <v>101</v>
      </c>
      <c r="B1410" t="s">
        <v>494</v>
      </c>
      <c r="C1410">
        <v>90</v>
      </c>
      <c r="D1410" t="s">
        <v>265</v>
      </c>
      <c r="E1410" t="s">
        <v>12</v>
      </c>
      <c r="F1410">
        <v>0.13700000000000001</v>
      </c>
      <c r="G1410" t="s">
        <v>13</v>
      </c>
    </row>
    <row r="1411" spans="1:7" x14ac:dyDescent="0.25">
      <c r="A1411">
        <v>101</v>
      </c>
      <c r="B1411" t="s">
        <v>494</v>
      </c>
      <c r="C1411">
        <v>100</v>
      </c>
      <c r="D1411" t="s">
        <v>269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494</v>
      </c>
      <c r="C1412">
        <v>110</v>
      </c>
      <c r="D1412" t="s">
        <v>20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494</v>
      </c>
      <c r="C1413">
        <v>120</v>
      </c>
      <c r="D1413" t="s">
        <v>21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494</v>
      </c>
      <c r="C1414">
        <v>130</v>
      </c>
      <c r="D1414" t="s">
        <v>110</v>
      </c>
      <c r="E1414" t="s">
        <v>12</v>
      </c>
      <c r="F1414">
        <v>1.216</v>
      </c>
      <c r="G1414" t="s">
        <v>13</v>
      </c>
    </row>
    <row r="1415" spans="1:7" x14ac:dyDescent="0.25">
      <c r="A1415">
        <v>101</v>
      </c>
      <c r="B1415" t="s">
        <v>494</v>
      </c>
      <c r="C1415">
        <v>140</v>
      </c>
      <c r="D1415" t="s">
        <v>497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498</v>
      </c>
      <c r="C1416">
        <v>10</v>
      </c>
      <c r="D1416" t="s">
        <v>116</v>
      </c>
      <c r="E1416" t="s">
        <v>14</v>
      </c>
      <c r="F1416">
        <v>1.778</v>
      </c>
      <c r="G1416" t="s">
        <v>15</v>
      </c>
    </row>
    <row r="1417" spans="1:7" x14ac:dyDescent="0.25">
      <c r="A1417">
        <v>102</v>
      </c>
      <c r="B1417" t="s">
        <v>498</v>
      </c>
      <c r="C1417">
        <v>20</v>
      </c>
      <c r="D1417" t="s">
        <v>499</v>
      </c>
      <c r="E1417" t="s">
        <v>11</v>
      </c>
      <c r="F1417">
        <v>1</v>
      </c>
      <c r="G1417" t="s">
        <v>15</v>
      </c>
    </row>
    <row r="1418" spans="1:7" x14ac:dyDescent="0.25">
      <c r="A1418">
        <v>102</v>
      </c>
      <c r="B1418" t="s">
        <v>498</v>
      </c>
      <c r="C1418">
        <v>30</v>
      </c>
      <c r="D1418" t="s">
        <v>500</v>
      </c>
      <c r="E1418" t="s">
        <v>11</v>
      </c>
      <c r="F1418">
        <v>1</v>
      </c>
      <c r="G1418" t="s">
        <v>15</v>
      </c>
    </row>
    <row r="1419" spans="1:7" x14ac:dyDescent="0.25">
      <c r="A1419">
        <v>102</v>
      </c>
      <c r="B1419" t="s">
        <v>498</v>
      </c>
      <c r="C1419">
        <v>40</v>
      </c>
      <c r="D1419" t="s">
        <v>266</v>
      </c>
      <c r="E1419" t="s">
        <v>14</v>
      </c>
      <c r="F1419">
        <v>1.778</v>
      </c>
      <c r="G1419" t="s">
        <v>15</v>
      </c>
    </row>
    <row r="1420" spans="1:7" x14ac:dyDescent="0.25">
      <c r="A1420">
        <v>102</v>
      </c>
      <c r="B1420" t="s">
        <v>498</v>
      </c>
      <c r="C1420">
        <v>50</v>
      </c>
      <c r="D1420" t="s">
        <v>107</v>
      </c>
      <c r="E1420" t="s">
        <v>108</v>
      </c>
      <c r="F1420">
        <v>1.1180000000000001</v>
      </c>
      <c r="G1420" t="s">
        <v>13</v>
      </c>
    </row>
    <row r="1421" spans="1:7" x14ac:dyDescent="0.25">
      <c r="A1421">
        <v>102</v>
      </c>
      <c r="B1421" t="s">
        <v>498</v>
      </c>
      <c r="C1421">
        <v>60</v>
      </c>
      <c r="D1421" t="s">
        <v>267</v>
      </c>
      <c r="E1421" t="s">
        <v>11</v>
      </c>
      <c r="F1421">
        <v>1</v>
      </c>
      <c r="G1421" t="s">
        <v>13</v>
      </c>
    </row>
    <row r="1422" spans="1:7" x14ac:dyDescent="0.25">
      <c r="A1422">
        <v>102</v>
      </c>
      <c r="B1422" t="s">
        <v>498</v>
      </c>
      <c r="C1422">
        <v>70</v>
      </c>
      <c r="D1422" t="s">
        <v>109</v>
      </c>
      <c r="E1422" t="s">
        <v>14</v>
      </c>
      <c r="F1422">
        <v>22.86</v>
      </c>
      <c r="G1422" t="s">
        <v>13</v>
      </c>
    </row>
    <row r="1423" spans="1:7" x14ac:dyDescent="0.25">
      <c r="A1423">
        <v>102</v>
      </c>
      <c r="B1423" t="s">
        <v>498</v>
      </c>
      <c r="C1423">
        <v>80</v>
      </c>
      <c r="D1423" t="s">
        <v>16</v>
      </c>
      <c r="E1423" t="s">
        <v>14</v>
      </c>
      <c r="F1423">
        <v>141.52600000000001</v>
      </c>
      <c r="G1423" t="s">
        <v>13</v>
      </c>
    </row>
    <row r="1424" spans="1:7" x14ac:dyDescent="0.25">
      <c r="A1424">
        <v>102</v>
      </c>
      <c r="B1424" t="s">
        <v>498</v>
      </c>
      <c r="C1424">
        <v>90</v>
      </c>
      <c r="D1424" t="s">
        <v>265</v>
      </c>
      <c r="E1424" t="s">
        <v>12</v>
      </c>
      <c r="F1424">
        <v>0.14799999999999999</v>
      </c>
      <c r="G1424" t="s">
        <v>13</v>
      </c>
    </row>
    <row r="1425" spans="1:7" x14ac:dyDescent="0.25">
      <c r="A1425">
        <v>102</v>
      </c>
      <c r="B1425" t="s">
        <v>498</v>
      </c>
      <c r="C1425">
        <v>100</v>
      </c>
      <c r="D1425" t="s">
        <v>269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498</v>
      </c>
      <c r="C1426">
        <v>110</v>
      </c>
      <c r="D1426" t="s">
        <v>20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498</v>
      </c>
      <c r="C1427">
        <v>120</v>
      </c>
      <c r="D1427" t="s">
        <v>21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498</v>
      </c>
      <c r="C1428">
        <v>130</v>
      </c>
      <c r="D1428" t="s">
        <v>110</v>
      </c>
      <c r="E1428" t="s">
        <v>12</v>
      </c>
      <c r="F1428">
        <v>1.216</v>
      </c>
      <c r="G1428" t="s">
        <v>13</v>
      </c>
    </row>
    <row r="1429" spans="1:7" x14ac:dyDescent="0.25">
      <c r="A1429">
        <v>102</v>
      </c>
      <c r="B1429" t="s">
        <v>498</v>
      </c>
      <c r="C1429">
        <v>140</v>
      </c>
      <c r="D1429" t="s">
        <v>501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502</v>
      </c>
      <c r="C1430">
        <v>10</v>
      </c>
      <c r="D1430" t="s">
        <v>116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103</v>
      </c>
      <c r="B1431" t="s">
        <v>502</v>
      </c>
      <c r="C1431">
        <v>20</v>
      </c>
      <c r="D1431" t="s">
        <v>503</v>
      </c>
      <c r="E1431" t="s">
        <v>11</v>
      </c>
      <c r="F1431">
        <v>1</v>
      </c>
      <c r="G1431" t="s">
        <v>15</v>
      </c>
    </row>
    <row r="1432" spans="1:7" x14ac:dyDescent="0.25">
      <c r="A1432">
        <v>103</v>
      </c>
      <c r="B1432" t="s">
        <v>502</v>
      </c>
      <c r="C1432">
        <v>30</v>
      </c>
      <c r="D1432" t="s">
        <v>504</v>
      </c>
      <c r="E1432" t="s">
        <v>11</v>
      </c>
      <c r="F1432">
        <v>1</v>
      </c>
      <c r="G1432" t="s">
        <v>15</v>
      </c>
    </row>
    <row r="1433" spans="1:7" x14ac:dyDescent="0.25">
      <c r="A1433">
        <v>103</v>
      </c>
      <c r="B1433" t="s">
        <v>502</v>
      </c>
      <c r="C1433">
        <v>40</v>
      </c>
      <c r="D1433" t="s">
        <v>266</v>
      </c>
      <c r="E1433" t="s">
        <v>14</v>
      </c>
      <c r="F1433">
        <v>2.1589999999999998</v>
      </c>
      <c r="G1433" t="s">
        <v>15</v>
      </c>
    </row>
    <row r="1434" spans="1:7" x14ac:dyDescent="0.25">
      <c r="A1434">
        <v>103</v>
      </c>
      <c r="B1434" t="s">
        <v>502</v>
      </c>
      <c r="C1434">
        <v>50</v>
      </c>
      <c r="D1434" t="s">
        <v>107</v>
      </c>
      <c r="E1434" t="s">
        <v>108</v>
      </c>
      <c r="F1434">
        <v>0.56100000000000005</v>
      </c>
      <c r="G1434" t="s">
        <v>13</v>
      </c>
    </row>
    <row r="1435" spans="1:7" x14ac:dyDescent="0.25">
      <c r="A1435">
        <v>103</v>
      </c>
      <c r="B1435" t="s">
        <v>502</v>
      </c>
      <c r="C1435">
        <v>60</v>
      </c>
      <c r="D1435" t="s">
        <v>267</v>
      </c>
      <c r="E1435" t="s">
        <v>11</v>
      </c>
      <c r="F1435">
        <v>1</v>
      </c>
      <c r="G1435" t="s">
        <v>13</v>
      </c>
    </row>
    <row r="1436" spans="1:7" x14ac:dyDescent="0.25">
      <c r="A1436">
        <v>103</v>
      </c>
      <c r="B1436" t="s">
        <v>502</v>
      </c>
      <c r="C1436">
        <v>70</v>
      </c>
      <c r="D1436" t="s">
        <v>109</v>
      </c>
      <c r="E1436" t="s">
        <v>14</v>
      </c>
      <c r="F1436">
        <v>17.983000000000001</v>
      </c>
      <c r="G1436" t="s">
        <v>13</v>
      </c>
    </row>
    <row r="1437" spans="1:7" x14ac:dyDescent="0.25">
      <c r="A1437">
        <v>103</v>
      </c>
      <c r="B1437" t="s">
        <v>502</v>
      </c>
      <c r="C1437">
        <v>80</v>
      </c>
      <c r="D1437" t="s">
        <v>16</v>
      </c>
      <c r="E1437" t="s">
        <v>14</v>
      </c>
      <c r="F1437">
        <v>111.53400000000001</v>
      </c>
      <c r="G1437" t="s">
        <v>13</v>
      </c>
    </row>
    <row r="1438" spans="1:7" x14ac:dyDescent="0.25">
      <c r="A1438">
        <v>103</v>
      </c>
      <c r="B1438" t="s">
        <v>502</v>
      </c>
      <c r="C1438">
        <v>90</v>
      </c>
      <c r="D1438" t="s">
        <v>265</v>
      </c>
      <c r="E1438" t="s">
        <v>12</v>
      </c>
      <c r="F1438">
        <v>8.4000000000000005E-2</v>
      </c>
      <c r="G1438" t="s">
        <v>13</v>
      </c>
    </row>
    <row r="1439" spans="1:7" x14ac:dyDescent="0.25">
      <c r="A1439">
        <v>103</v>
      </c>
      <c r="B1439" t="s">
        <v>502</v>
      </c>
      <c r="C1439">
        <v>100</v>
      </c>
      <c r="D1439" t="s">
        <v>269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502</v>
      </c>
      <c r="C1440">
        <v>110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502</v>
      </c>
      <c r="C1441">
        <v>120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502</v>
      </c>
      <c r="C1442">
        <v>130</v>
      </c>
      <c r="D1442" t="s">
        <v>110</v>
      </c>
      <c r="E1442" t="s">
        <v>12</v>
      </c>
      <c r="F1442">
        <v>1.27</v>
      </c>
      <c r="G1442" t="s">
        <v>13</v>
      </c>
    </row>
    <row r="1443" spans="1:7" x14ac:dyDescent="0.25">
      <c r="A1443">
        <v>103</v>
      </c>
      <c r="B1443" t="s">
        <v>502</v>
      </c>
      <c r="C1443">
        <v>140</v>
      </c>
      <c r="D1443" t="s">
        <v>505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506</v>
      </c>
      <c r="C1444">
        <v>10</v>
      </c>
      <c r="D1444" t="s">
        <v>116</v>
      </c>
      <c r="E1444" t="s">
        <v>14</v>
      </c>
      <c r="F1444">
        <v>2.1589999999999998</v>
      </c>
      <c r="G1444" t="s">
        <v>15</v>
      </c>
    </row>
    <row r="1445" spans="1:7" x14ac:dyDescent="0.25">
      <c r="A1445">
        <v>104</v>
      </c>
      <c r="B1445" t="s">
        <v>506</v>
      </c>
      <c r="C1445">
        <v>20</v>
      </c>
      <c r="D1445" t="s">
        <v>507</v>
      </c>
      <c r="E1445" t="s">
        <v>11</v>
      </c>
      <c r="F1445">
        <v>1</v>
      </c>
      <c r="G1445" t="s">
        <v>15</v>
      </c>
    </row>
    <row r="1446" spans="1:7" x14ac:dyDescent="0.25">
      <c r="A1446">
        <v>104</v>
      </c>
      <c r="B1446" t="s">
        <v>506</v>
      </c>
      <c r="C1446">
        <v>30</v>
      </c>
      <c r="D1446" t="s">
        <v>508</v>
      </c>
      <c r="E1446" t="s">
        <v>11</v>
      </c>
      <c r="F1446">
        <v>1</v>
      </c>
      <c r="G1446" t="s">
        <v>15</v>
      </c>
    </row>
    <row r="1447" spans="1:7" x14ac:dyDescent="0.25">
      <c r="A1447">
        <v>104</v>
      </c>
      <c r="B1447" t="s">
        <v>506</v>
      </c>
      <c r="C1447">
        <v>40</v>
      </c>
      <c r="D1447" t="s">
        <v>266</v>
      </c>
      <c r="E1447" t="s">
        <v>14</v>
      </c>
      <c r="F1447">
        <v>2.1589999999999998</v>
      </c>
      <c r="G1447" t="s">
        <v>15</v>
      </c>
    </row>
    <row r="1448" spans="1:7" x14ac:dyDescent="0.25">
      <c r="A1448">
        <v>104</v>
      </c>
      <c r="B1448" t="s">
        <v>506</v>
      </c>
      <c r="C1448">
        <v>50</v>
      </c>
      <c r="D1448" t="s">
        <v>107</v>
      </c>
      <c r="E1448" t="s">
        <v>108</v>
      </c>
      <c r="F1448">
        <v>0.66300000000000003</v>
      </c>
      <c r="G1448" t="s">
        <v>13</v>
      </c>
    </row>
    <row r="1449" spans="1:7" x14ac:dyDescent="0.25">
      <c r="A1449">
        <v>104</v>
      </c>
      <c r="B1449" t="s">
        <v>506</v>
      </c>
      <c r="C1449">
        <v>60</v>
      </c>
      <c r="D1449" t="s">
        <v>267</v>
      </c>
      <c r="E1449" t="s">
        <v>11</v>
      </c>
      <c r="F1449">
        <v>1</v>
      </c>
      <c r="G1449" t="s">
        <v>13</v>
      </c>
    </row>
    <row r="1450" spans="1:7" x14ac:dyDescent="0.25">
      <c r="A1450">
        <v>104</v>
      </c>
      <c r="B1450" t="s">
        <v>506</v>
      </c>
      <c r="C1450">
        <v>70</v>
      </c>
      <c r="D1450" t="s">
        <v>109</v>
      </c>
      <c r="E1450" t="s">
        <v>14</v>
      </c>
      <c r="F1450">
        <v>18.898</v>
      </c>
      <c r="G1450" t="s">
        <v>13</v>
      </c>
    </row>
    <row r="1451" spans="1:7" x14ac:dyDescent="0.25">
      <c r="A1451">
        <v>104</v>
      </c>
      <c r="B1451" t="s">
        <v>506</v>
      </c>
      <c r="C1451">
        <v>80</v>
      </c>
      <c r="D1451" t="s">
        <v>16</v>
      </c>
      <c r="E1451" t="s">
        <v>14</v>
      </c>
      <c r="F1451">
        <v>117.158</v>
      </c>
      <c r="G1451" t="s">
        <v>13</v>
      </c>
    </row>
    <row r="1452" spans="1:7" x14ac:dyDescent="0.25">
      <c r="A1452">
        <v>104</v>
      </c>
      <c r="B1452" t="s">
        <v>506</v>
      </c>
      <c r="C1452">
        <v>90</v>
      </c>
      <c r="D1452" t="s">
        <v>265</v>
      </c>
      <c r="E1452" t="s">
        <v>12</v>
      </c>
      <c r="F1452">
        <v>9.4E-2</v>
      </c>
      <c r="G1452" t="s">
        <v>13</v>
      </c>
    </row>
    <row r="1453" spans="1:7" x14ac:dyDescent="0.25">
      <c r="A1453">
        <v>104</v>
      </c>
      <c r="B1453" t="s">
        <v>506</v>
      </c>
      <c r="C1453">
        <v>100</v>
      </c>
      <c r="D1453" t="s">
        <v>269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506</v>
      </c>
      <c r="C1454">
        <v>110</v>
      </c>
      <c r="D1454" t="s">
        <v>20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506</v>
      </c>
      <c r="C1455">
        <v>120</v>
      </c>
      <c r="D1455" t="s">
        <v>21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506</v>
      </c>
      <c r="C1456">
        <v>130</v>
      </c>
      <c r="D1456" t="s">
        <v>110</v>
      </c>
      <c r="E1456" t="s">
        <v>12</v>
      </c>
      <c r="F1456">
        <v>1.27</v>
      </c>
      <c r="G1456" t="s">
        <v>13</v>
      </c>
    </row>
    <row r="1457" spans="1:7" x14ac:dyDescent="0.25">
      <c r="A1457">
        <v>104</v>
      </c>
      <c r="B1457" t="s">
        <v>506</v>
      </c>
      <c r="C1457">
        <v>140</v>
      </c>
      <c r="D1457" t="s">
        <v>509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510</v>
      </c>
      <c r="C1458">
        <v>10</v>
      </c>
      <c r="D1458" t="s">
        <v>116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105</v>
      </c>
      <c r="B1459" t="s">
        <v>510</v>
      </c>
      <c r="C1459">
        <v>20</v>
      </c>
      <c r="D1459" t="s">
        <v>511</v>
      </c>
      <c r="E1459" t="s">
        <v>11</v>
      </c>
      <c r="F1459">
        <v>1</v>
      </c>
      <c r="G1459" t="s">
        <v>15</v>
      </c>
    </row>
    <row r="1460" spans="1:7" x14ac:dyDescent="0.25">
      <c r="A1460">
        <v>105</v>
      </c>
      <c r="B1460" t="s">
        <v>510</v>
      </c>
      <c r="C1460">
        <v>30</v>
      </c>
      <c r="D1460" t="s">
        <v>512</v>
      </c>
      <c r="E1460" t="s">
        <v>11</v>
      </c>
      <c r="F1460">
        <v>1</v>
      </c>
      <c r="G1460" t="s">
        <v>15</v>
      </c>
    </row>
    <row r="1461" spans="1:7" x14ac:dyDescent="0.25">
      <c r="A1461">
        <v>105</v>
      </c>
      <c r="B1461" t="s">
        <v>510</v>
      </c>
      <c r="C1461">
        <v>40</v>
      </c>
      <c r="D1461" t="s">
        <v>266</v>
      </c>
      <c r="E1461" t="s">
        <v>14</v>
      </c>
      <c r="F1461">
        <v>2.1589999999999998</v>
      </c>
      <c r="G1461" t="s">
        <v>15</v>
      </c>
    </row>
    <row r="1462" spans="1:7" x14ac:dyDescent="0.25">
      <c r="A1462">
        <v>105</v>
      </c>
      <c r="B1462" t="s">
        <v>510</v>
      </c>
      <c r="C1462">
        <v>50</v>
      </c>
      <c r="D1462" t="s">
        <v>107</v>
      </c>
      <c r="E1462" t="s">
        <v>108</v>
      </c>
      <c r="F1462">
        <v>0.76500000000000001</v>
      </c>
      <c r="G1462" t="s">
        <v>13</v>
      </c>
    </row>
    <row r="1463" spans="1:7" x14ac:dyDescent="0.25">
      <c r="A1463">
        <v>105</v>
      </c>
      <c r="B1463" t="s">
        <v>510</v>
      </c>
      <c r="C1463">
        <v>60</v>
      </c>
      <c r="D1463" t="s">
        <v>267</v>
      </c>
      <c r="E1463" t="s">
        <v>11</v>
      </c>
      <c r="F1463">
        <v>1</v>
      </c>
      <c r="G1463" t="s">
        <v>13</v>
      </c>
    </row>
    <row r="1464" spans="1:7" x14ac:dyDescent="0.25">
      <c r="A1464">
        <v>105</v>
      </c>
      <c r="B1464" t="s">
        <v>510</v>
      </c>
      <c r="C1464">
        <v>70</v>
      </c>
      <c r="D1464" t="s">
        <v>109</v>
      </c>
      <c r="E1464" t="s">
        <v>14</v>
      </c>
      <c r="F1464">
        <v>19.812000000000001</v>
      </c>
      <c r="G1464" t="s">
        <v>13</v>
      </c>
    </row>
    <row r="1465" spans="1:7" x14ac:dyDescent="0.25">
      <c r="A1465">
        <v>105</v>
      </c>
      <c r="B1465" t="s">
        <v>510</v>
      </c>
      <c r="C1465">
        <v>80</v>
      </c>
      <c r="D1465" t="s">
        <v>16</v>
      </c>
      <c r="E1465" t="s">
        <v>14</v>
      </c>
      <c r="F1465">
        <v>122.78100000000001</v>
      </c>
      <c r="G1465" t="s">
        <v>13</v>
      </c>
    </row>
    <row r="1466" spans="1:7" x14ac:dyDescent="0.25">
      <c r="A1466">
        <v>105</v>
      </c>
      <c r="B1466" t="s">
        <v>510</v>
      </c>
      <c r="C1466">
        <v>90</v>
      </c>
      <c r="D1466" t="s">
        <v>265</v>
      </c>
      <c r="E1466" t="s">
        <v>12</v>
      </c>
      <c r="F1466">
        <v>0.105</v>
      </c>
      <c r="G1466" t="s">
        <v>13</v>
      </c>
    </row>
    <row r="1467" spans="1:7" x14ac:dyDescent="0.25">
      <c r="A1467">
        <v>105</v>
      </c>
      <c r="B1467" t="s">
        <v>510</v>
      </c>
      <c r="C1467">
        <v>100</v>
      </c>
      <c r="D1467" t="s">
        <v>269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510</v>
      </c>
      <c r="C1468">
        <v>110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510</v>
      </c>
      <c r="C1469">
        <v>120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510</v>
      </c>
      <c r="C1470">
        <v>130</v>
      </c>
      <c r="D1470" t="s">
        <v>110</v>
      </c>
      <c r="E1470" t="s">
        <v>12</v>
      </c>
      <c r="F1470">
        <v>1.27</v>
      </c>
      <c r="G1470" t="s">
        <v>13</v>
      </c>
    </row>
    <row r="1471" spans="1:7" x14ac:dyDescent="0.25">
      <c r="A1471">
        <v>105</v>
      </c>
      <c r="B1471" t="s">
        <v>510</v>
      </c>
      <c r="C1471">
        <v>140</v>
      </c>
      <c r="D1471" t="s">
        <v>513</v>
      </c>
      <c r="E1471" t="s">
        <v>11</v>
      </c>
      <c r="F1471">
        <v>1</v>
      </c>
      <c r="G1471" t="s">
        <v>15</v>
      </c>
    </row>
    <row r="1472" spans="1:7" x14ac:dyDescent="0.25">
      <c r="A1472">
        <v>106</v>
      </c>
      <c r="B1472" t="s">
        <v>514</v>
      </c>
      <c r="C1472">
        <v>10</v>
      </c>
      <c r="D1472" t="s">
        <v>116</v>
      </c>
      <c r="E1472" t="s">
        <v>14</v>
      </c>
      <c r="F1472">
        <v>2.1589999999999998</v>
      </c>
      <c r="G1472" t="s">
        <v>15</v>
      </c>
    </row>
    <row r="1473" spans="1:7" x14ac:dyDescent="0.25">
      <c r="A1473">
        <v>106</v>
      </c>
      <c r="B1473" t="s">
        <v>514</v>
      </c>
      <c r="C1473">
        <v>20</v>
      </c>
      <c r="D1473" t="s">
        <v>515</v>
      </c>
      <c r="E1473" t="s">
        <v>11</v>
      </c>
      <c r="F1473">
        <v>1</v>
      </c>
      <c r="G1473" t="s">
        <v>15</v>
      </c>
    </row>
    <row r="1474" spans="1:7" x14ac:dyDescent="0.25">
      <c r="A1474">
        <v>106</v>
      </c>
      <c r="B1474" t="s">
        <v>514</v>
      </c>
      <c r="C1474">
        <v>30</v>
      </c>
      <c r="D1474" t="s">
        <v>516</v>
      </c>
      <c r="E1474" t="s">
        <v>11</v>
      </c>
      <c r="F1474">
        <v>1</v>
      </c>
      <c r="G1474" t="s">
        <v>15</v>
      </c>
    </row>
    <row r="1475" spans="1:7" x14ac:dyDescent="0.25">
      <c r="A1475">
        <v>106</v>
      </c>
      <c r="B1475" t="s">
        <v>514</v>
      </c>
      <c r="C1475">
        <v>40</v>
      </c>
      <c r="D1475" t="s">
        <v>266</v>
      </c>
      <c r="E1475" t="s">
        <v>14</v>
      </c>
      <c r="F1475">
        <v>2.1589999999999998</v>
      </c>
      <c r="G1475" t="s">
        <v>15</v>
      </c>
    </row>
    <row r="1476" spans="1:7" x14ac:dyDescent="0.25">
      <c r="A1476">
        <v>106</v>
      </c>
      <c r="B1476" t="s">
        <v>514</v>
      </c>
      <c r="C1476">
        <v>50</v>
      </c>
      <c r="D1476" t="s">
        <v>107</v>
      </c>
      <c r="E1476" t="s">
        <v>108</v>
      </c>
      <c r="F1476">
        <v>0.86799999999999999</v>
      </c>
      <c r="G1476" t="s">
        <v>13</v>
      </c>
    </row>
    <row r="1477" spans="1:7" x14ac:dyDescent="0.25">
      <c r="A1477">
        <v>106</v>
      </c>
      <c r="B1477" t="s">
        <v>514</v>
      </c>
      <c r="C1477">
        <v>60</v>
      </c>
      <c r="D1477" t="s">
        <v>267</v>
      </c>
      <c r="E1477" t="s">
        <v>11</v>
      </c>
      <c r="F1477">
        <v>1</v>
      </c>
      <c r="G1477" t="s">
        <v>13</v>
      </c>
    </row>
    <row r="1478" spans="1:7" x14ac:dyDescent="0.25">
      <c r="A1478">
        <v>106</v>
      </c>
      <c r="B1478" t="s">
        <v>514</v>
      </c>
      <c r="C1478">
        <v>70</v>
      </c>
      <c r="D1478" t="s">
        <v>109</v>
      </c>
      <c r="E1478" t="s">
        <v>14</v>
      </c>
      <c r="F1478">
        <v>20.725999999999999</v>
      </c>
      <c r="G1478" t="s">
        <v>13</v>
      </c>
    </row>
    <row r="1479" spans="1:7" x14ac:dyDescent="0.25">
      <c r="A1479">
        <v>106</v>
      </c>
      <c r="B1479" t="s">
        <v>514</v>
      </c>
      <c r="C1479">
        <v>80</v>
      </c>
      <c r="D1479" t="s">
        <v>16</v>
      </c>
      <c r="E1479" t="s">
        <v>14</v>
      </c>
      <c r="F1479">
        <v>128.405</v>
      </c>
      <c r="G1479" t="s">
        <v>13</v>
      </c>
    </row>
    <row r="1480" spans="1:7" x14ac:dyDescent="0.25">
      <c r="A1480">
        <v>106</v>
      </c>
      <c r="B1480" t="s">
        <v>514</v>
      </c>
      <c r="C1480">
        <v>90</v>
      </c>
      <c r="D1480" t="s">
        <v>265</v>
      </c>
      <c r="E1480" t="s">
        <v>12</v>
      </c>
      <c r="F1480">
        <v>0.11600000000000001</v>
      </c>
      <c r="G1480" t="s">
        <v>13</v>
      </c>
    </row>
    <row r="1481" spans="1:7" x14ac:dyDescent="0.25">
      <c r="A1481">
        <v>106</v>
      </c>
      <c r="B1481" t="s">
        <v>514</v>
      </c>
      <c r="C1481">
        <v>100</v>
      </c>
      <c r="D1481" t="s">
        <v>269</v>
      </c>
      <c r="E1481" t="s">
        <v>11</v>
      </c>
      <c r="F1481">
        <v>4</v>
      </c>
      <c r="G1481" t="s">
        <v>13</v>
      </c>
    </row>
    <row r="1482" spans="1:7" x14ac:dyDescent="0.25">
      <c r="A1482">
        <v>106</v>
      </c>
      <c r="B1482" t="s">
        <v>514</v>
      </c>
      <c r="C1482">
        <v>110</v>
      </c>
      <c r="D1482" t="s">
        <v>20</v>
      </c>
      <c r="E1482" t="s">
        <v>11</v>
      </c>
      <c r="F1482">
        <v>1</v>
      </c>
      <c r="G1482" t="s">
        <v>13</v>
      </c>
    </row>
    <row r="1483" spans="1:7" x14ac:dyDescent="0.25">
      <c r="A1483">
        <v>106</v>
      </c>
      <c r="B1483" t="s">
        <v>514</v>
      </c>
      <c r="C1483">
        <v>120</v>
      </c>
      <c r="D1483" t="s">
        <v>21</v>
      </c>
      <c r="E1483" t="s">
        <v>11</v>
      </c>
      <c r="F1483">
        <v>1</v>
      </c>
      <c r="G1483" t="s">
        <v>13</v>
      </c>
    </row>
    <row r="1484" spans="1:7" x14ac:dyDescent="0.25">
      <c r="A1484">
        <v>106</v>
      </c>
      <c r="B1484" t="s">
        <v>514</v>
      </c>
      <c r="C1484">
        <v>130</v>
      </c>
      <c r="D1484" t="s">
        <v>110</v>
      </c>
      <c r="E1484" t="s">
        <v>12</v>
      </c>
      <c r="F1484">
        <v>1.27</v>
      </c>
      <c r="G1484" t="s">
        <v>13</v>
      </c>
    </row>
    <row r="1485" spans="1:7" x14ac:dyDescent="0.25">
      <c r="A1485">
        <v>106</v>
      </c>
      <c r="B1485" t="s">
        <v>514</v>
      </c>
      <c r="C1485">
        <v>140</v>
      </c>
      <c r="D1485" t="s">
        <v>517</v>
      </c>
      <c r="E1485" t="s">
        <v>11</v>
      </c>
      <c r="F1485">
        <v>1</v>
      </c>
      <c r="G1485" t="s">
        <v>15</v>
      </c>
    </row>
    <row r="1486" spans="1:7" x14ac:dyDescent="0.25">
      <c r="A1486">
        <v>107</v>
      </c>
      <c r="B1486" t="s">
        <v>518</v>
      </c>
      <c r="C1486">
        <v>10</v>
      </c>
      <c r="D1486" t="s">
        <v>116</v>
      </c>
      <c r="E1486" t="s">
        <v>14</v>
      </c>
      <c r="F1486">
        <v>2.1589999999999998</v>
      </c>
      <c r="G1486" t="s">
        <v>15</v>
      </c>
    </row>
    <row r="1487" spans="1:7" x14ac:dyDescent="0.25">
      <c r="A1487">
        <v>107</v>
      </c>
      <c r="B1487" t="s">
        <v>518</v>
      </c>
      <c r="C1487">
        <v>20</v>
      </c>
      <c r="D1487" t="s">
        <v>519</v>
      </c>
      <c r="E1487" t="s">
        <v>11</v>
      </c>
      <c r="F1487">
        <v>1</v>
      </c>
      <c r="G1487" t="s">
        <v>15</v>
      </c>
    </row>
    <row r="1488" spans="1:7" x14ac:dyDescent="0.25">
      <c r="A1488">
        <v>107</v>
      </c>
      <c r="B1488" t="s">
        <v>518</v>
      </c>
      <c r="C1488">
        <v>30</v>
      </c>
      <c r="D1488" t="s">
        <v>520</v>
      </c>
      <c r="E1488" t="s">
        <v>11</v>
      </c>
      <c r="F1488">
        <v>1</v>
      </c>
      <c r="G1488" t="s">
        <v>15</v>
      </c>
    </row>
    <row r="1489" spans="1:7" x14ac:dyDescent="0.25">
      <c r="A1489">
        <v>107</v>
      </c>
      <c r="B1489" t="s">
        <v>518</v>
      </c>
      <c r="C1489">
        <v>40</v>
      </c>
      <c r="D1489" t="s">
        <v>266</v>
      </c>
      <c r="E1489" t="s">
        <v>14</v>
      </c>
      <c r="F1489">
        <v>2.1589999999999998</v>
      </c>
      <c r="G1489" t="s">
        <v>15</v>
      </c>
    </row>
    <row r="1490" spans="1:7" x14ac:dyDescent="0.25">
      <c r="A1490">
        <v>107</v>
      </c>
      <c r="B1490" t="s">
        <v>518</v>
      </c>
      <c r="C1490">
        <v>50</v>
      </c>
      <c r="D1490" t="s">
        <v>107</v>
      </c>
      <c r="E1490" t="s">
        <v>108</v>
      </c>
      <c r="F1490">
        <v>0.91900000000000004</v>
      </c>
      <c r="G1490" t="s">
        <v>13</v>
      </c>
    </row>
    <row r="1491" spans="1:7" x14ac:dyDescent="0.25">
      <c r="A1491">
        <v>107</v>
      </c>
      <c r="B1491" t="s">
        <v>518</v>
      </c>
      <c r="C1491">
        <v>60</v>
      </c>
      <c r="D1491" t="s">
        <v>267</v>
      </c>
      <c r="E1491" t="s">
        <v>11</v>
      </c>
      <c r="F1491">
        <v>1</v>
      </c>
      <c r="G1491" t="s">
        <v>13</v>
      </c>
    </row>
    <row r="1492" spans="1:7" x14ac:dyDescent="0.25">
      <c r="A1492">
        <v>107</v>
      </c>
      <c r="B1492" t="s">
        <v>518</v>
      </c>
      <c r="C1492">
        <v>70</v>
      </c>
      <c r="D1492" t="s">
        <v>109</v>
      </c>
      <c r="E1492" t="s">
        <v>14</v>
      </c>
      <c r="F1492">
        <v>21.184000000000001</v>
      </c>
      <c r="G1492" t="s">
        <v>13</v>
      </c>
    </row>
    <row r="1493" spans="1:7" x14ac:dyDescent="0.25">
      <c r="A1493">
        <v>107</v>
      </c>
      <c r="B1493" t="s">
        <v>518</v>
      </c>
      <c r="C1493">
        <v>80</v>
      </c>
      <c r="D1493" t="s">
        <v>16</v>
      </c>
      <c r="E1493" t="s">
        <v>14</v>
      </c>
      <c r="F1493">
        <v>131.21600000000001</v>
      </c>
      <c r="G1493" t="s">
        <v>13</v>
      </c>
    </row>
    <row r="1494" spans="1:7" x14ac:dyDescent="0.25">
      <c r="A1494">
        <v>107</v>
      </c>
      <c r="B1494" t="s">
        <v>518</v>
      </c>
      <c r="C1494">
        <v>90</v>
      </c>
      <c r="D1494" t="s">
        <v>265</v>
      </c>
      <c r="E1494" t="s">
        <v>12</v>
      </c>
      <c r="F1494">
        <v>0.121</v>
      </c>
      <c r="G1494" t="s">
        <v>13</v>
      </c>
    </row>
    <row r="1495" spans="1:7" x14ac:dyDescent="0.25">
      <c r="A1495">
        <v>107</v>
      </c>
      <c r="B1495" t="s">
        <v>518</v>
      </c>
      <c r="C1495">
        <v>100</v>
      </c>
      <c r="D1495" t="s">
        <v>269</v>
      </c>
      <c r="E1495" t="s">
        <v>11</v>
      </c>
      <c r="F1495">
        <v>4</v>
      </c>
      <c r="G1495" t="s">
        <v>13</v>
      </c>
    </row>
    <row r="1496" spans="1:7" x14ac:dyDescent="0.25">
      <c r="A1496">
        <v>107</v>
      </c>
      <c r="B1496" t="s">
        <v>518</v>
      </c>
      <c r="C1496">
        <v>110</v>
      </c>
      <c r="D1496" t="s">
        <v>20</v>
      </c>
      <c r="E1496" t="s">
        <v>11</v>
      </c>
      <c r="F1496">
        <v>1</v>
      </c>
      <c r="G1496" t="s">
        <v>13</v>
      </c>
    </row>
    <row r="1497" spans="1:7" x14ac:dyDescent="0.25">
      <c r="A1497">
        <v>107</v>
      </c>
      <c r="B1497" t="s">
        <v>518</v>
      </c>
      <c r="C1497">
        <v>120</v>
      </c>
      <c r="D1497" t="s">
        <v>21</v>
      </c>
      <c r="E1497" t="s">
        <v>11</v>
      </c>
      <c r="F1497">
        <v>1</v>
      </c>
      <c r="G1497" t="s">
        <v>13</v>
      </c>
    </row>
    <row r="1498" spans="1:7" x14ac:dyDescent="0.25">
      <c r="A1498">
        <v>107</v>
      </c>
      <c r="B1498" t="s">
        <v>518</v>
      </c>
      <c r="C1498">
        <v>130</v>
      </c>
      <c r="D1498" t="s">
        <v>110</v>
      </c>
      <c r="E1498" t="s">
        <v>12</v>
      </c>
      <c r="F1498">
        <v>1.27</v>
      </c>
      <c r="G1498" t="s">
        <v>13</v>
      </c>
    </row>
    <row r="1499" spans="1:7" x14ac:dyDescent="0.25">
      <c r="A1499">
        <v>107</v>
      </c>
      <c r="B1499" t="s">
        <v>518</v>
      </c>
      <c r="C1499">
        <v>140</v>
      </c>
      <c r="D1499" t="s">
        <v>521</v>
      </c>
      <c r="E1499" t="s">
        <v>11</v>
      </c>
      <c r="F1499">
        <v>1</v>
      </c>
      <c r="G1499" t="s">
        <v>15</v>
      </c>
    </row>
    <row r="1500" spans="1:7" x14ac:dyDescent="0.25">
      <c r="A1500">
        <v>108</v>
      </c>
      <c r="B1500" t="s">
        <v>522</v>
      </c>
      <c r="C1500">
        <v>10</v>
      </c>
      <c r="D1500" t="s">
        <v>116</v>
      </c>
      <c r="E1500" t="s">
        <v>14</v>
      </c>
      <c r="F1500">
        <v>2.1589999999999998</v>
      </c>
      <c r="G1500" t="s">
        <v>15</v>
      </c>
    </row>
    <row r="1501" spans="1:7" x14ac:dyDescent="0.25">
      <c r="A1501">
        <v>108</v>
      </c>
      <c r="B1501" t="s">
        <v>522</v>
      </c>
      <c r="C1501">
        <v>20</v>
      </c>
      <c r="D1501" t="s">
        <v>523</v>
      </c>
      <c r="E1501" t="s">
        <v>11</v>
      </c>
      <c r="F1501">
        <v>1</v>
      </c>
      <c r="G1501" t="s">
        <v>15</v>
      </c>
    </row>
    <row r="1502" spans="1:7" x14ac:dyDescent="0.25">
      <c r="A1502">
        <v>108</v>
      </c>
      <c r="B1502" t="s">
        <v>522</v>
      </c>
      <c r="C1502">
        <v>30</v>
      </c>
      <c r="D1502" t="s">
        <v>524</v>
      </c>
      <c r="E1502" t="s">
        <v>11</v>
      </c>
      <c r="F1502">
        <v>1</v>
      </c>
      <c r="G1502" t="s">
        <v>15</v>
      </c>
    </row>
    <row r="1503" spans="1:7" x14ac:dyDescent="0.25">
      <c r="A1503">
        <v>108</v>
      </c>
      <c r="B1503" t="s">
        <v>522</v>
      </c>
      <c r="C1503">
        <v>40</v>
      </c>
      <c r="D1503" t="s">
        <v>266</v>
      </c>
      <c r="E1503" t="s">
        <v>14</v>
      </c>
      <c r="F1503">
        <v>2.1589999999999998</v>
      </c>
      <c r="G1503" t="s">
        <v>15</v>
      </c>
    </row>
    <row r="1504" spans="1:7" x14ac:dyDescent="0.25">
      <c r="A1504">
        <v>108</v>
      </c>
      <c r="B1504" t="s">
        <v>522</v>
      </c>
      <c r="C1504">
        <v>50</v>
      </c>
      <c r="D1504" t="s">
        <v>107</v>
      </c>
      <c r="E1504" t="s">
        <v>108</v>
      </c>
      <c r="F1504">
        <v>0.97</v>
      </c>
      <c r="G1504" t="s">
        <v>13</v>
      </c>
    </row>
    <row r="1505" spans="1:7" x14ac:dyDescent="0.25">
      <c r="A1505">
        <v>108</v>
      </c>
      <c r="B1505" t="s">
        <v>522</v>
      </c>
      <c r="C1505">
        <v>60</v>
      </c>
      <c r="D1505" t="s">
        <v>267</v>
      </c>
      <c r="E1505" t="s">
        <v>11</v>
      </c>
      <c r="F1505">
        <v>1</v>
      </c>
      <c r="G1505" t="s">
        <v>13</v>
      </c>
    </row>
    <row r="1506" spans="1:7" x14ac:dyDescent="0.25">
      <c r="A1506">
        <v>108</v>
      </c>
      <c r="B1506" t="s">
        <v>522</v>
      </c>
      <c r="C1506">
        <v>70</v>
      </c>
      <c r="D1506" t="s">
        <v>109</v>
      </c>
      <c r="E1506" t="s">
        <v>14</v>
      </c>
      <c r="F1506">
        <v>21.640999999999998</v>
      </c>
      <c r="G1506" t="s">
        <v>13</v>
      </c>
    </row>
    <row r="1507" spans="1:7" x14ac:dyDescent="0.25">
      <c r="A1507">
        <v>108</v>
      </c>
      <c r="B1507" t="s">
        <v>522</v>
      </c>
      <c r="C1507">
        <v>80</v>
      </c>
      <c r="D1507" t="s">
        <v>16</v>
      </c>
      <c r="E1507" t="s">
        <v>14</v>
      </c>
      <c r="F1507">
        <v>134.02799999999999</v>
      </c>
      <c r="G1507" t="s">
        <v>13</v>
      </c>
    </row>
    <row r="1508" spans="1:7" x14ac:dyDescent="0.25">
      <c r="A1508">
        <v>108</v>
      </c>
      <c r="B1508" t="s">
        <v>522</v>
      </c>
      <c r="C1508">
        <v>90</v>
      </c>
      <c r="D1508" t="s">
        <v>265</v>
      </c>
      <c r="E1508" t="s">
        <v>12</v>
      </c>
      <c r="F1508">
        <v>0.126</v>
      </c>
      <c r="G1508" t="s">
        <v>13</v>
      </c>
    </row>
    <row r="1509" spans="1:7" x14ac:dyDescent="0.25">
      <c r="A1509">
        <v>108</v>
      </c>
      <c r="B1509" t="s">
        <v>522</v>
      </c>
      <c r="C1509">
        <v>100</v>
      </c>
      <c r="D1509" t="s">
        <v>269</v>
      </c>
      <c r="E1509" t="s">
        <v>11</v>
      </c>
      <c r="F1509">
        <v>4</v>
      </c>
      <c r="G1509" t="s">
        <v>13</v>
      </c>
    </row>
    <row r="1510" spans="1:7" x14ac:dyDescent="0.25">
      <c r="A1510">
        <v>108</v>
      </c>
      <c r="B1510" t="s">
        <v>522</v>
      </c>
      <c r="C1510">
        <v>110</v>
      </c>
      <c r="D1510" t="s">
        <v>20</v>
      </c>
      <c r="E1510" t="s">
        <v>11</v>
      </c>
      <c r="F1510">
        <v>1</v>
      </c>
      <c r="G1510" t="s">
        <v>13</v>
      </c>
    </row>
    <row r="1511" spans="1:7" x14ac:dyDescent="0.25">
      <c r="A1511">
        <v>108</v>
      </c>
      <c r="B1511" t="s">
        <v>522</v>
      </c>
      <c r="C1511">
        <v>120</v>
      </c>
      <c r="D1511" t="s">
        <v>21</v>
      </c>
      <c r="E1511" t="s">
        <v>11</v>
      </c>
      <c r="F1511">
        <v>1</v>
      </c>
      <c r="G1511" t="s">
        <v>13</v>
      </c>
    </row>
    <row r="1512" spans="1:7" x14ac:dyDescent="0.25">
      <c r="A1512">
        <v>108</v>
      </c>
      <c r="B1512" t="s">
        <v>522</v>
      </c>
      <c r="C1512">
        <v>130</v>
      </c>
      <c r="D1512" t="s">
        <v>110</v>
      </c>
      <c r="E1512" t="s">
        <v>12</v>
      </c>
      <c r="F1512">
        <v>1.27</v>
      </c>
      <c r="G1512" t="s">
        <v>13</v>
      </c>
    </row>
    <row r="1513" spans="1:7" x14ac:dyDescent="0.25">
      <c r="A1513">
        <v>108</v>
      </c>
      <c r="B1513" t="s">
        <v>522</v>
      </c>
      <c r="C1513">
        <v>140</v>
      </c>
      <c r="D1513" t="s">
        <v>525</v>
      </c>
      <c r="E1513" t="s">
        <v>11</v>
      </c>
      <c r="F1513">
        <v>1</v>
      </c>
      <c r="G1513" t="s">
        <v>15</v>
      </c>
    </row>
    <row r="1514" spans="1:7" x14ac:dyDescent="0.25">
      <c r="A1514">
        <v>109</v>
      </c>
      <c r="B1514" t="s">
        <v>526</v>
      </c>
      <c r="C1514">
        <v>10</v>
      </c>
      <c r="D1514" t="s">
        <v>116</v>
      </c>
      <c r="E1514" t="s">
        <v>14</v>
      </c>
      <c r="F1514">
        <v>2.1589999999999998</v>
      </c>
      <c r="G1514" t="s">
        <v>15</v>
      </c>
    </row>
    <row r="1515" spans="1:7" x14ac:dyDescent="0.25">
      <c r="A1515">
        <v>109</v>
      </c>
      <c r="B1515" t="s">
        <v>526</v>
      </c>
      <c r="C1515">
        <v>20</v>
      </c>
      <c r="D1515" t="s">
        <v>527</v>
      </c>
      <c r="E1515" t="s">
        <v>11</v>
      </c>
      <c r="F1515">
        <v>1</v>
      </c>
      <c r="G1515" t="s">
        <v>15</v>
      </c>
    </row>
    <row r="1516" spans="1:7" x14ac:dyDescent="0.25">
      <c r="A1516">
        <v>109</v>
      </c>
      <c r="B1516" t="s">
        <v>526</v>
      </c>
      <c r="C1516">
        <v>30</v>
      </c>
      <c r="D1516" t="s">
        <v>528</v>
      </c>
      <c r="E1516" t="s">
        <v>11</v>
      </c>
      <c r="F1516">
        <v>1</v>
      </c>
      <c r="G1516" t="s">
        <v>15</v>
      </c>
    </row>
    <row r="1517" spans="1:7" x14ac:dyDescent="0.25">
      <c r="A1517">
        <v>109</v>
      </c>
      <c r="B1517" t="s">
        <v>526</v>
      </c>
      <c r="C1517">
        <v>40</v>
      </c>
      <c r="D1517" t="s">
        <v>266</v>
      </c>
      <c r="E1517" t="s">
        <v>14</v>
      </c>
      <c r="F1517">
        <v>2.1589999999999998</v>
      </c>
      <c r="G1517" t="s">
        <v>15</v>
      </c>
    </row>
    <row r="1518" spans="1:7" x14ac:dyDescent="0.25">
      <c r="A1518">
        <v>109</v>
      </c>
      <c r="B1518" t="s">
        <v>526</v>
      </c>
      <c r="C1518">
        <v>50</v>
      </c>
      <c r="D1518" t="s">
        <v>107</v>
      </c>
      <c r="E1518" t="s">
        <v>108</v>
      </c>
      <c r="F1518">
        <v>1.0720000000000001</v>
      </c>
      <c r="G1518" t="s">
        <v>13</v>
      </c>
    </row>
    <row r="1519" spans="1:7" x14ac:dyDescent="0.25">
      <c r="A1519">
        <v>109</v>
      </c>
      <c r="B1519" t="s">
        <v>526</v>
      </c>
      <c r="C1519">
        <v>60</v>
      </c>
      <c r="D1519" t="s">
        <v>267</v>
      </c>
      <c r="E1519" t="s">
        <v>11</v>
      </c>
      <c r="F1519">
        <v>1</v>
      </c>
      <c r="G1519" t="s">
        <v>13</v>
      </c>
    </row>
    <row r="1520" spans="1:7" x14ac:dyDescent="0.25">
      <c r="A1520">
        <v>109</v>
      </c>
      <c r="B1520" t="s">
        <v>526</v>
      </c>
      <c r="C1520">
        <v>70</v>
      </c>
      <c r="D1520" t="s">
        <v>109</v>
      </c>
      <c r="E1520" t="s">
        <v>14</v>
      </c>
      <c r="F1520">
        <v>22.555</v>
      </c>
      <c r="G1520" t="s">
        <v>13</v>
      </c>
    </row>
    <row r="1521" spans="1:7" x14ac:dyDescent="0.25">
      <c r="A1521">
        <v>109</v>
      </c>
      <c r="B1521" t="s">
        <v>526</v>
      </c>
      <c r="C1521">
        <v>80</v>
      </c>
      <c r="D1521" t="s">
        <v>16</v>
      </c>
      <c r="E1521" t="s">
        <v>14</v>
      </c>
      <c r="F1521">
        <v>139.65199999999999</v>
      </c>
      <c r="G1521" t="s">
        <v>13</v>
      </c>
    </row>
    <row r="1522" spans="1:7" x14ac:dyDescent="0.25">
      <c r="A1522">
        <v>109</v>
      </c>
      <c r="B1522" t="s">
        <v>526</v>
      </c>
      <c r="C1522">
        <v>90</v>
      </c>
      <c r="D1522" t="s">
        <v>265</v>
      </c>
      <c r="E1522" t="s">
        <v>12</v>
      </c>
      <c r="F1522">
        <v>0.13700000000000001</v>
      </c>
      <c r="G1522" t="s">
        <v>13</v>
      </c>
    </row>
    <row r="1523" spans="1:7" x14ac:dyDescent="0.25">
      <c r="A1523">
        <v>109</v>
      </c>
      <c r="B1523" t="s">
        <v>526</v>
      </c>
      <c r="C1523">
        <v>100</v>
      </c>
      <c r="D1523" t="s">
        <v>269</v>
      </c>
      <c r="E1523" t="s">
        <v>11</v>
      </c>
      <c r="F1523">
        <v>4</v>
      </c>
      <c r="G1523" t="s">
        <v>13</v>
      </c>
    </row>
    <row r="1524" spans="1:7" x14ac:dyDescent="0.25">
      <c r="A1524">
        <v>109</v>
      </c>
      <c r="B1524" t="s">
        <v>526</v>
      </c>
      <c r="C1524">
        <v>110</v>
      </c>
      <c r="D1524" t="s">
        <v>20</v>
      </c>
      <c r="E1524" t="s">
        <v>11</v>
      </c>
      <c r="F1524">
        <v>1</v>
      </c>
      <c r="G1524" t="s">
        <v>13</v>
      </c>
    </row>
    <row r="1525" spans="1:7" x14ac:dyDescent="0.25">
      <c r="A1525">
        <v>109</v>
      </c>
      <c r="B1525" t="s">
        <v>526</v>
      </c>
      <c r="C1525">
        <v>120</v>
      </c>
      <c r="D1525" t="s">
        <v>21</v>
      </c>
      <c r="E1525" t="s">
        <v>11</v>
      </c>
      <c r="F1525">
        <v>1</v>
      </c>
      <c r="G1525" t="s">
        <v>13</v>
      </c>
    </row>
    <row r="1526" spans="1:7" x14ac:dyDescent="0.25">
      <c r="A1526">
        <v>109</v>
      </c>
      <c r="B1526" t="s">
        <v>526</v>
      </c>
      <c r="C1526">
        <v>130</v>
      </c>
      <c r="D1526" t="s">
        <v>110</v>
      </c>
      <c r="E1526" t="s">
        <v>12</v>
      </c>
      <c r="F1526">
        <v>1.27</v>
      </c>
      <c r="G1526" t="s">
        <v>13</v>
      </c>
    </row>
    <row r="1527" spans="1:7" x14ac:dyDescent="0.25">
      <c r="A1527">
        <v>109</v>
      </c>
      <c r="B1527" t="s">
        <v>526</v>
      </c>
      <c r="C1527">
        <v>140</v>
      </c>
      <c r="D1527" t="s">
        <v>529</v>
      </c>
      <c r="E1527" t="s">
        <v>11</v>
      </c>
      <c r="F1527">
        <v>1</v>
      </c>
      <c r="G1527" t="s">
        <v>15</v>
      </c>
    </row>
    <row r="1528" spans="1:7" x14ac:dyDescent="0.25">
      <c r="A1528">
        <v>110</v>
      </c>
      <c r="B1528" t="s">
        <v>530</v>
      </c>
      <c r="C1528">
        <v>10</v>
      </c>
      <c r="D1528" t="s">
        <v>116</v>
      </c>
      <c r="E1528" t="s">
        <v>14</v>
      </c>
      <c r="F1528">
        <v>2.1589999999999998</v>
      </c>
      <c r="G1528" t="s">
        <v>15</v>
      </c>
    </row>
    <row r="1529" spans="1:7" x14ac:dyDescent="0.25">
      <c r="A1529">
        <v>110</v>
      </c>
      <c r="B1529" t="s">
        <v>530</v>
      </c>
      <c r="C1529">
        <v>20</v>
      </c>
      <c r="D1529" t="s">
        <v>531</v>
      </c>
      <c r="E1529" t="s">
        <v>11</v>
      </c>
      <c r="F1529">
        <v>1</v>
      </c>
      <c r="G1529" t="s">
        <v>15</v>
      </c>
    </row>
    <row r="1530" spans="1:7" x14ac:dyDescent="0.25">
      <c r="A1530">
        <v>110</v>
      </c>
      <c r="B1530" t="s">
        <v>530</v>
      </c>
      <c r="C1530">
        <v>30</v>
      </c>
      <c r="D1530" t="s">
        <v>532</v>
      </c>
      <c r="E1530" t="s">
        <v>11</v>
      </c>
      <c r="F1530">
        <v>1</v>
      </c>
      <c r="G1530" t="s">
        <v>15</v>
      </c>
    </row>
    <row r="1531" spans="1:7" x14ac:dyDescent="0.25">
      <c r="A1531">
        <v>110</v>
      </c>
      <c r="B1531" t="s">
        <v>530</v>
      </c>
      <c r="C1531">
        <v>40</v>
      </c>
      <c r="D1531" t="s">
        <v>266</v>
      </c>
      <c r="E1531" t="s">
        <v>14</v>
      </c>
      <c r="F1531">
        <v>2.1589999999999998</v>
      </c>
      <c r="G1531" t="s">
        <v>15</v>
      </c>
    </row>
    <row r="1532" spans="1:7" x14ac:dyDescent="0.25">
      <c r="A1532">
        <v>110</v>
      </c>
      <c r="B1532" t="s">
        <v>530</v>
      </c>
      <c r="C1532">
        <v>50</v>
      </c>
      <c r="D1532" t="s">
        <v>107</v>
      </c>
      <c r="E1532" t="s">
        <v>108</v>
      </c>
      <c r="F1532">
        <v>1.1739999999999999</v>
      </c>
      <c r="G1532" t="s">
        <v>13</v>
      </c>
    </row>
    <row r="1533" spans="1:7" x14ac:dyDescent="0.25">
      <c r="A1533">
        <v>110</v>
      </c>
      <c r="B1533" t="s">
        <v>530</v>
      </c>
      <c r="C1533">
        <v>60</v>
      </c>
      <c r="D1533" t="s">
        <v>267</v>
      </c>
      <c r="E1533" t="s">
        <v>11</v>
      </c>
      <c r="F1533">
        <v>1</v>
      </c>
      <c r="G1533" t="s">
        <v>13</v>
      </c>
    </row>
    <row r="1534" spans="1:7" x14ac:dyDescent="0.25">
      <c r="A1534">
        <v>110</v>
      </c>
      <c r="B1534" t="s">
        <v>530</v>
      </c>
      <c r="C1534">
        <v>70</v>
      </c>
      <c r="D1534" t="s">
        <v>109</v>
      </c>
      <c r="E1534" t="s">
        <v>14</v>
      </c>
      <c r="F1534">
        <v>23.47</v>
      </c>
      <c r="G1534" t="s">
        <v>13</v>
      </c>
    </row>
    <row r="1535" spans="1:7" x14ac:dyDescent="0.25">
      <c r="A1535">
        <v>110</v>
      </c>
      <c r="B1535" t="s">
        <v>530</v>
      </c>
      <c r="C1535">
        <v>80</v>
      </c>
      <c r="D1535" t="s">
        <v>16</v>
      </c>
      <c r="E1535" t="s">
        <v>14</v>
      </c>
      <c r="F1535">
        <v>145.27500000000001</v>
      </c>
      <c r="G1535" t="s">
        <v>13</v>
      </c>
    </row>
    <row r="1536" spans="1:7" x14ac:dyDescent="0.25">
      <c r="A1536">
        <v>110</v>
      </c>
      <c r="B1536" t="s">
        <v>530</v>
      </c>
      <c r="C1536">
        <v>90</v>
      </c>
      <c r="D1536" t="s">
        <v>265</v>
      </c>
      <c r="E1536" t="s">
        <v>12</v>
      </c>
      <c r="F1536">
        <v>0.14799999999999999</v>
      </c>
      <c r="G1536" t="s">
        <v>13</v>
      </c>
    </row>
    <row r="1537" spans="1:7" x14ac:dyDescent="0.25">
      <c r="A1537">
        <v>110</v>
      </c>
      <c r="B1537" t="s">
        <v>530</v>
      </c>
      <c r="C1537">
        <v>100</v>
      </c>
      <c r="D1537" t="s">
        <v>269</v>
      </c>
      <c r="E1537" t="s">
        <v>11</v>
      </c>
      <c r="F1537">
        <v>4</v>
      </c>
      <c r="G1537" t="s">
        <v>13</v>
      </c>
    </row>
    <row r="1538" spans="1:7" x14ac:dyDescent="0.25">
      <c r="A1538">
        <v>110</v>
      </c>
      <c r="B1538" t="s">
        <v>530</v>
      </c>
      <c r="C1538">
        <v>110</v>
      </c>
      <c r="D1538" t="s">
        <v>20</v>
      </c>
      <c r="E1538" t="s">
        <v>11</v>
      </c>
      <c r="F1538">
        <v>1</v>
      </c>
      <c r="G1538" t="s">
        <v>13</v>
      </c>
    </row>
    <row r="1539" spans="1:7" x14ac:dyDescent="0.25">
      <c r="A1539">
        <v>110</v>
      </c>
      <c r="B1539" t="s">
        <v>530</v>
      </c>
      <c r="C1539">
        <v>120</v>
      </c>
      <c r="D1539" t="s">
        <v>21</v>
      </c>
      <c r="E1539" t="s">
        <v>11</v>
      </c>
      <c r="F1539">
        <v>1</v>
      </c>
      <c r="G1539" t="s">
        <v>13</v>
      </c>
    </row>
    <row r="1540" spans="1:7" x14ac:dyDescent="0.25">
      <c r="A1540">
        <v>110</v>
      </c>
      <c r="B1540" t="s">
        <v>530</v>
      </c>
      <c r="C1540">
        <v>130</v>
      </c>
      <c r="D1540" t="s">
        <v>110</v>
      </c>
      <c r="E1540" t="s">
        <v>12</v>
      </c>
      <c r="F1540">
        <v>1.27</v>
      </c>
      <c r="G1540" t="s">
        <v>13</v>
      </c>
    </row>
    <row r="1541" spans="1:7" x14ac:dyDescent="0.25">
      <c r="A1541">
        <v>110</v>
      </c>
      <c r="B1541" t="s">
        <v>530</v>
      </c>
      <c r="C1541">
        <v>140</v>
      </c>
      <c r="D1541" t="s">
        <v>533</v>
      </c>
      <c r="E1541" t="s">
        <v>11</v>
      </c>
      <c r="F1541">
        <v>1</v>
      </c>
      <c r="G1541" t="s">
        <v>15</v>
      </c>
    </row>
    <row r="1542" spans="1:7" x14ac:dyDescent="0.25">
      <c r="A1542">
        <v>111</v>
      </c>
      <c r="B1542" t="s">
        <v>534</v>
      </c>
      <c r="C1542">
        <v>10</v>
      </c>
      <c r="D1542" t="s">
        <v>187</v>
      </c>
      <c r="E1542" t="s">
        <v>14</v>
      </c>
      <c r="F1542">
        <v>0.86399999999999999</v>
      </c>
      <c r="G1542" t="s">
        <v>15</v>
      </c>
    </row>
    <row r="1543" spans="1:7" x14ac:dyDescent="0.25">
      <c r="A1543">
        <v>111</v>
      </c>
      <c r="B1543" t="s">
        <v>534</v>
      </c>
      <c r="C1543">
        <v>20</v>
      </c>
      <c r="D1543" t="s">
        <v>535</v>
      </c>
      <c r="E1543" t="s">
        <v>11</v>
      </c>
      <c r="F1543">
        <v>1</v>
      </c>
      <c r="G1543" t="s">
        <v>15</v>
      </c>
    </row>
    <row r="1544" spans="1:7" x14ac:dyDescent="0.25">
      <c r="A1544">
        <v>111</v>
      </c>
      <c r="B1544" t="s">
        <v>534</v>
      </c>
      <c r="C1544">
        <v>30</v>
      </c>
      <c r="D1544" t="s">
        <v>536</v>
      </c>
      <c r="E1544" t="s">
        <v>11</v>
      </c>
      <c r="F1544">
        <v>1</v>
      </c>
      <c r="G1544" t="s">
        <v>15</v>
      </c>
    </row>
    <row r="1545" spans="1:7" x14ac:dyDescent="0.25">
      <c r="A1545">
        <v>111</v>
      </c>
      <c r="B1545" t="s">
        <v>534</v>
      </c>
      <c r="C1545">
        <v>40</v>
      </c>
      <c r="D1545" t="s">
        <v>266</v>
      </c>
      <c r="E1545" t="s">
        <v>14</v>
      </c>
      <c r="F1545">
        <v>0.86399999999999999</v>
      </c>
      <c r="G1545" t="s">
        <v>15</v>
      </c>
    </row>
    <row r="1546" spans="1:7" x14ac:dyDescent="0.25">
      <c r="A1546">
        <v>111</v>
      </c>
      <c r="B1546" t="s">
        <v>534</v>
      </c>
      <c r="C1546">
        <v>50</v>
      </c>
      <c r="D1546" t="s">
        <v>107</v>
      </c>
      <c r="E1546" t="s">
        <v>108</v>
      </c>
      <c r="F1546">
        <v>0.48099999999999998</v>
      </c>
      <c r="G1546" t="s">
        <v>13</v>
      </c>
    </row>
    <row r="1547" spans="1:7" x14ac:dyDescent="0.25">
      <c r="A1547">
        <v>111</v>
      </c>
      <c r="B1547" t="s">
        <v>534</v>
      </c>
      <c r="C1547">
        <v>60</v>
      </c>
      <c r="D1547" t="s">
        <v>267</v>
      </c>
      <c r="E1547" t="s">
        <v>11</v>
      </c>
      <c r="F1547">
        <v>1</v>
      </c>
      <c r="G1547" t="s">
        <v>13</v>
      </c>
    </row>
    <row r="1548" spans="1:7" x14ac:dyDescent="0.25">
      <c r="A1548">
        <v>111</v>
      </c>
      <c r="B1548" t="s">
        <v>534</v>
      </c>
      <c r="C1548">
        <v>70</v>
      </c>
      <c r="D1548" t="s">
        <v>109</v>
      </c>
      <c r="E1548" t="s">
        <v>14</v>
      </c>
      <c r="F1548">
        <v>16.154</v>
      </c>
      <c r="G1548" t="s">
        <v>13</v>
      </c>
    </row>
    <row r="1549" spans="1:7" x14ac:dyDescent="0.25">
      <c r="A1549">
        <v>111</v>
      </c>
      <c r="B1549" t="s">
        <v>534</v>
      </c>
      <c r="C1549">
        <v>80</v>
      </c>
      <c r="D1549" t="s">
        <v>16</v>
      </c>
      <c r="E1549" t="s">
        <v>14</v>
      </c>
      <c r="F1549">
        <v>100.28700000000001</v>
      </c>
      <c r="G1549" t="s">
        <v>13</v>
      </c>
    </row>
    <row r="1550" spans="1:7" x14ac:dyDescent="0.25">
      <c r="A1550">
        <v>111</v>
      </c>
      <c r="B1550" t="s">
        <v>534</v>
      </c>
      <c r="C1550">
        <v>90</v>
      </c>
      <c r="D1550" t="s">
        <v>265</v>
      </c>
      <c r="E1550" t="s">
        <v>12</v>
      </c>
      <c r="F1550">
        <v>8.4000000000000005E-2</v>
      </c>
      <c r="G1550" t="s">
        <v>13</v>
      </c>
    </row>
    <row r="1551" spans="1:7" x14ac:dyDescent="0.25">
      <c r="A1551">
        <v>111</v>
      </c>
      <c r="B1551" t="s">
        <v>534</v>
      </c>
      <c r="C1551">
        <v>100</v>
      </c>
      <c r="D1551" t="s">
        <v>269</v>
      </c>
      <c r="E1551" t="s">
        <v>11</v>
      </c>
      <c r="F1551">
        <v>4</v>
      </c>
      <c r="G1551" t="s">
        <v>13</v>
      </c>
    </row>
    <row r="1552" spans="1:7" x14ac:dyDescent="0.25">
      <c r="A1552">
        <v>111</v>
      </c>
      <c r="B1552" t="s">
        <v>534</v>
      </c>
      <c r="C1552">
        <v>110</v>
      </c>
      <c r="D1552" t="s">
        <v>20</v>
      </c>
      <c r="E1552" t="s">
        <v>11</v>
      </c>
      <c r="F1552">
        <v>1</v>
      </c>
      <c r="G1552" t="s">
        <v>13</v>
      </c>
    </row>
    <row r="1553" spans="1:7" x14ac:dyDescent="0.25">
      <c r="A1553">
        <v>111</v>
      </c>
      <c r="B1553" t="s">
        <v>534</v>
      </c>
      <c r="C1553">
        <v>120</v>
      </c>
      <c r="D1553" t="s">
        <v>21</v>
      </c>
      <c r="E1553" t="s">
        <v>11</v>
      </c>
      <c r="F1553">
        <v>1</v>
      </c>
      <c r="G1553" t="s">
        <v>13</v>
      </c>
    </row>
    <row r="1554" spans="1:7" x14ac:dyDescent="0.25">
      <c r="A1554">
        <v>111</v>
      </c>
      <c r="B1554" t="s">
        <v>534</v>
      </c>
      <c r="C1554">
        <v>130</v>
      </c>
      <c r="D1554" t="s">
        <v>110</v>
      </c>
      <c r="E1554" t="s">
        <v>12</v>
      </c>
      <c r="F1554">
        <v>0.58099999999999996</v>
      </c>
      <c r="G1554" t="s">
        <v>13</v>
      </c>
    </row>
    <row r="1555" spans="1:7" x14ac:dyDescent="0.25">
      <c r="A1555">
        <v>111</v>
      </c>
      <c r="B1555" t="s">
        <v>534</v>
      </c>
      <c r="C1555">
        <v>140</v>
      </c>
      <c r="D1555" t="s">
        <v>377</v>
      </c>
      <c r="E1555" t="s">
        <v>11</v>
      </c>
      <c r="F1555">
        <v>1</v>
      </c>
      <c r="G1555" t="s">
        <v>15</v>
      </c>
    </row>
    <row r="1556" spans="1:7" x14ac:dyDescent="0.25">
      <c r="A1556">
        <v>112</v>
      </c>
      <c r="B1556" t="s">
        <v>537</v>
      </c>
      <c r="C1556">
        <v>10</v>
      </c>
      <c r="D1556" t="s">
        <v>187</v>
      </c>
      <c r="E1556" t="s">
        <v>14</v>
      </c>
      <c r="F1556">
        <v>1.016</v>
      </c>
      <c r="G1556" t="s">
        <v>15</v>
      </c>
    </row>
    <row r="1557" spans="1:7" x14ac:dyDescent="0.25">
      <c r="A1557">
        <v>112</v>
      </c>
      <c r="B1557" t="s">
        <v>537</v>
      </c>
      <c r="C1557">
        <v>20</v>
      </c>
      <c r="D1557" t="s">
        <v>538</v>
      </c>
      <c r="E1557" t="s">
        <v>11</v>
      </c>
      <c r="F1557">
        <v>1</v>
      </c>
      <c r="G1557" t="s">
        <v>15</v>
      </c>
    </row>
    <row r="1558" spans="1:7" x14ac:dyDescent="0.25">
      <c r="A1558">
        <v>112</v>
      </c>
      <c r="B1558" t="s">
        <v>537</v>
      </c>
      <c r="C1558">
        <v>30</v>
      </c>
      <c r="D1558" t="s">
        <v>539</v>
      </c>
      <c r="E1558" t="s">
        <v>11</v>
      </c>
      <c r="F1558">
        <v>1</v>
      </c>
      <c r="G1558" t="s">
        <v>15</v>
      </c>
    </row>
    <row r="1559" spans="1:7" x14ac:dyDescent="0.25">
      <c r="A1559">
        <v>112</v>
      </c>
      <c r="B1559" t="s">
        <v>537</v>
      </c>
      <c r="C1559">
        <v>40</v>
      </c>
      <c r="D1559" t="s">
        <v>266</v>
      </c>
      <c r="E1559" t="s">
        <v>14</v>
      </c>
      <c r="F1559">
        <v>1.016</v>
      </c>
      <c r="G1559" t="s">
        <v>15</v>
      </c>
    </row>
    <row r="1560" spans="1:7" x14ac:dyDescent="0.25">
      <c r="A1560">
        <v>112</v>
      </c>
      <c r="B1560" t="s">
        <v>537</v>
      </c>
      <c r="C1560">
        <v>50</v>
      </c>
      <c r="D1560" t="s">
        <v>107</v>
      </c>
      <c r="E1560" t="s">
        <v>108</v>
      </c>
      <c r="F1560">
        <v>0.56899999999999995</v>
      </c>
      <c r="G1560" t="s">
        <v>13</v>
      </c>
    </row>
    <row r="1561" spans="1:7" x14ac:dyDescent="0.25">
      <c r="A1561">
        <v>112</v>
      </c>
      <c r="B1561" t="s">
        <v>537</v>
      </c>
      <c r="C1561">
        <v>60</v>
      </c>
      <c r="D1561" t="s">
        <v>267</v>
      </c>
      <c r="E1561" t="s">
        <v>11</v>
      </c>
      <c r="F1561">
        <v>1</v>
      </c>
      <c r="G1561" t="s">
        <v>13</v>
      </c>
    </row>
    <row r="1562" spans="1:7" x14ac:dyDescent="0.25">
      <c r="A1562">
        <v>112</v>
      </c>
      <c r="B1562" t="s">
        <v>537</v>
      </c>
      <c r="C1562">
        <v>70</v>
      </c>
      <c r="D1562" t="s">
        <v>109</v>
      </c>
      <c r="E1562" t="s">
        <v>14</v>
      </c>
      <c r="F1562">
        <v>17.068999999999999</v>
      </c>
      <c r="G1562" t="s">
        <v>13</v>
      </c>
    </row>
    <row r="1563" spans="1:7" x14ac:dyDescent="0.25">
      <c r="A1563">
        <v>112</v>
      </c>
      <c r="B1563" t="s">
        <v>537</v>
      </c>
      <c r="C1563">
        <v>80</v>
      </c>
      <c r="D1563" t="s">
        <v>16</v>
      </c>
      <c r="E1563" t="s">
        <v>14</v>
      </c>
      <c r="F1563">
        <v>105.91</v>
      </c>
      <c r="G1563" t="s">
        <v>13</v>
      </c>
    </row>
    <row r="1564" spans="1:7" x14ac:dyDescent="0.25">
      <c r="A1564">
        <v>112</v>
      </c>
      <c r="B1564" t="s">
        <v>537</v>
      </c>
      <c r="C1564">
        <v>90</v>
      </c>
      <c r="D1564" t="s">
        <v>265</v>
      </c>
      <c r="E1564" t="s">
        <v>12</v>
      </c>
      <c r="F1564">
        <v>9.4E-2</v>
      </c>
      <c r="G1564" t="s">
        <v>13</v>
      </c>
    </row>
    <row r="1565" spans="1:7" x14ac:dyDescent="0.25">
      <c r="A1565">
        <v>112</v>
      </c>
      <c r="B1565" t="s">
        <v>537</v>
      </c>
      <c r="C1565">
        <v>100</v>
      </c>
      <c r="D1565" t="s">
        <v>269</v>
      </c>
      <c r="E1565" t="s">
        <v>11</v>
      </c>
      <c r="F1565">
        <v>4</v>
      </c>
      <c r="G1565" t="s">
        <v>13</v>
      </c>
    </row>
    <row r="1566" spans="1:7" x14ac:dyDescent="0.25">
      <c r="A1566">
        <v>112</v>
      </c>
      <c r="B1566" t="s">
        <v>537</v>
      </c>
      <c r="C1566">
        <v>110</v>
      </c>
      <c r="D1566" t="s">
        <v>20</v>
      </c>
      <c r="E1566" t="s">
        <v>11</v>
      </c>
      <c r="F1566">
        <v>1</v>
      </c>
      <c r="G1566" t="s">
        <v>13</v>
      </c>
    </row>
    <row r="1567" spans="1:7" x14ac:dyDescent="0.25">
      <c r="A1567">
        <v>112</v>
      </c>
      <c r="B1567" t="s">
        <v>537</v>
      </c>
      <c r="C1567">
        <v>120</v>
      </c>
      <c r="D1567" t="s">
        <v>21</v>
      </c>
      <c r="E1567" t="s">
        <v>11</v>
      </c>
      <c r="F1567">
        <v>1</v>
      </c>
      <c r="G1567" t="s">
        <v>13</v>
      </c>
    </row>
    <row r="1568" spans="1:7" x14ac:dyDescent="0.25">
      <c r="A1568">
        <v>112</v>
      </c>
      <c r="B1568" t="s">
        <v>537</v>
      </c>
      <c r="C1568">
        <v>130</v>
      </c>
      <c r="D1568" t="s">
        <v>110</v>
      </c>
      <c r="E1568" t="s">
        <v>12</v>
      </c>
      <c r="F1568">
        <v>0.66200000000000003</v>
      </c>
      <c r="G1568" t="s">
        <v>13</v>
      </c>
    </row>
    <row r="1569" spans="1:7" x14ac:dyDescent="0.25">
      <c r="A1569">
        <v>112</v>
      </c>
      <c r="B1569" t="s">
        <v>537</v>
      </c>
      <c r="C1569">
        <v>140</v>
      </c>
      <c r="D1569" t="s">
        <v>381</v>
      </c>
      <c r="E1569" t="s">
        <v>11</v>
      </c>
      <c r="F1569">
        <v>1</v>
      </c>
      <c r="G1569" t="s">
        <v>15</v>
      </c>
    </row>
    <row r="1570" spans="1:7" x14ac:dyDescent="0.25">
      <c r="A1570">
        <v>113</v>
      </c>
      <c r="B1570" t="s">
        <v>540</v>
      </c>
      <c r="C1570">
        <v>10</v>
      </c>
      <c r="D1570" t="s">
        <v>187</v>
      </c>
      <c r="E1570" t="s">
        <v>14</v>
      </c>
      <c r="F1570">
        <v>1.1679999999999999</v>
      </c>
      <c r="G1570" t="s">
        <v>15</v>
      </c>
    </row>
    <row r="1571" spans="1:7" x14ac:dyDescent="0.25">
      <c r="A1571">
        <v>113</v>
      </c>
      <c r="B1571" t="s">
        <v>540</v>
      </c>
      <c r="C1571">
        <v>20</v>
      </c>
      <c r="D1571" t="s">
        <v>541</v>
      </c>
      <c r="E1571" t="s">
        <v>11</v>
      </c>
      <c r="F1571">
        <v>1</v>
      </c>
      <c r="G1571" t="s">
        <v>15</v>
      </c>
    </row>
    <row r="1572" spans="1:7" x14ac:dyDescent="0.25">
      <c r="A1572">
        <v>113</v>
      </c>
      <c r="B1572" t="s">
        <v>540</v>
      </c>
      <c r="C1572">
        <v>30</v>
      </c>
      <c r="D1572" t="s">
        <v>542</v>
      </c>
      <c r="E1572" t="s">
        <v>11</v>
      </c>
      <c r="F1572">
        <v>1</v>
      </c>
      <c r="G1572" t="s">
        <v>15</v>
      </c>
    </row>
    <row r="1573" spans="1:7" x14ac:dyDescent="0.25">
      <c r="A1573">
        <v>113</v>
      </c>
      <c r="B1573" t="s">
        <v>540</v>
      </c>
      <c r="C1573">
        <v>40</v>
      </c>
      <c r="D1573" t="s">
        <v>266</v>
      </c>
      <c r="E1573" t="s">
        <v>14</v>
      </c>
      <c r="F1573">
        <v>1.1679999999999999</v>
      </c>
      <c r="G1573" t="s">
        <v>15</v>
      </c>
    </row>
    <row r="1574" spans="1:7" x14ac:dyDescent="0.25">
      <c r="A1574">
        <v>113</v>
      </c>
      <c r="B1574" t="s">
        <v>540</v>
      </c>
      <c r="C1574">
        <v>50</v>
      </c>
      <c r="D1574" t="s">
        <v>107</v>
      </c>
      <c r="E1574" t="s">
        <v>108</v>
      </c>
      <c r="F1574">
        <v>0.65600000000000003</v>
      </c>
      <c r="G1574" t="s">
        <v>13</v>
      </c>
    </row>
    <row r="1575" spans="1:7" x14ac:dyDescent="0.25">
      <c r="A1575">
        <v>113</v>
      </c>
      <c r="B1575" t="s">
        <v>540</v>
      </c>
      <c r="C1575">
        <v>60</v>
      </c>
      <c r="D1575" t="s">
        <v>267</v>
      </c>
      <c r="E1575" t="s">
        <v>11</v>
      </c>
      <c r="F1575">
        <v>1</v>
      </c>
      <c r="G1575" t="s">
        <v>13</v>
      </c>
    </row>
    <row r="1576" spans="1:7" x14ac:dyDescent="0.25">
      <c r="A1576">
        <v>113</v>
      </c>
      <c r="B1576" t="s">
        <v>540</v>
      </c>
      <c r="C1576">
        <v>70</v>
      </c>
      <c r="D1576" t="s">
        <v>109</v>
      </c>
      <c r="E1576" t="s">
        <v>14</v>
      </c>
      <c r="F1576">
        <v>17.983000000000001</v>
      </c>
      <c r="G1576" t="s">
        <v>13</v>
      </c>
    </row>
    <row r="1577" spans="1:7" x14ac:dyDescent="0.25">
      <c r="A1577">
        <v>113</v>
      </c>
      <c r="B1577" t="s">
        <v>540</v>
      </c>
      <c r="C1577">
        <v>80</v>
      </c>
      <c r="D1577" t="s">
        <v>16</v>
      </c>
      <c r="E1577" t="s">
        <v>14</v>
      </c>
      <c r="F1577">
        <v>111.53400000000001</v>
      </c>
      <c r="G1577" t="s">
        <v>13</v>
      </c>
    </row>
    <row r="1578" spans="1:7" x14ac:dyDescent="0.25">
      <c r="A1578">
        <v>113</v>
      </c>
      <c r="B1578" t="s">
        <v>540</v>
      </c>
      <c r="C1578">
        <v>90</v>
      </c>
      <c r="D1578" t="s">
        <v>265</v>
      </c>
      <c r="E1578" t="s">
        <v>12</v>
      </c>
      <c r="F1578">
        <v>0.105</v>
      </c>
      <c r="G1578" t="s">
        <v>13</v>
      </c>
    </row>
    <row r="1579" spans="1:7" x14ac:dyDescent="0.25">
      <c r="A1579">
        <v>113</v>
      </c>
      <c r="B1579" t="s">
        <v>540</v>
      </c>
      <c r="C1579">
        <v>100</v>
      </c>
      <c r="D1579" t="s">
        <v>269</v>
      </c>
      <c r="E1579" t="s">
        <v>11</v>
      </c>
      <c r="F1579">
        <v>4</v>
      </c>
      <c r="G1579" t="s">
        <v>13</v>
      </c>
    </row>
    <row r="1580" spans="1:7" x14ac:dyDescent="0.25">
      <c r="A1580">
        <v>113</v>
      </c>
      <c r="B1580" t="s">
        <v>540</v>
      </c>
      <c r="C1580">
        <v>110</v>
      </c>
      <c r="D1580" t="s">
        <v>20</v>
      </c>
      <c r="E1580" t="s">
        <v>11</v>
      </c>
      <c r="F1580">
        <v>1</v>
      </c>
      <c r="G1580" t="s">
        <v>13</v>
      </c>
    </row>
    <row r="1581" spans="1:7" x14ac:dyDescent="0.25">
      <c r="A1581">
        <v>113</v>
      </c>
      <c r="B1581" t="s">
        <v>540</v>
      </c>
      <c r="C1581">
        <v>120</v>
      </c>
      <c r="D1581" t="s">
        <v>21</v>
      </c>
      <c r="E1581" t="s">
        <v>11</v>
      </c>
      <c r="F1581">
        <v>1</v>
      </c>
      <c r="G1581" t="s">
        <v>13</v>
      </c>
    </row>
    <row r="1582" spans="1:7" x14ac:dyDescent="0.25">
      <c r="A1582">
        <v>113</v>
      </c>
      <c r="B1582" t="s">
        <v>540</v>
      </c>
      <c r="C1582">
        <v>130</v>
      </c>
      <c r="D1582" t="s">
        <v>110</v>
      </c>
      <c r="E1582" t="s">
        <v>12</v>
      </c>
      <c r="F1582">
        <v>0.74299999999999999</v>
      </c>
      <c r="G1582" t="s">
        <v>13</v>
      </c>
    </row>
    <row r="1583" spans="1:7" x14ac:dyDescent="0.25">
      <c r="A1583">
        <v>113</v>
      </c>
      <c r="B1583" t="s">
        <v>540</v>
      </c>
      <c r="C1583">
        <v>140</v>
      </c>
      <c r="D1583" t="s">
        <v>385</v>
      </c>
      <c r="E1583" t="s">
        <v>11</v>
      </c>
      <c r="F1583">
        <v>1</v>
      </c>
      <c r="G1583" t="s">
        <v>15</v>
      </c>
    </row>
    <row r="1584" spans="1:7" x14ac:dyDescent="0.25">
      <c r="A1584">
        <v>114</v>
      </c>
      <c r="B1584" t="s">
        <v>543</v>
      </c>
      <c r="C1584">
        <v>10</v>
      </c>
      <c r="D1584" t="s">
        <v>187</v>
      </c>
      <c r="E1584" t="s">
        <v>14</v>
      </c>
      <c r="F1584">
        <v>1.321</v>
      </c>
      <c r="G1584" t="s">
        <v>15</v>
      </c>
    </row>
    <row r="1585" spans="1:7" x14ac:dyDescent="0.25">
      <c r="A1585">
        <v>114</v>
      </c>
      <c r="B1585" t="s">
        <v>543</v>
      </c>
      <c r="C1585">
        <v>20</v>
      </c>
      <c r="D1585" t="s">
        <v>544</v>
      </c>
      <c r="E1585" t="s">
        <v>11</v>
      </c>
      <c r="F1585">
        <v>1</v>
      </c>
      <c r="G1585" t="s">
        <v>15</v>
      </c>
    </row>
    <row r="1586" spans="1:7" x14ac:dyDescent="0.25">
      <c r="A1586">
        <v>114</v>
      </c>
      <c r="B1586" t="s">
        <v>543</v>
      </c>
      <c r="C1586">
        <v>30</v>
      </c>
      <c r="D1586" t="s">
        <v>545</v>
      </c>
      <c r="E1586" t="s">
        <v>11</v>
      </c>
      <c r="F1586">
        <v>1</v>
      </c>
      <c r="G1586" t="s">
        <v>15</v>
      </c>
    </row>
    <row r="1587" spans="1:7" x14ac:dyDescent="0.25">
      <c r="A1587">
        <v>114</v>
      </c>
      <c r="B1587" t="s">
        <v>543</v>
      </c>
      <c r="C1587">
        <v>40</v>
      </c>
      <c r="D1587" t="s">
        <v>266</v>
      </c>
      <c r="E1587" t="s">
        <v>14</v>
      </c>
      <c r="F1587">
        <v>1.321</v>
      </c>
      <c r="G1587" t="s">
        <v>15</v>
      </c>
    </row>
    <row r="1588" spans="1:7" x14ac:dyDescent="0.25">
      <c r="A1588">
        <v>114</v>
      </c>
      <c r="B1588" t="s">
        <v>543</v>
      </c>
      <c r="C1588">
        <v>50</v>
      </c>
      <c r="D1588" t="s">
        <v>107</v>
      </c>
      <c r="E1588" t="s">
        <v>108</v>
      </c>
      <c r="F1588">
        <v>0.74399999999999999</v>
      </c>
      <c r="G1588" t="s">
        <v>13</v>
      </c>
    </row>
    <row r="1589" spans="1:7" x14ac:dyDescent="0.25">
      <c r="A1589">
        <v>114</v>
      </c>
      <c r="B1589" t="s">
        <v>543</v>
      </c>
      <c r="C1589">
        <v>60</v>
      </c>
      <c r="D1589" t="s">
        <v>267</v>
      </c>
      <c r="E1589" t="s">
        <v>11</v>
      </c>
      <c r="F1589">
        <v>1</v>
      </c>
      <c r="G1589" t="s">
        <v>13</v>
      </c>
    </row>
    <row r="1590" spans="1:7" x14ac:dyDescent="0.25">
      <c r="A1590">
        <v>114</v>
      </c>
      <c r="B1590" t="s">
        <v>543</v>
      </c>
      <c r="C1590">
        <v>70</v>
      </c>
      <c r="D1590" t="s">
        <v>109</v>
      </c>
      <c r="E1590" t="s">
        <v>14</v>
      </c>
      <c r="F1590">
        <v>18.898</v>
      </c>
      <c r="G1590" t="s">
        <v>13</v>
      </c>
    </row>
    <row r="1591" spans="1:7" x14ac:dyDescent="0.25">
      <c r="A1591">
        <v>114</v>
      </c>
      <c r="B1591" t="s">
        <v>543</v>
      </c>
      <c r="C1591">
        <v>80</v>
      </c>
      <c r="D1591" t="s">
        <v>16</v>
      </c>
      <c r="E1591" t="s">
        <v>14</v>
      </c>
      <c r="F1591">
        <v>117.158</v>
      </c>
      <c r="G1591" t="s">
        <v>13</v>
      </c>
    </row>
    <row r="1592" spans="1:7" x14ac:dyDescent="0.25">
      <c r="A1592">
        <v>114</v>
      </c>
      <c r="B1592" t="s">
        <v>543</v>
      </c>
      <c r="C1592">
        <v>90</v>
      </c>
      <c r="D1592" t="s">
        <v>265</v>
      </c>
      <c r="E1592" t="s">
        <v>12</v>
      </c>
      <c r="F1592">
        <v>0.11600000000000001</v>
      </c>
      <c r="G1592" t="s">
        <v>13</v>
      </c>
    </row>
    <row r="1593" spans="1:7" x14ac:dyDescent="0.25">
      <c r="A1593">
        <v>114</v>
      </c>
      <c r="B1593" t="s">
        <v>543</v>
      </c>
      <c r="C1593">
        <v>100</v>
      </c>
      <c r="D1593" t="s">
        <v>269</v>
      </c>
      <c r="E1593" t="s">
        <v>11</v>
      </c>
      <c r="F1593">
        <v>4</v>
      </c>
      <c r="G1593" t="s">
        <v>13</v>
      </c>
    </row>
    <row r="1594" spans="1:7" x14ac:dyDescent="0.25">
      <c r="A1594">
        <v>114</v>
      </c>
      <c r="B1594" t="s">
        <v>543</v>
      </c>
      <c r="C1594">
        <v>110</v>
      </c>
      <c r="D1594" t="s">
        <v>20</v>
      </c>
      <c r="E1594" t="s">
        <v>11</v>
      </c>
      <c r="F1594">
        <v>1</v>
      </c>
      <c r="G1594" t="s">
        <v>13</v>
      </c>
    </row>
    <row r="1595" spans="1:7" x14ac:dyDescent="0.25">
      <c r="A1595">
        <v>114</v>
      </c>
      <c r="B1595" t="s">
        <v>543</v>
      </c>
      <c r="C1595">
        <v>120</v>
      </c>
      <c r="D1595" t="s">
        <v>21</v>
      </c>
      <c r="E1595" t="s">
        <v>11</v>
      </c>
      <c r="F1595">
        <v>1</v>
      </c>
      <c r="G1595" t="s">
        <v>13</v>
      </c>
    </row>
    <row r="1596" spans="1:7" x14ac:dyDescent="0.25">
      <c r="A1596">
        <v>114</v>
      </c>
      <c r="B1596" t="s">
        <v>543</v>
      </c>
      <c r="C1596">
        <v>130</v>
      </c>
      <c r="D1596" t="s">
        <v>110</v>
      </c>
      <c r="E1596" t="s">
        <v>12</v>
      </c>
      <c r="F1596">
        <v>0.82399999999999995</v>
      </c>
      <c r="G1596" t="s">
        <v>13</v>
      </c>
    </row>
    <row r="1597" spans="1:7" x14ac:dyDescent="0.25">
      <c r="A1597">
        <v>114</v>
      </c>
      <c r="B1597" t="s">
        <v>543</v>
      </c>
      <c r="C1597">
        <v>140</v>
      </c>
      <c r="D1597" t="s">
        <v>389</v>
      </c>
      <c r="E1597" t="s">
        <v>11</v>
      </c>
      <c r="F1597">
        <v>1</v>
      </c>
      <c r="G1597" t="s">
        <v>15</v>
      </c>
    </row>
    <row r="1598" spans="1:7" x14ac:dyDescent="0.25">
      <c r="A1598">
        <v>115</v>
      </c>
      <c r="B1598" t="s">
        <v>546</v>
      </c>
      <c r="C1598">
        <v>10</v>
      </c>
      <c r="D1598" t="s">
        <v>187</v>
      </c>
      <c r="E1598" t="s">
        <v>14</v>
      </c>
      <c r="F1598">
        <v>1.397</v>
      </c>
      <c r="G1598" t="s">
        <v>15</v>
      </c>
    </row>
    <row r="1599" spans="1:7" x14ac:dyDescent="0.25">
      <c r="A1599">
        <v>115</v>
      </c>
      <c r="B1599" t="s">
        <v>546</v>
      </c>
      <c r="C1599">
        <v>20</v>
      </c>
      <c r="D1599" t="s">
        <v>547</v>
      </c>
      <c r="E1599" t="s">
        <v>11</v>
      </c>
      <c r="F1599">
        <v>1</v>
      </c>
      <c r="G1599" t="s">
        <v>15</v>
      </c>
    </row>
    <row r="1600" spans="1:7" x14ac:dyDescent="0.25">
      <c r="A1600">
        <v>115</v>
      </c>
      <c r="B1600" t="s">
        <v>546</v>
      </c>
      <c r="C1600">
        <v>30</v>
      </c>
      <c r="D1600" t="s">
        <v>548</v>
      </c>
      <c r="E1600" t="s">
        <v>11</v>
      </c>
      <c r="F1600">
        <v>1</v>
      </c>
      <c r="G1600" t="s">
        <v>15</v>
      </c>
    </row>
    <row r="1601" spans="1:7" x14ac:dyDescent="0.25">
      <c r="A1601">
        <v>115</v>
      </c>
      <c r="B1601" t="s">
        <v>546</v>
      </c>
      <c r="C1601">
        <v>40</v>
      </c>
      <c r="D1601" t="s">
        <v>266</v>
      </c>
      <c r="E1601" t="s">
        <v>14</v>
      </c>
      <c r="F1601">
        <v>1.397</v>
      </c>
      <c r="G1601" t="s">
        <v>15</v>
      </c>
    </row>
    <row r="1602" spans="1:7" x14ac:dyDescent="0.25">
      <c r="A1602">
        <v>115</v>
      </c>
      <c r="B1602" t="s">
        <v>546</v>
      </c>
      <c r="C1602">
        <v>50</v>
      </c>
      <c r="D1602" t="s">
        <v>107</v>
      </c>
      <c r="E1602" t="s">
        <v>108</v>
      </c>
      <c r="F1602">
        <v>0.78700000000000003</v>
      </c>
      <c r="G1602" t="s">
        <v>13</v>
      </c>
    </row>
    <row r="1603" spans="1:7" x14ac:dyDescent="0.25">
      <c r="A1603">
        <v>115</v>
      </c>
      <c r="B1603" t="s">
        <v>546</v>
      </c>
      <c r="C1603">
        <v>60</v>
      </c>
      <c r="D1603" t="s">
        <v>267</v>
      </c>
      <c r="E1603" t="s">
        <v>11</v>
      </c>
      <c r="F1603">
        <v>1</v>
      </c>
      <c r="G1603" t="s">
        <v>13</v>
      </c>
    </row>
    <row r="1604" spans="1:7" x14ac:dyDescent="0.25">
      <c r="A1604">
        <v>115</v>
      </c>
      <c r="B1604" t="s">
        <v>546</v>
      </c>
      <c r="C1604">
        <v>70</v>
      </c>
      <c r="D1604" t="s">
        <v>109</v>
      </c>
      <c r="E1604" t="s">
        <v>14</v>
      </c>
      <c r="F1604">
        <v>19.355</v>
      </c>
      <c r="G1604" t="s">
        <v>13</v>
      </c>
    </row>
    <row r="1605" spans="1:7" x14ac:dyDescent="0.25">
      <c r="A1605">
        <v>115</v>
      </c>
      <c r="B1605" t="s">
        <v>546</v>
      </c>
      <c r="C1605">
        <v>80</v>
      </c>
      <c r="D1605" t="s">
        <v>16</v>
      </c>
      <c r="E1605" t="s">
        <v>14</v>
      </c>
      <c r="F1605">
        <v>119.96899999999999</v>
      </c>
      <c r="G1605" t="s">
        <v>13</v>
      </c>
    </row>
    <row r="1606" spans="1:7" x14ac:dyDescent="0.25">
      <c r="A1606">
        <v>115</v>
      </c>
      <c r="B1606" t="s">
        <v>546</v>
      </c>
      <c r="C1606">
        <v>90</v>
      </c>
      <c r="D1606" t="s">
        <v>265</v>
      </c>
      <c r="E1606" t="s">
        <v>12</v>
      </c>
      <c r="F1606">
        <v>0.121</v>
      </c>
      <c r="G1606" t="s">
        <v>13</v>
      </c>
    </row>
    <row r="1607" spans="1:7" x14ac:dyDescent="0.25">
      <c r="A1607">
        <v>115</v>
      </c>
      <c r="B1607" t="s">
        <v>546</v>
      </c>
      <c r="C1607">
        <v>100</v>
      </c>
      <c r="D1607" t="s">
        <v>269</v>
      </c>
      <c r="E1607" t="s">
        <v>11</v>
      </c>
      <c r="F1607">
        <v>4</v>
      </c>
      <c r="G1607" t="s">
        <v>13</v>
      </c>
    </row>
    <row r="1608" spans="1:7" x14ac:dyDescent="0.25">
      <c r="A1608">
        <v>115</v>
      </c>
      <c r="B1608" t="s">
        <v>546</v>
      </c>
      <c r="C1608">
        <v>110</v>
      </c>
      <c r="D1608" t="s">
        <v>20</v>
      </c>
      <c r="E1608" t="s">
        <v>11</v>
      </c>
      <c r="F1608">
        <v>1</v>
      </c>
      <c r="G1608" t="s">
        <v>13</v>
      </c>
    </row>
    <row r="1609" spans="1:7" x14ac:dyDescent="0.25">
      <c r="A1609">
        <v>115</v>
      </c>
      <c r="B1609" t="s">
        <v>546</v>
      </c>
      <c r="C1609">
        <v>120</v>
      </c>
      <c r="D1609" t="s">
        <v>21</v>
      </c>
      <c r="E1609" t="s">
        <v>11</v>
      </c>
      <c r="F1609">
        <v>1</v>
      </c>
      <c r="G1609" t="s">
        <v>13</v>
      </c>
    </row>
    <row r="1610" spans="1:7" x14ac:dyDescent="0.25">
      <c r="A1610">
        <v>115</v>
      </c>
      <c r="B1610" t="s">
        <v>546</v>
      </c>
      <c r="C1610">
        <v>130</v>
      </c>
      <c r="D1610" t="s">
        <v>110</v>
      </c>
      <c r="E1610" t="s">
        <v>12</v>
      </c>
      <c r="F1610">
        <v>0.86499999999999999</v>
      </c>
      <c r="G1610" t="s">
        <v>13</v>
      </c>
    </row>
    <row r="1611" spans="1:7" x14ac:dyDescent="0.25">
      <c r="A1611">
        <v>115</v>
      </c>
      <c r="B1611" t="s">
        <v>546</v>
      </c>
      <c r="C1611">
        <v>140</v>
      </c>
      <c r="D1611" t="s">
        <v>393</v>
      </c>
      <c r="E1611" t="s">
        <v>11</v>
      </c>
      <c r="F1611">
        <v>1</v>
      </c>
      <c r="G1611" t="s">
        <v>15</v>
      </c>
    </row>
    <row r="1612" spans="1:7" x14ac:dyDescent="0.25">
      <c r="A1612">
        <v>116</v>
      </c>
      <c r="B1612" t="s">
        <v>549</v>
      </c>
      <c r="C1612">
        <v>10</v>
      </c>
      <c r="D1612" t="s">
        <v>187</v>
      </c>
      <c r="E1612" t="s">
        <v>14</v>
      </c>
      <c r="F1612">
        <v>1.4730000000000001</v>
      </c>
      <c r="G1612" t="s">
        <v>15</v>
      </c>
    </row>
    <row r="1613" spans="1:7" x14ac:dyDescent="0.25">
      <c r="A1613">
        <v>116</v>
      </c>
      <c r="B1613" t="s">
        <v>549</v>
      </c>
      <c r="C1613">
        <v>20</v>
      </c>
      <c r="D1613" t="s">
        <v>550</v>
      </c>
      <c r="E1613" t="s">
        <v>11</v>
      </c>
      <c r="F1613">
        <v>1</v>
      </c>
      <c r="G1613" t="s">
        <v>15</v>
      </c>
    </row>
    <row r="1614" spans="1:7" x14ac:dyDescent="0.25">
      <c r="A1614">
        <v>116</v>
      </c>
      <c r="B1614" t="s">
        <v>549</v>
      </c>
      <c r="C1614">
        <v>30</v>
      </c>
      <c r="D1614" t="s">
        <v>551</v>
      </c>
      <c r="E1614" t="s">
        <v>11</v>
      </c>
      <c r="F1614">
        <v>1</v>
      </c>
      <c r="G1614" t="s">
        <v>15</v>
      </c>
    </row>
    <row r="1615" spans="1:7" x14ac:dyDescent="0.25">
      <c r="A1615">
        <v>116</v>
      </c>
      <c r="B1615" t="s">
        <v>549</v>
      </c>
      <c r="C1615">
        <v>40</v>
      </c>
      <c r="D1615" t="s">
        <v>266</v>
      </c>
      <c r="E1615" t="s">
        <v>14</v>
      </c>
      <c r="F1615">
        <v>1.4730000000000001</v>
      </c>
      <c r="G1615" t="s">
        <v>15</v>
      </c>
    </row>
    <row r="1616" spans="1:7" x14ac:dyDescent="0.25">
      <c r="A1616">
        <v>116</v>
      </c>
      <c r="B1616" t="s">
        <v>549</v>
      </c>
      <c r="C1616">
        <v>50</v>
      </c>
      <c r="D1616" t="s">
        <v>107</v>
      </c>
      <c r="E1616" t="s">
        <v>108</v>
      </c>
      <c r="F1616">
        <v>0.83099999999999996</v>
      </c>
      <c r="G1616" t="s">
        <v>13</v>
      </c>
    </row>
    <row r="1617" spans="1:7" x14ac:dyDescent="0.25">
      <c r="A1617">
        <v>116</v>
      </c>
      <c r="B1617" t="s">
        <v>549</v>
      </c>
      <c r="C1617">
        <v>60</v>
      </c>
      <c r="D1617" t="s">
        <v>267</v>
      </c>
      <c r="E1617" t="s">
        <v>11</v>
      </c>
      <c r="F1617">
        <v>1</v>
      </c>
      <c r="G1617" t="s">
        <v>13</v>
      </c>
    </row>
    <row r="1618" spans="1:7" x14ac:dyDescent="0.25">
      <c r="A1618">
        <v>116</v>
      </c>
      <c r="B1618" t="s">
        <v>549</v>
      </c>
      <c r="C1618">
        <v>70</v>
      </c>
      <c r="D1618" t="s">
        <v>109</v>
      </c>
      <c r="E1618" t="s">
        <v>14</v>
      </c>
      <c r="F1618">
        <v>19.812000000000001</v>
      </c>
      <c r="G1618" t="s">
        <v>13</v>
      </c>
    </row>
    <row r="1619" spans="1:7" x14ac:dyDescent="0.25">
      <c r="A1619">
        <v>116</v>
      </c>
      <c r="B1619" t="s">
        <v>549</v>
      </c>
      <c r="C1619">
        <v>80</v>
      </c>
      <c r="D1619" t="s">
        <v>16</v>
      </c>
      <c r="E1619" t="s">
        <v>14</v>
      </c>
      <c r="F1619">
        <v>122.78100000000001</v>
      </c>
      <c r="G1619" t="s">
        <v>13</v>
      </c>
    </row>
    <row r="1620" spans="1:7" x14ac:dyDescent="0.25">
      <c r="A1620">
        <v>116</v>
      </c>
      <c r="B1620" t="s">
        <v>549</v>
      </c>
      <c r="C1620">
        <v>90</v>
      </c>
      <c r="D1620" t="s">
        <v>265</v>
      </c>
      <c r="E1620" t="s">
        <v>12</v>
      </c>
      <c r="F1620">
        <v>0.126</v>
      </c>
      <c r="G1620" t="s">
        <v>13</v>
      </c>
    </row>
    <row r="1621" spans="1:7" x14ac:dyDescent="0.25">
      <c r="A1621">
        <v>116</v>
      </c>
      <c r="B1621" t="s">
        <v>549</v>
      </c>
      <c r="C1621">
        <v>100</v>
      </c>
      <c r="D1621" t="s">
        <v>269</v>
      </c>
      <c r="E1621" t="s">
        <v>11</v>
      </c>
      <c r="F1621">
        <v>4</v>
      </c>
      <c r="G1621" t="s">
        <v>13</v>
      </c>
    </row>
    <row r="1622" spans="1:7" x14ac:dyDescent="0.25">
      <c r="A1622">
        <v>116</v>
      </c>
      <c r="B1622" t="s">
        <v>549</v>
      </c>
      <c r="C1622">
        <v>110</v>
      </c>
      <c r="D1622" t="s">
        <v>20</v>
      </c>
      <c r="E1622" t="s">
        <v>11</v>
      </c>
      <c r="F1622">
        <v>1</v>
      </c>
      <c r="G1622" t="s">
        <v>13</v>
      </c>
    </row>
    <row r="1623" spans="1:7" x14ac:dyDescent="0.25">
      <c r="A1623">
        <v>116</v>
      </c>
      <c r="B1623" t="s">
        <v>549</v>
      </c>
      <c r="C1623">
        <v>120</v>
      </c>
      <c r="D1623" t="s">
        <v>21</v>
      </c>
      <c r="E1623" t="s">
        <v>11</v>
      </c>
      <c r="F1623">
        <v>1</v>
      </c>
      <c r="G1623" t="s">
        <v>13</v>
      </c>
    </row>
    <row r="1624" spans="1:7" x14ac:dyDescent="0.25">
      <c r="A1624">
        <v>116</v>
      </c>
      <c r="B1624" t="s">
        <v>549</v>
      </c>
      <c r="C1624">
        <v>130</v>
      </c>
      <c r="D1624" t="s">
        <v>110</v>
      </c>
      <c r="E1624" t="s">
        <v>12</v>
      </c>
      <c r="F1624">
        <v>0.90500000000000003</v>
      </c>
      <c r="G1624" t="s">
        <v>13</v>
      </c>
    </row>
    <row r="1625" spans="1:7" x14ac:dyDescent="0.25">
      <c r="A1625">
        <v>116</v>
      </c>
      <c r="B1625" t="s">
        <v>549</v>
      </c>
      <c r="C1625">
        <v>140</v>
      </c>
      <c r="D1625" t="s">
        <v>397</v>
      </c>
      <c r="E1625" t="s">
        <v>11</v>
      </c>
      <c r="F1625">
        <v>1</v>
      </c>
      <c r="G1625" t="s">
        <v>15</v>
      </c>
    </row>
    <row r="1626" spans="1:7" x14ac:dyDescent="0.25">
      <c r="A1626">
        <v>117</v>
      </c>
      <c r="B1626" t="s">
        <v>552</v>
      </c>
      <c r="C1626">
        <v>10</v>
      </c>
      <c r="D1626" t="s">
        <v>187</v>
      </c>
      <c r="E1626" t="s">
        <v>14</v>
      </c>
      <c r="F1626">
        <v>1.6259999999999999</v>
      </c>
      <c r="G1626" t="s">
        <v>15</v>
      </c>
    </row>
    <row r="1627" spans="1:7" x14ac:dyDescent="0.25">
      <c r="A1627">
        <v>117</v>
      </c>
      <c r="B1627" t="s">
        <v>552</v>
      </c>
      <c r="C1627">
        <v>20</v>
      </c>
      <c r="D1627" t="s">
        <v>553</v>
      </c>
      <c r="E1627" t="s">
        <v>11</v>
      </c>
      <c r="F1627">
        <v>1</v>
      </c>
      <c r="G1627" t="s">
        <v>15</v>
      </c>
    </row>
    <row r="1628" spans="1:7" x14ac:dyDescent="0.25">
      <c r="A1628">
        <v>117</v>
      </c>
      <c r="B1628" t="s">
        <v>552</v>
      </c>
      <c r="C1628">
        <v>30</v>
      </c>
      <c r="D1628" t="s">
        <v>554</v>
      </c>
      <c r="E1628" t="s">
        <v>11</v>
      </c>
      <c r="F1628">
        <v>1</v>
      </c>
      <c r="G1628" t="s">
        <v>15</v>
      </c>
    </row>
    <row r="1629" spans="1:7" x14ac:dyDescent="0.25">
      <c r="A1629">
        <v>117</v>
      </c>
      <c r="B1629" t="s">
        <v>552</v>
      </c>
      <c r="C1629">
        <v>40</v>
      </c>
      <c r="D1629" t="s">
        <v>266</v>
      </c>
      <c r="E1629" t="s">
        <v>14</v>
      </c>
      <c r="F1629">
        <v>1.6259999999999999</v>
      </c>
      <c r="G1629" t="s">
        <v>15</v>
      </c>
    </row>
    <row r="1630" spans="1:7" x14ac:dyDescent="0.25">
      <c r="A1630">
        <v>117</v>
      </c>
      <c r="B1630" t="s">
        <v>552</v>
      </c>
      <c r="C1630">
        <v>50</v>
      </c>
      <c r="D1630" t="s">
        <v>107</v>
      </c>
      <c r="E1630" t="s">
        <v>108</v>
      </c>
      <c r="F1630">
        <v>0.91900000000000004</v>
      </c>
      <c r="G1630" t="s">
        <v>13</v>
      </c>
    </row>
    <row r="1631" spans="1:7" x14ac:dyDescent="0.25">
      <c r="A1631">
        <v>117</v>
      </c>
      <c r="B1631" t="s">
        <v>552</v>
      </c>
      <c r="C1631">
        <v>60</v>
      </c>
      <c r="D1631" t="s">
        <v>267</v>
      </c>
      <c r="E1631" t="s">
        <v>11</v>
      </c>
      <c r="F1631">
        <v>1</v>
      </c>
      <c r="G1631" t="s">
        <v>13</v>
      </c>
    </row>
    <row r="1632" spans="1:7" x14ac:dyDescent="0.25">
      <c r="A1632">
        <v>117</v>
      </c>
      <c r="B1632" t="s">
        <v>552</v>
      </c>
      <c r="C1632">
        <v>70</v>
      </c>
      <c r="D1632" t="s">
        <v>109</v>
      </c>
      <c r="E1632" t="s">
        <v>14</v>
      </c>
      <c r="F1632">
        <v>20.725999999999999</v>
      </c>
      <c r="G1632" t="s">
        <v>13</v>
      </c>
    </row>
    <row r="1633" spans="1:7" x14ac:dyDescent="0.25">
      <c r="A1633">
        <v>117</v>
      </c>
      <c r="B1633" t="s">
        <v>552</v>
      </c>
      <c r="C1633">
        <v>80</v>
      </c>
      <c r="D1633" t="s">
        <v>16</v>
      </c>
      <c r="E1633" t="s">
        <v>14</v>
      </c>
      <c r="F1633">
        <v>128.405</v>
      </c>
      <c r="G1633" t="s">
        <v>13</v>
      </c>
    </row>
    <row r="1634" spans="1:7" x14ac:dyDescent="0.25">
      <c r="A1634">
        <v>117</v>
      </c>
      <c r="B1634" t="s">
        <v>552</v>
      </c>
      <c r="C1634">
        <v>90</v>
      </c>
      <c r="D1634" t="s">
        <v>265</v>
      </c>
      <c r="E1634" t="s">
        <v>12</v>
      </c>
      <c r="F1634">
        <v>0.13700000000000001</v>
      </c>
      <c r="G1634" t="s">
        <v>13</v>
      </c>
    </row>
    <row r="1635" spans="1:7" x14ac:dyDescent="0.25">
      <c r="A1635">
        <v>117</v>
      </c>
      <c r="B1635" t="s">
        <v>552</v>
      </c>
      <c r="C1635">
        <v>100</v>
      </c>
      <c r="D1635" t="s">
        <v>269</v>
      </c>
      <c r="E1635" t="s">
        <v>11</v>
      </c>
      <c r="F1635">
        <v>4</v>
      </c>
      <c r="G1635" t="s">
        <v>13</v>
      </c>
    </row>
    <row r="1636" spans="1:7" x14ac:dyDescent="0.25">
      <c r="A1636">
        <v>117</v>
      </c>
      <c r="B1636" t="s">
        <v>552</v>
      </c>
      <c r="C1636">
        <v>110</v>
      </c>
      <c r="D1636" t="s">
        <v>20</v>
      </c>
      <c r="E1636" t="s">
        <v>11</v>
      </c>
      <c r="F1636">
        <v>1</v>
      </c>
      <c r="G1636" t="s">
        <v>13</v>
      </c>
    </row>
    <row r="1637" spans="1:7" x14ac:dyDescent="0.25">
      <c r="A1637">
        <v>117</v>
      </c>
      <c r="B1637" t="s">
        <v>552</v>
      </c>
      <c r="C1637">
        <v>120</v>
      </c>
      <c r="D1637" t="s">
        <v>21</v>
      </c>
      <c r="E1637" t="s">
        <v>11</v>
      </c>
      <c r="F1637">
        <v>1</v>
      </c>
      <c r="G1637" t="s">
        <v>13</v>
      </c>
    </row>
    <row r="1638" spans="1:7" x14ac:dyDescent="0.25">
      <c r="A1638">
        <v>117</v>
      </c>
      <c r="B1638" t="s">
        <v>552</v>
      </c>
      <c r="C1638">
        <v>130</v>
      </c>
      <c r="D1638" t="s">
        <v>110</v>
      </c>
      <c r="E1638" t="s">
        <v>12</v>
      </c>
      <c r="F1638">
        <v>0.98599999999999999</v>
      </c>
      <c r="G1638" t="s">
        <v>13</v>
      </c>
    </row>
    <row r="1639" spans="1:7" x14ac:dyDescent="0.25">
      <c r="A1639">
        <v>117</v>
      </c>
      <c r="B1639" t="s">
        <v>552</v>
      </c>
      <c r="C1639">
        <v>140</v>
      </c>
      <c r="D1639" t="s">
        <v>401</v>
      </c>
      <c r="E1639" t="s">
        <v>11</v>
      </c>
      <c r="F1639">
        <v>1</v>
      </c>
      <c r="G1639" t="s">
        <v>15</v>
      </c>
    </row>
    <row r="1640" spans="1:7" x14ac:dyDescent="0.25">
      <c r="A1640">
        <v>118</v>
      </c>
      <c r="B1640" t="s">
        <v>555</v>
      </c>
      <c r="C1640">
        <v>10</v>
      </c>
      <c r="D1640" t="s">
        <v>187</v>
      </c>
      <c r="E1640" t="s">
        <v>14</v>
      </c>
      <c r="F1640">
        <v>1.778</v>
      </c>
      <c r="G1640" t="s">
        <v>15</v>
      </c>
    </row>
    <row r="1641" spans="1:7" x14ac:dyDescent="0.25">
      <c r="A1641">
        <v>118</v>
      </c>
      <c r="B1641" t="s">
        <v>555</v>
      </c>
      <c r="C1641">
        <v>20</v>
      </c>
      <c r="D1641" t="s">
        <v>556</v>
      </c>
      <c r="E1641" t="s">
        <v>11</v>
      </c>
      <c r="F1641">
        <v>1</v>
      </c>
      <c r="G1641" t="s">
        <v>15</v>
      </c>
    </row>
    <row r="1642" spans="1:7" x14ac:dyDescent="0.25">
      <c r="A1642">
        <v>118</v>
      </c>
      <c r="B1642" t="s">
        <v>555</v>
      </c>
      <c r="C1642">
        <v>30</v>
      </c>
      <c r="D1642" t="s">
        <v>557</v>
      </c>
      <c r="E1642" t="s">
        <v>11</v>
      </c>
      <c r="F1642">
        <v>1</v>
      </c>
      <c r="G1642" t="s">
        <v>15</v>
      </c>
    </row>
    <row r="1643" spans="1:7" x14ac:dyDescent="0.25">
      <c r="A1643">
        <v>118</v>
      </c>
      <c r="B1643" t="s">
        <v>555</v>
      </c>
      <c r="C1643">
        <v>40</v>
      </c>
      <c r="D1643" t="s">
        <v>266</v>
      </c>
      <c r="E1643" t="s">
        <v>14</v>
      </c>
      <c r="F1643">
        <v>1.778</v>
      </c>
      <c r="G1643" t="s">
        <v>15</v>
      </c>
    </row>
    <row r="1644" spans="1:7" x14ac:dyDescent="0.25">
      <c r="A1644">
        <v>118</v>
      </c>
      <c r="B1644" t="s">
        <v>555</v>
      </c>
      <c r="C1644">
        <v>50</v>
      </c>
      <c r="D1644" t="s">
        <v>107</v>
      </c>
      <c r="E1644" t="s">
        <v>108</v>
      </c>
      <c r="F1644">
        <v>1.006</v>
      </c>
      <c r="G1644" t="s">
        <v>13</v>
      </c>
    </row>
    <row r="1645" spans="1:7" x14ac:dyDescent="0.25">
      <c r="A1645">
        <v>118</v>
      </c>
      <c r="B1645" t="s">
        <v>555</v>
      </c>
      <c r="C1645">
        <v>60</v>
      </c>
      <c r="D1645" t="s">
        <v>267</v>
      </c>
      <c r="E1645" t="s">
        <v>11</v>
      </c>
      <c r="F1645">
        <v>1</v>
      </c>
      <c r="G1645" t="s">
        <v>13</v>
      </c>
    </row>
    <row r="1646" spans="1:7" x14ac:dyDescent="0.25">
      <c r="A1646">
        <v>118</v>
      </c>
      <c r="B1646" t="s">
        <v>555</v>
      </c>
      <c r="C1646">
        <v>70</v>
      </c>
      <c r="D1646" t="s">
        <v>109</v>
      </c>
      <c r="E1646" t="s">
        <v>14</v>
      </c>
      <c r="F1646">
        <v>21.640999999999998</v>
      </c>
      <c r="G1646" t="s">
        <v>13</v>
      </c>
    </row>
    <row r="1647" spans="1:7" x14ac:dyDescent="0.25">
      <c r="A1647">
        <v>118</v>
      </c>
      <c r="B1647" t="s">
        <v>555</v>
      </c>
      <c r="C1647">
        <v>80</v>
      </c>
      <c r="D1647" t="s">
        <v>16</v>
      </c>
      <c r="E1647" t="s">
        <v>14</v>
      </c>
      <c r="F1647">
        <v>134.02799999999999</v>
      </c>
      <c r="G1647" t="s">
        <v>13</v>
      </c>
    </row>
    <row r="1648" spans="1:7" x14ac:dyDescent="0.25">
      <c r="A1648">
        <v>118</v>
      </c>
      <c r="B1648" t="s">
        <v>555</v>
      </c>
      <c r="C1648">
        <v>90</v>
      </c>
      <c r="D1648" t="s">
        <v>265</v>
      </c>
      <c r="E1648" t="s">
        <v>12</v>
      </c>
      <c r="F1648">
        <v>0.14799999999999999</v>
      </c>
      <c r="G1648" t="s">
        <v>13</v>
      </c>
    </row>
    <row r="1649" spans="1:7" x14ac:dyDescent="0.25">
      <c r="A1649">
        <v>118</v>
      </c>
      <c r="B1649" t="s">
        <v>555</v>
      </c>
      <c r="C1649">
        <v>100</v>
      </c>
      <c r="D1649" t="s">
        <v>269</v>
      </c>
      <c r="E1649" t="s">
        <v>11</v>
      </c>
      <c r="F1649">
        <v>4</v>
      </c>
      <c r="G1649" t="s">
        <v>13</v>
      </c>
    </row>
    <row r="1650" spans="1:7" x14ac:dyDescent="0.25">
      <c r="A1650">
        <v>118</v>
      </c>
      <c r="B1650" t="s">
        <v>555</v>
      </c>
      <c r="C1650">
        <v>110</v>
      </c>
      <c r="D1650" t="s">
        <v>20</v>
      </c>
      <c r="E1650" t="s">
        <v>11</v>
      </c>
      <c r="F1650">
        <v>1</v>
      </c>
      <c r="G1650" t="s">
        <v>13</v>
      </c>
    </row>
    <row r="1651" spans="1:7" x14ac:dyDescent="0.25">
      <c r="A1651">
        <v>118</v>
      </c>
      <c r="B1651" t="s">
        <v>555</v>
      </c>
      <c r="C1651">
        <v>120</v>
      </c>
      <c r="D1651" t="s">
        <v>21</v>
      </c>
      <c r="E1651" t="s">
        <v>11</v>
      </c>
      <c r="F1651">
        <v>1</v>
      </c>
      <c r="G1651" t="s">
        <v>13</v>
      </c>
    </row>
    <row r="1652" spans="1:7" x14ac:dyDescent="0.25">
      <c r="A1652">
        <v>118</v>
      </c>
      <c r="B1652" t="s">
        <v>555</v>
      </c>
      <c r="C1652">
        <v>130</v>
      </c>
      <c r="D1652" t="s">
        <v>110</v>
      </c>
      <c r="E1652" t="s">
        <v>12</v>
      </c>
      <c r="F1652">
        <v>1.0669999999999999</v>
      </c>
      <c r="G1652" t="s">
        <v>13</v>
      </c>
    </row>
    <row r="1653" spans="1:7" x14ac:dyDescent="0.25">
      <c r="A1653">
        <v>118</v>
      </c>
      <c r="B1653" t="s">
        <v>555</v>
      </c>
      <c r="C1653">
        <v>140</v>
      </c>
      <c r="D1653" t="s">
        <v>405</v>
      </c>
      <c r="E1653" t="s">
        <v>11</v>
      </c>
      <c r="F1653">
        <v>1</v>
      </c>
      <c r="G1653" t="s">
        <v>15</v>
      </c>
    </row>
    <row r="1654" spans="1:7" x14ac:dyDescent="0.25">
      <c r="A1654">
        <v>119</v>
      </c>
      <c r="B1654" t="s">
        <v>558</v>
      </c>
      <c r="C1654">
        <v>10</v>
      </c>
      <c r="D1654" t="s">
        <v>187</v>
      </c>
      <c r="E1654" t="s">
        <v>14</v>
      </c>
      <c r="F1654">
        <v>0.86399999999999999</v>
      </c>
      <c r="G1654" t="s">
        <v>15</v>
      </c>
    </row>
    <row r="1655" spans="1:7" x14ac:dyDescent="0.25">
      <c r="A1655">
        <v>119</v>
      </c>
      <c r="B1655" t="s">
        <v>558</v>
      </c>
      <c r="C1655">
        <v>20</v>
      </c>
      <c r="D1655" t="s">
        <v>559</v>
      </c>
      <c r="E1655" t="s">
        <v>11</v>
      </c>
      <c r="F1655">
        <v>1</v>
      </c>
      <c r="G1655" t="s">
        <v>15</v>
      </c>
    </row>
    <row r="1656" spans="1:7" x14ac:dyDescent="0.25">
      <c r="A1656">
        <v>119</v>
      </c>
      <c r="B1656" t="s">
        <v>558</v>
      </c>
      <c r="C1656">
        <v>30</v>
      </c>
      <c r="D1656" t="s">
        <v>560</v>
      </c>
      <c r="E1656" t="s">
        <v>11</v>
      </c>
      <c r="F1656">
        <v>1</v>
      </c>
      <c r="G1656" t="s">
        <v>15</v>
      </c>
    </row>
    <row r="1657" spans="1:7" x14ac:dyDescent="0.25">
      <c r="A1657">
        <v>119</v>
      </c>
      <c r="B1657" t="s">
        <v>558</v>
      </c>
      <c r="C1657">
        <v>40</v>
      </c>
      <c r="D1657" t="s">
        <v>266</v>
      </c>
      <c r="E1657" t="s">
        <v>14</v>
      </c>
      <c r="F1657">
        <v>0.86399999999999999</v>
      </c>
      <c r="G1657" t="s">
        <v>15</v>
      </c>
    </row>
    <row r="1658" spans="1:7" x14ac:dyDescent="0.25">
      <c r="A1658">
        <v>119</v>
      </c>
      <c r="B1658" t="s">
        <v>558</v>
      </c>
      <c r="C1658">
        <v>50</v>
      </c>
      <c r="D1658" t="s">
        <v>107</v>
      </c>
      <c r="E1658" t="s">
        <v>108</v>
      </c>
      <c r="F1658">
        <v>0.501</v>
      </c>
      <c r="G1658" t="s">
        <v>13</v>
      </c>
    </row>
    <row r="1659" spans="1:7" x14ac:dyDescent="0.25">
      <c r="A1659">
        <v>119</v>
      </c>
      <c r="B1659" t="s">
        <v>558</v>
      </c>
      <c r="C1659">
        <v>60</v>
      </c>
      <c r="D1659" t="s">
        <v>267</v>
      </c>
      <c r="E1659" t="s">
        <v>11</v>
      </c>
      <c r="F1659">
        <v>1</v>
      </c>
      <c r="G1659" t="s">
        <v>13</v>
      </c>
    </row>
    <row r="1660" spans="1:7" x14ac:dyDescent="0.25">
      <c r="A1660">
        <v>119</v>
      </c>
      <c r="B1660" t="s">
        <v>558</v>
      </c>
      <c r="C1660">
        <v>70</v>
      </c>
      <c r="D1660" t="s">
        <v>109</v>
      </c>
      <c r="E1660" t="s">
        <v>14</v>
      </c>
      <c r="F1660">
        <v>16.611999999999998</v>
      </c>
      <c r="G1660" t="s">
        <v>13</v>
      </c>
    </row>
    <row r="1661" spans="1:7" x14ac:dyDescent="0.25">
      <c r="A1661">
        <v>119</v>
      </c>
      <c r="B1661" t="s">
        <v>558</v>
      </c>
      <c r="C1661">
        <v>80</v>
      </c>
      <c r="D1661" t="s">
        <v>16</v>
      </c>
      <c r="E1661" t="s">
        <v>14</v>
      </c>
      <c r="F1661">
        <v>103.099</v>
      </c>
      <c r="G1661" t="s">
        <v>13</v>
      </c>
    </row>
    <row r="1662" spans="1:7" x14ac:dyDescent="0.25">
      <c r="A1662">
        <v>119</v>
      </c>
      <c r="B1662" t="s">
        <v>558</v>
      </c>
      <c r="C1662">
        <v>90</v>
      </c>
      <c r="D1662" t="s">
        <v>265</v>
      </c>
      <c r="E1662" t="s">
        <v>12</v>
      </c>
      <c r="F1662">
        <v>8.4000000000000005E-2</v>
      </c>
      <c r="G1662" t="s">
        <v>13</v>
      </c>
    </row>
    <row r="1663" spans="1:7" x14ac:dyDescent="0.25">
      <c r="A1663">
        <v>119</v>
      </c>
      <c r="B1663" t="s">
        <v>558</v>
      </c>
      <c r="C1663">
        <v>100</v>
      </c>
      <c r="D1663" t="s">
        <v>269</v>
      </c>
      <c r="E1663" t="s">
        <v>11</v>
      </c>
      <c r="F1663">
        <v>4</v>
      </c>
      <c r="G1663" t="s">
        <v>13</v>
      </c>
    </row>
    <row r="1664" spans="1:7" x14ac:dyDescent="0.25">
      <c r="A1664">
        <v>119</v>
      </c>
      <c r="B1664" t="s">
        <v>558</v>
      </c>
      <c r="C1664">
        <v>110</v>
      </c>
      <c r="D1664" t="s">
        <v>20</v>
      </c>
      <c r="E1664" t="s">
        <v>11</v>
      </c>
      <c r="F1664">
        <v>1</v>
      </c>
      <c r="G1664" t="s">
        <v>13</v>
      </c>
    </row>
    <row r="1665" spans="1:7" x14ac:dyDescent="0.25">
      <c r="A1665">
        <v>119</v>
      </c>
      <c r="B1665" t="s">
        <v>558</v>
      </c>
      <c r="C1665">
        <v>120</v>
      </c>
      <c r="D1665" t="s">
        <v>21</v>
      </c>
      <c r="E1665" t="s">
        <v>11</v>
      </c>
      <c r="F1665">
        <v>1</v>
      </c>
      <c r="G1665" t="s">
        <v>13</v>
      </c>
    </row>
    <row r="1666" spans="1:7" x14ac:dyDescent="0.25">
      <c r="A1666">
        <v>119</v>
      </c>
      <c r="B1666" t="s">
        <v>558</v>
      </c>
      <c r="C1666">
        <v>130</v>
      </c>
      <c r="D1666" t="s">
        <v>110</v>
      </c>
      <c r="E1666" t="s">
        <v>12</v>
      </c>
      <c r="F1666">
        <v>0.58099999999999996</v>
      </c>
      <c r="G1666" t="s">
        <v>13</v>
      </c>
    </row>
    <row r="1667" spans="1:7" x14ac:dyDescent="0.25">
      <c r="A1667">
        <v>119</v>
      </c>
      <c r="B1667" t="s">
        <v>558</v>
      </c>
      <c r="C1667">
        <v>140</v>
      </c>
      <c r="D1667" t="s">
        <v>409</v>
      </c>
      <c r="E1667" t="s">
        <v>11</v>
      </c>
      <c r="F1667">
        <v>1</v>
      </c>
      <c r="G1667" t="s">
        <v>15</v>
      </c>
    </row>
    <row r="1668" spans="1:7" x14ac:dyDescent="0.25">
      <c r="A1668">
        <v>120</v>
      </c>
      <c r="B1668" t="s">
        <v>561</v>
      </c>
      <c r="C1668">
        <v>10</v>
      </c>
      <c r="D1668" t="s">
        <v>187</v>
      </c>
      <c r="E1668" t="s">
        <v>14</v>
      </c>
      <c r="F1668">
        <v>1.016</v>
      </c>
      <c r="G1668" t="s">
        <v>15</v>
      </c>
    </row>
    <row r="1669" spans="1:7" x14ac:dyDescent="0.25">
      <c r="A1669">
        <v>120</v>
      </c>
      <c r="B1669" t="s">
        <v>561</v>
      </c>
      <c r="C1669">
        <v>20</v>
      </c>
      <c r="D1669" t="s">
        <v>562</v>
      </c>
      <c r="E1669" t="s">
        <v>11</v>
      </c>
      <c r="F1669">
        <v>1</v>
      </c>
      <c r="G1669" t="s">
        <v>15</v>
      </c>
    </row>
    <row r="1670" spans="1:7" x14ac:dyDescent="0.25">
      <c r="A1670">
        <v>120</v>
      </c>
      <c r="B1670" t="s">
        <v>561</v>
      </c>
      <c r="C1670">
        <v>30</v>
      </c>
      <c r="D1670" t="s">
        <v>563</v>
      </c>
      <c r="E1670" t="s">
        <v>11</v>
      </c>
      <c r="F1670">
        <v>1</v>
      </c>
      <c r="G1670" t="s">
        <v>15</v>
      </c>
    </row>
    <row r="1671" spans="1:7" x14ac:dyDescent="0.25">
      <c r="A1671">
        <v>120</v>
      </c>
      <c r="B1671" t="s">
        <v>561</v>
      </c>
      <c r="C1671">
        <v>40</v>
      </c>
      <c r="D1671" t="s">
        <v>266</v>
      </c>
      <c r="E1671" t="s">
        <v>14</v>
      </c>
      <c r="F1671">
        <v>1.016</v>
      </c>
      <c r="G1671" t="s">
        <v>15</v>
      </c>
    </row>
    <row r="1672" spans="1:7" x14ac:dyDescent="0.25">
      <c r="A1672">
        <v>120</v>
      </c>
      <c r="B1672" t="s">
        <v>561</v>
      </c>
      <c r="C1672">
        <v>50</v>
      </c>
      <c r="D1672" t="s">
        <v>107</v>
      </c>
      <c r="E1672" t="s">
        <v>108</v>
      </c>
      <c r="F1672">
        <v>0.59199999999999997</v>
      </c>
      <c r="G1672" t="s">
        <v>13</v>
      </c>
    </row>
    <row r="1673" spans="1:7" x14ac:dyDescent="0.25">
      <c r="A1673">
        <v>120</v>
      </c>
      <c r="B1673" t="s">
        <v>561</v>
      </c>
      <c r="C1673">
        <v>60</v>
      </c>
      <c r="D1673" t="s">
        <v>267</v>
      </c>
      <c r="E1673" t="s">
        <v>11</v>
      </c>
      <c r="F1673">
        <v>1</v>
      </c>
      <c r="G1673" t="s">
        <v>13</v>
      </c>
    </row>
    <row r="1674" spans="1:7" x14ac:dyDescent="0.25">
      <c r="A1674">
        <v>120</v>
      </c>
      <c r="B1674" t="s">
        <v>561</v>
      </c>
      <c r="C1674">
        <v>70</v>
      </c>
      <c r="D1674" t="s">
        <v>109</v>
      </c>
      <c r="E1674" t="s">
        <v>14</v>
      </c>
      <c r="F1674">
        <v>17.526</v>
      </c>
      <c r="G1674" t="s">
        <v>13</v>
      </c>
    </row>
    <row r="1675" spans="1:7" x14ac:dyDescent="0.25">
      <c r="A1675">
        <v>120</v>
      </c>
      <c r="B1675" t="s">
        <v>561</v>
      </c>
      <c r="C1675">
        <v>80</v>
      </c>
      <c r="D1675" t="s">
        <v>16</v>
      </c>
      <c r="E1675" t="s">
        <v>14</v>
      </c>
      <c r="F1675">
        <v>108.72199999999999</v>
      </c>
      <c r="G1675" t="s">
        <v>13</v>
      </c>
    </row>
    <row r="1676" spans="1:7" x14ac:dyDescent="0.25">
      <c r="A1676">
        <v>120</v>
      </c>
      <c r="B1676" t="s">
        <v>561</v>
      </c>
      <c r="C1676">
        <v>90</v>
      </c>
      <c r="D1676" t="s">
        <v>265</v>
      </c>
      <c r="E1676" t="s">
        <v>12</v>
      </c>
      <c r="F1676">
        <v>9.4E-2</v>
      </c>
      <c r="G1676" t="s">
        <v>13</v>
      </c>
    </row>
    <row r="1677" spans="1:7" x14ac:dyDescent="0.25">
      <c r="A1677">
        <v>120</v>
      </c>
      <c r="B1677" t="s">
        <v>561</v>
      </c>
      <c r="C1677">
        <v>100</v>
      </c>
      <c r="D1677" t="s">
        <v>269</v>
      </c>
      <c r="E1677" t="s">
        <v>11</v>
      </c>
      <c r="F1677">
        <v>4</v>
      </c>
      <c r="G1677" t="s">
        <v>13</v>
      </c>
    </row>
    <row r="1678" spans="1:7" x14ac:dyDescent="0.25">
      <c r="A1678">
        <v>120</v>
      </c>
      <c r="B1678" t="s">
        <v>561</v>
      </c>
      <c r="C1678">
        <v>110</v>
      </c>
      <c r="D1678" t="s">
        <v>20</v>
      </c>
      <c r="E1678" t="s">
        <v>11</v>
      </c>
      <c r="F1678">
        <v>1</v>
      </c>
      <c r="G1678" t="s">
        <v>13</v>
      </c>
    </row>
    <row r="1679" spans="1:7" x14ac:dyDescent="0.25">
      <c r="A1679">
        <v>120</v>
      </c>
      <c r="B1679" t="s">
        <v>561</v>
      </c>
      <c r="C1679">
        <v>120</v>
      </c>
      <c r="D1679" t="s">
        <v>21</v>
      </c>
      <c r="E1679" t="s">
        <v>11</v>
      </c>
      <c r="F1679">
        <v>1</v>
      </c>
      <c r="G1679" t="s">
        <v>13</v>
      </c>
    </row>
    <row r="1680" spans="1:7" x14ac:dyDescent="0.25">
      <c r="A1680">
        <v>120</v>
      </c>
      <c r="B1680" t="s">
        <v>561</v>
      </c>
      <c r="C1680">
        <v>130</v>
      </c>
      <c r="D1680" t="s">
        <v>110</v>
      </c>
      <c r="E1680" t="s">
        <v>12</v>
      </c>
      <c r="F1680">
        <v>0.66200000000000003</v>
      </c>
      <c r="G1680" t="s">
        <v>13</v>
      </c>
    </row>
    <row r="1681" spans="1:7" x14ac:dyDescent="0.25">
      <c r="A1681">
        <v>120</v>
      </c>
      <c r="B1681" t="s">
        <v>561</v>
      </c>
      <c r="C1681">
        <v>140</v>
      </c>
      <c r="D1681" t="s">
        <v>413</v>
      </c>
      <c r="E1681" t="s">
        <v>11</v>
      </c>
      <c r="F1681">
        <v>1</v>
      </c>
      <c r="G1681" t="s">
        <v>15</v>
      </c>
    </row>
    <row r="1682" spans="1:7" x14ac:dyDescent="0.25">
      <c r="A1682">
        <v>121</v>
      </c>
      <c r="B1682" t="s">
        <v>564</v>
      </c>
      <c r="C1682">
        <v>10</v>
      </c>
      <c r="D1682" t="s">
        <v>187</v>
      </c>
      <c r="E1682" t="s">
        <v>14</v>
      </c>
      <c r="F1682">
        <v>1.1679999999999999</v>
      </c>
      <c r="G1682" t="s">
        <v>15</v>
      </c>
    </row>
    <row r="1683" spans="1:7" x14ac:dyDescent="0.25">
      <c r="A1683">
        <v>121</v>
      </c>
      <c r="B1683" t="s">
        <v>564</v>
      </c>
      <c r="C1683">
        <v>20</v>
      </c>
      <c r="D1683" t="s">
        <v>565</v>
      </c>
      <c r="E1683" t="s">
        <v>11</v>
      </c>
      <c r="F1683">
        <v>1</v>
      </c>
      <c r="G1683" t="s">
        <v>15</v>
      </c>
    </row>
    <row r="1684" spans="1:7" x14ac:dyDescent="0.25">
      <c r="A1684">
        <v>121</v>
      </c>
      <c r="B1684" t="s">
        <v>564</v>
      </c>
      <c r="C1684">
        <v>30</v>
      </c>
      <c r="D1684" t="s">
        <v>566</v>
      </c>
      <c r="E1684" t="s">
        <v>11</v>
      </c>
      <c r="F1684">
        <v>1</v>
      </c>
      <c r="G1684" t="s">
        <v>15</v>
      </c>
    </row>
    <row r="1685" spans="1:7" x14ac:dyDescent="0.25">
      <c r="A1685">
        <v>121</v>
      </c>
      <c r="B1685" t="s">
        <v>564</v>
      </c>
      <c r="C1685">
        <v>40</v>
      </c>
      <c r="D1685" t="s">
        <v>266</v>
      </c>
      <c r="E1685" t="s">
        <v>14</v>
      </c>
      <c r="F1685">
        <v>1.1679999999999999</v>
      </c>
      <c r="G1685" t="s">
        <v>15</v>
      </c>
    </row>
    <row r="1686" spans="1:7" x14ac:dyDescent="0.25">
      <c r="A1686">
        <v>121</v>
      </c>
      <c r="B1686" t="s">
        <v>564</v>
      </c>
      <c r="C1686">
        <v>50</v>
      </c>
      <c r="D1686" t="s">
        <v>107</v>
      </c>
      <c r="E1686" t="s">
        <v>108</v>
      </c>
      <c r="F1686">
        <v>0.68300000000000005</v>
      </c>
      <c r="G1686" t="s">
        <v>13</v>
      </c>
    </row>
    <row r="1687" spans="1:7" x14ac:dyDescent="0.25">
      <c r="A1687">
        <v>121</v>
      </c>
      <c r="B1687" t="s">
        <v>564</v>
      </c>
      <c r="C1687">
        <v>60</v>
      </c>
      <c r="D1687" t="s">
        <v>267</v>
      </c>
      <c r="E1687" t="s">
        <v>11</v>
      </c>
      <c r="F1687">
        <v>1</v>
      </c>
      <c r="G1687" t="s">
        <v>13</v>
      </c>
    </row>
    <row r="1688" spans="1:7" x14ac:dyDescent="0.25">
      <c r="A1688">
        <v>121</v>
      </c>
      <c r="B1688" t="s">
        <v>564</v>
      </c>
      <c r="C1688">
        <v>70</v>
      </c>
      <c r="D1688" t="s">
        <v>109</v>
      </c>
      <c r="E1688" t="s">
        <v>14</v>
      </c>
      <c r="F1688">
        <v>18.440000000000001</v>
      </c>
      <c r="G1688" t="s">
        <v>13</v>
      </c>
    </row>
    <row r="1689" spans="1:7" x14ac:dyDescent="0.25">
      <c r="A1689">
        <v>121</v>
      </c>
      <c r="B1689" t="s">
        <v>564</v>
      </c>
      <c r="C1689">
        <v>80</v>
      </c>
      <c r="D1689" t="s">
        <v>16</v>
      </c>
      <c r="E1689" t="s">
        <v>14</v>
      </c>
      <c r="F1689">
        <v>114.346</v>
      </c>
      <c r="G1689" t="s">
        <v>13</v>
      </c>
    </row>
    <row r="1690" spans="1:7" x14ac:dyDescent="0.25">
      <c r="A1690">
        <v>121</v>
      </c>
      <c r="B1690" t="s">
        <v>564</v>
      </c>
      <c r="C1690">
        <v>90</v>
      </c>
      <c r="D1690" t="s">
        <v>265</v>
      </c>
      <c r="E1690" t="s">
        <v>12</v>
      </c>
      <c r="F1690">
        <v>0.105</v>
      </c>
      <c r="G1690" t="s">
        <v>13</v>
      </c>
    </row>
    <row r="1691" spans="1:7" x14ac:dyDescent="0.25">
      <c r="A1691">
        <v>121</v>
      </c>
      <c r="B1691" t="s">
        <v>564</v>
      </c>
      <c r="C1691">
        <v>100</v>
      </c>
      <c r="D1691" t="s">
        <v>269</v>
      </c>
      <c r="E1691" t="s">
        <v>11</v>
      </c>
      <c r="F1691">
        <v>4</v>
      </c>
      <c r="G1691" t="s">
        <v>13</v>
      </c>
    </row>
    <row r="1692" spans="1:7" x14ac:dyDescent="0.25">
      <c r="A1692">
        <v>121</v>
      </c>
      <c r="B1692" t="s">
        <v>564</v>
      </c>
      <c r="C1692">
        <v>110</v>
      </c>
      <c r="D1692" t="s">
        <v>20</v>
      </c>
      <c r="E1692" t="s">
        <v>11</v>
      </c>
      <c r="F1692">
        <v>1</v>
      </c>
      <c r="G1692" t="s">
        <v>13</v>
      </c>
    </row>
    <row r="1693" spans="1:7" x14ac:dyDescent="0.25">
      <c r="A1693">
        <v>121</v>
      </c>
      <c r="B1693" t="s">
        <v>564</v>
      </c>
      <c r="C1693">
        <v>120</v>
      </c>
      <c r="D1693" t="s">
        <v>21</v>
      </c>
      <c r="E1693" t="s">
        <v>11</v>
      </c>
      <c r="F1693">
        <v>1</v>
      </c>
      <c r="G1693" t="s">
        <v>13</v>
      </c>
    </row>
    <row r="1694" spans="1:7" x14ac:dyDescent="0.25">
      <c r="A1694">
        <v>121</v>
      </c>
      <c r="B1694" t="s">
        <v>564</v>
      </c>
      <c r="C1694">
        <v>130</v>
      </c>
      <c r="D1694" t="s">
        <v>110</v>
      </c>
      <c r="E1694" t="s">
        <v>12</v>
      </c>
      <c r="F1694">
        <v>0.74299999999999999</v>
      </c>
      <c r="G1694" t="s">
        <v>13</v>
      </c>
    </row>
    <row r="1695" spans="1:7" x14ac:dyDescent="0.25">
      <c r="A1695">
        <v>121</v>
      </c>
      <c r="B1695" t="s">
        <v>564</v>
      </c>
      <c r="C1695">
        <v>140</v>
      </c>
      <c r="D1695" t="s">
        <v>417</v>
      </c>
      <c r="E1695" t="s">
        <v>11</v>
      </c>
      <c r="F1695">
        <v>1</v>
      </c>
      <c r="G1695" t="s">
        <v>15</v>
      </c>
    </row>
    <row r="1696" spans="1:7" x14ac:dyDescent="0.25">
      <c r="A1696">
        <v>122</v>
      </c>
      <c r="B1696" t="s">
        <v>567</v>
      </c>
      <c r="C1696">
        <v>10</v>
      </c>
      <c r="D1696" t="s">
        <v>187</v>
      </c>
      <c r="E1696" t="s">
        <v>14</v>
      </c>
      <c r="F1696">
        <v>1.321</v>
      </c>
      <c r="G1696" t="s">
        <v>15</v>
      </c>
    </row>
    <row r="1697" spans="1:7" x14ac:dyDescent="0.25">
      <c r="A1697">
        <v>122</v>
      </c>
      <c r="B1697" t="s">
        <v>567</v>
      </c>
      <c r="C1697">
        <v>20</v>
      </c>
      <c r="D1697" t="s">
        <v>568</v>
      </c>
      <c r="E1697" t="s">
        <v>11</v>
      </c>
      <c r="F1697">
        <v>1</v>
      </c>
      <c r="G1697" t="s">
        <v>15</v>
      </c>
    </row>
    <row r="1698" spans="1:7" x14ac:dyDescent="0.25">
      <c r="A1698">
        <v>122</v>
      </c>
      <c r="B1698" t="s">
        <v>567</v>
      </c>
      <c r="C1698">
        <v>30</v>
      </c>
      <c r="D1698" t="s">
        <v>569</v>
      </c>
      <c r="E1698" t="s">
        <v>11</v>
      </c>
      <c r="F1698">
        <v>1</v>
      </c>
      <c r="G1698" t="s">
        <v>15</v>
      </c>
    </row>
    <row r="1699" spans="1:7" x14ac:dyDescent="0.25">
      <c r="A1699">
        <v>122</v>
      </c>
      <c r="B1699" t="s">
        <v>567</v>
      </c>
      <c r="C1699">
        <v>40</v>
      </c>
      <c r="D1699" t="s">
        <v>266</v>
      </c>
      <c r="E1699" t="s">
        <v>14</v>
      </c>
      <c r="F1699">
        <v>1.321</v>
      </c>
      <c r="G1699" t="s">
        <v>15</v>
      </c>
    </row>
    <row r="1700" spans="1:7" x14ac:dyDescent="0.25">
      <c r="A1700">
        <v>122</v>
      </c>
      <c r="B1700" t="s">
        <v>567</v>
      </c>
      <c r="C1700">
        <v>50</v>
      </c>
      <c r="D1700" t="s">
        <v>107</v>
      </c>
      <c r="E1700" t="s">
        <v>108</v>
      </c>
      <c r="F1700">
        <v>0.77500000000000002</v>
      </c>
      <c r="G1700" t="s">
        <v>13</v>
      </c>
    </row>
    <row r="1701" spans="1:7" x14ac:dyDescent="0.25">
      <c r="A1701">
        <v>122</v>
      </c>
      <c r="B1701" t="s">
        <v>567</v>
      </c>
      <c r="C1701">
        <v>60</v>
      </c>
      <c r="D1701" t="s">
        <v>267</v>
      </c>
      <c r="E1701" t="s">
        <v>11</v>
      </c>
      <c r="F1701">
        <v>1</v>
      </c>
      <c r="G1701" t="s">
        <v>13</v>
      </c>
    </row>
    <row r="1702" spans="1:7" x14ac:dyDescent="0.25">
      <c r="A1702">
        <v>122</v>
      </c>
      <c r="B1702" t="s">
        <v>567</v>
      </c>
      <c r="C1702">
        <v>70</v>
      </c>
      <c r="D1702" t="s">
        <v>109</v>
      </c>
      <c r="E1702" t="s">
        <v>14</v>
      </c>
      <c r="F1702">
        <v>19.355</v>
      </c>
      <c r="G1702" t="s">
        <v>13</v>
      </c>
    </row>
    <row r="1703" spans="1:7" x14ac:dyDescent="0.25">
      <c r="A1703">
        <v>122</v>
      </c>
      <c r="B1703" t="s">
        <v>567</v>
      </c>
      <c r="C1703">
        <v>80</v>
      </c>
      <c r="D1703" t="s">
        <v>16</v>
      </c>
      <c r="E1703" t="s">
        <v>14</v>
      </c>
      <c r="F1703">
        <v>119.96899999999999</v>
      </c>
      <c r="G1703" t="s">
        <v>13</v>
      </c>
    </row>
    <row r="1704" spans="1:7" x14ac:dyDescent="0.25">
      <c r="A1704">
        <v>122</v>
      </c>
      <c r="B1704" t="s">
        <v>567</v>
      </c>
      <c r="C1704">
        <v>90</v>
      </c>
      <c r="D1704" t="s">
        <v>265</v>
      </c>
      <c r="E1704" t="s">
        <v>12</v>
      </c>
      <c r="F1704">
        <v>0.11600000000000001</v>
      </c>
      <c r="G1704" t="s">
        <v>13</v>
      </c>
    </row>
    <row r="1705" spans="1:7" x14ac:dyDescent="0.25">
      <c r="A1705">
        <v>122</v>
      </c>
      <c r="B1705" t="s">
        <v>567</v>
      </c>
      <c r="C1705">
        <v>100</v>
      </c>
      <c r="D1705" t="s">
        <v>269</v>
      </c>
      <c r="E1705" t="s">
        <v>11</v>
      </c>
      <c r="F1705">
        <v>4</v>
      </c>
      <c r="G1705" t="s">
        <v>13</v>
      </c>
    </row>
    <row r="1706" spans="1:7" x14ac:dyDescent="0.25">
      <c r="A1706">
        <v>122</v>
      </c>
      <c r="B1706" t="s">
        <v>567</v>
      </c>
      <c r="C1706">
        <v>110</v>
      </c>
      <c r="D1706" t="s">
        <v>20</v>
      </c>
      <c r="E1706" t="s">
        <v>11</v>
      </c>
      <c r="F1706">
        <v>1</v>
      </c>
      <c r="G1706" t="s">
        <v>13</v>
      </c>
    </row>
    <row r="1707" spans="1:7" x14ac:dyDescent="0.25">
      <c r="A1707">
        <v>122</v>
      </c>
      <c r="B1707" t="s">
        <v>567</v>
      </c>
      <c r="C1707">
        <v>120</v>
      </c>
      <c r="D1707" t="s">
        <v>21</v>
      </c>
      <c r="E1707" t="s">
        <v>11</v>
      </c>
      <c r="F1707">
        <v>1</v>
      </c>
      <c r="G1707" t="s">
        <v>13</v>
      </c>
    </row>
    <row r="1708" spans="1:7" x14ac:dyDescent="0.25">
      <c r="A1708">
        <v>122</v>
      </c>
      <c r="B1708" t="s">
        <v>567</v>
      </c>
      <c r="C1708">
        <v>130</v>
      </c>
      <c r="D1708" t="s">
        <v>110</v>
      </c>
      <c r="E1708" t="s">
        <v>12</v>
      </c>
      <c r="F1708">
        <v>0.82399999999999995</v>
      </c>
      <c r="G1708" t="s">
        <v>13</v>
      </c>
    </row>
    <row r="1709" spans="1:7" x14ac:dyDescent="0.25">
      <c r="A1709">
        <v>122</v>
      </c>
      <c r="B1709" t="s">
        <v>567</v>
      </c>
      <c r="C1709">
        <v>140</v>
      </c>
      <c r="D1709" t="s">
        <v>421</v>
      </c>
      <c r="E1709" t="s">
        <v>11</v>
      </c>
      <c r="F1709">
        <v>1</v>
      </c>
      <c r="G1709" t="s">
        <v>15</v>
      </c>
    </row>
    <row r="1710" spans="1:7" x14ac:dyDescent="0.25">
      <c r="A1710">
        <v>123</v>
      </c>
      <c r="B1710" t="s">
        <v>570</v>
      </c>
      <c r="C1710">
        <v>10</v>
      </c>
      <c r="D1710" t="s">
        <v>187</v>
      </c>
      <c r="E1710" t="s">
        <v>14</v>
      </c>
      <c r="F1710">
        <v>1.397</v>
      </c>
      <c r="G1710" t="s">
        <v>15</v>
      </c>
    </row>
    <row r="1711" spans="1:7" x14ac:dyDescent="0.25">
      <c r="A1711">
        <v>123</v>
      </c>
      <c r="B1711" t="s">
        <v>570</v>
      </c>
      <c r="C1711">
        <v>20</v>
      </c>
      <c r="D1711" t="s">
        <v>571</v>
      </c>
      <c r="E1711" t="s">
        <v>11</v>
      </c>
      <c r="F1711">
        <v>1</v>
      </c>
      <c r="G1711" t="s">
        <v>15</v>
      </c>
    </row>
    <row r="1712" spans="1:7" x14ac:dyDescent="0.25">
      <c r="A1712">
        <v>123</v>
      </c>
      <c r="B1712" t="s">
        <v>570</v>
      </c>
      <c r="C1712">
        <v>30</v>
      </c>
      <c r="D1712" t="s">
        <v>572</v>
      </c>
      <c r="E1712" t="s">
        <v>11</v>
      </c>
      <c r="F1712">
        <v>1</v>
      </c>
      <c r="G1712" t="s">
        <v>15</v>
      </c>
    </row>
    <row r="1713" spans="1:7" x14ac:dyDescent="0.25">
      <c r="A1713">
        <v>123</v>
      </c>
      <c r="B1713" t="s">
        <v>570</v>
      </c>
      <c r="C1713">
        <v>40</v>
      </c>
      <c r="D1713" t="s">
        <v>266</v>
      </c>
      <c r="E1713" t="s">
        <v>14</v>
      </c>
      <c r="F1713">
        <v>1.397</v>
      </c>
      <c r="G1713" t="s">
        <v>15</v>
      </c>
    </row>
    <row r="1714" spans="1:7" x14ac:dyDescent="0.25">
      <c r="A1714">
        <v>123</v>
      </c>
      <c r="B1714" t="s">
        <v>570</v>
      </c>
      <c r="C1714">
        <v>50</v>
      </c>
      <c r="D1714" t="s">
        <v>107</v>
      </c>
      <c r="E1714" t="s">
        <v>108</v>
      </c>
      <c r="F1714">
        <v>0.82</v>
      </c>
      <c r="G1714" t="s">
        <v>13</v>
      </c>
    </row>
    <row r="1715" spans="1:7" x14ac:dyDescent="0.25">
      <c r="A1715">
        <v>123</v>
      </c>
      <c r="B1715" t="s">
        <v>570</v>
      </c>
      <c r="C1715">
        <v>60</v>
      </c>
      <c r="D1715" t="s">
        <v>267</v>
      </c>
      <c r="E1715" t="s">
        <v>11</v>
      </c>
      <c r="F1715">
        <v>1</v>
      </c>
      <c r="G1715" t="s">
        <v>13</v>
      </c>
    </row>
    <row r="1716" spans="1:7" x14ac:dyDescent="0.25">
      <c r="A1716">
        <v>123</v>
      </c>
      <c r="B1716" t="s">
        <v>570</v>
      </c>
      <c r="C1716">
        <v>70</v>
      </c>
      <c r="D1716" t="s">
        <v>109</v>
      </c>
      <c r="E1716" t="s">
        <v>14</v>
      </c>
      <c r="F1716">
        <v>19.812000000000001</v>
      </c>
      <c r="G1716" t="s">
        <v>13</v>
      </c>
    </row>
    <row r="1717" spans="1:7" x14ac:dyDescent="0.25">
      <c r="A1717">
        <v>123</v>
      </c>
      <c r="B1717" t="s">
        <v>570</v>
      </c>
      <c r="C1717">
        <v>80</v>
      </c>
      <c r="D1717" t="s">
        <v>16</v>
      </c>
      <c r="E1717" t="s">
        <v>14</v>
      </c>
      <c r="F1717">
        <v>122.78100000000001</v>
      </c>
      <c r="G1717" t="s">
        <v>13</v>
      </c>
    </row>
    <row r="1718" spans="1:7" x14ac:dyDescent="0.25">
      <c r="A1718">
        <v>123</v>
      </c>
      <c r="B1718" t="s">
        <v>570</v>
      </c>
      <c r="C1718">
        <v>90</v>
      </c>
      <c r="D1718" t="s">
        <v>265</v>
      </c>
      <c r="E1718" t="s">
        <v>12</v>
      </c>
      <c r="F1718">
        <v>0.121</v>
      </c>
      <c r="G1718" t="s">
        <v>13</v>
      </c>
    </row>
    <row r="1719" spans="1:7" x14ac:dyDescent="0.25">
      <c r="A1719">
        <v>123</v>
      </c>
      <c r="B1719" t="s">
        <v>570</v>
      </c>
      <c r="C1719">
        <v>100</v>
      </c>
      <c r="D1719" t="s">
        <v>269</v>
      </c>
      <c r="E1719" t="s">
        <v>11</v>
      </c>
      <c r="F1719">
        <v>4</v>
      </c>
      <c r="G1719" t="s">
        <v>13</v>
      </c>
    </row>
    <row r="1720" spans="1:7" x14ac:dyDescent="0.25">
      <c r="A1720">
        <v>123</v>
      </c>
      <c r="B1720" t="s">
        <v>570</v>
      </c>
      <c r="C1720">
        <v>110</v>
      </c>
      <c r="D1720" t="s">
        <v>20</v>
      </c>
      <c r="E1720" t="s">
        <v>11</v>
      </c>
      <c r="F1720">
        <v>1</v>
      </c>
      <c r="G1720" t="s">
        <v>13</v>
      </c>
    </row>
    <row r="1721" spans="1:7" x14ac:dyDescent="0.25">
      <c r="A1721">
        <v>123</v>
      </c>
      <c r="B1721" t="s">
        <v>570</v>
      </c>
      <c r="C1721">
        <v>120</v>
      </c>
      <c r="D1721" t="s">
        <v>21</v>
      </c>
      <c r="E1721" t="s">
        <v>11</v>
      </c>
      <c r="F1721">
        <v>1</v>
      </c>
      <c r="G1721" t="s">
        <v>13</v>
      </c>
    </row>
    <row r="1722" spans="1:7" x14ac:dyDescent="0.25">
      <c r="A1722">
        <v>123</v>
      </c>
      <c r="B1722" t="s">
        <v>570</v>
      </c>
      <c r="C1722">
        <v>130</v>
      </c>
      <c r="D1722" t="s">
        <v>110</v>
      </c>
      <c r="E1722" t="s">
        <v>12</v>
      </c>
      <c r="F1722">
        <v>0.86499999999999999</v>
      </c>
      <c r="G1722" t="s">
        <v>13</v>
      </c>
    </row>
    <row r="1723" spans="1:7" x14ac:dyDescent="0.25">
      <c r="A1723">
        <v>123</v>
      </c>
      <c r="B1723" t="s">
        <v>570</v>
      </c>
      <c r="C1723">
        <v>140</v>
      </c>
      <c r="D1723" t="s">
        <v>425</v>
      </c>
      <c r="E1723" t="s">
        <v>11</v>
      </c>
      <c r="F1723">
        <v>1</v>
      </c>
      <c r="G1723" t="s">
        <v>15</v>
      </c>
    </row>
    <row r="1724" spans="1:7" x14ac:dyDescent="0.25">
      <c r="A1724">
        <v>124</v>
      </c>
      <c r="B1724" t="s">
        <v>573</v>
      </c>
      <c r="C1724">
        <v>10</v>
      </c>
      <c r="D1724" t="s">
        <v>187</v>
      </c>
      <c r="E1724" t="s">
        <v>14</v>
      </c>
      <c r="F1724">
        <v>1.4730000000000001</v>
      </c>
      <c r="G1724" t="s">
        <v>15</v>
      </c>
    </row>
    <row r="1725" spans="1:7" x14ac:dyDescent="0.25">
      <c r="A1725">
        <v>124</v>
      </c>
      <c r="B1725" t="s">
        <v>573</v>
      </c>
      <c r="C1725">
        <v>20</v>
      </c>
      <c r="D1725" t="s">
        <v>574</v>
      </c>
      <c r="E1725" t="s">
        <v>11</v>
      </c>
      <c r="F1725">
        <v>1</v>
      </c>
      <c r="G1725" t="s">
        <v>15</v>
      </c>
    </row>
    <row r="1726" spans="1:7" x14ac:dyDescent="0.25">
      <c r="A1726">
        <v>124</v>
      </c>
      <c r="B1726" t="s">
        <v>573</v>
      </c>
      <c r="C1726">
        <v>30</v>
      </c>
      <c r="D1726" t="s">
        <v>575</v>
      </c>
      <c r="E1726" t="s">
        <v>11</v>
      </c>
      <c r="F1726">
        <v>1</v>
      </c>
      <c r="G1726" t="s">
        <v>15</v>
      </c>
    </row>
    <row r="1727" spans="1:7" x14ac:dyDescent="0.25">
      <c r="A1727">
        <v>124</v>
      </c>
      <c r="B1727" t="s">
        <v>573</v>
      </c>
      <c r="C1727">
        <v>40</v>
      </c>
      <c r="D1727" t="s">
        <v>266</v>
      </c>
      <c r="E1727" t="s">
        <v>14</v>
      </c>
      <c r="F1727">
        <v>1.4730000000000001</v>
      </c>
      <c r="G1727" t="s">
        <v>15</v>
      </c>
    </row>
    <row r="1728" spans="1:7" x14ac:dyDescent="0.25">
      <c r="A1728">
        <v>124</v>
      </c>
      <c r="B1728" t="s">
        <v>573</v>
      </c>
      <c r="C1728">
        <v>50</v>
      </c>
      <c r="D1728" t="s">
        <v>107</v>
      </c>
      <c r="E1728" t="s">
        <v>108</v>
      </c>
      <c r="F1728">
        <v>0.86599999999999999</v>
      </c>
      <c r="G1728" t="s">
        <v>13</v>
      </c>
    </row>
    <row r="1729" spans="1:7" x14ac:dyDescent="0.25">
      <c r="A1729">
        <v>124</v>
      </c>
      <c r="B1729" t="s">
        <v>573</v>
      </c>
      <c r="C1729">
        <v>60</v>
      </c>
      <c r="D1729" t="s">
        <v>267</v>
      </c>
      <c r="E1729" t="s">
        <v>11</v>
      </c>
      <c r="F1729">
        <v>1</v>
      </c>
      <c r="G1729" t="s">
        <v>13</v>
      </c>
    </row>
    <row r="1730" spans="1:7" x14ac:dyDescent="0.25">
      <c r="A1730">
        <v>124</v>
      </c>
      <c r="B1730" t="s">
        <v>573</v>
      </c>
      <c r="C1730">
        <v>70</v>
      </c>
      <c r="D1730" t="s">
        <v>109</v>
      </c>
      <c r="E1730" t="s">
        <v>14</v>
      </c>
      <c r="F1730">
        <v>20.268999999999998</v>
      </c>
      <c r="G1730" t="s">
        <v>13</v>
      </c>
    </row>
    <row r="1731" spans="1:7" x14ac:dyDescent="0.25">
      <c r="A1731">
        <v>124</v>
      </c>
      <c r="B1731" t="s">
        <v>573</v>
      </c>
      <c r="C1731">
        <v>80</v>
      </c>
      <c r="D1731" t="s">
        <v>16</v>
      </c>
      <c r="E1731" t="s">
        <v>14</v>
      </c>
      <c r="F1731">
        <v>125.593</v>
      </c>
      <c r="G1731" t="s">
        <v>13</v>
      </c>
    </row>
    <row r="1732" spans="1:7" x14ac:dyDescent="0.25">
      <c r="A1732">
        <v>124</v>
      </c>
      <c r="B1732" t="s">
        <v>573</v>
      </c>
      <c r="C1732">
        <v>90</v>
      </c>
      <c r="D1732" t="s">
        <v>265</v>
      </c>
      <c r="E1732" t="s">
        <v>12</v>
      </c>
      <c r="F1732">
        <v>0.126</v>
      </c>
      <c r="G1732" t="s">
        <v>13</v>
      </c>
    </row>
    <row r="1733" spans="1:7" x14ac:dyDescent="0.25">
      <c r="A1733">
        <v>124</v>
      </c>
      <c r="B1733" t="s">
        <v>573</v>
      </c>
      <c r="C1733">
        <v>100</v>
      </c>
      <c r="D1733" t="s">
        <v>269</v>
      </c>
      <c r="E1733" t="s">
        <v>11</v>
      </c>
      <c r="F1733">
        <v>4</v>
      </c>
      <c r="G1733" t="s">
        <v>13</v>
      </c>
    </row>
    <row r="1734" spans="1:7" x14ac:dyDescent="0.25">
      <c r="A1734">
        <v>124</v>
      </c>
      <c r="B1734" t="s">
        <v>573</v>
      </c>
      <c r="C1734">
        <v>110</v>
      </c>
      <c r="D1734" t="s">
        <v>20</v>
      </c>
      <c r="E1734" t="s">
        <v>11</v>
      </c>
      <c r="F1734">
        <v>1</v>
      </c>
      <c r="G1734" t="s">
        <v>13</v>
      </c>
    </row>
    <row r="1735" spans="1:7" x14ac:dyDescent="0.25">
      <c r="A1735">
        <v>124</v>
      </c>
      <c r="B1735" t="s">
        <v>573</v>
      </c>
      <c r="C1735">
        <v>120</v>
      </c>
      <c r="D1735" t="s">
        <v>21</v>
      </c>
      <c r="E1735" t="s">
        <v>11</v>
      </c>
      <c r="F1735">
        <v>1</v>
      </c>
      <c r="G1735" t="s">
        <v>13</v>
      </c>
    </row>
    <row r="1736" spans="1:7" x14ac:dyDescent="0.25">
      <c r="A1736">
        <v>124</v>
      </c>
      <c r="B1736" t="s">
        <v>573</v>
      </c>
      <c r="C1736">
        <v>130</v>
      </c>
      <c r="D1736" t="s">
        <v>110</v>
      </c>
      <c r="E1736" t="s">
        <v>12</v>
      </c>
      <c r="F1736">
        <v>0.90500000000000003</v>
      </c>
      <c r="G1736" t="s">
        <v>13</v>
      </c>
    </row>
    <row r="1737" spans="1:7" x14ac:dyDescent="0.25">
      <c r="A1737">
        <v>124</v>
      </c>
      <c r="B1737" t="s">
        <v>573</v>
      </c>
      <c r="C1737">
        <v>140</v>
      </c>
      <c r="D1737" t="s">
        <v>429</v>
      </c>
      <c r="E1737" t="s">
        <v>11</v>
      </c>
      <c r="F1737">
        <v>1</v>
      </c>
      <c r="G1737" t="s">
        <v>15</v>
      </c>
    </row>
    <row r="1738" spans="1:7" x14ac:dyDescent="0.25">
      <c r="A1738">
        <v>125</v>
      </c>
      <c r="B1738" t="s">
        <v>576</v>
      </c>
      <c r="C1738">
        <v>10</v>
      </c>
      <c r="D1738" t="s">
        <v>187</v>
      </c>
      <c r="E1738" t="s">
        <v>14</v>
      </c>
      <c r="F1738">
        <v>1.6259999999999999</v>
      </c>
      <c r="G1738" t="s">
        <v>15</v>
      </c>
    </row>
    <row r="1739" spans="1:7" x14ac:dyDescent="0.25">
      <c r="A1739">
        <v>125</v>
      </c>
      <c r="B1739" t="s">
        <v>576</v>
      </c>
      <c r="C1739">
        <v>20</v>
      </c>
      <c r="D1739" t="s">
        <v>577</v>
      </c>
      <c r="E1739" t="s">
        <v>11</v>
      </c>
      <c r="F1739">
        <v>1</v>
      </c>
      <c r="G1739" t="s">
        <v>15</v>
      </c>
    </row>
    <row r="1740" spans="1:7" x14ac:dyDescent="0.25">
      <c r="A1740">
        <v>125</v>
      </c>
      <c r="B1740" t="s">
        <v>576</v>
      </c>
      <c r="C1740">
        <v>30</v>
      </c>
      <c r="D1740" t="s">
        <v>578</v>
      </c>
      <c r="E1740" t="s">
        <v>11</v>
      </c>
      <c r="F1740">
        <v>1</v>
      </c>
      <c r="G1740" t="s">
        <v>15</v>
      </c>
    </row>
    <row r="1741" spans="1:7" x14ac:dyDescent="0.25">
      <c r="A1741">
        <v>125</v>
      </c>
      <c r="B1741" t="s">
        <v>576</v>
      </c>
      <c r="C1741">
        <v>40</v>
      </c>
      <c r="D1741" t="s">
        <v>266</v>
      </c>
      <c r="E1741" t="s">
        <v>14</v>
      </c>
      <c r="F1741">
        <v>1.6259999999999999</v>
      </c>
      <c r="G1741" t="s">
        <v>15</v>
      </c>
    </row>
    <row r="1742" spans="1:7" x14ac:dyDescent="0.25">
      <c r="A1742">
        <v>125</v>
      </c>
      <c r="B1742" t="s">
        <v>576</v>
      </c>
      <c r="C1742">
        <v>50</v>
      </c>
      <c r="D1742" t="s">
        <v>107</v>
      </c>
      <c r="E1742" t="s">
        <v>108</v>
      </c>
      <c r="F1742">
        <v>0.95699999999999996</v>
      </c>
      <c r="G1742" t="s">
        <v>13</v>
      </c>
    </row>
    <row r="1743" spans="1:7" x14ac:dyDescent="0.25">
      <c r="A1743">
        <v>125</v>
      </c>
      <c r="B1743" t="s">
        <v>576</v>
      </c>
      <c r="C1743">
        <v>60</v>
      </c>
      <c r="D1743" t="s">
        <v>267</v>
      </c>
      <c r="E1743" t="s">
        <v>11</v>
      </c>
      <c r="F1743">
        <v>1</v>
      </c>
      <c r="G1743" t="s">
        <v>13</v>
      </c>
    </row>
    <row r="1744" spans="1:7" x14ac:dyDescent="0.25">
      <c r="A1744">
        <v>125</v>
      </c>
      <c r="B1744" t="s">
        <v>576</v>
      </c>
      <c r="C1744">
        <v>70</v>
      </c>
      <c r="D1744" t="s">
        <v>109</v>
      </c>
      <c r="E1744" t="s">
        <v>14</v>
      </c>
      <c r="F1744">
        <v>21.184000000000001</v>
      </c>
      <c r="G1744" t="s">
        <v>13</v>
      </c>
    </row>
    <row r="1745" spans="1:7" x14ac:dyDescent="0.25">
      <c r="A1745">
        <v>125</v>
      </c>
      <c r="B1745" t="s">
        <v>576</v>
      </c>
      <c r="C1745">
        <v>80</v>
      </c>
      <c r="D1745" t="s">
        <v>16</v>
      </c>
      <c r="E1745" t="s">
        <v>14</v>
      </c>
      <c r="F1745">
        <v>131.21600000000001</v>
      </c>
      <c r="G1745" t="s">
        <v>13</v>
      </c>
    </row>
    <row r="1746" spans="1:7" x14ac:dyDescent="0.25">
      <c r="A1746">
        <v>125</v>
      </c>
      <c r="B1746" t="s">
        <v>576</v>
      </c>
      <c r="C1746">
        <v>90</v>
      </c>
      <c r="D1746" t="s">
        <v>265</v>
      </c>
      <c r="E1746" t="s">
        <v>12</v>
      </c>
      <c r="F1746">
        <v>0.13700000000000001</v>
      </c>
      <c r="G1746" t="s">
        <v>13</v>
      </c>
    </row>
    <row r="1747" spans="1:7" x14ac:dyDescent="0.25">
      <c r="A1747">
        <v>125</v>
      </c>
      <c r="B1747" t="s">
        <v>576</v>
      </c>
      <c r="C1747">
        <v>100</v>
      </c>
      <c r="D1747" t="s">
        <v>269</v>
      </c>
      <c r="E1747" t="s">
        <v>11</v>
      </c>
      <c r="F1747">
        <v>4</v>
      </c>
      <c r="G1747" t="s">
        <v>13</v>
      </c>
    </row>
    <row r="1748" spans="1:7" x14ac:dyDescent="0.25">
      <c r="A1748">
        <v>125</v>
      </c>
      <c r="B1748" t="s">
        <v>576</v>
      </c>
      <c r="C1748">
        <v>110</v>
      </c>
      <c r="D1748" t="s">
        <v>20</v>
      </c>
      <c r="E1748" t="s">
        <v>11</v>
      </c>
      <c r="F1748">
        <v>1</v>
      </c>
      <c r="G1748" t="s">
        <v>13</v>
      </c>
    </row>
    <row r="1749" spans="1:7" x14ac:dyDescent="0.25">
      <c r="A1749">
        <v>125</v>
      </c>
      <c r="B1749" t="s">
        <v>576</v>
      </c>
      <c r="C1749">
        <v>120</v>
      </c>
      <c r="D1749" t="s">
        <v>21</v>
      </c>
      <c r="E1749" t="s">
        <v>11</v>
      </c>
      <c r="F1749">
        <v>1</v>
      </c>
      <c r="G1749" t="s">
        <v>13</v>
      </c>
    </row>
    <row r="1750" spans="1:7" x14ac:dyDescent="0.25">
      <c r="A1750">
        <v>125</v>
      </c>
      <c r="B1750" t="s">
        <v>576</v>
      </c>
      <c r="C1750">
        <v>130</v>
      </c>
      <c r="D1750" t="s">
        <v>110</v>
      </c>
      <c r="E1750" t="s">
        <v>12</v>
      </c>
      <c r="F1750">
        <v>0.98599999999999999</v>
      </c>
      <c r="G1750" t="s">
        <v>13</v>
      </c>
    </row>
    <row r="1751" spans="1:7" x14ac:dyDescent="0.25">
      <c r="A1751">
        <v>125</v>
      </c>
      <c r="B1751" t="s">
        <v>576</v>
      </c>
      <c r="C1751">
        <v>140</v>
      </c>
      <c r="D1751" t="s">
        <v>433</v>
      </c>
      <c r="E1751" t="s">
        <v>11</v>
      </c>
      <c r="F1751">
        <v>1</v>
      </c>
      <c r="G1751" t="s">
        <v>15</v>
      </c>
    </row>
    <row r="1752" spans="1:7" x14ac:dyDescent="0.25">
      <c r="A1752">
        <v>126</v>
      </c>
      <c r="B1752" t="s">
        <v>579</v>
      </c>
      <c r="C1752">
        <v>10</v>
      </c>
      <c r="D1752" t="s">
        <v>187</v>
      </c>
      <c r="E1752" t="s">
        <v>14</v>
      </c>
      <c r="F1752">
        <v>1.778</v>
      </c>
      <c r="G1752" t="s">
        <v>15</v>
      </c>
    </row>
    <row r="1753" spans="1:7" x14ac:dyDescent="0.25">
      <c r="A1753">
        <v>126</v>
      </c>
      <c r="B1753" t="s">
        <v>579</v>
      </c>
      <c r="C1753">
        <v>20</v>
      </c>
      <c r="D1753" t="s">
        <v>580</v>
      </c>
      <c r="E1753" t="s">
        <v>11</v>
      </c>
      <c r="F1753">
        <v>1</v>
      </c>
      <c r="G1753" t="s">
        <v>15</v>
      </c>
    </row>
    <row r="1754" spans="1:7" x14ac:dyDescent="0.25">
      <c r="A1754">
        <v>126</v>
      </c>
      <c r="B1754" t="s">
        <v>579</v>
      </c>
      <c r="C1754">
        <v>30</v>
      </c>
      <c r="D1754" t="s">
        <v>581</v>
      </c>
      <c r="E1754" t="s">
        <v>11</v>
      </c>
      <c r="F1754">
        <v>1</v>
      </c>
      <c r="G1754" t="s">
        <v>15</v>
      </c>
    </row>
    <row r="1755" spans="1:7" x14ac:dyDescent="0.25">
      <c r="A1755">
        <v>126</v>
      </c>
      <c r="B1755" t="s">
        <v>579</v>
      </c>
      <c r="C1755">
        <v>40</v>
      </c>
      <c r="D1755" t="s">
        <v>266</v>
      </c>
      <c r="E1755" t="s">
        <v>14</v>
      </c>
      <c r="F1755">
        <v>1.778</v>
      </c>
      <c r="G1755" t="s">
        <v>15</v>
      </c>
    </row>
    <row r="1756" spans="1:7" x14ac:dyDescent="0.25">
      <c r="A1756">
        <v>126</v>
      </c>
      <c r="B1756" t="s">
        <v>579</v>
      </c>
      <c r="C1756">
        <v>50</v>
      </c>
      <c r="D1756" t="s">
        <v>107</v>
      </c>
      <c r="E1756" t="s">
        <v>108</v>
      </c>
      <c r="F1756">
        <v>1.048</v>
      </c>
      <c r="G1756" t="s">
        <v>13</v>
      </c>
    </row>
    <row r="1757" spans="1:7" x14ac:dyDescent="0.25">
      <c r="A1757">
        <v>126</v>
      </c>
      <c r="B1757" t="s">
        <v>579</v>
      </c>
      <c r="C1757">
        <v>60</v>
      </c>
      <c r="D1757" t="s">
        <v>267</v>
      </c>
      <c r="E1757" t="s">
        <v>11</v>
      </c>
      <c r="F1757">
        <v>1</v>
      </c>
      <c r="G1757" t="s">
        <v>13</v>
      </c>
    </row>
    <row r="1758" spans="1:7" x14ac:dyDescent="0.25">
      <c r="A1758">
        <v>126</v>
      </c>
      <c r="B1758" t="s">
        <v>579</v>
      </c>
      <c r="C1758">
        <v>70</v>
      </c>
      <c r="D1758" t="s">
        <v>109</v>
      </c>
      <c r="E1758" t="s">
        <v>14</v>
      </c>
      <c r="F1758">
        <v>22.097999999999999</v>
      </c>
      <c r="G1758" t="s">
        <v>13</v>
      </c>
    </row>
    <row r="1759" spans="1:7" x14ac:dyDescent="0.25">
      <c r="A1759">
        <v>126</v>
      </c>
      <c r="B1759" t="s">
        <v>579</v>
      </c>
      <c r="C1759">
        <v>80</v>
      </c>
      <c r="D1759" t="s">
        <v>16</v>
      </c>
      <c r="E1759" t="s">
        <v>14</v>
      </c>
      <c r="F1759">
        <v>136.84</v>
      </c>
      <c r="G1759" t="s">
        <v>13</v>
      </c>
    </row>
    <row r="1760" spans="1:7" x14ac:dyDescent="0.25">
      <c r="A1760">
        <v>126</v>
      </c>
      <c r="B1760" t="s">
        <v>579</v>
      </c>
      <c r="C1760">
        <v>90</v>
      </c>
      <c r="D1760" t="s">
        <v>265</v>
      </c>
      <c r="E1760" t="s">
        <v>12</v>
      </c>
      <c r="F1760">
        <v>0.14799999999999999</v>
      </c>
      <c r="G1760" t="s">
        <v>13</v>
      </c>
    </row>
    <row r="1761" spans="1:7" x14ac:dyDescent="0.25">
      <c r="A1761">
        <v>126</v>
      </c>
      <c r="B1761" t="s">
        <v>579</v>
      </c>
      <c r="C1761">
        <v>100</v>
      </c>
      <c r="D1761" t="s">
        <v>269</v>
      </c>
      <c r="E1761" t="s">
        <v>11</v>
      </c>
      <c r="F1761">
        <v>4</v>
      </c>
      <c r="G1761" t="s">
        <v>13</v>
      </c>
    </row>
    <row r="1762" spans="1:7" x14ac:dyDescent="0.25">
      <c r="A1762">
        <v>126</v>
      </c>
      <c r="B1762" t="s">
        <v>579</v>
      </c>
      <c r="C1762">
        <v>110</v>
      </c>
      <c r="D1762" t="s">
        <v>20</v>
      </c>
      <c r="E1762" t="s">
        <v>11</v>
      </c>
      <c r="F1762">
        <v>1</v>
      </c>
      <c r="G1762" t="s">
        <v>13</v>
      </c>
    </row>
    <row r="1763" spans="1:7" x14ac:dyDescent="0.25">
      <c r="A1763">
        <v>126</v>
      </c>
      <c r="B1763" t="s">
        <v>579</v>
      </c>
      <c r="C1763">
        <v>120</v>
      </c>
      <c r="D1763" t="s">
        <v>21</v>
      </c>
      <c r="E1763" t="s">
        <v>11</v>
      </c>
      <c r="F1763">
        <v>1</v>
      </c>
      <c r="G1763" t="s">
        <v>13</v>
      </c>
    </row>
    <row r="1764" spans="1:7" x14ac:dyDescent="0.25">
      <c r="A1764">
        <v>126</v>
      </c>
      <c r="B1764" t="s">
        <v>579</v>
      </c>
      <c r="C1764">
        <v>130</v>
      </c>
      <c r="D1764" t="s">
        <v>110</v>
      </c>
      <c r="E1764" t="s">
        <v>12</v>
      </c>
      <c r="F1764">
        <v>1.0669999999999999</v>
      </c>
      <c r="G1764" t="s">
        <v>13</v>
      </c>
    </row>
    <row r="1765" spans="1:7" x14ac:dyDescent="0.25">
      <c r="A1765">
        <v>126</v>
      </c>
      <c r="B1765" t="s">
        <v>579</v>
      </c>
      <c r="C1765">
        <v>140</v>
      </c>
      <c r="D1765" t="s">
        <v>437</v>
      </c>
      <c r="E1765" t="s">
        <v>11</v>
      </c>
      <c r="F1765">
        <v>1</v>
      </c>
      <c r="G1765" t="s">
        <v>15</v>
      </c>
    </row>
    <row r="1766" spans="1:7" x14ac:dyDescent="0.25">
      <c r="A1766">
        <v>127</v>
      </c>
      <c r="B1766" t="s">
        <v>582</v>
      </c>
      <c r="C1766">
        <v>10</v>
      </c>
      <c r="D1766" t="s">
        <v>187</v>
      </c>
      <c r="E1766" t="s">
        <v>14</v>
      </c>
      <c r="F1766">
        <v>0.86399999999999999</v>
      </c>
      <c r="G1766" t="s">
        <v>15</v>
      </c>
    </row>
    <row r="1767" spans="1:7" x14ac:dyDescent="0.25">
      <c r="A1767">
        <v>127</v>
      </c>
      <c r="B1767" t="s">
        <v>582</v>
      </c>
      <c r="C1767">
        <v>20</v>
      </c>
      <c r="D1767" t="s">
        <v>583</v>
      </c>
      <c r="E1767" t="s">
        <v>11</v>
      </c>
      <c r="F1767">
        <v>1</v>
      </c>
      <c r="G1767" t="s">
        <v>15</v>
      </c>
    </row>
    <row r="1768" spans="1:7" x14ac:dyDescent="0.25">
      <c r="A1768">
        <v>127</v>
      </c>
      <c r="B1768" t="s">
        <v>582</v>
      </c>
      <c r="C1768">
        <v>30</v>
      </c>
      <c r="D1768" t="s">
        <v>584</v>
      </c>
      <c r="E1768" t="s">
        <v>11</v>
      </c>
      <c r="F1768">
        <v>1</v>
      </c>
      <c r="G1768" t="s">
        <v>15</v>
      </c>
    </row>
    <row r="1769" spans="1:7" x14ac:dyDescent="0.25">
      <c r="A1769">
        <v>127</v>
      </c>
      <c r="B1769" t="s">
        <v>582</v>
      </c>
      <c r="C1769">
        <v>40</v>
      </c>
      <c r="D1769" t="s">
        <v>266</v>
      </c>
      <c r="E1769" t="s">
        <v>14</v>
      </c>
      <c r="F1769">
        <v>0.86399999999999999</v>
      </c>
      <c r="G1769" t="s">
        <v>15</v>
      </c>
    </row>
    <row r="1770" spans="1:7" x14ac:dyDescent="0.25">
      <c r="A1770">
        <v>127</v>
      </c>
      <c r="B1770" t="s">
        <v>582</v>
      </c>
      <c r="C1770">
        <v>50</v>
      </c>
      <c r="D1770" t="s">
        <v>107</v>
      </c>
      <c r="E1770" t="s">
        <v>108</v>
      </c>
      <c r="F1770">
        <v>0.52100000000000002</v>
      </c>
      <c r="G1770" t="s">
        <v>13</v>
      </c>
    </row>
    <row r="1771" spans="1:7" x14ac:dyDescent="0.25">
      <c r="A1771">
        <v>127</v>
      </c>
      <c r="B1771" t="s">
        <v>582</v>
      </c>
      <c r="C1771">
        <v>60</v>
      </c>
      <c r="D1771" t="s">
        <v>267</v>
      </c>
      <c r="E1771" t="s">
        <v>11</v>
      </c>
      <c r="F1771">
        <v>1</v>
      </c>
      <c r="G1771" t="s">
        <v>13</v>
      </c>
    </row>
    <row r="1772" spans="1:7" x14ac:dyDescent="0.25">
      <c r="A1772">
        <v>127</v>
      </c>
      <c r="B1772" t="s">
        <v>582</v>
      </c>
      <c r="C1772">
        <v>70</v>
      </c>
      <c r="D1772" t="s">
        <v>109</v>
      </c>
      <c r="E1772" t="s">
        <v>14</v>
      </c>
      <c r="F1772">
        <v>17.068999999999999</v>
      </c>
      <c r="G1772" t="s">
        <v>13</v>
      </c>
    </row>
    <row r="1773" spans="1:7" x14ac:dyDescent="0.25">
      <c r="A1773">
        <v>127</v>
      </c>
      <c r="B1773" t="s">
        <v>582</v>
      </c>
      <c r="C1773">
        <v>80</v>
      </c>
      <c r="D1773" t="s">
        <v>16</v>
      </c>
      <c r="E1773" t="s">
        <v>14</v>
      </c>
      <c r="F1773">
        <v>105.91</v>
      </c>
      <c r="G1773" t="s">
        <v>13</v>
      </c>
    </row>
    <row r="1774" spans="1:7" x14ac:dyDescent="0.25">
      <c r="A1774">
        <v>127</v>
      </c>
      <c r="B1774" t="s">
        <v>582</v>
      </c>
      <c r="C1774">
        <v>90</v>
      </c>
      <c r="D1774" t="s">
        <v>265</v>
      </c>
      <c r="E1774" t="s">
        <v>12</v>
      </c>
      <c r="F1774">
        <v>8.4000000000000005E-2</v>
      </c>
      <c r="G1774" t="s">
        <v>13</v>
      </c>
    </row>
    <row r="1775" spans="1:7" x14ac:dyDescent="0.25">
      <c r="A1775">
        <v>127</v>
      </c>
      <c r="B1775" t="s">
        <v>582</v>
      </c>
      <c r="C1775">
        <v>100</v>
      </c>
      <c r="D1775" t="s">
        <v>269</v>
      </c>
      <c r="E1775" t="s">
        <v>11</v>
      </c>
      <c r="F1775">
        <v>4</v>
      </c>
      <c r="G1775" t="s">
        <v>13</v>
      </c>
    </row>
    <row r="1776" spans="1:7" x14ac:dyDescent="0.25">
      <c r="A1776">
        <v>127</v>
      </c>
      <c r="B1776" t="s">
        <v>582</v>
      </c>
      <c r="C1776">
        <v>110</v>
      </c>
      <c r="D1776" t="s">
        <v>20</v>
      </c>
      <c r="E1776" t="s">
        <v>11</v>
      </c>
      <c r="F1776">
        <v>1</v>
      </c>
      <c r="G1776" t="s">
        <v>13</v>
      </c>
    </row>
    <row r="1777" spans="1:7" x14ac:dyDescent="0.25">
      <c r="A1777">
        <v>127</v>
      </c>
      <c r="B1777" t="s">
        <v>582</v>
      </c>
      <c r="C1777">
        <v>120</v>
      </c>
      <c r="D1777" t="s">
        <v>21</v>
      </c>
      <c r="E1777" t="s">
        <v>11</v>
      </c>
      <c r="F1777">
        <v>1</v>
      </c>
      <c r="G1777" t="s">
        <v>13</v>
      </c>
    </row>
    <row r="1778" spans="1:7" x14ac:dyDescent="0.25">
      <c r="A1778">
        <v>127</v>
      </c>
      <c r="B1778" t="s">
        <v>582</v>
      </c>
      <c r="C1778">
        <v>130</v>
      </c>
      <c r="D1778" t="s">
        <v>110</v>
      </c>
      <c r="E1778" t="s">
        <v>12</v>
      </c>
      <c r="F1778">
        <v>0.58099999999999996</v>
      </c>
      <c r="G1778" t="s">
        <v>13</v>
      </c>
    </row>
    <row r="1779" spans="1:7" x14ac:dyDescent="0.25">
      <c r="A1779">
        <v>127</v>
      </c>
      <c r="B1779" t="s">
        <v>582</v>
      </c>
      <c r="C1779">
        <v>140</v>
      </c>
      <c r="D1779" t="s">
        <v>441</v>
      </c>
      <c r="E1779" t="s">
        <v>11</v>
      </c>
      <c r="F1779">
        <v>1</v>
      </c>
      <c r="G1779" t="s">
        <v>15</v>
      </c>
    </row>
    <row r="1780" spans="1:7" x14ac:dyDescent="0.25">
      <c r="A1780">
        <v>128</v>
      </c>
      <c r="B1780" t="s">
        <v>585</v>
      </c>
      <c r="C1780">
        <v>10</v>
      </c>
      <c r="D1780" t="s">
        <v>187</v>
      </c>
      <c r="E1780" t="s">
        <v>14</v>
      </c>
      <c r="F1780">
        <v>1.016</v>
      </c>
      <c r="G1780" t="s">
        <v>15</v>
      </c>
    </row>
    <row r="1781" spans="1:7" x14ac:dyDescent="0.25">
      <c r="A1781">
        <v>128</v>
      </c>
      <c r="B1781" t="s">
        <v>585</v>
      </c>
      <c r="C1781">
        <v>20</v>
      </c>
      <c r="D1781" t="s">
        <v>586</v>
      </c>
      <c r="E1781" t="s">
        <v>11</v>
      </c>
      <c r="F1781">
        <v>1</v>
      </c>
      <c r="G1781" t="s">
        <v>15</v>
      </c>
    </row>
    <row r="1782" spans="1:7" x14ac:dyDescent="0.25">
      <c r="A1782">
        <v>128</v>
      </c>
      <c r="B1782" t="s">
        <v>585</v>
      </c>
      <c r="C1782">
        <v>30</v>
      </c>
      <c r="D1782" t="s">
        <v>587</v>
      </c>
      <c r="E1782" t="s">
        <v>11</v>
      </c>
      <c r="F1782">
        <v>1</v>
      </c>
      <c r="G1782" t="s">
        <v>15</v>
      </c>
    </row>
    <row r="1783" spans="1:7" x14ac:dyDescent="0.25">
      <c r="A1783">
        <v>128</v>
      </c>
      <c r="B1783" t="s">
        <v>585</v>
      </c>
      <c r="C1783">
        <v>40</v>
      </c>
      <c r="D1783" t="s">
        <v>266</v>
      </c>
      <c r="E1783" t="s">
        <v>14</v>
      </c>
      <c r="F1783">
        <v>1.016</v>
      </c>
      <c r="G1783" t="s">
        <v>15</v>
      </c>
    </row>
    <row r="1784" spans="1:7" x14ac:dyDescent="0.25">
      <c r="A1784">
        <v>128</v>
      </c>
      <c r="B1784" t="s">
        <v>585</v>
      </c>
      <c r="C1784">
        <v>50</v>
      </c>
      <c r="D1784" t="s">
        <v>107</v>
      </c>
      <c r="E1784" t="s">
        <v>108</v>
      </c>
      <c r="F1784">
        <v>0.61599999999999999</v>
      </c>
      <c r="G1784" t="s">
        <v>13</v>
      </c>
    </row>
    <row r="1785" spans="1:7" x14ac:dyDescent="0.25">
      <c r="A1785">
        <v>128</v>
      </c>
      <c r="B1785" t="s">
        <v>585</v>
      </c>
      <c r="C1785">
        <v>60</v>
      </c>
      <c r="D1785" t="s">
        <v>267</v>
      </c>
      <c r="E1785" t="s">
        <v>11</v>
      </c>
      <c r="F1785">
        <v>1</v>
      </c>
      <c r="G1785" t="s">
        <v>13</v>
      </c>
    </row>
    <row r="1786" spans="1:7" x14ac:dyDescent="0.25">
      <c r="A1786">
        <v>128</v>
      </c>
      <c r="B1786" t="s">
        <v>585</v>
      </c>
      <c r="C1786">
        <v>70</v>
      </c>
      <c r="D1786" t="s">
        <v>109</v>
      </c>
      <c r="E1786" t="s">
        <v>14</v>
      </c>
      <c r="F1786">
        <v>17.983000000000001</v>
      </c>
      <c r="G1786" t="s">
        <v>13</v>
      </c>
    </row>
    <row r="1787" spans="1:7" x14ac:dyDescent="0.25">
      <c r="A1787">
        <v>128</v>
      </c>
      <c r="B1787" t="s">
        <v>585</v>
      </c>
      <c r="C1787">
        <v>80</v>
      </c>
      <c r="D1787" t="s">
        <v>16</v>
      </c>
      <c r="E1787" t="s">
        <v>14</v>
      </c>
      <c r="F1787">
        <v>111.53400000000001</v>
      </c>
      <c r="G1787" t="s">
        <v>13</v>
      </c>
    </row>
    <row r="1788" spans="1:7" x14ac:dyDescent="0.25">
      <c r="A1788">
        <v>128</v>
      </c>
      <c r="B1788" t="s">
        <v>585</v>
      </c>
      <c r="C1788">
        <v>90</v>
      </c>
      <c r="D1788" t="s">
        <v>265</v>
      </c>
      <c r="E1788" t="s">
        <v>12</v>
      </c>
      <c r="F1788">
        <v>9.4E-2</v>
      </c>
      <c r="G1788" t="s">
        <v>13</v>
      </c>
    </row>
    <row r="1789" spans="1:7" x14ac:dyDescent="0.25">
      <c r="A1789">
        <v>128</v>
      </c>
      <c r="B1789" t="s">
        <v>585</v>
      </c>
      <c r="C1789">
        <v>100</v>
      </c>
      <c r="D1789" t="s">
        <v>269</v>
      </c>
      <c r="E1789" t="s">
        <v>11</v>
      </c>
      <c r="F1789">
        <v>4</v>
      </c>
      <c r="G1789" t="s">
        <v>13</v>
      </c>
    </row>
    <row r="1790" spans="1:7" x14ac:dyDescent="0.25">
      <c r="A1790">
        <v>128</v>
      </c>
      <c r="B1790" t="s">
        <v>585</v>
      </c>
      <c r="C1790">
        <v>110</v>
      </c>
      <c r="D1790" t="s">
        <v>20</v>
      </c>
      <c r="E1790" t="s">
        <v>11</v>
      </c>
      <c r="F1790">
        <v>1</v>
      </c>
      <c r="G1790" t="s">
        <v>13</v>
      </c>
    </row>
    <row r="1791" spans="1:7" x14ac:dyDescent="0.25">
      <c r="A1791">
        <v>128</v>
      </c>
      <c r="B1791" t="s">
        <v>585</v>
      </c>
      <c r="C1791">
        <v>120</v>
      </c>
      <c r="D1791" t="s">
        <v>21</v>
      </c>
      <c r="E1791" t="s">
        <v>11</v>
      </c>
      <c r="F1791">
        <v>1</v>
      </c>
      <c r="G1791" t="s">
        <v>13</v>
      </c>
    </row>
    <row r="1792" spans="1:7" x14ac:dyDescent="0.25">
      <c r="A1792">
        <v>128</v>
      </c>
      <c r="B1792" t="s">
        <v>585</v>
      </c>
      <c r="C1792">
        <v>130</v>
      </c>
      <c r="D1792" t="s">
        <v>110</v>
      </c>
      <c r="E1792" t="s">
        <v>12</v>
      </c>
      <c r="F1792">
        <v>0.66200000000000003</v>
      </c>
      <c r="G1792" t="s">
        <v>13</v>
      </c>
    </row>
    <row r="1793" spans="1:7" x14ac:dyDescent="0.25">
      <c r="A1793">
        <v>128</v>
      </c>
      <c r="B1793" t="s">
        <v>585</v>
      </c>
      <c r="C1793">
        <v>140</v>
      </c>
      <c r="D1793" t="s">
        <v>445</v>
      </c>
      <c r="E1793" t="s">
        <v>11</v>
      </c>
      <c r="F1793">
        <v>1</v>
      </c>
      <c r="G1793" t="s">
        <v>15</v>
      </c>
    </row>
    <row r="1794" spans="1:7" x14ac:dyDescent="0.25">
      <c r="A1794">
        <v>129</v>
      </c>
      <c r="B1794" t="s">
        <v>588</v>
      </c>
      <c r="C1794">
        <v>10</v>
      </c>
      <c r="D1794" t="s">
        <v>187</v>
      </c>
      <c r="E1794" t="s">
        <v>14</v>
      </c>
      <c r="F1794">
        <v>1.1679999999999999</v>
      </c>
      <c r="G1794" t="s">
        <v>15</v>
      </c>
    </row>
    <row r="1795" spans="1:7" x14ac:dyDescent="0.25">
      <c r="A1795">
        <v>129</v>
      </c>
      <c r="B1795" t="s">
        <v>588</v>
      </c>
      <c r="C1795">
        <v>20</v>
      </c>
      <c r="D1795" t="s">
        <v>589</v>
      </c>
      <c r="E1795" t="s">
        <v>11</v>
      </c>
      <c r="F1795">
        <v>1</v>
      </c>
      <c r="G1795" t="s">
        <v>15</v>
      </c>
    </row>
    <row r="1796" spans="1:7" x14ac:dyDescent="0.25">
      <c r="A1796">
        <v>129</v>
      </c>
      <c r="B1796" t="s">
        <v>588</v>
      </c>
      <c r="C1796">
        <v>30</v>
      </c>
      <c r="D1796" t="s">
        <v>590</v>
      </c>
      <c r="E1796" t="s">
        <v>11</v>
      </c>
      <c r="F1796">
        <v>1</v>
      </c>
      <c r="G1796" t="s">
        <v>15</v>
      </c>
    </row>
    <row r="1797" spans="1:7" x14ac:dyDescent="0.25">
      <c r="A1797">
        <v>129</v>
      </c>
      <c r="B1797" t="s">
        <v>588</v>
      </c>
      <c r="C1797">
        <v>40</v>
      </c>
      <c r="D1797" t="s">
        <v>266</v>
      </c>
      <c r="E1797" t="s">
        <v>14</v>
      </c>
      <c r="F1797">
        <v>1.1679999999999999</v>
      </c>
      <c r="G1797" t="s">
        <v>15</v>
      </c>
    </row>
    <row r="1798" spans="1:7" x14ac:dyDescent="0.25">
      <c r="A1798">
        <v>129</v>
      </c>
      <c r="B1798" t="s">
        <v>588</v>
      </c>
      <c r="C1798">
        <v>50</v>
      </c>
      <c r="D1798" t="s">
        <v>107</v>
      </c>
      <c r="E1798" t="s">
        <v>108</v>
      </c>
      <c r="F1798">
        <v>0.71099999999999997</v>
      </c>
      <c r="G1798" t="s">
        <v>13</v>
      </c>
    </row>
    <row r="1799" spans="1:7" x14ac:dyDescent="0.25">
      <c r="A1799">
        <v>129</v>
      </c>
      <c r="B1799" t="s">
        <v>588</v>
      </c>
      <c r="C1799">
        <v>60</v>
      </c>
      <c r="D1799" t="s">
        <v>267</v>
      </c>
      <c r="E1799" t="s">
        <v>11</v>
      </c>
      <c r="F1799">
        <v>1</v>
      </c>
      <c r="G1799" t="s">
        <v>13</v>
      </c>
    </row>
    <row r="1800" spans="1:7" x14ac:dyDescent="0.25">
      <c r="A1800">
        <v>129</v>
      </c>
      <c r="B1800" t="s">
        <v>588</v>
      </c>
      <c r="C1800">
        <v>70</v>
      </c>
      <c r="D1800" t="s">
        <v>109</v>
      </c>
      <c r="E1800" t="s">
        <v>14</v>
      </c>
      <c r="F1800">
        <v>18.898</v>
      </c>
      <c r="G1800" t="s">
        <v>13</v>
      </c>
    </row>
    <row r="1801" spans="1:7" x14ac:dyDescent="0.25">
      <c r="A1801">
        <v>129</v>
      </c>
      <c r="B1801" t="s">
        <v>588</v>
      </c>
      <c r="C1801">
        <v>80</v>
      </c>
      <c r="D1801" t="s">
        <v>16</v>
      </c>
      <c r="E1801" t="s">
        <v>14</v>
      </c>
      <c r="F1801">
        <v>117.158</v>
      </c>
      <c r="G1801" t="s">
        <v>13</v>
      </c>
    </row>
    <row r="1802" spans="1:7" x14ac:dyDescent="0.25">
      <c r="A1802">
        <v>129</v>
      </c>
      <c r="B1802" t="s">
        <v>588</v>
      </c>
      <c r="C1802">
        <v>90</v>
      </c>
      <c r="D1802" t="s">
        <v>265</v>
      </c>
      <c r="E1802" t="s">
        <v>12</v>
      </c>
      <c r="F1802">
        <v>0.105</v>
      </c>
      <c r="G1802" t="s">
        <v>13</v>
      </c>
    </row>
    <row r="1803" spans="1:7" x14ac:dyDescent="0.25">
      <c r="A1803">
        <v>129</v>
      </c>
      <c r="B1803" t="s">
        <v>588</v>
      </c>
      <c r="C1803">
        <v>100</v>
      </c>
      <c r="D1803" t="s">
        <v>269</v>
      </c>
      <c r="E1803" t="s">
        <v>11</v>
      </c>
      <c r="F1803">
        <v>4</v>
      </c>
      <c r="G1803" t="s">
        <v>13</v>
      </c>
    </row>
    <row r="1804" spans="1:7" x14ac:dyDescent="0.25">
      <c r="A1804">
        <v>129</v>
      </c>
      <c r="B1804" t="s">
        <v>588</v>
      </c>
      <c r="C1804">
        <v>110</v>
      </c>
      <c r="D1804" t="s">
        <v>20</v>
      </c>
      <c r="E1804" t="s">
        <v>11</v>
      </c>
      <c r="F1804">
        <v>1</v>
      </c>
      <c r="G1804" t="s">
        <v>13</v>
      </c>
    </row>
    <row r="1805" spans="1:7" x14ac:dyDescent="0.25">
      <c r="A1805">
        <v>129</v>
      </c>
      <c r="B1805" t="s">
        <v>588</v>
      </c>
      <c r="C1805">
        <v>120</v>
      </c>
      <c r="D1805" t="s">
        <v>21</v>
      </c>
      <c r="E1805" t="s">
        <v>11</v>
      </c>
      <c r="F1805">
        <v>1</v>
      </c>
      <c r="G1805" t="s">
        <v>13</v>
      </c>
    </row>
    <row r="1806" spans="1:7" x14ac:dyDescent="0.25">
      <c r="A1806">
        <v>129</v>
      </c>
      <c r="B1806" t="s">
        <v>588</v>
      </c>
      <c r="C1806">
        <v>130</v>
      </c>
      <c r="D1806" t="s">
        <v>110</v>
      </c>
      <c r="E1806" t="s">
        <v>12</v>
      </c>
      <c r="F1806">
        <v>0.74299999999999999</v>
      </c>
      <c r="G1806" t="s">
        <v>13</v>
      </c>
    </row>
    <row r="1807" spans="1:7" x14ac:dyDescent="0.25">
      <c r="A1807">
        <v>129</v>
      </c>
      <c r="B1807" t="s">
        <v>588</v>
      </c>
      <c r="C1807">
        <v>140</v>
      </c>
      <c r="D1807" t="s">
        <v>449</v>
      </c>
      <c r="E1807" t="s">
        <v>11</v>
      </c>
      <c r="F1807">
        <v>1</v>
      </c>
      <c r="G1807" t="s">
        <v>15</v>
      </c>
    </row>
    <row r="1808" spans="1:7" x14ac:dyDescent="0.25">
      <c r="A1808">
        <v>130</v>
      </c>
      <c r="B1808" t="s">
        <v>591</v>
      </c>
      <c r="C1808">
        <v>10</v>
      </c>
      <c r="D1808" t="s">
        <v>187</v>
      </c>
      <c r="E1808" t="s">
        <v>14</v>
      </c>
      <c r="F1808">
        <v>1.321</v>
      </c>
      <c r="G1808" t="s">
        <v>15</v>
      </c>
    </row>
    <row r="1809" spans="1:7" x14ac:dyDescent="0.25">
      <c r="A1809">
        <v>130</v>
      </c>
      <c r="B1809" t="s">
        <v>591</v>
      </c>
      <c r="C1809">
        <v>20</v>
      </c>
      <c r="D1809" t="s">
        <v>592</v>
      </c>
      <c r="E1809" t="s">
        <v>11</v>
      </c>
      <c r="F1809">
        <v>1</v>
      </c>
      <c r="G1809" t="s">
        <v>15</v>
      </c>
    </row>
    <row r="1810" spans="1:7" x14ac:dyDescent="0.25">
      <c r="A1810">
        <v>130</v>
      </c>
      <c r="B1810" t="s">
        <v>591</v>
      </c>
      <c r="C1810">
        <v>30</v>
      </c>
      <c r="D1810" t="s">
        <v>593</v>
      </c>
      <c r="E1810" t="s">
        <v>11</v>
      </c>
      <c r="F1810">
        <v>1</v>
      </c>
      <c r="G1810" t="s">
        <v>15</v>
      </c>
    </row>
    <row r="1811" spans="1:7" x14ac:dyDescent="0.25">
      <c r="A1811">
        <v>130</v>
      </c>
      <c r="B1811" t="s">
        <v>591</v>
      </c>
      <c r="C1811">
        <v>40</v>
      </c>
      <c r="D1811" t="s">
        <v>266</v>
      </c>
      <c r="E1811" t="s">
        <v>14</v>
      </c>
      <c r="F1811">
        <v>1.321</v>
      </c>
      <c r="G1811" t="s">
        <v>15</v>
      </c>
    </row>
    <row r="1812" spans="1:7" x14ac:dyDescent="0.25">
      <c r="A1812">
        <v>130</v>
      </c>
      <c r="B1812" t="s">
        <v>591</v>
      </c>
      <c r="C1812">
        <v>50</v>
      </c>
      <c r="D1812" t="s">
        <v>107</v>
      </c>
      <c r="E1812" t="s">
        <v>108</v>
      </c>
      <c r="F1812">
        <v>0.80600000000000005</v>
      </c>
      <c r="G1812" t="s">
        <v>13</v>
      </c>
    </row>
    <row r="1813" spans="1:7" x14ac:dyDescent="0.25">
      <c r="A1813">
        <v>130</v>
      </c>
      <c r="B1813" t="s">
        <v>591</v>
      </c>
      <c r="C1813">
        <v>60</v>
      </c>
      <c r="D1813" t="s">
        <v>267</v>
      </c>
      <c r="E1813" t="s">
        <v>11</v>
      </c>
      <c r="F1813">
        <v>1</v>
      </c>
      <c r="G1813" t="s">
        <v>13</v>
      </c>
    </row>
    <row r="1814" spans="1:7" x14ac:dyDescent="0.25">
      <c r="A1814">
        <v>130</v>
      </c>
      <c r="B1814" t="s">
        <v>591</v>
      </c>
      <c r="C1814">
        <v>70</v>
      </c>
      <c r="D1814" t="s">
        <v>109</v>
      </c>
      <c r="E1814" t="s">
        <v>14</v>
      </c>
      <c r="F1814">
        <v>19.812000000000001</v>
      </c>
      <c r="G1814" t="s">
        <v>13</v>
      </c>
    </row>
    <row r="1815" spans="1:7" x14ac:dyDescent="0.25">
      <c r="A1815">
        <v>130</v>
      </c>
      <c r="B1815" t="s">
        <v>591</v>
      </c>
      <c r="C1815">
        <v>80</v>
      </c>
      <c r="D1815" t="s">
        <v>16</v>
      </c>
      <c r="E1815" t="s">
        <v>14</v>
      </c>
      <c r="F1815">
        <v>122.78100000000001</v>
      </c>
      <c r="G1815" t="s">
        <v>13</v>
      </c>
    </row>
    <row r="1816" spans="1:7" x14ac:dyDescent="0.25">
      <c r="A1816">
        <v>130</v>
      </c>
      <c r="B1816" t="s">
        <v>591</v>
      </c>
      <c r="C1816">
        <v>90</v>
      </c>
      <c r="D1816" t="s">
        <v>265</v>
      </c>
      <c r="E1816" t="s">
        <v>12</v>
      </c>
      <c r="F1816">
        <v>0.11600000000000001</v>
      </c>
      <c r="G1816" t="s">
        <v>13</v>
      </c>
    </row>
    <row r="1817" spans="1:7" x14ac:dyDescent="0.25">
      <c r="A1817">
        <v>130</v>
      </c>
      <c r="B1817" t="s">
        <v>591</v>
      </c>
      <c r="C1817">
        <v>100</v>
      </c>
      <c r="D1817" t="s">
        <v>269</v>
      </c>
      <c r="E1817" t="s">
        <v>11</v>
      </c>
      <c r="F1817">
        <v>4</v>
      </c>
      <c r="G1817" t="s">
        <v>13</v>
      </c>
    </row>
    <row r="1818" spans="1:7" x14ac:dyDescent="0.25">
      <c r="A1818">
        <v>130</v>
      </c>
      <c r="B1818" t="s">
        <v>591</v>
      </c>
      <c r="C1818">
        <v>110</v>
      </c>
      <c r="D1818" t="s">
        <v>20</v>
      </c>
      <c r="E1818" t="s">
        <v>11</v>
      </c>
      <c r="F1818">
        <v>1</v>
      </c>
      <c r="G1818" t="s">
        <v>13</v>
      </c>
    </row>
    <row r="1819" spans="1:7" x14ac:dyDescent="0.25">
      <c r="A1819">
        <v>130</v>
      </c>
      <c r="B1819" t="s">
        <v>591</v>
      </c>
      <c r="C1819">
        <v>120</v>
      </c>
      <c r="D1819" t="s">
        <v>21</v>
      </c>
      <c r="E1819" t="s">
        <v>11</v>
      </c>
      <c r="F1819">
        <v>1</v>
      </c>
      <c r="G1819" t="s">
        <v>13</v>
      </c>
    </row>
    <row r="1820" spans="1:7" x14ac:dyDescent="0.25">
      <c r="A1820">
        <v>130</v>
      </c>
      <c r="B1820" t="s">
        <v>591</v>
      </c>
      <c r="C1820">
        <v>130</v>
      </c>
      <c r="D1820" t="s">
        <v>110</v>
      </c>
      <c r="E1820" t="s">
        <v>12</v>
      </c>
      <c r="F1820">
        <v>0.82399999999999995</v>
      </c>
      <c r="G1820" t="s">
        <v>13</v>
      </c>
    </row>
    <row r="1821" spans="1:7" x14ac:dyDescent="0.25">
      <c r="A1821">
        <v>130</v>
      </c>
      <c r="B1821" t="s">
        <v>591</v>
      </c>
      <c r="C1821">
        <v>140</v>
      </c>
      <c r="D1821" t="s">
        <v>453</v>
      </c>
      <c r="E1821" t="s">
        <v>11</v>
      </c>
      <c r="F1821">
        <v>1</v>
      </c>
      <c r="G1821" t="s">
        <v>15</v>
      </c>
    </row>
    <row r="1822" spans="1:7" x14ac:dyDescent="0.25">
      <c r="A1822">
        <v>131</v>
      </c>
      <c r="B1822" t="s">
        <v>594</v>
      </c>
      <c r="C1822">
        <v>10</v>
      </c>
      <c r="D1822" t="s">
        <v>187</v>
      </c>
      <c r="E1822" t="s">
        <v>14</v>
      </c>
      <c r="F1822">
        <v>1.397</v>
      </c>
      <c r="G1822" t="s">
        <v>15</v>
      </c>
    </row>
    <row r="1823" spans="1:7" x14ac:dyDescent="0.25">
      <c r="A1823">
        <v>131</v>
      </c>
      <c r="B1823" t="s">
        <v>594</v>
      </c>
      <c r="C1823">
        <v>20</v>
      </c>
      <c r="D1823" t="s">
        <v>595</v>
      </c>
      <c r="E1823" t="s">
        <v>11</v>
      </c>
      <c r="F1823">
        <v>1</v>
      </c>
      <c r="G1823" t="s">
        <v>15</v>
      </c>
    </row>
    <row r="1824" spans="1:7" x14ac:dyDescent="0.25">
      <c r="A1824">
        <v>131</v>
      </c>
      <c r="B1824" t="s">
        <v>594</v>
      </c>
      <c r="C1824">
        <v>30</v>
      </c>
      <c r="D1824" t="s">
        <v>596</v>
      </c>
      <c r="E1824" t="s">
        <v>11</v>
      </c>
      <c r="F1824">
        <v>1</v>
      </c>
      <c r="G1824" t="s">
        <v>15</v>
      </c>
    </row>
    <row r="1825" spans="1:7" x14ac:dyDescent="0.25">
      <c r="A1825">
        <v>131</v>
      </c>
      <c r="B1825" t="s">
        <v>594</v>
      </c>
      <c r="C1825">
        <v>40</v>
      </c>
      <c r="D1825" t="s">
        <v>266</v>
      </c>
      <c r="E1825" t="s">
        <v>14</v>
      </c>
      <c r="F1825">
        <v>1.397</v>
      </c>
      <c r="G1825" t="s">
        <v>15</v>
      </c>
    </row>
    <row r="1826" spans="1:7" x14ac:dyDescent="0.25">
      <c r="A1826">
        <v>131</v>
      </c>
      <c r="B1826" t="s">
        <v>594</v>
      </c>
      <c r="C1826">
        <v>50</v>
      </c>
      <c r="D1826" t="s">
        <v>107</v>
      </c>
      <c r="E1826" t="s">
        <v>108</v>
      </c>
      <c r="F1826">
        <v>0.85299999999999998</v>
      </c>
      <c r="G1826" t="s">
        <v>13</v>
      </c>
    </row>
    <row r="1827" spans="1:7" x14ac:dyDescent="0.25">
      <c r="A1827">
        <v>131</v>
      </c>
      <c r="B1827" t="s">
        <v>594</v>
      </c>
      <c r="C1827">
        <v>60</v>
      </c>
      <c r="D1827" t="s">
        <v>267</v>
      </c>
      <c r="E1827" t="s">
        <v>11</v>
      </c>
      <c r="F1827">
        <v>1</v>
      </c>
      <c r="G1827" t="s">
        <v>13</v>
      </c>
    </row>
    <row r="1828" spans="1:7" x14ac:dyDescent="0.25">
      <c r="A1828">
        <v>131</v>
      </c>
      <c r="B1828" t="s">
        <v>594</v>
      </c>
      <c r="C1828">
        <v>70</v>
      </c>
      <c r="D1828" t="s">
        <v>109</v>
      </c>
      <c r="E1828" t="s">
        <v>14</v>
      </c>
      <c r="F1828">
        <v>20.268999999999998</v>
      </c>
      <c r="G1828" t="s">
        <v>13</v>
      </c>
    </row>
    <row r="1829" spans="1:7" x14ac:dyDescent="0.25">
      <c r="A1829">
        <v>131</v>
      </c>
      <c r="B1829" t="s">
        <v>594</v>
      </c>
      <c r="C1829">
        <v>80</v>
      </c>
      <c r="D1829" t="s">
        <v>16</v>
      </c>
      <c r="E1829" t="s">
        <v>14</v>
      </c>
      <c r="F1829">
        <v>125.593</v>
      </c>
      <c r="G1829" t="s">
        <v>13</v>
      </c>
    </row>
    <row r="1830" spans="1:7" x14ac:dyDescent="0.25">
      <c r="A1830">
        <v>131</v>
      </c>
      <c r="B1830" t="s">
        <v>594</v>
      </c>
      <c r="C1830">
        <v>90</v>
      </c>
      <c r="D1830" t="s">
        <v>265</v>
      </c>
      <c r="E1830" t="s">
        <v>12</v>
      </c>
      <c r="F1830">
        <v>0.121</v>
      </c>
      <c r="G1830" t="s">
        <v>13</v>
      </c>
    </row>
    <row r="1831" spans="1:7" x14ac:dyDescent="0.25">
      <c r="A1831">
        <v>131</v>
      </c>
      <c r="B1831" t="s">
        <v>594</v>
      </c>
      <c r="C1831">
        <v>100</v>
      </c>
      <c r="D1831" t="s">
        <v>269</v>
      </c>
      <c r="E1831" t="s">
        <v>11</v>
      </c>
      <c r="F1831">
        <v>4</v>
      </c>
      <c r="G1831" t="s">
        <v>13</v>
      </c>
    </row>
    <row r="1832" spans="1:7" x14ac:dyDescent="0.25">
      <c r="A1832">
        <v>131</v>
      </c>
      <c r="B1832" t="s">
        <v>594</v>
      </c>
      <c r="C1832">
        <v>110</v>
      </c>
      <c r="D1832" t="s">
        <v>20</v>
      </c>
      <c r="E1832" t="s">
        <v>11</v>
      </c>
      <c r="F1832">
        <v>1</v>
      </c>
      <c r="G1832" t="s">
        <v>13</v>
      </c>
    </row>
    <row r="1833" spans="1:7" x14ac:dyDescent="0.25">
      <c r="A1833">
        <v>131</v>
      </c>
      <c r="B1833" t="s">
        <v>594</v>
      </c>
      <c r="C1833">
        <v>120</v>
      </c>
      <c r="D1833" t="s">
        <v>21</v>
      </c>
      <c r="E1833" t="s">
        <v>11</v>
      </c>
      <c r="F1833">
        <v>1</v>
      </c>
      <c r="G1833" t="s">
        <v>13</v>
      </c>
    </row>
    <row r="1834" spans="1:7" x14ac:dyDescent="0.25">
      <c r="A1834">
        <v>131</v>
      </c>
      <c r="B1834" t="s">
        <v>594</v>
      </c>
      <c r="C1834">
        <v>130</v>
      </c>
      <c r="D1834" t="s">
        <v>110</v>
      </c>
      <c r="E1834" t="s">
        <v>12</v>
      </c>
      <c r="F1834">
        <v>0.86499999999999999</v>
      </c>
      <c r="G1834" t="s">
        <v>13</v>
      </c>
    </row>
    <row r="1835" spans="1:7" x14ac:dyDescent="0.25">
      <c r="A1835">
        <v>131</v>
      </c>
      <c r="B1835" t="s">
        <v>594</v>
      </c>
      <c r="C1835">
        <v>140</v>
      </c>
      <c r="D1835" t="s">
        <v>457</v>
      </c>
      <c r="E1835" t="s">
        <v>11</v>
      </c>
      <c r="F1835">
        <v>1</v>
      </c>
      <c r="G1835" t="s">
        <v>15</v>
      </c>
    </row>
    <row r="1836" spans="1:7" x14ac:dyDescent="0.25">
      <c r="A1836">
        <v>132</v>
      </c>
      <c r="B1836" t="s">
        <v>597</v>
      </c>
      <c r="C1836">
        <v>10</v>
      </c>
      <c r="D1836" t="s">
        <v>187</v>
      </c>
      <c r="E1836" t="s">
        <v>14</v>
      </c>
      <c r="F1836">
        <v>1.4730000000000001</v>
      </c>
      <c r="G1836" t="s">
        <v>15</v>
      </c>
    </row>
    <row r="1837" spans="1:7" x14ac:dyDescent="0.25">
      <c r="A1837">
        <v>132</v>
      </c>
      <c r="B1837" t="s">
        <v>597</v>
      </c>
      <c r="C1837">
        <v>20</v>
      </c>
      <c r="D1837" t="s">
        <v>598</v>
      </c>
      <c r="E1837" t="s">
        <v>11</v>
      </c>
      <c r="F1837">
        <v>1</v>
      </c>
      <c r="G1837" t="s">
        <v>15</v>
      </c>
    </row>
    <row r="1838" spans="1:7" x14ac:dyDescent="0.25">
      <c r="A1838">
        <v>132</v>
      </c>
      <c r="B1838" t="s">
        <v>597</v>
      </c>
      <c r="C1838">
        <v>30</v>
      </c>
      <c r="D1838" t="s">
        <v>599</v>
      </c>
      <c r="E1838" t="s">
        <v>11</v>
      </c>
      <c r="F1838">
        <v>1</v>
      </c>
      <c r="G1838" t="s">
        <v>15</v>
      </c>
    </row>
    <row r="1839" spans="1:7" x14ac:dyDescent="0.25">
      <c r="A1839">
        <v>132</v>
      </c>
      <c r="B1839" t="s">
        <v>597</v>
      </c>
      <c r="C1839">
        <v>40</v>
      </c>
      <c r="D1839" t="s">
        <v>266</v>
      </c>
      <c r="E1839" t="s">
        <v>14</v>
      </c>
      <c r="F1839">
        <v>1.4730000000000001</v>
      </c>
      <c r="G1839" t="s">
        <v>15</v>
      </c>
    </row>
    <row r="1840" spans="1:7" x14ac:dyDescent="0.25">
      <c r="A1840">
        <v>132</v>
      </c>
      <c r="B1840" t="s">
        <v>597</v>
      </c>
      <c r="C1840">
        <v>50</v>
      </c>
      <c r="D1840" t="s">
        <v>107</v>
      </c>
      <c r="E1840" t="s">
        <v>108</v>
      </c>
      <c r="F1840">
        <v>0.9</v>
      </c>
      <c r="G1840" t="s">
        <v>13</v>
      </c>
    </row>
    <row r="1841" spans="1:7" x14ac:dyDescent="0.25">
      <c r="A1841">
        <v>132</v>
      </c>
      <c r="B1841" t="s">
        <v>597</v>
      </c>
      <c r="C1841">
        <v>60</v>
      </c>
      <c r="D1841" t="s">
        <v>267</v>
      </c>
      <c r="E1841" t="s">
        <v>11</v>
      </c>
      <c r="F1841">
        <v>1</v>
      </c>
      <c r="G1841" t="s">
        <v>13</v>
      </c>
    </row>
    <row r="1842" spans="1:7" x14ac:dyDescent="0.25">
      <c r="A1842">
        <v>132</v>
      </c>
      <c r="B1842" t="s">
        <v>597</v>
      </c>
      <c r="C1842">
        <v>70</v>
      </c>
      <c r="D1842" t="s">
        <v>109</v>
      </c>
      <c r="E1842" t="s">
        <v>14</v>
      </c>
      <c r="F1842">
        <v>20.725999999999999</v>
      </c>
      <c r="G1842" t="s">
        <v>13</v>
      </c>
    </row>
    <row r="1843" spans="1:7" x14ac:dyDescent="0.25">
      <c r="A1843">
        <v>132</v>
      </c>
      <c r="B1843" t="s">
        <v>597</v>
      </c>
      <c r="C1843">
        <v>80</v>
      </c>
      <c r="D1843" t="s">
        <v>16</v>
      </c>
      <c r="E1843" t="s">
        <v>14</v>
      </c>
      <c r="F1843">
        <v>128.405</v>
      </c>
      <c r="G1843" t="s">
        <v>13</v>
      </c>
    </row>
    <row r="1844" spans="1:7" x14ac:dyDescent="0.25">
      <c r="A1844">
        <v>132</v>
      </c>
      <c r="B1844" t="s">
        <v>597</v>
      </c>
      <c r="C1844">
        <v>90</v>
      </c>
      <c r="D1844" t="s">
        <v>265</v>
      </c>
      <c r="E1844" t="s">
        <v>12</v>
      </c>
      <c r="F1844">
        <v>0.126</v>
      </c>
      <c r="G1844" t="s">
        <v>13</v>
      </c>
    </row>
    <row r="1845" spans="1:7" x14ac:dyDescent="0.25">
      <c r="A1845">
        <v>132</v>
      </c>
      <c r="B1845" t="s">
        <v>597</v>
      </c>
      <c r="C1845">
        <v>100</v>
      </c>
      <c r="D1845" t="s">
        <v>269</v>
      </c>
      <c r="E1845" t="s">
        <v>11</v>
      </c>
      <c r="F1845">
        <v>4</v>
      </c>
      <c r="G1845" t="s">
        <v>13</v>
      </c>
    </row>
    <row r="1846" spans="1:7" x14ac:dyDescent="0.25">
      <c r="A1846">
        <v>132</v>
      </c>
      <c r="B1846" t="s">
        <v>597</v>
      </c>
      <c r="C1846">
        <v>110</v>
      </c>
      <c r="D1846" t="s">
        <v>20</v>
      </c>
      <c r="E1846" t="s">
        <v>11</v>
      </c>
      <c r="F1846">
        <v>1</v>
      </c>
      <c r="G1846" t="s">
        <v>13</v>
      </c>
    </row>
    <row r="1847" spans="1:7" x14ac:dyDescent="0.25">
      <c r="A1847">
        <v>132</v>
      </c>
      <c r="B1847" t="s">
        <v>597</v>
      </c>
      <c r="C1847">
        <v>120</v>
      </c>
      <c r="D1847" t="s">
        <v>21</v>
      </c>
      <c r="E1847" t="s">
        <v>11</v>
      </c>
      <c r="F1847">
        <v>1</v>
      </c>
      <c r="G1847" t="s">
        <v>13</v>
      </c>
    </row>
    <row r="1848" spans="1:7" x14ac:dyDescent="0.25">
      <c r="A1848">
        <v>132</v>
      </c>
      <c r="B1848" t="s">
        <v>597</v>
      </c>
      <c r="C1848">
        <v>130</v>
      </c>
      <c r="D1848" t="s">
        <v>110</v>
      </c>
      <c r="E1848" t="s">
        <v>12</v>
      </c>
      <c r="F1848">
        <v>0.90500000000000003</v>
      </c>
      <c r="G1848" t="s">
        <v>13</v>
      </c>
    </row>
    <row r="1849" spans="1:7" x14ac:dyDescent="0.25">
      <c r="A1849">
        <v>132</v>
      </c>
      <c r="B1849" t="s">
        <v>597</v>
      </c>
      <c r="C1849">
        <v>140</v>
      </c>
      <c r="D1849" t="s">
        <v>461</v>
      </c>
      <c r="E1849" t="s">
        <v>11</v>
      </c>
      <c r="F1849">
        <v>1</v>
      </c>
      <c r="G1849" t="s">
        <v>15</v>
      </c>
    </row>
    <row r="1850" spans="1:7" x14ac:dyDescent="0.25">
      <c r="A1850">
        <v>133</v>
      </c>
      <c r="B1850" t="s">
        <v>600</v>
      </c>
      <c r="C1850">
        <v>10</v>
      </c>
      <c r="D1850" t="s">
        <v>187</v>
      </c>
      <c r="E1850" t="s">
        <v>14</v>
      </c>
      <c r="F1850">
        <v>1.6259999999999999</v>
      </c>
      <c r="G1850" t="s">
        <v>15</v>
      </c>
    </row>
    <row r="1851" spans="1:7" x14ac:dyDescent="0.25">
      <c r="A1851">
        <v>133</v>
      </c>
      <c r="B1851" t="s">
        <v>600</v>
      </c>
      <c r="C1851">
        <v>20</v>
      </c>
      <c r="D1851" t="s">
        <v>601</v>
      </c>
      <c r="E1851" t="s">
        <v>11</v>
      </c>
      <c r="F1851">
        <v>1</v>
      </c>
      <c r="G1851" t="s">
        <v>15</v>
      </c>
    </row>
    <row r="1852" spans="1:7" x14ac:dyDescent="0.25">
      <c r="A1852">
        <v>133</v>
      </c>
      <c r="B1852" t="s">
        <v>600</v>
      </c>
      <c r="C1852">
        <v>30</v>
      </c>
      <c r="D1852" t="s">
        <v>602</v>
      </c>
      <c r="E1852" t="s">
        <v>11</v>
      </c>
      <c r="F1852">
        <v>1</v>
      </c>
      <c r="G1852" t="s">
        <v>15</v>
      </c>
    </row>
    <row r="1853" spans="1:7" x14ac:dyDescent="0.25">
      <c r="A1853">
        <v>133</v>
      </c>
      <c r="B1853" t="s">
        <v>600</v>
      </c>
      <c r="C1853">
        <v>40</v>
      </c>
      <c r="D1853" t="s">
        <v>266</v>
      </c>
      <c r="E1853" t="s">
        <v>14</v>
      </c>
      <c r="F1853">
        <v>1.6259999999999999</v>
      </c>
      <c r="G1853" t="s">
        <v>15</v>
      </c>
    </row>
    <row r="1854" spans="1:7" x14ac:dyDescent="0.25">
      <c r="A1854">
        <v>133</v>
      </c>
      <c r="B1854" t="s">
        <v>600</v>
      </c>
      <c r="C1854">
        <v>50</v>
      </c>
      <c r="D1854" t="s">
        <v>107</v>
      </c>
      <c r="E1854" t="s">
        <v>108</v>
      </c>
      <c r="F1854">
        <v>0.995</v>
      </c>
      <c r="G1854" t="s">
        <v>13</v>
      </c>
    </row>
    <row r="1855" spans="1:7" x14ac:dyDescent="0.25">
      <c r="A1855">
        <v>133</v>
      </c>
      <c r="B1855" t="s">
        <v>600</v>
      </c>
      <c r="C1855">
        <v>60</v>
      </c>
      <c r="D1855" t="s">
        <v>267</v>
      </c>
      <c r="E1855" t="s">
        <v>11</v>
      </c>
      <c r="F1855">
        <v>1</v>
      </c>
      <c r="G1855" t="s">
        <v>13</v>
      </c>
    </row>
    <row r="1856" spans="1:7" x14ac:dyDescent="0.25">
      <c r="A1856">
        <v>133</v>
      </c>
      <c r="B1856" t="s">
        <v>600</v>
      </c>
      <c r="C1856">
        <v>70</v>
      </c>
      <c r="D1856" t="s">
        <v>109</v>
      </c>
      <c r="E1856" t="s">
        <v>14</v>
      </c>
      <c r="F1856">
        <v>21.640999999999998</v>
      </c>
      <c r="G1856" t="s">
        <v>13</v>
      </c>
    </row>
    <row r="1857" spans="1:7" x14ac:dyDescent="0.25">
      <c r="A1857">
        <v>133</v>
      </c>
      <c r="B1857" t="s">
        <v>600</v>
      </c>
      <c r="C1857">
        <v>80</v>
      </c>
      <c r="D1857" t="s">
        <v>16</v>
      </c>
      <c r="E1857" t="s">
        <v>14</v>
      </c>
      <c r="F1857">
        <v>134.02799999999999</v>
      </c>
      <c r="G1857" t="s">
        <v>13</v>
      </c>
    </row>
    <row r="1858" spans="1:7" x14ac:dyDescent="0.25">
      <c r="A1858">
        <v>133</v>
      </c>
      <c r="B1858" t="s">
        <v>600</v>
      </c>
      <c r="C1858">
        <v>90</v>
      </c>
      <c r="D1858" t="s">
        <v>265</v>
      </c>
      <c r="E1858" t="s">
        <v>12</v>
      </c>
      <c r="F1858">
        <v>0.13700000000000001</v>
      </c>
      <c r="G1858" t="s">
        <v>13</v>
      </c>
    </row>
    <row r="1859" spans="1:7" x14ac:dyDescent="0.25">
      <c r="A1859">
        <v>133</v>
      </c>
      <c r="B1859" t="s">
        <v>600</v>
      </c>
      <c r="C1859">
        <v>100</v>
      </c>
      <c r="D1859" t="s">
        <v>269</v>
      </c>
      <c r="E1859" t="s">
        <v>11</v>
      </c>
      <c r="F1859">
        <v>4</v>
      </c>
      <c r="G1859" t="s">
        <v>13</v>
      </c>
    </row>
    <row r="1860" spans="1:7" x14ac:dyDescent="0.25">
      <c r="A1860">
        <v>133</v>
      </c>
      <c r="B1860" t="s">
        <v>600</v>
      </c>
      <c r="C1860">
        <v>110</v>
      </c>
      <c r="D1860" t="s">
        <v>20</v>
      </c>
      <c r="E1860" t="s">
        <v>11</v>
      </c>
      <c r="F1860">
        <v>1</v>
      </c>
      <c r="G1860" t="s">
        <v>13</v>
      </c>
    </row>
    <row r="1861" spans="1:7" x14ac:dyDescent="0.25">
      <c r="A1861">
        <v>133</v>
      </c>
      <c r="B1861" t="s">
        <v>600</v>
      </c>
      <c r="C1861">
        <v>120</v>
      </c>
      <c r="D1861" t="s">
        <v>21</v>
      </c>
      <c r="E1861" t="s">
        <v>11</v>
      </c>
      <c r="F1861">
        <v>1</v>
      </c>
      <c r="G1861" t="s">
        <v>13</v>
      </c>
    </row>
    <row r="1862" spans="1:7" x14ac:dyDescent="0.25">
      <c r="A1862">
        <v>133</v>
      </c>
      <c r="B1862" t="s">
        <v>600</v>
      </c>
      <c r="C1862">
        <v>130</v>
      </c>
      <c r="D1862" t="s">
        <v>110</v>
      </c>
      <c r="E1862" t="s">
        <v>12</v>
      </c>
      <c r="F1862">
        <v>0.98599999999999999</v>
      </c>
      <c r="G1862" t="s">
        <v>13</v>
      </c>
    </row>
    <row r="1863" spans="1:7" x14ac:dyDescent="0.25">
      <c r="A1863">
        <v>133</v>
      </c>
      <c r="B1863" t="s">
        <v>600</v>
      </c>
      <c r="C1863">
        <v>140</v>
      </c>
      <c r="D1863" t="s">
        <v>465</v>
      </c>
      <c r="E1863" t="s">
        <v>11</v>
      </c>
      <c r="F1863">
        <v>1</v>
      </c>
      <c r="G1863" t="s">
        <v>15</v>
      </c>
    </row>
    <row r="1864" spans="1:7" x14ac:dyDescent="0.25">
      <c r="A1864">
        <v>134</v>
      </c>
      <c r="B1864" t="s">
        <v>603</v>
      </c>
      <c r="C1864">
        <v>10</v>
      </c>
      <c r="D1864" t="s">
        <v>187</v>
      </c>
      <c r="E1864" t="s">
        <v>14</v>
      </c>
      <c r="F1864">
        <v>1.778</v>
      </c>
      <c r="G1864" t="s">
        <v>15</v>
      </c>
    </row>
    <row r="1865" spans="1:7" x14ac:dyDescent="0.25">
      <c r="A1865">
        <v>134</v>
      </c>
      <c r="B1865" t="s">
        <v>603</v>
      </c>
      <c r="C1865">
        <v>20</v>
      </c>
      <c r="D1865" t="s">
        <v>604</v>
      </c>
      <c r="E1865" t="s">
        <v>11</v>
      </c>
      <c r="F1865">
        <v>1</v>
      </c>
      <c r="G1865" t="s">
        <v>15</v>
      </c>
    </row>
    <row r="1866" spans="1:7" x14ac:dyDescent="0.25">
      <c r="A1866">
        <v>134</v>
      </c>
      <c r="B1866" t="s">
        <v>603</v>
      </c>
      <c r="C1866">
        <v>30</v>
      </c>
      <c r="D1866" t="s">
        <v>605</v>
      </c>
      <c r="E1866" t="s">
        <v>11</v>
      </c>
      <c r="F1866">
        <v>1</v>
      </c>
      <c r="G1866" t="s">
        <v>15</v>
      </c>
    </row>
    <row r="1867" spans="1:7" x14ac:dyDescent="0.25">
      <c r="A1867">
        <v>134</v>
      </c>
      <c r="B1867" t="s">
        <v>603</v>
      </c>
      <c r="C1867">
        <v>40</v>
      </c>
      <c r="D1867" t="s">
        <v>266</v>
      </c>
      <c r="E1867" t="s">
        <v>14</v>
      </c>
      <c r="F1867">
        <v>1.778</v>
      </c>
      <c r="G1867" t="s">
        <v>15</v>
      </c>
    </row>
    <row r="1868" spans="1:7" x14ac:dyDescent="0.25">
      <c r="A1868">
        <v>134</v>
      </c>
      <c r="B1868" t="s">
        <v>603</v>
      </c>
      <c r="C1868">
        <v>50</v>
      </c>
      <c r="D1868" t="s">
        <v>107</v>
      </c>
      <c r="E1868" t="s">
        <v>108</v>
      </c>
      <c r="F1868">
        <v>1.0900000000000001</v>
      </c>
      <c r="G1868" t="s">
        <v>13</v>
      </c>
    </row>
    <row r="1869" spans="1:7" x14ac:dyDescent="0.25">
      <c r="A1869">
        <v>134</v>
      </c>
      <c r="B1869" t="s">
        <v>603</v>
      </c>
      <c r="C1869">
        <v>60</v>
      </c>
      <c r="D1869" t="s">
        <v>267</v>
      </c>
      <c r="E1869" t="s">
        <v>11</v>
      </c>
      <c r="F1869">
        <v>1</v>
      </c>
      <c r="G1869" t="s">
        <v>13</v>
      </c>
    </row>
    <row r="1870" spans="1:7" x14ac:dyDescent="0.25">
      <c r="A1870">
        <v>134</v>
      </c>
      <c r="B1870" t="s">
        <v>603</v>
      </c>
      <c r="C1870">
        <v>70</v>
      </c>
      <c r="D1870" t="s">
        <v>109</v>
      </c>
      <c r="E1870" t="s">
        <v>14</v>
      </c>
      <c r="F1870">
        <v>22.555</v>
      </c>
      <c r="G1870" t="s">
        <v>13</v>
      </c>
    </row>
    <row r="1871" spans="1:7" x14ac:dyDescent="0.25">
      <c r="A1871">
        <v>134</v>
      </c>
      <c r="B1871" t="s">
        <v>603</v>
      </c>
      <c r="C1871">
        <v>80</v>
      </c>
      <c r="D1871" t="s">
        <v>16</v>
      </c>
      <c r="E1871" t="s">
        <v>14</v>
      </c>
      <c r="F1871">
        <v>139.65199999999999</v>
      </c>
      <c r="G1871" t="s">
        <v>13</v>
      </c>
    </row>
    <row r="1872" spans="1:7" x14ac:dyDescent="0.25">
      <c r="A1872">
        <v>134</v>
      </c>
      <c r="B1872" t="s">
        <v>603</v>
      </c>
      <c r="C1872">
        <v>90</v>
      </c>
      <c r="D1872" t="s">
        <v>265</v>
      </c>
      <c r="E1872" t="s">
        <v>12</v>
      </c>
      <c r="F1872">
        <v>0.14799999999999999</v>
      </c>
      <c r="G1872" t="s">
        <v>13</v>
      </c>
    </row>
    <row r="1873" spans="1:7" x14ac:dyDescent="0.25">
      <c r="A1873">
        <v>134</v>
      </c>
      <c r="B1873" t="s">
        <v>603</v>
      </c>
      <c r="C1873">
        <v>100</v>
      </c>
      <c r="D1873" t="s">
        <v>269</v>
      </c>
      <c r="E1873" t="s">
        <v>11</v>
      </c>
      <c r="F1873">
        <v>4</v>
      </c>
      <c r="G1873" t="s">
        <v>13</v>
      </c>
    </row>
    <row r="1874" spans="1:7" x14ac:dyDescent="0.25">
      <c r="A1874">
        <v>134</v>
      </c>
      <c r="B1874" t="s">
        <v>603</v>
      </c>
      <c r="C1874">
        <v>110</v>
      </c>
      <c r="D1874" t="s">
        <v>20</v>
      </c>
      <c r="E1874" t="s">
        <v>11</v>
      </c>
      <c r="F1874">
        <v>1</v>
      </c>
      <c r="G1874" t="s">
        <v>13</v>
      </c>
    </row>
    <row r="1875" spans="1:7" x14ac:dyDescent="0.25">
      <c r="A1875">
        <v>134</v>
      </c>
      <c r="B1875" t="s">
        <v>603</v>
      </c>
      <c r="C1875">
        <v>120</v>
      </c>
      <c r="D1875" t="s">
        <v>21</v>
      </c>
      <c r="E1875" t="s">
        <v>11</v>
      </c>
      <c r="F1875">
        <v>1</v>
      </c>
      <c r="G1875" t="s">
        <v>13</v>
      </c>
    </row>
    <row r="1876" spans="1:7" x14ac:dyDescent="0.25">
      <c r="A1876">
        <v>134</v>
      </c>
      <c r="B1876" t="s">
        <v>603</v>
      </c>
      <c r="C1876">
        <v>130</v>
      </c>
      <c r="D1876" t="s">
        <v>110</v>
      </c>
      <c r="E1876" t="s">
        <v>12</v>
      </c>
      <c r="F1876">
        <v>1.0669999999999999</v>
      </c>
      <c r="G1876" t="s">
        <v>13</v>
      </c>
    </row>
    <row r="1877" spans="1:7" x14ac:dyDescent="0.25">
      <c r="A1877">
        <v>134</v>
      </c>
      <c r="B1877" t="s">
        <v>603</v>
      </c>
      <c r="C1877">
        <v>140</v>
      </c>
      <c r="D1877" t="s">
        <v>469</v>
      </c>
      <c r="E1877" t="s">
        <v>11</v>
      </c>
      <c r="F1877">
        <v>1</v>
      </c>
      <c r="G1877" t="s">
        <v>15</v>
      </c>
    </row>
    <row r="1878" spans="1:7" x14ac:dyDescent="0.25">
      <c r="A1878">
        <v>135</v>
      </c>
      <c r="B1878" t="s">
        <v>606</v>
      </c>
      <c r="C1878">
        <v>10</v>
      </c>
      <c r="D1878" t="s">
        <v>187</v>
      </c>
      <c r="E1878" t="s">
        <v>14</v>
      </c>
      <c r="F1878">
        <v>0.86399999999999999</v>
      </c>
      <c r="G1878" t="s">
        <v>15</v>
      </c>
    </row>
    <row r="1879" spans="1:7" x14ac:dyDescent="0.25">
      <c r="A1879">
        <v>135</v>
      </c>
      <c r="B1879" t="s">
        <v>606</v>
      </c>
      <c r="C1879">
        <v>20</v>
      </c>
      <c r="D1879" t="s">
        <v>607</v>
      </c>
      <c r="E1879" t="s">
        <v>11</v>
      </c>
      <c r="F1879">
        <v>1</v>
      </c>
      <c r="G1879" t="s">
        <v>15</v>
      </c>
    </row>
    <row r="1880" spans="1:7" x14ac:dyDescent="0.25">
      <c r="A1880">
        <v>135</v>
      </c>
      <c r="B1880" t="s">
        <v>606</v>
      </c>
      <c r="C1880">
        <v>30</v>
      </c>
      <c r="D1880" t="s">
        <v>608</v>
      </c>
      <c r="E1880" t="s">
        <v>11</v>
      </c>
      <c r="F1880">
        <v>1</v>
      </c>
      <c r="G1880" t="s">
        <v>15</v>
      </c>
    </row>
    <row r="1881" spans="1:7" x14ac:dyDescent="0.25">
      <c r="A1881">
        <v>135</v>
      </c>
      <c r="B1881" t="s">
        <v>606</v>
      </c>
      <c r="C1881">
        <v>40</v>
      </c>
      <c r="D1881" t="s">
        <v>266</v>
      </c>
      <c r="E1881" t="s">
        <v>14</v>
      </c>
      <c r="F1881">
        <v>0.86399999999999999</v>
      </c>
      <c r="G1881" t="s">
        <v>15</v>
      </c>
    </row>
    <row r="1882" spans="1:7" x14ac:dyDescent="0.25">
      <c r="A1882">
        <v>135</v>
      </c>
      <c r="B1882" t="s">
        <v>606</v>
      </c>
      <c r="C1882">
        <v>50</v>
      </c>
      <c r="D1882" t="s">
        <v>107</v>
      </c>
      <c r="E1882" t="s">
        <v>108</v>
      </c>
      <c r="F1882">
        <v>0.53500000000000003</v>
      </c>
      <c r="G1882" t="s">
        <v>13</v>
      </c>
    </row>
    <row r="1883" spans="1:7" x14ac:dyDescent="0.25">
      <c r="A1883">
        <v>135</v>
      </c>
      <c r="B1883" t="s">
        <v>606</v>
      </c>
      <c r="C1883">
        <v>60</v>
      </c>
      <c r="D1883" t="s">
        <v>267</v>
      </c>
      <c r="E1883" t="s">
        <v>11</v>
      </c>
      <c r="F1883">
        <v>1</v>
      </c>
      <c r="G1883" t="s">
        <v>13</v>
      </c>
    </row>
    <row r="1884" spans="1:7" x14ac:dyDescent="0.25">
      <c r="A1884">
        <v>135</v>
      </c>
      <c r="B1884" t="s">
        <v>606</v>
      </c>
      <c r="C1884">
        <v>70</v>
      </c>
      <c r="D1884" t="s">
        <v>109</v>
      </c>
      <c r="E1884" t="s">
        <v>14</v>
      </c>
      <c r="F1884">
        <v>17.373999999999999</v>
      </c>
      <c r="G1884" t="s">
        <v>13</v>
      </c>
    </row>
    <row r="1885" spans="1:7" x14ac:dyDescent="0.25">
      <c r="A1885">
        <v>135</v>
      </c>
      <c r="B1885" t="s">
        <v>606</v>
      </c>
      <c r="C1885">
        <v>80</v>
      </c>
      <c r="D1885" t="s">
        <v>16</v>
      </c>
      <c r="E1885" t="s">
        <v>14</v>
      </c>
      <c r="F1885">
        <v>107.785</v>
      </c>
      <c r="G1885" t="s">
        <v>13</v>
      </c>
    </row>
    <row r="1886" spans="1:7" x14ac:dyDescent="0.25">
      <c r="A1886">
        <v>135</v>
      </c>
      <c r="B1886" t="s">
        <v>606</v>
      </c>
      <c r="C1886">
        <v>90</v>
      </c>
      <c r="D1886" t="s">
        <v>265</v>
      </c>
      <c r="E1886" t="s">
        <v>12</v>
      </c>
      <c r="F1886">
        <v>8.4000000000000005E-2</v>
      </c>
      <c r="G1886" t="s">
        <v>13</v>
      </c>
    </row>
    <row r="1887" spans="1:7" x14ac:dyDescent="0.25">
      <c r="A1887">
        <v>135</v>
      </c>
      <c r="B1887" t="s">
        <v>606</v>
      </c>
      <c r="C1887">
        <v>100</v>
      </c>
      <c r="D1887" t="s">
        <v>269</v>
      </c>
      <c r="E1887" t="s">
        <v>11</v>
      </c>
      <c r="F1887">
        <v>4</v>
      </c>
      <c r="G1887" t="s">
        <v>13</v>
      </c>
    </row>
    <row r="1888" spans="1:7" x14ac:dyDescent="0.25">
      <c r="A1888">
        <v>135</v>
      </c>
      <c r="B1888" t="s">
        <v>606</v>
      </c>
      <c r="C1888">
        <v>110</v>
      </c>
      <c r="D1888" t="s">
        <v>20</v>
      </c>
      <c r="E1888" t="s">
        <v>11</v>
      </c>
      <c r="F1888">
        <v>1</v>
      </c>
      <c r="G1888" t="s">
        <v>13</v>
      </c>
    </row>
    <row r="1889" spans="1:7" x14ac:dyDescent="0.25">
      <c r="A1889">
        <v>135</v>
      </c>
      <c r="B1889" t="s">
        <v>606</v>
      </c>
      <c r="C1889">
        <v>120</v>
      </c>
      <c r="D1889" t="s">
        <v>21</v>
      </c>
      <c r="E1889" t="s">
        <v>11</v>
      </c>
      <c r="F1889">
        <v>1</v>
      </c>
      <c r="G1889" t="s">
        <v>13</v>
      </c>
    </row>
    <row r="1890" spans="1:7" x14ac:dyDescent="0.25">
      <c r="A1890">
        <v>135</v>
      </c>
      <c r="B1890" t="s">
        <v>606</v>
      </c>
      <c r="C1890">
        <v>130</v>
      </c>
      <c r="D1890" t="s">
        <v>110</v>
      </c>
      <c r="E1890" t="s">
        <v>12</v>
      </c>
      <c r="F1890">
        <v>1.216</v>
      </c>
      <c r="G1890" t="s">
        <v>13</v>
      </c>
    </row>
    <row r="1891" spans="1:7" x14ac:dyDescent="0.25">
      <c r="A1891">
        <v>135</v>
      </c>
      <c r="B1891" t="s">
        <v>606</v>
      </c>
      <c r="C1891">
        <v>140</v>
      </c>
      <c r="D1891" t="s">
        <v>473</v>
      </c>
      <c r="E1891" t="s">
        <v>11</v>
      </c>
      <c r="F1891">
        <v>1</v>
      </c>
      <c r="G1891" t="s">
        <v>15</v>
      </c>
    </row>
    <row r="1892" spans="1:7" x14ac:dyDescent="0.25">
      <c r="A1892">
        <v>136</v>
      </c>
      <c r="B1892" t="s">
        <v>609</v>
      </c>
      <c r="C1892">
        <v>10</v>
      </c>
      <c r="D1892" t="s">
        <v>187</v>
      </c>
      <c r="E1892" t="s">
        <v>14</v>
      </c>
      <c r="F1892">
        <v>1.016</v>
      </c>
      <c r="G1892" t="s">
        <v>15</v>
      </c>
    </row>
    <row r="1893" spans="1:7" x14ac:dyDescent="0.25">
      <c r="A1893">
        <v>136</v>
      </c>
      <c r="B1893" t="s">
        <v>609</v>
      </c>
      <c r="C1893">
        <v>20</v>
      </c>
      <c r="D1893" t="s">
        <v>610</v>
      </c>
      <c r="E1893" t="s">
        <v>11</v>
      </c>
      <c r="F1893">
        <v>1</v>
      </c>
      <c r="G1893" t="s">
        <v>15</v>
      </c>
    </row>
    <row r="1894" spans="1:7" x14ac:dyDescent="0.25">
      <c r="A1894">
        <v>136</v>
      </c>
      <c r="B1894" t="s">
        <v>609</v>
      </c>
      <c r="C1894">
        <v>30</v>
      </c>
      <c r="D1894" t="s">
        <v>611</v>
      </c>
      <c r="E1894" t="s">
        <v>11</v>
      </c>
      <c r="F1894">
        <v>1</v>
      </c>
      <c r="G1894" t="s">
        <v>15</v>
      </c>
    </row>
    <row r="1895" spans="1:7" x14ac:dyDescent="0.25">
      <c r="A1895">
        <v>136</v>
      </c>
      <c r="B1895" t="s">
        <v>609</v>
      </c>
      <c r="C1895">
        <v>40</v>
      </c>
      <c r="D1895" t="s">
        <v>266</v>
      </c>
      <c r="E1895" t="s">
        <v>14</v>
      </c>
      <c r="F1895">
        <v>1.016</v>
      </c>
      <c r="G1895" t="s">
        <v>15</v>
      </c>
    </row>
    <row r="1896" spans="1:7" x14ac:dyDescent="0.25">
      <c r="A1896">
        <v>136</v>
      </c>
      <c r="B1896" t="s">
        <v>609</v>
      </c>
      <c r="C1896">
        <v>50</v>
      </c>
      <c r="D1896" t="s">
        <v>107</v>
      </c>
      <c r="E1896" t="s">
        <v>108</v>
      </c>
      <c r="F1896">
        <v>0.63200000000000001</v>
      </c>
      <c r="G1896" t="s">
        <v>13</v>
      </c>
    </row>
    <row r="1897" spans="1:7" x14ac:dyDescent="0.25">
      <c r="A1897">
        <v>136</v>
      </c>
      <c r="B1897" t="s">
        <v>609</v>
      </c>
      <c r="C1897">
        <v>60</v>
      </c>
      <c r="D1897" t="s">
        <v>267</v>
      </c>
      <c r="E1897" t="s">
        <v>11</v>
      </c>
      <c r="F1897">
        <v>1</v>
      </c>
      <c r="G1897" t="s">
        <v>13</v>
      </c>
    </row>
    <row r="1898" spans="1:7" x14ac:dyDescent="0.25">
      <c r="A1898">
        <v>136</v>
      </c>
      <c r="B1898" t="s">
        <v>609</v>
      </c>
      <c r="C1898">
        <v>70</v>
      </c>
      <c r="D1898" t="s">
        <v>109</v>
      </c>
      <c r="E1898" t="s">
        <v>14</v>
      </c>
      <c r="F1898">
        <v>18.288</v>
      </c>
      <c r="G1898" t="s">
        <v>13</v>
      </c>
    </row>
    <row r="1899" spans="1:7" x14ac:dyDescent="0.25">
      <c r="A1899">
        <v>136</v>
      </c>
      <c r="B1899" t="s">
        <v>609</v>
      </c>
      <c r="C1899">
        <v>80</v>
      </c>
      <c r="D1899" t="s">
        <v>16</v>
      </c>
      <c r="E1899" t="s">
        <v>14</v>
      </c>
      <c r="F1899">
        <v>113.408</v>
      </c>
      <c r="G1899" t="s">
        <v>13</v>
      </c>
    </row>
    <row r="1900" spans="1:7" x14ac:dyDescent="0.25">
      <c r="A1900">
        <v>136</v>
      </c>
      <c r="B1900" t="s">
        <v>609</v>
      </c>
      <c r="C1900">
        <v>90</v>
      </c>
      <c r="D1900" t="s">
        <v>265</v>
      </c>
      <c r="E1900" t="s">
        <v>12</v>
      </c>
      <c r="F1900">
        <v>9.4E-2</v>
      </c>
      <c r="G1900" t="s">
        <v>13</v>
      </c>
    </row>
    <row r="1901" spans="1:7" x14ac:dyDescent="0.25">
      <c r="A1901">
        <v>136</v>
      </c>
      <c r="B1901" t="s">
        <v>609</v>
      </c>
      <c r="C1901">
        <v>100</v>
      </c>
      <c r="D1901" t="s">
        <v>269</v>
      </c>
      <c r="E1901" t="s">
        <v>11</v>
      </c>
      <c r="F1901">
        <v>4</v>
      </c>
      <c r="G1901" t="s">
        <v>13</v>
      </c>
    </row>
    <row r="1902" spans="1:7" x14ac:dyDescent="0.25">
      <c r="A1902">
        <v>136</v>
      </c>
      <c r="B1902" t="s">
        <v>609</v>
      </c>
      <c r="C1902">
        <v>110</v>
      </c>
      <c r="D1902" t="s">
        <v>20</v>
      </c>
      <c r="E1902" t="s">
        <v>11</v>
      </c>
      <c r="F1902">
        <v>1</v>
      </c>
      <c r="G1902" t="s">
        <v>13</v>
      </c>
    </row>
    <row r="1903" spans="1:7" x14ac:dyDescent="0.25">
      <c r="A1903">
        <v>136</v>
      </c>
      <c r="B1903" t="s">
        <v>609</v>
      </c>
      <c r="C1903">
        <v>120</v>
      </c>
      <c r="D1903" t="s">
        <v>21</v>
      </c>
      <c r="E1903" t="s">
        <v>11</v>
      </c>
      <c r="F1903">
        <v>1</v>
      </c>
      <c r="G1903" t="s">
        <v>13</v>
      </c>
    </row>
    <row r="1904" spans="1:7" x14ac:dyDescent="0.25">
      <c r="A1904">
        <v>136</v>
      </c>
      <c r="B1904" t="s">
        <v>609</v>
      </c>
      <c r="C1904">
        <v>130</v>
      </c>
      <c r="D1904" t="s">
        <v>110</v>
      </c>
      <c r="E1904" t="s">
        <v>12</v>
      </c>
      <c r="F1904">
        <v>1.216</v>
      </c>
      <c r="G1904" t="s">
        <v>13</v>
      </c>
    </row>
    <row r="1905" spans="1:7" x14ac:dyDescent="0.25">
      <c r="A1905">
        <v>136</v>
      </c>
      <c r="B1905" t="s">
        <v>609</v>
      </c>
      <c r="C1905">
        <v>140</v>
      </c>
      <c r="D1905" t="s">
        <v>477</v>
      </c>
      <c r="E1905" t="s">
        <v>11</v>
      </c>
      <c r="F1905">
        <v>1</v>
      </c>
      <c r="G1905" t="s">
        <v>15</v>
      </c>
    </row>
    <row r="1906" spans="1:7" x14ac:dyDescent="0.25">
      <c r="A1906">
        <v>137</v>
      </c>
      <c r="B1906" t="s">
        <v>612</v>
      </c>
      <c r="C1906">
        <v>10</v>
      </c>
      <c r="D1906" t="s">
        <v>187</v>
      </c>
      <c r="E1906" t="s">
        <v>14</v>
      </c>
      <c r="F1906">
        <v>1.1679999999999999</v>
      </c>
      <c r="G1906" t="s">
        <v>15</v>
      </c>
    </row>
    <row r="1907" spans="1:7" x14ac:dyDescent="0.25">
      <c r="A1907">
        <v>137</v>
      </c>
      <c r="B1907" t="s">
        <v>612</v>
      </c>
      <c r="C1907">
        <v>20</v>
      </c>
      <c r="D1907" t="s">
        <v>613</v>
      </c>
      <c r="E1907" t="s">
        <v>11</v>
      </c>
      <c r="F1907">
        <v>1</v>
      </c>
      <c r="G1907" t="s">
        <v>15</v>
      </c>
    </row>
    <row r="1908" spans="1:7" x14ac:dyDescent="0.25">
      <c r="A1908">
        <v>137</v>
      </c>
      <c r="B1908" t="s">
        <v>612</v>
      </c>
      <c r="C1908">
        <v>30</v>
      </c>
      <c r="D1908" t="s">
        <v>614</v>
      </c>
      <c r="E1908" t="s">
        <v>11</v>
      </c>
      <c r="F1908">
        <v>1</v>
      </c>
      <c r="G1908" t="s">
        <v>15</v>
      </c>
    </row>
    <row r="1909" spans="1:7" x14ac:dyDescent="0.25">
      <c r="A1909">
        <v>137</v>
      </c>
      <c r="B1909" t="s">
        <v>612</v>
      </c>
      <c r="C1909">
        <v>40</v>
      </c>
      <c r="D1909" t="s">
        <v>266</v>
      </c>
      <c r="E1909" t="s">
        <v>14</v>
      </c>
      <c r="F1909">
        <v>1.1679999999999999</v>
      </c>
      <c r="G1909" t="s">
        <v>15</v>
      </c>
    </row>
    <row r="1910" spans="1:7" x14ac:dyDescent="0.25">
      <c r="A1910">
        <v>137</v>
      </c>
      <c r="B1910" t="s">
        <v>612</v>
      </c>
      <c r="C1910">
        <v>50</v>
      </c>
      <c r="D1910" t="s">
        <v>107</v>
      </c>
      <c r="E1910" t="s">
        <v>108</v>
      </c>
      <c r="F1910">
        <v>0.72899999999999998</v>
      </c>
      <c r="G1910" t="s">
        <v>13</v>
      </c>
    </row>
    <row r="1911" spans="1:7" x14ac:dyDescent="0.25">
      <c r="A1911">
        <v>137</v>
      </c>
      <c r="B1911" t="s">
        <v>612</v>
      </c>
      <c r="C1911">
        <v>60</v>
      </c>
      <c r="D1911" t="s">
        <v>267</v>
      </c>
      <c r="E1911" t="s">
        <v>11</v>
      </c>
      <c r="F1911">
        <v>1</v>
      </c>
      <c r="G1911" t="s">
        <v>13</v>
      </c>
    </row>
    <row r="1912" spans="1:7" x14ac:dyDescent="0.25">
      <c r="A1912">
        <v>137</v>
      </c>
      <c r="B1912" t="s">
        <v>612</v>
      </c>
      <c r="C1912">
        <v>70</v>
      </c>
      <c r="D1912" t="s">
        <v>109</v>
      </c>
      <c r="E1912" t="s">
        <v>14</v>
      </c>
      <c r="F1912">
        <v>19.202000000000002</v>
      </c>
      <c r="G1912" t="s">
        <v>13</v>
      </c>
    </row>
    <row r="1913" spans="1:7" x14ac:dyDescent="0.25">
      <c r="A1913">
        <v>137</v>
      </c>
      <c r="B1913" t="s">
        <v>612</v>
      </c>
      <c r="C1913">
        <v>80</v>
      </c>
      <c r="D1913" t="s">
        <v>16</v>
      </c>
      <c r="E1913" t="s">
        <v>14</v>
      </c>
      <c r="F1913">
        <v>119.032</v>
      </c>
      <c r="G1913" t="s">
        <v>13</v>
      </c>
    </row>
    <row r="1914" spans="1:7" x14ac:dyDescent="0.25">
      <c r="A1914">
        <v>137</v>
      </c>
      <c r="B1914" t="s">
        <v>612</v>
      </c>
      <c r="C1914">
        <v>90</v>
      </c>
      <c r="D1914" t="s">
        <v>265</v>
      </c>
      <c r="E1914" t="s">
        <v>12</v>
      </c>
      <c r="F1914">
        <v>0.105</v>
      </c>
      <c r="G1914" t="s">
        <v>13</v>
      </c>
    </row>
    <row r="1915" spans="1:7" x14ac:dyDescent="0.25">
      <c r="A1915">
        <v>137</v>
      </c>
      <c r="B1915" t="s">
        <v>612</v>
      </c>
      <c r="C1915">
        <v>100</v>
      </c>
      <c r="D1915" t="s">
        <v>269</v>
      </c>
      <c r="E1915" t="s">
        <v>11</v>
      </c>
      <c r="F1915">
        <v>4</v>
      </c>
      <c r="G1915" t="s">
        <v>13</v>
      </c>
    </row>
    <row r="1916" spans="1:7" x14ac:dyDescent="0.25">
      <c r="A1916">
        <v>137</v>
      </c>
      <c r="B1916" t="s">
        <v>612</v>
      </c>
      <c r="C1916">
        <v>110</v>
      </c>
      <c r="D1916" t="s">
        <v>20</v>
      </c>
      <c r="E1916" t="s">
        <v>11</v>
      </c>
      <c r="F1916">
        <v>1</v>
      </c>
      <c r="G1916" t="s">
        <v>13</v>
      </c>
    </row>
    <row r="1917" spans="1:7" x14ac:dyDescent="0.25">
      <c r="A1917">
        <v>137</v>
      </c>
      <c r="B1917" t="s">
        <v>612</v>
      </c>
      <c r="C1917">
        <v>120</v>
      </c>
      <c r="D1917" t="s">
        <v>21</v>
      </c>
      <c r="E1917" t="s">
        <v>11</v>
      </c>
      <c r="F1917">
        <v>1</v>
      </c>
      <c r="G1917" t="s">
        <v>13</v>
      </c>
    </row>
    <row r="1918" spans="1:7" x14ac:dyDescent="0.25">
      <c r="A1918">
        <v>137</v>
      </c>
      <c r="B1918" t="s">
        <v>612</v>
      </c>
      <c r="C1918">
        <v>130</v>
      </c>
      <c r="D1918" t="s">
        <v>110</v>
      </c>
      <c r="E1918" t="s">
        <v>12</v>
      </c>
      <c r="F1918">
        <v>1.216</v>
      </c>
      <c r="G1918" t="s">
        <v>13</v>
      </c>
    </row>
    <row r="1919" spans="1:7" x14ac:dyDescent="0.25">
      <c r="A1919">
        <v>137</v>
      </c>
      <c r="B1919" t="s">
        <v>612</v>
      </c>
      <c r="C1919">
        <v>140</v>
      </c>
      <c r="D1919" t="s">
        <v>481</v>
      </c>
      <c r="E1919" t="s">
        <v>11</v>
      </c>
      <c r="F1919">
        <v>1</v>
      </c>
      <c r="G1919" t="s">
        <v>15</v>
      </c>
    </row>
    <row r="1920" spans="1:7" x14ac:dyDescent="0.25">
      <c r="A1920">
        <v>138</v>
      </c>
      <c r="B1920" t="s">
        <v>615</v>
      </c>
      <c r="C1920">
        <v>10</v>
      </c>
      <c r="D1920" t="s">
        <v>187</v>
      </c>
      <c r="E1920" t="s">
        <v>14</v>
      </c>
      <c r="F1920">
        <v>1.321</v>
      </c>
      <c r="G1920" t="s">
        <v>15</v>
      </c>
    </row>
    <row r="1921" spans="1:7" x14ac:dyDescent="0.25">
      <c r="A1921">
        <v>138</v>
      </c>
      <c r="B1921" t="s">
        <v>615</v>
      </c>
      <c r="C1921">
        <v>20</v>
      </c>
      <c r="D1921" t="s">
        <v>616</v>
      </c>
      <c r="E1921" t="s">
        <v>11</v>
      </c>
      <c r="F1921">
        <v>1</v>
      </c>
      <c r="G1921" t="s">
        <v>15</v>
      </c>
    </row>
    <row r="1922" spans="1:7" x14ac:dyDescent="0.25">
      <c r="A1922">
        <v>138</v>
      </c>
      <c r="B1922" t="s">
        <v>615</v>
      </c>
      <c r="C1922">
        <v>30</v>
      </c>
      <c r="D1922" t="s">
        <v>617</v>
      </c>
      <c r="E1922" t="s">
        <v>11</v>
      </c>
      <c r="F1922">
        <v>1</v>
      </c>
      <c r="G1922" t="s">
        <v>15</v>
      </c>
    </row>
    <row r="1923" spans="1:7" x14ac:dyDescent="0.25">
      <c r="A1923">
        <v>138</v>
      </c>
      <c r="B1923" t="s">
        <v>615</v>
      </c>
      <c r="C1923">
        <v>40</v>
      </c>
      <c r="D1923" t="s">
        <v>266</v>
      </c>
      <c r="E1923" t="s">
        <v>14</v>
      </c>
      <c r="F1923">
        <v>1.321</v>
      </c>
      <c r="G1923" t="s">
        <v>15</v>
      </c>
    </row>
    <row r="1924" spans="1:7" x14ac:dyDescent="0.25">
      <c r="A1924">
        <v>138</v>
      </c>
      <c r="B1924" t="s">
        <v>615</v>
      </c>
      <c r="C1924">
        <v>50</v>
      </c>
      <c r="D1924" t="s">
        <v>107</v>
      </c>
      <c r="E1924" t="s">
        <v>108</v>
      </c>
      <c r="F1924">
        <v>0.82599999999999996</v>
      </c>
      <c r="G1924" t="s">
        <v>13</v>
      </c>
    </row>
    <row r="1925" spans="1:7" x14ac:dyDescent="0.25">
      <c r="A1925">
        <v>138</v>
      </c>
      <c r="B1925" t="s">
        <v>615</v>
      </c>
      <c r="C1925">
        <v>60</v>
      </c>
      <c r="D1925" t="s">
        <v>267</v>
      </c>
      <c r="E1925" t="s">
        <v>11</v>
      </c>
      <c r="F1925">
        <v>1</v>
      </c>
      <c r="G1925" t="s">
        <v>13</v>
      </c>
    </row>
    <row r="1926" spans="1:7" x14ac:dyDescent="0.25">
      <c r="A1926">
        <v>138</v>
      </c>
      <c r="B1926" t="s">
        <v>615</v>
      </c>
      <c r="C1926">
        <v>70</v>
      </c>
      <c r="D1926" t="s">
        <v>109</v>
      </c>
      <c r="E1926" t="s">
        <v>14</v>
      </c>
      <c r="F1926">
        <v>20.117000000000001</v>
      </c>
      <c r="G1926" t="s">
        <v>13</v>
      </c>
    </row>
    <row r="1927" spans="1:7" x14ac:dyDescent="0.25">
      <c r="A1927">
        <v>138</v>
      </c>
      <c r="B1927" t="s">
        <v>615</v>
      </c>
      <c r="C1927">
        <v>80</v>
      </c>
      <c r="D1927" t="s">
        <v>16</v>
      </c>
      <c r="E1927" t="s">
        <v>14</v>
      </c>
      <c r="F1927">
        <v>124.65600000000001</v>
      </c>
      <c r="G1927" t="s">
        <v>13</v>
      </c>
    </row>
    <row r="1928" spans="1:7" x14ac:dyDescent="0.25">
      <c r="A1928">
        <v>138</v>
      </c>
      <c r="B1928" t="s">
        <v>615</v>
      </c>
      <c r="C1928">
        <v>90</v>
      </c>
      <c r="D1928" t="s">
        <v>265</v>
      </c>
      <c r="E1928" t="s">
        <v>12</v>
      </c>
      <c r="F1928">
        <v>0.11600000000000001</v>
      </c>
      <c r="G1928" t="s">
        <v>13</v>
      </c>
    </row>
    <row r="1929" spans="1:7" x14ac:dyDescent="0.25">
      <c r="A1929">
        <v>138</v>
      </c>
      <c r="B1929" t="s">
        <v>615</v>
      </c>
      <c r="C1929">
        <v>100</v>
      </c>
      <c r="D1929" t="s">
        <v>269</v>
      </c>
      <c r="E1929" t="s">
        <v>11</v>
      </c>
      <c r="F1929">
        <v>4</v>
      </c>
      <c r="G1929" t="s">
        <v>13</v>
      </c>
    </row>
    <row r="1930" spans="1:7" x14ac:dyDescent="0.25">
      <c r="A1930">
        <v>138</v>
      </c>
      <c r="B1930" t="s">
        <v>615</v>
      </c>
      <c r="C1930">
        <v>110</v>
      </c>
      <c r="D1930" t="s">
        <v>20</v>
      </c>
      <c r="E1930" t="s">
        <v>11</v>
      </c>
      <c r="F1930">
        <v>1</v>
      </c>
      <c r="G1930" t="s">
        <v>13</v>
      </c>
    </row>
    <row r="1931" spans="1:7" x14ac:dyDescent="0.25">
      <c r="A1931">
        <v>138</v>
      </c>
      <c r="B1931" t="s">
        <v>615</v>
      </c>
      <c r="C1931">
        <v>120</v>
      </c>
      <c r="D1931" t="s">
        <v>21</v>
      </c>
      <c r="E1931" t="s">
        <v>11</v>
      </c>
      <c r="F1931">
        <v>1</v>
      </c>
      <c r="G1931" t="s">
        <v>13</v>
      </c>
    </row>
    <row r="1932" spans="1:7" x14ac:dyDescent="0.25">
      <c r="A1932">
        <v>138</v>
      </c>
      <c r="B1932" t="s">
        <v>615</v>
      </c>
      <c r="C1932">
        <v>130</v>
      </c>
      <c r="D1932" t="s">
        <v>110</v>
      </c>
      <c r="E1932" t="s">
        <v>12</v>
      </c>
      <c r="F1932">
        <v>1.216</v>
      </c>
      <c r="G1932" t="s">
        <v>13</v>
      </c>
    </row>
    <row r="1933" spans="1:7" x14ac:dyDescent="0.25">
      <c r="A1933">
        <v>138</v>
      </c>
      <c r="B1933" t="s">
        <v>615</v>
      </c>
      <c r="C1933">
        <v>140</v>
      </c>
      <c r="D1933" t="s">
        <v>485</v>
      </c>
      <c r="E1933" t="s">
        <v>11</v>
      </c>
      <c r="F1933">
        <v>1</v>
      </c>
      <c r="G1933" t="s">
        <v>15</v>
      </c>
    </row>
    <row r="1934" spans="1:7" x14ac:dyDescent="0.25">
      <c r="A1934">
        <v>139</v>
      </c>
      <c r="B1934" t="s">
        <v>618</v>
      </c>
      <c r="C1934">
        <v>10</v>
      </c>
      <c r="D1934" t="s">
        <v>187</v>
      </c>
      <c r="E1934" t="s">
        <v>14</v>
      </c>
      <c r="F1934">
        <v>1.397</v>
      </c>
      <c r="G1934" t="s">
        <v>15</v>
      </c>
    </row>
    <row r="1935" spans="1:7" x14ac:dyDescent="0.25">
      <c r="A1935">
        <v>139</v>
      </c>
      <c r="B1935" t="s">
        <v>618</v>
      </c>
      <c r="C1935">
        <v>20</v>
      </c>
      <c r="D1935" t="s">
        <v>619</v>
      </c>
      <c r="E1935" t="s">
        <v>11</v>
      </c>
      <c r="F1935">
        <v>1</v>
      </c>
      <c r="G1935" t="s">
        <v>15</v>
      </c>
    </row>
    <row r="1936" spans="1:7" x14ac:dyDescent="0.25">
      <c r="A1936">
        <v>139</v>
      </c>
      <c r="B1936" t="s">
        <v>618</v>
      </c>
      <c r="C1936">
        <v>30</v>
      </c>
      <c r="D1936" t="s">
        <v>620</v>
      </c>
      <c r="E1936" t="s">
        <v>11</v>
      </c>
      <c r="F1936">
        <v>1</v>
      </c>
      <c r="G1936" t="s">
        <v>15</v>
      </c>
    </row>
    <row r="1937" spans="1:7" x14ac:dyDescent="0.25">
      <c r="A1937">
        <v>139</v>
      </c>
      <c r="B1937" t="s">
        <v>618</v>
      </c>
      <c r="C1937">
        <v>40</v>
      </c>
      <c r="D1937" t="s">
        <v>266</v>
      </c>
      <c r="E1937" t="s">
        <v>14</v>
      </c>
      <c r="F1937">
        <v>1.397</v>
      </c>
      <c r="G1937" t="s">
        <v>15</v>
      </c>
    </row>
    <row r="1938" spans="1:7" x14ac:dyDescent="0.25">
      <c r="A1938">
        <v>139</v>
      </c>
      <c r="B1938" t="s">
        <v>618</v>
      </c>
      <c r="C1938">
        <v>50</v>
      </c>
      <c r="D1938" t="s">
        <v>107</v>
      </c>
      <c r="E1938" t="s">
        <v>108</v>
      </c>
      <c r="F1938">
        <v>0.875</v>
      </c>
      <c r="G1938" t="s">
        <v>13</v>
      </c>
    </row>
    <row r="1939" spans="1:7" x14ac:dyDescent="0.25">
      <c r="A1939">
        <v>139</v>
      </c>
      <c r="B1939" t="s">
        <v>618</v>
      </c>
      <c r="C1939">
        <v>60</v>
      </c>
      <c r="D1939" t="s">
        <v>267</v>
      </c>
      <c r="E1939" t="s">
        <v>11</v>
      </c>
      <c r="F1939">
        <v>1</v>
      </c>
      <c r="G1939" t="s">
        <v>13</v>
      </c>
    </row>
    <row r="1940" spans="1:7" x14ac:dyDescent="0.25">
      <c r="A1940">
        <v>139</v>
      </c>
      <c r="B1940" t="s">
        <v>618</v>
      </c>
      <c r="C1940">
        <v>70</v>
      </c>
      <c r="D1940" t="s">
        <v>109</v>
      </c>
      <c r="E1940" t="s">
        <v>14</v>
      </c>
      <c r="F1940">
        <v>20.574000000000002</v>
      </c>
      <c r="G1940" t="s">
        <v>13</v>
      </c>
    </row>
    <row r="1941" spans="1:7" x14ac:dyDescent="0.25">
      <c r="A1941">
        <v>139</v>
      </c>
      <c r="B1941" t="s">
        <v>618</v>
      </c>
      <c r="C1941">
        <v>80</v>
      </c>
      <c r="D1941" t="s">
        <v>16</v>
      </c>
      <c r="E1941" t="s">
        <v>14</v>
      </c>
      <c r="F1941">
        <v>127.467</v>
      </c>
      <c r="G1941" t="s">
        <v>13</v>
      </c>
    </row>
    <row r="1942" spans="1:7" x14ac:dyDescent="0.25">
      <c r="A1942">
        <v>139</v>
      </c>
      <c r="B1942" t="s">
        <v>618</v>
      </c>
      <c r="C1942">
        <v>90</v>
      </c>
      <c r="D1942" t="s">
        <v>265</v>
      </c>
      <c r="E1942" t="s">
        <v>12</v>
      </c>
      <c r="F1942">
        <v>0.121</v>
      </c>
      <c r="G1942" t="s">
        <v>13</v>
      </c>
    </row>
    <row r="1943" spans="1:7" x14ac:dyDescent="0.25">
      <c r="A1943">
        <v>139</v>
      </c>
      <c r="B1943" t="s">
        <v>618</v>
      </c>
      <c r="C1943">
        <v>100</v>
      </c>
      <c r="D1943" t="s">
        <v>269</v>
      </c>
      <c r="E1943" t="s">
        <v>11</v>
      </c>
      <c r="F1943">
        <v>4</v>
      </c>
      <c r="G1943" t="s">
        <v>13</v>
      </c>
    </row>
    <row r="1944" spans="1:7" x14ac:dyDescent="0.25">
      <c r="A1944">
        <v>139</v>
      </c>
      <c r="B1944" t="s">
        <v>618</v>
      </c>
      <c r="C1944">
        <v>110</v>
      </c>
      <c r="D1944" t="s">
        <v>20</v>
      </c>
      <c r="E1944" t="s">
        <v>11</v>
      </c>
      <c r="F1944">
        <v>1</v>
      </c>
      <c r="G1944" t="s">
        <v>13</v>
      </c>
    </row>
    <row r="1945" spans="1:7" x14ac:dyDescent="0.25">
      <c r="A1945">
        <v>139</v>
      </c>
      <c r="B1945" t="s">
        <v>618</v>
      </c>
      <c r="C1945">
        <v>120</v>
      </c>
      <c r="D1945" t="s">
        <v>21</v>
      </c>
      <c r="E1945" t="s">
        <v>11</v>
      </c>
      <c r="F1945">
        <v>1</v>
      </c>
      <c r="G1945" t="s">
        <v>13</v>
      </c>
    </row>
    <row r="1946" spans="1:7" x14ac:dyDescent="0.25">
      <c r="A1946">
        <v>139</v>
      </c>
      <c r="B1946" t="s">
        <v>618</v>
      </c>
      <c r="C1946">
        <v>130</v>
      </c>
      <c r="D1946" t="s">
        <v>110</v>
      </c>
      <c r="E1946" t="s">
        <v>12</v>
      </c>
      <c r="F1946">
        <v>1.216</v>
      </c>
      <c r="G1946" t="s">
        <v>13</v>
      </c>
    </row>
    <row r="1947" spans="1:7" x14ac:dyDescent="0.25">
      <c r="A1947">
        <v>139</v>
      </c>
      <c r="B1947" t="s">
        <v>618</v>
      </c>
      <c r="C1947">
        <v>140</v>
      </c>
      <c r="D1947" t="s">
        <v>489</v>
      </c>
      <c r="E1947" t="s">
        <v>11</v>
      </c>
      <c r="F1947">
        <v>1</v>
      </c>
      <c r="G1947" t="s">
        <v>15</v>
      </c>
    </row>
    <row r="1948" spans="1:7" x14ac:dyDescent="0.25">
      <c r="A1948">
        <v>140</v>
      </c>
      <c r="B1948" t="s">
        <v>621</v>
      </c>
      <c r="C1948">
        <v>10</v>
      </c>
      <c r="D1948" t="s">
        <v>187</v>
      </c>
      <c r="E1948" t="s">
        <v>14</v>
      </c>
      <c r="F1948">
        <v>1.4730000000000001</v>
      </c>
      <c r="G1948" t="s">
        <v>15</v>
      </c>
    </row>
    <row r="1949" spans="1:7" x14ac:dyDescent="0.25">
      <c r="A1949">
        <v>140</v>
      </c>
      <c r="B1949" t="s">
        <v>621</v>
      </c>
      <c r="C1949">
        <v>20</v>
      </c>
      <c r="D1949" t="s">
        <v>622</v>
      </c>
      <c r="E1949" t="s">
        <v>11</v>
      </c>
      <c r="F1949">
        <v>1</v>
      </c>
      <c r="G1949" t="s">
        <v>15</v>
      </c>
    </row>
    <row r="1950" spans="1:7" x14ac:dyDescent="0.25">
      <c r="A1950">
        <v>140</v>
      </c>
      <c r="B1950" t="s">
        <v>621</v>
      </c>
      <c r="C1950">
        <v>30</v>
      </c>
      <c r="D1950" t="s">
        <v>623</v>
      </c>
      <c r="E1950" t="s">
        <v>11</v>
      </c>
      <c r="F1950">
        <v>1</v>
      </c>
      <c r="G1950" t="s">
        <v>15</v>
      </c>
    </row>
    <row r="1951" spans="1:7" x14ac:dyDescent="0.25">
      <c r="A1951">
        <v>140</v>
      </c>
      <c r="B1951" t="s">
        <v>621</v>
      </c>
      <c r="C1951">
        <v>40</v>
      </c>
      <c r="D1951" t="s">
        <v>266</v>
      </c>
      <c r="E1951" t="s">
        <v>14</v>
      </c>
      <c r="F1951">
        <v>1.4730000000000001</v>
      </c>
      <c r="G1951" t="s">
        <v>15</v>
      </c>
    </row>
    <row r="1952" spans="1:7" x14ac:dyDescent="0.25">
      <c r="A1952">
        <v>140</v>
      </c>
      <c r="B1952" t="s">
        <v>621</v>
      </c>
      <c r="C1952">
        <v>50</v>
      </c>
      <c r="D1952" t="s">
        <v>107</v>
      </c>
      <c r="E1952" t="s">
        <v>108</v>
      </c>
      <c r="F1952">
        <v>0.92300000000000004</v>
      </c>
      <c r="G1952" t="s">
        <v>13</v>
      </c>
    </row>
    <row r="1953" spans="1:7" x14ac:dyDescent="0.25">
      <c r="A1953">
        <v>140</v>
      </c>
      <c r="B1953" t="s">
        <v>621</v>
      </c>
      <c r="C1953">
        <v>60</v>
      </c>
      <c r="D1953" t="s">
        <v>267</v>
      </c>
      <c r="E1953" t="s">
        <v>11</v>
      </c>
      <c r="F1953">
        <v>1</v>
      </c>
      <c r="G1953" t="s">
        <v>13</v>
      </c>
    </row>
    <row r="1954" spans="1:7" x14ac:dyDescent="0.25">
      <c r="A1954">
        <v>140</v>
      </c>
      <c r="B1954" t="s">
        <v>621</v>
      </c>
      <c r="C1954">
        <v>70</v>
      </c>
      <c r="D1954" t="s">
        <v>109</v>
      </c>
      <c r="E1954" t="s">
        <v>14</v>
      </c>
      <c r="F1954">
        <v>21.030999999999999</v>
      </c>
      <c r="G1954" t="s">
        <v>13</v>
      </c>
    </row>
    <row r="1955" spans="1:7" x14ac:dyDescent="0.25">
      <c r="A1955">
        <v>140</v>
      </c>
      <c r="B1955" t="s">
        <v>621</v>
      </c>
      <c r="C1955">
        <v>80</v>
      </c>
      <c r="D1955" t="s">
        <v>16</v>
      </c>
      <c r="E1955" t="s">
        <v>14</v>
      </c>
      <c r="F1955">
        <v>130.279</v>
      </c>
      <c r="G1955" t="s">
        <v>13</v>
      </c>
    </row>
    <row r="1956" spans="1:7" x14ac:dyDescent="0.25">
      <c r="A1956">
        <v>140</v>
      </c>
      <c r="B1956" t="s">
        <v>621</v>
      </c>
      <c r="C1956">
        <v>90</v>
      </c>
      <c r="D1956" t="s">
        <v>265</v>
      </c>
      <c r="E1956" t="s">
        <v>12</v>
      </c>
      <c r="F1956">
        <v>0.126</v>
      </c>
      <c r="G1956" t="s">
        <v>13</v>
      </c>
    </row>
    <row r="1957" spans="1:7" x14ac:dyDescent="0.25">
      <c r="A1957">
        <v>140</v>
      </c>
      <c r="B1957" t="s">
        <v>621</v>
      </c>
      <c r="C1957">
        <v>100</v>
      </c>
      <c r="D1957" t="s">
        <v>269</v>
      </c>
      <c r="E1957" t="s">
        <v>11</v>
      </c>
      <c r="F1957">
        <v>4</v>
      </c>
      <c r="G1957" t="s">
        <v>13</v>
      </c>
    </row>
    <row r="1958" spans="1:7" x14ac:dyDescent="0.25">
      <c r="A1958">
        <v>140</v>
      </c>
      <c r="B1958" t="s">
        <v>621</v>
      </c>
      <c r="C1958">
        <v>110</v>
      </c>
      <c r="D1958" t="s">
        <v>20</v>
      </c>
      <c r="E1958" t="s">
        <v>11</v>
      </c>
      <c r="F1958">
        <v>1</v>
      </c>
      <c r="G1958" t="s">
        <v>13</v>
      </c>
    </row>
    <row r="1959" spans="1:7" x14ac:dyDescent="0.25">
      <c r="A1959">
        <v>140</v>
      </c>
      <c r="B1959" t="s">
        <v>621</v>
      </c>
      <c r="C1959">
        <v>120</v>
      </c>
      <c r="D1959" t="s">
        <v>21</v>
      </c>
      <c r="E1959" t="s">
        <v>11</v>
      </c>
      <c r="F1959">
        <v>1</v>
      </c>
      <c r="G1959" t="s">
        <v>13</v>
      </c>
    </row>
    <row r="1960" spans="1:7" x14ac:dyDescent="0.25">
      <c r="A1960">
        <v>140</v>
      </c>
      <c r="B1960" t="s">
        <v>621</v>
      </c>
      <c r="C1960">
        <v>130</v>
      </c>
      <c r="D1960" t="s">
        <v>110</v>
      </c>
      <c r="E1960" t="s">
        <v>12</v>
      </c>
      <c r="F1960">
        <v>1.216</v>
      </c>
      <c r="G1960" t="s">
        <v>13</v>
      </c>
    </row>
    <row r="1961" spans="1:7" x14ac:dyDescent="0.25">
      <c r="A1961">
        <v>140</v>
      </c>
      <c r="B1961" t="s">
        <v>621</v>
      </c>
      <c r="C1961">
        <v>140</v>
      </c>
      <c r="D1961" t="s">
        <v>493</v>
      </c>
      <c r="E1961" t="s">
        <v>11</v>
      </c>
      <c r="F1961">
        <v>1</v>
      </c>
      <c r="G1961" t="s">
        <v>15</v>
      </c>
    </row>
    <row r="1962" spans="1:7" x14ac:dyDescent="0.25">
      <c r="A1962">
        <v>141</v>
      </c>
      <c r="B1962" t="s">
        <v>624</v>
      </c>
      <c r="C1962">
        <v>10</v>
      </c>
      <c r="D1962" t="s">
        <v>187</v>
      </c>
      <c r="E1962" t="s">
        <v>14</v>
      </c>
      <c r="F1962">
        <v>1.6259999999999999</v>
      </c>
      <c r="G1962" t="s">
        <v>15</v>
      </c>
    </row>
    <row r="1963" spans="1:7" x14ac:dyDescent="0.25">
      <c r="A1963">
        <v>141</v>
      </c>
      <c r="B1963" t="s">
        <v>624</v>
      </c>
      <c r="C1963">
        <v>20</v>
      </c>
      <c r="D1963" t="s">
        <v>625</v>
      </c>
      <c r="E1963" t="s">
        <v>11</v>
      </c>
      <c r="F1963">
        <v>1</v>
      </c>
      <c r="G1963" t="s">
        <v>15</v>
      </c>
    </row>
    <row r="1964" spans="1:7" x14ac:dyDescent="0.25">
      <c r="A1964">
        <v>141</v>
      </c>
      <c r="B1964" t="s">
        <v>624</v>
      </c>
      <c r="C1964">
        <v>30</v>
      </c>
      <c r="D1964" t="s">
        <v>626</v>
      </c>
      <c r="E1964" t="s">
        <v>11</v>
      </c>
      <c r="F1964">
        <v>1</v>
      </c>
      <c r="G1964" t="s">
        <v>15</v>
      </c>
    </row>
    <row r="1965" spans="1:7" x14ac:dyDescent="0.25">
      <c r="A1965">
        <v>141</v>
      </c>
      <c r="B1965" t="s">
        <v>624</v>
      </c>
      <c r="C1965">
        <v>40</v>
      </c>
      <c r="D1965" t="s">
        <v>266</v>
      </c>
      <c r="E1965" t="s">
        <v>14</v>
      </c>
      <c r="F1965">
        <v>1.6259999999999999</v>
      </c>
      <c r="G1965" t="s">
        <v>15</v>
      </c>
    </row>
    <row r="1966" spans="1:7" x14ac:dyDescent="0.25">
      <c r="A1966">
        <v>141</v>
      </c>
      <c r="B1966" t="s">
        <v>624</v>
      </c>
      <c r="C1966">
        <v>50</v>
      </c>
      <c r="D1966" t="s">
        <v>107</v>
      </c>
      <c r="E1966" t="s">
        <v>108</v>
      </c>
      <c r="F1966">
        <v>1.0209999999999999</v>
      </c>
      <c r="G1966" t="s">
        <v>13</v>
      </c>
    </row>
    <row r="1967" spans="1:7" x14ac:dyDescent="0.25">
      <c r="A1967">
        <v>141</v>
      </c>
      <c r="B1967" t="s">
        <v>624</v>
      </c>
      <c r="C1967">
        <v>60</v>
      </c>
      <c r="D1967" t="s">
        <v>267</v>
      </c>
      <c r="E1967" t="s">
        <v>11</v>
      </c>
      <c r="F1967">
        <v>1</v>
      </c>
      <c r="G1967" t="s">
        <v>13</v>
      </c>
    </row>
    <row r="1968" spans="1:7" x14ac:dyDescent="0.25">
      <c r="A1968">
        <v>141</v>
      </c>
      <c r="B1968" t="s">
        <v>624</v>
      </c>
      <c r="C1968">
        <v>70</v>
      </c>
      <c r="D1968" t="s">
        <v>109</v>
      </c>
      <c r="E1968" t="s">
        <v>14</v>
      </c>
      <c r="F1968">
        <v>21.946000000000002</v>
      </c>
      <c r="G1968" t="s">
        <v>13</v>
      </c>
    </row>
    <row r="1969" spans="1:7" x14ac:dyDescent="0.25">
      <c r="A1969">
        <v>141</v>
      </c>
      <c r="B1969" t="s">
        <v>624</v>
      </c>
      <c r="C1969">
        <v>80</v>
      </c>
      <c r="D1969" t="s">
        <v>16</v>
      </c>
      <c r="E1969" t="s">
        <v>14</v>
      </c>
      <c r="F1969">
        <v>135.90299999999999</v>
      </c>
      <c r="G1969" t="s">
        <v>13</v>
      </c>
    </row>
    <row r="1970" spans="1:7" x14ac:dyDescent="0.25">
      <c r="A1970">
        <v>141</v>
      </c>
      <c r="B1970" t="s">
        <v>624</v>
      </c>
      <c r="C1970">
        <v>90</v>
      </c>
      <c r="D1970" t="s">
        <v>265</v>
      </c>
      <c r="E1970" t="s">
        <v>12</v>
      </c>
      <c r="F1970">
        <v>0.13700000000000001</v>
      </c>
      <c r="G1970" t="s">
        <v>13</v>
      </c>
    </row>
    <row r="1971" spans="1:7" x14ac:dyDescent="0.25">
      <c r="A1971">
        <v>141</v>
      </c>
      <c r="B1971" t="s">
        <v>624</v>
      </c>
      <c r="C1971">
        <v>100</v>
      </c>
      <c r="D1971" t="s">
        <v>269</v>
      </c>
      <c r="E1971" t="s">
        <v>11</v>
      </c>
      <c r="F1971">
        <v>4</v>
      </c>
      <c r="G1971" t="s">
        <v>13</v>
      </c>
    </row>
    <row r="1972" spans="1:7" x14ac:dyDescent="0.25">
      <c r="A1972">
        <v>141</v>
      </c>
      <c r="B1972" t="s">
        <v>624</v>
      </c>
      <c r="C1972">
        <v>110</v>
      </c>
      <c r="D1972" t="s">
        <v>20</v>
      </c>
      <c r="E1972" t="s">
        <v>11</v>
      </c>
      <c r="F1972">
        <v>1</v>
      </c>
      <c r="G1972" t="s">
        <v>13</v>
      </c>
    </row>
    <row r="1973" spans="1:7" x14ac:dyDescent="0.25">
      <c r="A1973">
        <v>141</v>
      </c>
      <c r="B1973" t="s">
        <v>624</v>
      </c>
      <c r="C1973">
        <v>120</v>
      </c>
      <c r="D1973" t="s">
        <v>21</v>
      </c>
      <c r="E1973" t="s">
        <v>11</v>
      </c>
      <c r="F1973">
        <v>1</v>
      </c>
      <c r="G1973" t="s">
        <v>13</v>
      </c>
    </row>
    <row r="1974" spans="1:7" x14ac:dyDescent="0.25">
      <c r="A1974">
        <v>141</v>
      </c>
      <c r="B1974" t="s">
        <v>624</v>
      </c>
      <c r="C1974">
        <v>130</v>
      </c>
      <c r="D1974" t="s">
        <v>110</v>
      </c>
      <c r="E1974" t="s">
        <v>12</v>
      </c>
      <c r="F1974">
        <v>1.216</v>
      </c>
      <c r="G1974" t="s">
        <v>13</v>
      </c>
    </row>
    <row r="1975" spans="1:7" x14ac:dyDescent="0.25">
      <c r="A1975">
        <v>141</v>
      </c>
      <c r="B1975" t="s">
        <v>624</v>
      </c>
      <c r="C1975">
        <v>140</v>
      </c>
      <c r="D1975" t="s">
        <v>497</v>
      </c>
      <c r="E1975" t="s">
        <v>11</v>
      </c>
      <c r="F1975">
        <v>1</v>
      </c>
      <c r="G1975" t="s">
        <v>15</v>
      </c>
    </row>
    <row r="1976" spans="1:7" x14ac:dyDescent="0.25">
      <c r="A1976">
        <v>142</v>
      </c>
      <c r="B1976" t="s">
        <v>627</v>
      </c>
      <c r="C1976">
        <v>10</v>
      </c>
      <c r="D1976" t="s">
        <v>187</v>
      </c>
      <c r="E1976" t="s">
        <v>14</v>
      </c>
      <c r="F1976">
        <v>1.778</v>
      </c>
      <c r="G1976" t="s">
        <v>15</v>
      </c>
    </row>
    <row r="1977" spans="1:7" x14ac:dyDescent="0.25">
      <c r="A1977">
        <v>142</v>
      </c>
      <c r="B1977" t="s">
        <v>627</v>
      </c>
      <c r="C1977">
        <v>20</v>
      </c>
      <c r="D1977" t="s">
        <v>628</v>
      </c>
      <c r="E1977" t="s">
        <v>11</v>
      </c>
      <c r="F1977">
        <v>1</v>
      </c>
      <c r="G1977" t="s">
        <v>15</v>
      </c>
    </row>
    <row r="1978" spans="1:7" x14ac:dyDescent="0.25">
      <c r="A1978">
        <v>142</v>
      </c>
      <c r="B1978" t="s">
        <v>627</v>
      </c>
      <c r="C1978">
        <v>30</v>
      </c>
      <c r="D1978" t="s">
        <v>629</v>
      </c>
      <c r="E1978" t="s">
        <v>11</v>
      </c>
      <c r="F1978">
        <v>1</v>
      </c>
      <c r="G1978" t="s">
        <v>15</v>
      </c>
    </row>
    <row r="1979" spans="1:7" x14ac:dyDescent="0.25">
      <c r="A1979">
        <v>142</v>
      </c>
      <c r="B1979" t="s">
        <v>627</v>
      </c>
      <c r="C1979">
        <v>40</v>
      </c>
      <c r="D1979" t="s">
        <v>266</v>
      </c>
      <c r="E1979" t="s">
        <v>14</v>
      </c>
      <c r="F1979">
        <v>1.778</v>
      </c>
      <c r="G1979" t="s">
        <v>15</v>
      </c>
    </row>
    <row r="1980" spans="1:7" x14ac:dyDescent="0.25">
      <c r="A1980">
        <v>142</v>
      </c>
      <c r="B1980" t="s">
        <v>627</v>
      </c>
      <c r="C1980">
        <v>50</v>
      </c>
      <c r="D1980" t="s">
        <v>107</v>
      </c>
      <c r="E1980" t="s">
        <v>108</v>
      </c>
      <c r="F1980">
        <v>1.1180000000000001</v>
      </c>
      <c r="G1980" t="s">
        <v>13</v>
      </c>
    </row>
    <row r="1981" spans="1:7" x14ac:dyDescent="0.25">
      <c r="A1981">
        <v>142</v>
      </c>
      <c r="B1981" t="s">
        <v>627</v>
      </c>
      <c r="C1981">
        <v>60</v>
      </c>
      <c r="D1981" t="s">
        <v>267</v>
      </c>
      <c r="E1981" t="s">
        <v>11</v>
      </c>
      <c r="F1981">
        <v>1</v>
      </c>
      <c r="G1981" t="s">
        <v>13</v>
      </c>
    </row>
    <row r="1982" spans="1:7" x14ac:dyDescent="0.25">
      <c r="A1982">
        <v>142</v>
      </c>
      <c r="B1982" t="s">
        <v>627</v>
      </c>
      <c r="C1982">
        <v>70</v>
      </c>
      <c r="D1982" t="s">
        <v>109</v>
      </c>
      <c r="E1982" t="s">
        <v>14</v>
      </c>
      <c r="F1982">
        <v>22.86</v>
      </c>
      <c r="G1982" t="s">
        <v>13</v>
      </c>
    </row>
    <row r="1983" spans="1:7" x14ac:dyDescent="0.25">
      <c r="A1983">
        <v>142</v>
      </c>
      <c r="B1983" t="s">
        <v>627</v>
      </c>
      <c r="C1983">
        <v>80</v>
      </c>
      <c r="D1983" t="s">
        <v>16</v>
      </c>
      <c r="E1983" t="s">
        <v>14</v>
      </c>
      <c r="F1983">
        <v>141.52600000000001</v>
      </c>
      <c r="G1983" t="s">
        <v>13</v>
      </c>
    </row>
    <row r="1984" spans="1:7" x14ac:dyDescent="0.25">
      <c r="A1984">
        <v>142</v>
      </c>
      <c r="B1984" t="s">
        <v>627</v>
      </c>
      <c r="C1984">
        <v>90</v>
      </c>
      <c r="D1984" t="s">
        <v>265</v>
      </c>
      <c r="E1984" t="s">
        <v>12</v>
      </c>
      <c r="F1984">
        <v>0.14799999999999999</v>
      </c>
      <c r="G1984" t="s">
        <v>13</v>
      </c>
    </row>
    <row r="1985" spans="1:7" x14ac:dyDescent="0.25">
      <c r="A1985">
        <v>142</v>
      </c>
      <c r="B1985" t="s">
        <v>627</v>
      </c>
      <c r="C1985">
        <v>100</v>
      </c>
      <c r="D1985" t="s">
        <v>269</v>
      </c>
      <c r="E1985" t="s">
        <v>11</v>
      </c>
      <c r="F1985">
        <v>4</v>
      </c>
      <c r="G1985" t="s">
        <v>13</v>
      </c>
    </row>
    <row r="1986" spans="1:7" x14ac:dyDescent="0.25">
      <c r="A1986">
        <v>142</v>
      </c>
      <c r="B1986" t="s">
        <v>627</v>
      </c>
      <c r="C1986">
        <v>110</v>
      </c>
      <c r="D1986" t="s">
        <v>20</v>
      </c>
      <c r="E1986" t="s">
        <v>11</v>
      </c>
      <c r="F1986">
        <v>1</v>
      </c>
      <c r="G1986" t="s">
        <v>13</v>
      </c>
    </row>
    <row r="1987" spans="1:7" x14ac:dyDescent="0.25">
      <c r="A1987">
        <v>142</v>
      </c>
      <c r="B1987" t="s">
        <v>627</v>
      </c>
      <c r="C1987">
        <v>120</v>
      </c>
      <c r="D1987" t="s">
        <v>21</v>
      </c>
      <c r="E1987" t="s">
        <v>11</v>
      </c>
      <c r="F1987">
        <v>1</v>
      </c>
      <c r="G1987" t="s">
        <v>13</v>
      </c>
    </row>
    <row r="1988" spans="1:7" x14ac:dyDescent="0.25">
      <c r="A1988">
        <v>142</v>
      </c>
      <c r="B1988" t="s">
        <v>627</v>
      </c>
      <c r="C1988">
        <v>130</v>
      </c>
      <c r="D1988" t="s">
        <v>110</v>
      </c>
      <c r="E1988" t="s">
        <v>12</v>
      </c>
      <c r="F1988">
        <v>1.216</v>
      </c>
      <c r="G1988" t="s">
        <v>13</v>
      </c>
    </row>
    <row r="1989" spans="1:7" x14ac:dyDescent="0.25">
      <c r="A1989">
        <v>142</v>
      </c>
      <c r="B1989" t="s">
        <v>627</v>
      </c>
      <c r="C1989">
        <v>140</v>
      </c>
      <c r="D1989" t="s">
        <v>501</v>
      </c>
      <c r="E1989" t="s">
        <v>11</v>
      </c>
      <c r="F1989">
        <v>1</v>
      </c>
      <c r="G1989" t="s">
        <v>15</v>
      </c>
    </row>
    <row r="1990" spans="1:7" x14ac:dyDescent="0.25">
      <c r="A1990">
        <v>143</v>
      </c>
      <c r="B1990" t="s">
        <v>630</v>
      </c>
      <c r="C1990">
        <v>10</v>
      </c>
      <c r="D1990" t="s">
        <v>187</v>
      </c>
      <c r="E1990" t="s">
        <v>14</v>
      </c>
      <c r="F1990">
        <v>2.1589999999999998</v>
      </c>
      <c r="G1990" t="s">
        <v>15</v>
      </c>
    </row>
    <row r="1991" spans="1:7" x14ac:dyDescent="0.25">
      <c r="A1991">
        <v>143</v>
      </c>
      <c r="B1991" t="s">
        <v>630</v>
      </c>
      <c r="C1991">
        <v>20</v>
      </c>
      <c r="D1991" t="s">
        <v>631</v>
      </c>
      <c r="E1991" t="s">
        <v>11</v>
      </c>
      <c r="F1991">
        <v>1</v>
      </c>
      <c r="G1991" t="s">
        <v>15</v>
      </c>
    </row>
    <row r="1992" spans="1:7" x14ac:dyDescent="0.25">
      <c r="A1992">
        <v>143</v>
      </c>
      <c r="B1992" t="s">
        <v>630</v>
      </c>
      <c r="C1992">
        <v>30</v>
      </c>
      <c r="D1992" t="s">
        <v>632</v>
      </c>
      <c r="E1992" t="s">
        <v>11</v>
      </c>
      <c r="F1992">
        <v>1</v>
      </c>
      <c r="G1992" t="s">
        <v>15</v>
      </c>
    </row>
    <row r="1993" spans="1:7" x14ac:dyDescent="0.25">
      <c r="A1993">
        <v>143</v>
      </c>
      <c r="B1993" t="s">
        <v>630</v>
      </c>
      <c r="C1993">
        <v>40</v>
      </c>
      <c r="D1993" t="s">
        <v>266</v>
      </c>
      <c r="E1993" t="s">
        <v>14</v>
      </c>
      <c r="F1993">
        <v>2.1589999999999998</v>
      </c>
      <c r="G1993" t="s">
        <v>15</v>
      </c>
    </row>
    <row r="1994" spans="1:7" x14ac:dyDescent="0.25">
      <c r="A1994">
        <v>143</v>
      </c>
      <c r="B1994" t="s">
        <v>630</v>
      </c>
      <c r="C1994">
        <v>50</v>
      </c>
      <c r="D1994" t="s">
        <v>107</v>
      </c>
      <c r="E1994" t="s">
        <v>108</v>
      </c>
      <c r="F1994">
        <v>0.56100000000000005</v>
      </c>
      <c r="G1994" t="s">
        <v>13</v>
      </c>
    </row>
    <row r="1995" spans="1:7" x14ac:dyDescent="0.25">
      <c r="A1995">
        <v>143</v>
      </c>
      <c r="B1995" t="s">
        <v>630</v>
      </c>
      <c r="C1995">
        <v>60</v>
      </c>
      <c r="D1995" t="s">
        <v>267</v>
      </c>
      <c r="E1995" t="s">
        <v>11</v>
      </c>
      <c r="F1995">
        <v>1</v>
      </c>
      <c r="G1995" t="s">
        <v>13</v>
      </c>
    </row>
    <row r="1996" spans="1:7" x14ac:dyDescent="0.25">
      <c r="A1996">
        <v>143</v>
      </c>
      <c r="B1996" t="s">
        <v>630</v>
      </c>
      <c r="C1996">
        <v>70</v>
      </c>
      <c r="D1996" t="s">
        <v>109</v>
      </c>
      <c r="E1996" t="s">
        <v>14</v>
      </c>
      <c r="F1996">
        <v>17.983000000000001</v>
      </c>
      <c r="G1996" t="s">
        <v>13</v>
      </c>
    </row>
    <row r="1997" spans="1:7" x14ac:dyDescent="0.25">
      <c r="A1997">
        <v>143</v>
      </c>
      <c r="B1997" t="s">
        <v>630</v>
      </c>
      <c r="C1997">
        <v>80</v>
      </c>
      <c r="D1997" t="s">
        <v>16</v>
      </c>
      <c r="E1997" t="s">
        <v>14</v>
      </c>
      <c r="F1997">
        <v>111.53400000000001</v>
      </c>
      <c r="G1997" t="s">
        <v>13</v>
      </c>
    </row>
    <row r="1998" spans="1:7" x14ac:dyDescent="0.25">
      <c r="A1998">
        <v>143</v>
      </c>
      <c r="B1998" t="s">
        <v>630</v>
      </c>
      <c r="C1998">
        <v>90</v>
      </c>
      <c r="D1998" t="s">
        <v>265</v>
      </c>
      <c r="E1998" t="s">
        <v>12</v>
      </c>
      <c r="F1998">
        <v>8.4000000000000005E-2</v>
      </c>
      <c r="G1998" t="s">
        <v>13</v>
      </c>
    </row>
    <row r="1999" spans="1:7" x14ac:dyDescent="0.25">
      <c r="A1999">
        <v>143</v>
      </c>
      <c r="B1999" t="s">
        <v>630</v>
      </c>
      <c r="C1999">
        <v>100</v>
      </c>
      <c r="D1999" t="s">
        <v>269</v>
      </c>
      <c r="E1999" t="s">
        <v>11</v>
      </c>
      <c r="F1999">
        <v>4</v>
      </c>
      <c r="G1999" t="s">
        <v>13</v>
      </c>
    </row>
    <row r="2000" spans="1:7" x14ac:dyDescent="0.25">
      <c r="A2000">
        <v>143</v>
      </c>
      <c r="B2000" t="s">
        <v>630</v>
      </c>
      <c r="C2000">
        <v>110</v>
      </c>
      <c r="D2000" t="s">
        <v>20</v>
      </c>
      <c r="E2000" t="s">
        <v>11</v>
      </c>
      <c r="F2000">
        <v>1</v>
      </c>
      <c r="G2000" t="s">
        <v>13</v>
      </c>
    </row>
    <row r="2001" spans="1:7" x14ac:dyDescent="0.25">
      <c r="A2001">
        <v>143</v>
      </c>
      <c r="B2001" t="s">
        <v>630</v>
      </c>
      <c r="C2001">
        <v>120</v>
      </c>
      <c r="D2001" t="s">
        <v>21</v>
      </c>
      <c r="E2001" t="s">
        <v>11</v>
      </c>
      <c r="F2001">
        <v>1</v>
      </c>
      <c r="G2001" t="s">
        <v>13</v>
      </c>
    </row>
    <row r="2002" spans="1:7" x14ac:dyDescent="0.25">
      <c r="A2002">
        <v>143</v>
      </c>
      <c r="B2002" t="s">
        <v>630</v>
      </c>
      <c r="C2002">
        <v>130</v>
      </c>
      <c r="D2002" t="s">
        <v>110</v>
      </c>
      <c r="E2002" t="s">
        <v>12</v>
      </c>
      <c r="F2002">
        <v>1.27</v>
      </c>
      <c r="G2002" t="s">
        <v>13</v>
      </c>
    </row>
    <row r="2003" spans="1:7" x14ac:dyDescent="0.25">
      <c r="A2003">
        <v>143</v>
      </c>
      <c r="B2003" t="s">
        <v>630</v>
      </c>
      <c r="C2003">
        <v>140</v>
      </c>
      <c r="D2003" t="s">
        <v>505</v>
      </c>
      <c r="E2003" t="s">
        <v>11</v>
      </c>
      <c r="F2003">
        <v>1</v>
      </c>
      <c r="G2003" t="s">
        <v>15</v>
      </c>
    </row>
    <row r="2004" spans="1:7" x14ac:dyDescent="0.25">
      <c r="A2004">
        <v>144</v>
      </c>
      <c r="B2004" t="s">
        <v>633</v>
      </c>
      <c r="C2004">
        <v>10</v>
      </c>
      <c r="D2004" t="s">
        <v>187</v>
      </c>
      <c r="E2004" t="s">
        <v>14</v>
      </c>
      <c r="F2004">
        <v>2.1589999999999998</v>
      </c>
      <c r="G2004" t="s">
        <v>15</v>
      </c>
    </row>
    <row r="2005" spans="1:7" x14ac:dyDescent="0.25">
      <c r="A2005">
        <v>144</v>
      </c>
      <c r="B2005" t="s">
        <v>633</v>
      </c>
      <c r="C2005">
        <v>20</v>
      </c>
      <c r="D2005" t="s">
        <v>634</v>
      </c>
      <c r="E2005" t="s">
        <v>11</v>
      </c>
      <c r="F2005">
        <v>1</v>
      </c>
      <c r="G2005" t="s">
        <v>15</v>
      </c>
    </row>
    <row r="2006" spans="1:7" x14ac:dyDescent="0.25">
      <c r="A2006">
        <v>144</v>
      </c>
      <c r="B2006" t="s">
        <v>633</v>
      </c>
      <c r="C2006">
        <v>30</v>
      </c>
      <c r="D2006" t="s">
        <v>635</v>
      </c>
      <c r="E2006" t="s">
        <v>11</v>
      </c>
      <c r="F2006">
        <v>1</v>
      </c>
      <c r="G2006" t="s">
        <v>15</v>
      </c>
    </row>
    <row r="2007" spans="1:7" x14ac:dyDescent="0.25">
      <c r="A2007">
        <v>144</v>
      </c>
      <c r="B2007" t="s">
        <v>633</v>
      </c>
      <c r="C2007">
        <v>40</v>
      </c>
      <c r="D2007" t="s">
        <v>266</v>
      </c>
      <c r="E2007" t="s">
        <v>14</v>
      </c>
      <c r="F2007">
        <v>2.1589999999999998</v>
      </c>
      <c r="G2007" t="s">
        <v>15</v>
      </c>
    </row>
    <row r="2008" spans="1:7" x14ac:dyDescent="0.25">
      <c r="A2008">
        <v>144</v>
      </c>
      <c r="B2008" t="s">
        <v>633</v>
      </c>
      <c r="C2008">
        <v>50</v>
      </c>
      <c r="D2008" t="s">
        <v>107</v>
      </c>
      <c r="E2008" t="s">
        <v>108</v>
      </c>
      <c r="F2008">
        <v>0.66300000000000003</v>
      </c>
      <c r="G2008" t="s">
        <v>13</v>
      </c>
    </row>
    <row r="2009" spans="1:7" x14ac:dyDescent="0.25">
      <c r="A2009">
        <v>144</v>
      </c>
      <c r="B2009" t="s">
        <v>633</v>
      </c>
      <c r="C2009">
        <v>60</v>
      </c>
      <c r="D2009" t="s">
        <v>267</v>
      </c>
      <c r="E2009" t="s">
        <v>11</v>
      </c>
      <c r="F2009">
        <v>1</v>
      </c>
      <c r="G2009" t="s">
        <v>13</v>
      </c>
    </row>
    <row r="2010" spans="1:7" x14ac:dyDescent="0.25">
      <c r="A2010">
        <v>144</v>
      </c>
      <c r="B2010" t="s">
        <v>633</v>
      </c>
      <c r="C2010">
        <v>70</v>
      </c>
      <c r="D2010" t="s">
        <v>109</v>
      </c>
      <c r="E2010" t="s">
        <v>14</v>
      </c>
      <c r="F2010">
        <v>18.898</v>
      </c>
      <c r="G2010" t="s">
        <v>13</v>
      </c>
    </row>
    <row r="2011" spans="1:7" x14ac:dyDescent="0.25">
      <c r="A2011">
        <v>144</v>
      </c>
      <c r="B2011" t="s">
        <v>633</v>
      </c>
      <c r="C2011">
        <v>80</v>
      </c>
      <c r="D2011" t="s">
        <v>16</v>
      </c>
      <c r="E2011" t="s">
        <v>14</v>
      </c>
      <c r="F2011">
        <v>117.158</v>
      </c>
      <c r="G2011" t="s">
        <v>13</v>
      </c>
    </row>
    <row r="2012" spans="1:7" x14ac:dyDescent="0.25">
      <c r="A2012">
        <v>144</v>
      </c>
      <c r="B2012" t="s">
        <v>633</v>
      </c>
      <c r="C2012">
        <v>90</v>
      </c>
      <c r="D2012" t="s">
        <v>265</v>
      </c>
      <c r="E2012" t="s">
        <v>12</v>
      </c>
      <c r="F2012">
        <v>9.4E-2</v>
      </c>
      <c r="G2012" t="s">
        <v>13</v>
      </c>
    </row>
    <row r="2013" spans="1:7" x14ac:dyDescent="0.25">
      <c r="A2013">
        <v>144</v>
      </c>
      <c r="B2013" t="s">
        <v>633</v>
      </c>
      <c r="C2013">
        <v>100</v>
      </c>
      <c r="D2013" t="s">
        <v>269</v>
      </c>
      <c r="E2013" t="s">
        <v>11</v>
      </c>
      <c r="F2013">
        <v>4</v>
      </c>
      <c r="G2013" t="s">
        <v>13</v>
      </c>
    </row>
    <row r="2014" spans="1:7" x14ac:dyDescent="0.25">
      <c r="A2014">
        <v>144</v>
      </c>
      <c r="B2014" t="s">
        <v>633</v>
      </c>
      <c r="C2014">
        <v>110</v>
      </c>
      <c r="D2014" t="s">
        <v>20</v>
      </c>
      <c r="E2014" t="s">
        <v>11</v>
      </c>
      <c r="F2014">
        <v>1</v>
      </c>
      <c r="G2014" t="s">
        <v>13</v>
      </c>
    </row>
    <row r="2015" spans="1:7" x14ac:dyDescent="0.25">
      <c r="A2015">
        <v>144</v>
      </c>
      <c r="B2015" t="s">
        <v>633</v>
      </c>
      <c r="C2015">
        <v>120</v>
      </c>
      <c r="D2015" t="s">
        <v>21</v>
      </c>
      <c r="E2015" t="s">
        <v>11</v>
      </c>
      <c r="F2015">
        <v>1</v>
      </c>
      <c r="G2015" t="s">
        <v>13</v>
      </c>
    </row>
    <row r="2016" spans="1:7" x14ac:dyDescent="0.25">
      <c r="A2016">
        <v>144</v>
      </c>
      <c r="B2016" t="s">
        <v>633</v>
      </c>
      <c r="C2016">
        <v>130</v>
      </c>
      <c r="D2016" t="s">
        <v>110</v>
      </c>
      <c r="E2016" t="s">
        <v>12</v>
      </c>
      <c r="F2016">
        <v>1.27</v>
      </c>
      <c r="G2016" t="s">
        <v>13</v>
      </c>
    </row>
    <row r="2017" spans="1:7" x14ac:dyDescent="0.25">
      <c r="A2017">
        <v>144</v>
      </c>
      <c r="B2017" t="s">
        <v>633</v>
      </c>
      <c r="C2017">
        <v>140</v>
      </c>
      <c r="D2017" t="s">
        <v>509</v>
      </c>
      <c r="E2017" t="s">
        <v>11</v>
      </c>
      <c r="F2017">
        <v>1</v>
      </c>
      <c r="G2017" t="s">
        <v>15</v>
      </c>
    </row>
    <row r="2018" spans="1:7" x14ac:dyDescent="0.25">
      <c r="A2018">
        <v>145</v>
      </c>
      <c r="B2018" t="s">
        <v>636</v>
      </c>
      <c r="C2018">
        <v>10</v>
      </c>
      <c r="D2018" t="s">
        <v>187</v>
      </c>
      <c r="E2018" t="s">
        <v>14</v>
      </c>
      <c r="F2018">
        <v>2.1589999999999998</v>
      </c>
      <c r="G2018" t="s">
        <v>15</v>
      </c>
    </row>
    <row r="2019" spans="1:7" x14ac:dyDescent="0.25">
      <c r="A2019">
        <v>145</v>
      </c>
      <c r="B2019" t="s">
        <v>636</v>
      </c>
      <c r="C2019">
        <v>20</v>
      </c>
      <c r="D2019" t="s">
        <v>637</v>
      </c>
      <c r="E2019" t="s">
        <v>11</v>
      </c>
      <c r="F2019">
        <v>1</v>
      </c>
      <c r="G2019" t="s">
        <v>15</v>
      </c>
    </row>
    <row r="2020" spans="1:7" x14ac:dyDescent="0.25">
      <c r="A2020">
        <v>145</v>
      </c>
      <c r="B2020" t="s">
        <v>636</v>
      </c>
      <c r="C2020">
        <v>30</v>
      </c>
      <c r="D2020" t="s">
        <v>638</v>
      </c>
      <c r="E2020" t="s">
        <v>11</v>
      </c>
      <c r="F2020">
        <v>1</v>
      </c>
      <c r="G2020" t="s">
        <v>15</v>
      </c>
    </row>
    <row r="2021" spans="1:7" x14ac:dyDescent="0.25">
      <c r="A2021">
        <v>145</v>
      </c>
      <c r="B2021" t="s">
        <v>636</v>
      </c>
      <c r="C2021">
        <v>40</v>
      </c>
      <c r="D2021" t="s">
        <v>266</v>
      </c>
      <c r="E2021" t="s">
        <v>14</v>
      </c>
      <c r="F2021">
        <v>2.1589999999999998</v>
      </c>
      <c r="G2021" t="s">
        <v>15</v>
      </c>
    </row>
    <row r="2022" spans="1:7" x14ac:dyDescent="0.25">
      <c r="A2022">
        <v>145</v>
      </c>
      <c r="B2022" t="s">
        <v>636</v>
      </c>
      <c r="C2022">
        <v>50</v>
      </c>
      <c r="D2022" t="s">
        <v>107</v>
      </c>
      <c r="E2022" t="s">
        <v>108</v>
      </c>
      <c r="F2022">
        <v>0.76500000000000001</v>
      </c>
      <c r="G2022" t="s">
        <v>13</v>
      </c>
    </row>
    <row r="2023" spans="1:7" x14ac:dyDescent="0.25">
      <c r="A2023">
        <v>145</v>
      </c>
      <c r="B2023" t="s">
        <v>636</v>
      </c>
      <c r="C2023">
        <v>60</v>
      </c>
      <c r="D2023" t="s">
        <v>267</v>
      </c>
      <c r="E2023" t="s">
        <v>11</v>
      </c>
      <c r="F2023">
        <v>1</v>
      </c>
      <c r="G2023" t="s">
        <v>13</v>
      </c>
    </row>
    <row r="2024" spans="1:7" x14ac:dyDescent="0.25">
      <c r="A2024">
        <v>145</v>
      </c>
      <c r="B2024" t="s">
        <v>636</v>
      </c>
      <c r="C2024">
        <v>70</v>
      </c>
      <c r="D2024" t="s">
        <v>109</v>
      </c>
      <c r="E2024" t="s">
        <v>14</v>
      </c>
      <c r="F2024">
        <v>19.812000000000001</v>
      </c>
      <c r="G2024" t="s">
        <v>13</v>
      </c>
    </row>
    <row r="2025" spans="1:7" x14ac:dyDescent="0.25">
      <c r="A2025">
        <v>145</v>
      </c>
      <c r="B2025" t="s">
        <v>636</v>
      </c>
      <c r="C2025">
        <v>80</v>
      </c>
      <c r="D2025" t="s">
        <v>16</v>
      </c>
      <c r="E2025" t="s">
        <v>14</v>
      </c>
      <c r="F2025">
        <v>122.78100000000001</v>
      </c>
      <c r="G2025" t="s">
        <v>13</v>
      </c>
    </row>
    <row r="2026" spans="1:7" x14ac:dyDescent="0.25">
      <c r="A2026">
        <v>145</v>
      </c>
      <c r="B2026" t="s">
        <v>636</v>
      </c>
      <c r="C2026">
        <v>90</v>
      </c>
      <c r="D2026" t="s">
        <v>265</v>
      </c>
      <c r="E2026" t="s">
        <v>12</v>
      </c>
      <c r="F2026">
        <v>0.105</v>
      </c>
      <c r="G2026" t="s">
        <v>13</v>
      </c>
    </row>
    <row r="2027" spans="1:7" x14ac:dyDescent="0.25">
      <c r="A2027">
        <v>145</v>
      </c>
      <c r="B2027" t="s">
        <v>636</v>
      </c>
      <c r="C2027">
        <v>100</v>
      </c>
      <c r="D2027" t="s">
        <v>269</v>
      </c>
      <c r="E2027" t="s">
        <v>11</v>
      </c>
      <c r="F2027">
        <v>4</v>
      </c>
      <c r="G2027" t="s">
        <v>13</v>
      </c>
    </row>
    <row r="2028" spans="1:7" x14ac:dyDescent="0.25">
      <c r="A2028">
        <v>145</v>
      </c>
      <c r="B2028" t="s">
        <v>636</v>
      </c>
      <c r="C2028">
        <v>110</v>
      </c>
      <c r="D2028" t="s">
        <v>20</v>
      </c>
      <c r="E2028" t="s">
        <v>11</v>
      </c>
      <c r="F2028">
        <v>1</v>
      </c>
      <c r="G2028" t="s">
        <v>13</v>
      </c>
    </row>
    <row r="2029" spans="1:7" x14ac:dyDescent="0.25">
      <c r="A2029">
        <v>145</v>
      </c>
      <c r="B2029" t="s">
        <v>636</v>
      </c>
      <c r="C2029">
        <v>120</v>
      </c>
      <c r="D2029" t="s">
        <v>21</v>
      </c>
      <c r="E2029" t="s">
        <v>11</v>
      </c>
      <c r="F2029">
        <v>1</v>
      </c>
      <c r="G2029" t="s">
        <v>13</v>
      </c>
    </row>
    <row r="2030" spans="1:7" x14ac:dyDescent="0.25">
      <c r="A2030">
        <v>145</v>
      </c>
      <c r="B2030" t="s">
        <v>636</v>
      </c>
      <c r="C2030">
        <v>130</v>
      </c>
      <c r="D2030" t="s">
        <v>110</v>
      </c>
      <c r="E2030" t="s">
        <v>12</v>
      </c>
      <c r="F2030">
        <v>1.27</v>
      </c>
      <c r="G2030" t="s">
        <v>13</v>
      </c>
    </row>
    <row r="2031" spans="1:7" x14ac:dyDescent="0.25">
      <c r="A2031">
        <v>145</v>
      </c>
      <c r="B2031" t="s">
        <v>636</v>
      </c>
      <c r="C2031">
        <v>140</v>
      </c>
      <c r="D2031" t="s">
        <v>513</v>
      </c>
      <c r="E2031" t="s">
        <v>11</v>
      </c>
      <c r="F2031">
        <v>1</v>
      </c>
      <c r="G2031" t="s">
        <v>15</v>
      </c>
    </row>
    <row r="2032" spans="1:7" x14ac:dyDescent="0.25">
      <c r="A2032">
        <v>146</v>
      </c>
      <c r="B2032" t="s">
        <v>639</v>
      </c>
      <c r="C2032">
        <v>10</v>
      </c>
      <c r="D2032" t="s">
        <v>187</v>
      </c>
      <c r="E2032" t="s">
        <v>14</v>
      </c>
      <c r="F2032">
        <v>2.1589999999999998</v>
      </c>
      <c r="G2032" t="s">
        <v>15</v>
      </c>
    </row>
    <row r="2033" spans="1:7" x14ac:dyDescent="0.25">
      <c r="A2033">
        <v>146</v>
      </c>
      <c r="B2033" t="s">
        <v>639</v>
      </c>
      <c r="C2033">
        <v>20</v>
      </c>
      <c r="D2033" t="s">
        <v>640</v>
      </c>
      <c r="E2033" t="s">
        <v>11</v>
      </c>
      <c r="F2033">
        <v>1</v>
      </c>
      <c r="G2033" t="s">
        <v>15</v>
      </c>
    </row>
    <row r="2034" spans="1:7" x14ac:dyDescent="0.25">
      <c r="A2034">
        <v>146</v>
      </c>
      <c r="B2034" t="s">
        <v>639</v>
      </c>
      <c r="C2034">
        <v>30</v>
      </c>
      <c r="D2034" t="s">
        <v>641</v>
      </c>
      <c r="E2034" t="s">
        <v>11</v>
      </c>
      <c r="F2034">
        <v>1</v>
      </c>
      <c r="G2034" t="s">
        <v>15</v>
      </c>
    </row>
    <row r="2035" spans="1:7" x14ac:dyDescent="0.25">
      <c r="A2035">
        <v>146</v>
      </c>
      <c r="B2035" t="s">
        <v>639</v>
      </c>
      <c r="C2035">
        <v>40</v>
      </c>
      <c r="D2035" t="s">
        <v>266</v>
      </c>
      <c r="E2035" t="s">
        <v>14</v>
      </c>
      <c r="F2035">
        <v>2.1589999999999998</v>
      </c>
      <c r="G2035" t="s">
        <v>15</v>
      </c>
    </row>
    <row r="2036" spans="1:7" x14ac:dyDescent="0.25">
      <c r="A2036">
        <v>146</v>
      </c>
      <c r="B2036" t="s">
        <v>639</v>
      </c>
      <c r="C2036">
        <v>50</v>
      </c>
      <c r="D2036" t="s">
        <v>107</v>
      </c>
      <c r="E2036" t="s">
        <v>108</v>
      </c>
      <c r="F2036">
        <v>0.86799999999999999</v>
      </c>
      <c r="G2036" t="s">
        <v>13</v>
      </c>
    </row>
    <row r="2037" spans="1:7" x14ac:dyDescent="0.25">
      <c r="A2037">
        <v>146</v>
      </c>
      <c r="B2037" t="s">
        <v>639</v>
      </c>
      <c r="C2037">
        <v>60</v>
      </c>
      <c r="D2037" t="s">
        <v>267</v>
      </c>
      <c r="E2037" t="s">
        <v>11</v>
      </c>
      <c r="F2037">
        <v>1</v>
      </c>
      <c r="G2037" t="s">
        <v>13</v>
      </c>
    </row>
    <row r="2038" spans="1:7" x14ac:dyDescent="0.25">
      <c r="A2038">
        <v>146</v>
      </c>
      <c r="B2038" t="s">
        <v>639</v>
      </c>
      <c r="C2038">
        <v>70</v>
      </c>
      <c r="D2038" t="s">
        <v>109</v>
      </c>
      <c r="E2038" t="s">
        <v>14</v>
      </c>
      <c r="F2038">
        <v>20.725999999999999</v>
      </c>
      <c r="G2038" t="s">
        <v>13</v>
      </c>
    </row>
    <row r="2039" spans="1:7" x14ac:dyDescent="0.25">
      <c r="A2039">
        <v>146</v>
      </c>
      <c r="B2039" t="s">
        <v>639</v>
      </c>
      <c r="C2039">
        <v>80</v>
      </c>
      <c r="D2039" t="s">
        <v>16</v>
      </c>
      <c r="E2039" t="s">
        <v>14</v>
      </c>
      <c r="F2039">
        <v>128.405</v>
      </c>
      <c r="G2039" t="s">
        <v>13</v>
      </c>
    </row>
    <row r="2040" spans="1:7" x14ac:dyDescent="0.25">
      <c r="A2040">
        <v>146</v>
      </c>
      <c r="B2040" t="s">
        <v>639</v>
      </c>
      <c r="C2040">
        <v>90</v>
      </c>
      <c r="D2040" t="s">
        <v>265</v>
      </c>
      <c r="E2040" t="s">
        <v>12</v>
      </c>
      <c r="F2040">
        <v>0.11600000000000001</v>
      </c>
      <c r="G2040" t="s">
        <v>13</v>
      </c>
    </row>
    <row r="2041" spans="1:7" x14ac:dyDescent="0.25">
      <c r="A2041">
        <v>146</v>
      </c>
      <c r="B2041" t="s">
        <v>639</v>
      </c>
      <c r="C2041">
        <v>100</v>
      </c>
      <c r="D2041" t="s">
        <v>269</v>
      </c>
      <c r="E2041" t="s">
        <v>11</v>
      </c>
      <c r="F2041">
        <v>4</v>
      </c>
      <c r="G2041" t="s">
        <v>13</v>
      </c>
    </row>
    <row r="2042" spans="1:7" x14ac:dyDescent="0.25">
      <c r="A2042">
        <v>146</v>
      </c>
      <c r="B2042" t="s">
        <v>639</v>
      </c>
      <c r="C2042">
        <v>110</v>
      </c>
      <c r="D2042" t="s">
        <v>20</v>
      </c>
      <c r="E2042" t="s">
        <v>11</v>
      </c>
      <c r="F2042">
        <v>1</v>
      </c>
      <c r="G2042" t="s">
        <v>13</v>
      </c>
    </row>
    <row r="2043" spans="1:7" x14ac:dyDescent="0.25">
      <c r="A2043">
        <v>146</v>
      </c>
      <c r="B2043" t="s">
        <v>639</v>
      </c>
      <c r="C2043">
        <v>120</v>
      </c>
      <c r="D2043" t="s">
        <v>21</v>
      </c>
      <c r="E2043" t="s">
        <v>11</v>
      </c>
      <c r="F2043">
        <v>1</v>
      </c>
      <c r="G2043" t="s">
        <v>13</v>
      </c>
    </row>
    <row r="2044" spans="1:7" x14ac:dyDescent="0.25">
      <c r="A2044">
        <v>146</v>
      </c>
      <c r="B2044" t="s">
        <v>639</v>
      </c>
      <c r="C2044">
        <v>130</v>
      </c>
      <c r="D2044" t="s">
        <v>110</v>
      </c>
      <c r="E2044" t="s">
        <v>12</v>
      </c>
      <c r="F2044">
        <v>1.27</v>
      </c>
      <c r="G2044" t="s">
        <v>13</v>
      </c>
    </row>
    <row r="2045" spans="1:7" x14ac:dyDescent="0.25">
      <c r="A2045">
        <v>146</v>
      </c>
      <c r="B2045" t="s">
        <v>639</v>
      </c>
      <c r="C2045">
        <v>140</v>
      </c>
      <c r="D2045" t="s">
        <v>517</v>
      </c>
      <c r="E2045" t="s">
        <v>11</v>
      </c>
      <c r="F2045">
        <v>1</v>
      </c>
      <c r="G2045" t="s">
        <v>15</v>
      </c>
    </row>
    <row r="2046" spans="1:7" x14ac:dyDescent="0.25">
      <c r="A2046">
        <v>147</v>
      </c>
      <c r="B2046" t="s">
        <v>642</v>
      </c>
      <c r="C2046">
        <v>10</v>
      </c>
      <c r="D2046" t="s">
        <v>187</v>
      </c>
      <c r="E2046" t="s">
        <v>14</v>
      </c>
      <c r="F2046">
        <v>2.1589999999999998</v>
      </c>
      <c r="G2046" t="s">
        <v>15</v>
      </c>
    </row>
    <row r="2047" spans="1:7" x14ac:dyDescent="0.25">
      <c r="A2047">
        <v>147</v>
      </c>
      <c r="B2047" t="s">
        <v>642</v>
      </c>
      <c r="C2047">
        <v>20</v>
      </c>
      <c r="D2047" t="s">
        <v>643</v>
      </c>
      <c r="E2047" t="s">
        <v>11</v>
      </c>
      <c r="F2047">
        <v>1</v>
      </c>
      <c r="G2047" t="s">
        <v>15</v>
      </c>
    </row>
    <row r="2048" spans="1:7" x14ac:dyDescent="0.25">
      <c r="A2048">
        <v>147</v>
      </c>
      <c r="B2048" t="s">
        <v>642</v>
      </c>
      <c r="C2048">
        <v>30</v>
      </c>
      <c r="D2048" t="s">
        <v>644</v>
      </c>
      <c r="E2048" t="s">
        <v>11</v>
      </c>
      <c r="F2048">
        <v>1</v>
      </c>
      <c r="G2048" t="s">
        <v>15</v>
      </c>
    </row>
    <row r="2049" spans="1:7" x14ac:dyDescent="0.25">
      <c r="A2049">
        <v>147</v>
      </c>
      <c r="B2049" t="s">
        <v>642</v>
      </c>
      <c r="C2049">
        <v>40</v>
      </c>
      <c r="D2049" t="s">
        <v>266</v>
      </c>
      <c r="E2049" t="s">
        <v>14</v>
      </c>
      <c r="F2049">
        <v>2.1589999999999998</v>
      </c>
      <c r="G2049" t="s">
        <v>15</v>
      </c>
    </row>
    <row r="2050" spans="1:7" x14ac:dyDescent="0.25">
      <c r="A2050">
        <v>147</v>
      </c>
      <c r="B2050" t="s">
        <v>642</v>
      </c>
      <c r="C2050">
        <v>50</v>
      </c>
      <c r="D2050" t="s">
        <v>107</v>
      </c>
      <c r="E2050" t="s">
        <v>108</v>
      </c>
      <c r="F2050">
        <v>0.91900000000000004</v>
      </c>
      <c r="G2050" t="s">
        <v>13</v>
      </c>
    </row>
    <row r="2051" spans="1:7" x14ac:dyDescent="0.25">
      <c r="A2051">
        <v>147</v>
      </c>
      <c r="B2051" t="s">
        <v>642</v>
      </c>
      <c r="C2051">
        <v>60</v>
      </c>
      <c r="D2051" t="s">
        <v>267</v>
      </c>
      <c r="E2051" t="s">
        <v>11</v>
      </c>
      <c r="F2051">
        <v>1</v>
      </c>
      <c r="G2051" t="s">
        <v>13</v>
      </c>
    </row>
    <row r="2052" spans="1:7" x14ac:dyDescent="0.25">
      <c r="A2052">
        <v>147</v>
      </c>
      <c r="B2052" t="s">
        <v>642</v>
      </c>
      <c r="C2052">
        <v>70</v>
      </c>
      <c r="D2052" t="s">
        <v>109</v>
      </c>
      <c r="E2052" t="s">
        <v>14</v>
      </c>
      <c r="F2052">
        <v>21.184000000000001</v>
      </c>
      <c r="G2052" t="s">
        <v>13</v>
      </c>
    </row>
    <row r="2053" spans="1:7" x14ac:dyDescent="0.25">
      <c r="A2053">
        <v>147</v>
      </c>
      <c r="B2053" t="s">
        <v>642</v>
      </c>
      <c r="C2053">
        <v>80</v>
      </c>
      <c r="D2053" t="s">
        <v>16</v>
      </c>
      <c r="E2053" t="s">
        <v>14</v>
      </c>
      <c r="F2053">
        <v>131.21600000000001</v>
      </c>
      <c r="G2053" t="s">
        <v>13</v>
      </c>
    </row>
    <row r="2054" spans="1:7" x14ac:dyDescent="0.25">
      <c r="A2054">
        <v>147</v>
      </c>
      <c r="B2054" t="s">
        <v>642</v>
      </c>
      <c r="C2054">
        <v>90</v>
      </c>
      <c r="D2054" t="s">
        <v>265</v>
      </c>
      <c r="E2054" t="s">
        <v>12</v>
      </c>
      <c r="F2054">
        <v>0.121</v>
      </c>
      <c r="G2054" t="s">
        <v>13</v>
      </c>
    </row>
    <row r="2055" spans="1:7" x14ac:dyDescent="0.25">
      <c r="A2055">
        <v>147</v>
      </c>
      <c r="B2055" t="s">
        <v>642</v>
      </c>
      <c r="C2055">
        <v>100</v>
      </c>
      <c r="D2055" t="s">
        <v>269</v>
      </c>
      <c r="E2055" t="s">
        <v>11</v>
      </c>
      <c r="F2055">
        <v>4</v>
      </c>
      <c r="G2055" t="s">
        <v>13</v>
      </c>
    </row>
    <row r="2056" spans="1:7" x14ac:dyDescent="0.25">
      <c r="A2056">
        <v>147</v>
      </c>
      <c r="B2056" t="s">
        <v>642</v>
      </c>
      <c r="C2056">
        <v>110</v>
      </c>
      <c r="D2056" t="s">
        <v>20</v>
      </c>
      <c r="E2056" t="s">
        <v>11</v>
      </c>
      <c r="F2056">
        <v>1</v>
      </c>
      <c r="G2056" t="s">
        <v>13</v>
      </c>
    </row>
    <row r="2057" spans="1:7" x14ac:dyDescent="0.25">
      <c r="A2057">
        <v>147</v>
      </c>
      <c r="B2057" t="s">
        <v>642</v>
      </c>
      <c r="C2057">
        <v>120</v>
      </c>
      <c r="D2057" t="s">
        <v>21</v>
      </c>
      <c r="E2057" t="s">
        <v>11</v>
      </c>
      <c r="F2057">
        <v>1</v>
      </c>
      <c r="G2057" t="s">
        <v>13</v>
      </c>
    </row>
    <row r="2058" spans="1:7" x14ac:dyDescent="0.25">
      <c r="A2058">
        <v>147</v>
      </c>
      <c r="B2058" t="s">
        <v>642</v>
      </c>
      <c r="C2058">
        <v>130</v>
      </c>
      <c r="D2058" t="s">
        <v>110</v>
      </c>
      <c r="E2058" t="s">
        <v>12</v>
      </c>
      <c r="F2058">
        <v>1.27</v>
      </c>
      <c r="G2058" t="s">
        <v>13</v>
      </c>
    </row>
    <row r="2059" spans="1:7" x14ac:dyDescent="0.25">
      <c r="A2059">
        <v>147</v>
      </c>
      <c r="B2059" t="s">
        <v>642</v>
      </c>
      <c r="C2059">
        <v>140</v>
      </c>
      <c r="D2059" t="s">
        <v>521</v>
      </c>
      <c r="E2059" t="s">
        <v>11</v>
      </c>
      <c r="F2059">
        <v>1</v>
      </c>
      <c r="G2059" t="s">
        <v>15</v>
      </c>
    </row>
    <row r="2060" spans="1:7" x14ac:dyDescent="0.25">
      <c r="A2060">
        <v>148</v>
      </c>
      <c r="B2060" t="s">
        <v>645</v>
      </c>
      <c r="C2060">
        <v>10</v>
      </c>
      <c r="D2060" t="s">
        <v>187</v>
      </c>
      <c r="E2060" t="s">
        <v>14</v>
      </c>
      <c r="F2060">
        <v>2.1589999999999998</v>
      </c>
      <c r="G2060" t="s">
        <v>15</v>
      </c>
    </row>
    <row r="2061" spans="1:7" x14ac:dyDescent="0.25">
      <c r="A2061">
        <v>148</v>
      </c>
      <c r="B2061" t="s">
        <v>645</v>
      </c>
      <c r="C2061">
        <v>20</v>
      </c>
      <c r="D2061" t="s">
        <v>646</v>
      </c>
      <c r="E2061" t="s">
        <v>11</v>
      </c>
      <c r="F2061">
        <v>1</v>
      </c>
      <c r="G2061" t="s">
        <v>15</v>
      </c>
    </row>
    <row r="2062" spans="1:7" x14ac:dyDescent="0.25">
      <c r="A2062">
        <v>148</v>
      </c>
      <c r="B2062" t="s">
        <v>645</v>
      </c>
      <c r="C2062">
        <v>30</v>
      </c>
      <c r="D2062" t="s">
        <v>647</v>
      </c>
      <c r="E2062" t="s">
        <v>11</v>
      </c>
      <c r="F2062">
        <v>1</v>
      </c>
      <c r="G2062" t="s">
        <v>15</v>
      </c>
    </row>
    <row r="2063" spans="1:7" x14ac:dyDescent="0.25">
      <c r="A2063">
        <v>148</v>
      </c>
      <c r="B2063" t="s">
        <v>645</v>
      </c>
      <c r="C2063">
        <v>40</v>
      </c>
      <c r="D2063" t="s">
        <v>266</v>
      </c>
      <c r="E2063" t="s">
        <v>14</v>
      </c>
      <c r="F2063">
        <v>2.1589999999999998</v>
      </c>
      <c r="G2063" t="s">
        <v>15</v>
      </c>
    </row>
    <row r="2064" spans="1:7" x14ac:dyDescent="0.25">
      <c r="A2064">
        <v>148</v>
      </c>
      <c r="B2064" t="s">
        <v>645</v>
      </c>
      <c r="C2064">
        <v>50</v>
      </c>
      <c r="D2064" t="s">
        <v>107</v>
      </c>
      <c r="E2064" t="s">
        <v>108</v>
      </c>
      <c r="F2064">
        <v>0.97</v>
      </c>
      <c r="G2064" t="s">
        <v>13</v>
      </c>
    </row>
    <row r="2065" spans="1:7" x14ac:dyDescent="0.25">
      <c r="A2065">
        <v>148</v>
      </c>
      <c r="B2065" t="s">
        <v>645</v>
      </c>
      <c r="C2065">
        <v>60</v>
      </c>
      <c r="D2065" t="s">
        <v>267</v>
      </c>
      <c r="E2065" t="s">
        <v>11</v>
      </c>
      <c r="F2065">
        <v>1</v>
      </c>
      <c r="G2065" t="s">
        <v>13</v>
      </c>
    </row>
    <row r="2066" spans="1:7" x14ac:dyDescent="0.25">
      <c r="A2066">
        <v>148</v>
      </c>
      <c r="B2066" t="s">
        <v>645</v>
      </c>
      <c r="C2066">
        <v>70</v>
      </c>
      <c r="D2066" t="s">
        <v>109</v>
      </c>
      <c r="E2066" t="s">
        <v>14</v>
      </c>
      <c r="F2066">
        <v>21.640999999999998</v>
      </c>
      <c r="G2066" t="s">
        <v>13</v>
      </c>
    </row>
    <row r="2067" spans="1:7" x14ac:dyDescent="0.25">
      <c r="A2067">
        <v>148</v>
      </c>
      <c r="B2067" t="s">
        <v>645</v>
      </c>
      <c r="C2067">
        <v>80</v>
      </c>
      <c r="D2067" t="s">
        <v>16</v>
      </c>
      <c r="E2067" t="s">
        <v>14</v>
      </c>
      <c r="F2067">
        <v>134.02799999999999</v>
      </c>
      <c r="G2067" t="s">
        <v>13</v>
      </c>
    </row>
    <row r="2068" spans="1:7" x14ac:dyDescent="0.25">
      <c r="A2068">
        <v>148</v>
      </c>
      <c r="B2068" t="s">
        <v>645</v>
      </c>
      <c r="C2068">
        <v>90</v>
      </c>
      <c r="D2068" t="s">
        <v>265</v>
      </c>
      <c r="E2068" t="s">
        <v>12</v>
      </c>
      <c r="F2068">
        <v>0.126</v>
      </c>
      <c r="G2068" t="s">
        <v>13</v>
      </c>
    </row>
    <row r="2069" spans="1:7" x14ac:dyDescent="0.25">
      <c r="A2069">
        <v>148</v>
      </c>
      <c r="B2069" t="s">
        <v>645</v>
      </c>
      <c r="C2069">
        <v>100</v>
      </c>
      <c r="D2069" t="s">
        <v>269</v>
      </c>
      <c r="E2069" t="s">
        <v>11</v>
      </c>
      <c r="F2069">
        <v>4</v>
      </c>
      <c r="G2069" t="s">
        <v>13</v>
      </c>
    </row>
    <row r="2070" spans="1:7" x14ac:dyDescent="0.25">
      <c r="A2070">
        <v>148</v>
      </c>
      <c r="B2070" t="s">
        <v>645</v>
      </c>
      <c r="C2070">
        <v>110</v>
      </c>
      <c r="D2070" t="s">
        <v>20</v>
      </c>
      <c r="E2070" t="s">
        <v>11</v>
      </c>
      <c r="F2070">
        <v>1</v>
      </c>
      <c r="G2070" t="s">
        <v>13</v>
      </c>
    </row>
    <row r="2071" spans="1:7" x14ac:dyDescent="0.25">
      <c r="A2071">
        <v>148</v>
      </c>
      <c r="B2071" t="s">
        <v>645</v>
      </c>
      <c r="C2071">
        <v>120</v>
      </c>
      <c r="D2071" t="s">
        <v>21</v>
      </c>
      <c r="E2071" t="s">
        <v>11</v>
      </c>
      <c r="F2071">
        <v>1</v>
      </c>
      <c r="G2071" t="s">
        <v>13</v>
      </c>
    </row>
    <row r="2072" spans="1:7" x14ac:dyDescent="0.25">
      <c r="A2072">
        <v>148</v>
      </c>
      <c r="B2072" t="s">
        <v>645</v>
      </c>
      <c r="C2072">
        <v>130</v>
      </c>
      <c r="D2072" t="s">
        <v>110</v>
      </c>
      <c r="E2072" t="s">
        <v>12</v>
      </c>
      <c r="F2072">
        <v>1.27</v>
      </c>
      <c r="G2072" t="s">
        <v>13</v>
      </c>
    </row>
    <row r="2073" spans="1:7" x14ac:dyDescent="0.25">
      <c r="A2073">
        <v>148</v>
      </c>
      <c r="B2073" t="s">
        <v>645</v>
      </c>
      <c r="C2073">
        <v>140</v>
      </c>
      <c r="D2073" t="s">
        <v>525</v>
      </c>
      <c r="E2073" t="s">
        <v>11</v>
      </c>
      <c r="F2073">
        <v>1</v>
      </c>
      <c r="G2073" t="s">
        <v>15</v>
      </c>
    </row>
    <row r="2074" spans="1:7" x14ac:dyDescent="0.25">
      <c r="A2074">
        <v>149</v>
      </c>
      <c r="B2074" t="s">
        <v>648</v>
      </c>
      <c r="C2074">
        <v>10</v>
      </c>
      <c r="D2074" t="s">
        <v>187</v>
      </c>
      <c r="E2074" t="s">
        <v>14</v>
      </c>
      <c r="F2074">
        <v>2.1589999999999998</v>
      </c>
      <c r="G2074" t="s">
        <v>15</v>
      </c>
    </row>
    <row r="2075" spans="1:7" x14ac:dyDescent="0.25">
      <c r="A2075">
        <v>149</v>
      </c>
      <c r="B2075" t="s">
        <v>648</v>
      </c>
      <c r="C2075">
        <v>20</v>
      </c>
      <c r="D2075" t="s">
        <v>649</v>
      </c>
      <c r="E2075" t="s">
        <v>11</v>
      </c>
      <c r="F2075">
        <v>1</v>
      </c>
      <c r="G2075" t="s">
        <v>15</v>
      </c>
    </row>
    <row r="2076" spans="1:7" x14ac:dyDescent="0.25">
      <c r="A2076">
        <v>149</v>
      </c>
      <c r="B2076" t="s">
        <v>648</v>
      </c>
      <c r="C2076">
        <v>30</v>
      </c>
      <c r="D2076" t="s">
        <v>650</v>
      </c>
      <c r="E2076" t="s">
        <v>11</v>
      </c>
      <c r="F2076">
        <v>1</v>
      </c>
      <c r="G2076" t="s">
        <v>15</v>
      </c>
    </row>
    <row r="2077" spans="1:7" x14ac:dyDescent="0.25">
      <c r="A2077">
        <v>149</v>
      </c>
      <c r="B2077" t="s">
        <v>648</v>
      </c>
      <c r="C2077">
        <v>40</v>
      </c>
      <c r="D2077" t="s">
        <v>266</v>
      </c>
      <c r="E2077" t="s">
        <v>14</v>
      </c>
      <c r="F2077">
        <v>2.1589999999999998</v>
      </c>
      <c r="G2077" t="s">
        <v>15</v>
      </c>
    </row>
    <row r="2078" spans="1:7" x14ac:dyDescent="0.25">
      <c r="A2078">
        <v>149</v>
      </c>
      <c r="B2078" t="s">
        <v>648</v>
      </c>
      <c r="C2078">
        <v>50</v>
      </c>
      <c r="D2078" t="s">
        <v>107</v>
      </c>
      <c r="E2078" t="s">
        <v>108</v>
      </c>
      <c r="F2078">
        <v>1.0720000000000001</v>
      </c>
      <c r="G2078" t="s">
        <v>13</v>
      </c>
    </row>
    <row r="2079" spans="1:7" x14ac:dyDescent="0.25">
      <c r="A2079">
        <v>149</v>
      </c>
      <c r="B2079" t="s">
        <v>648</v>
      </c>
      <c r="C2079">
        <v>60</v>
      </c>
      <c r="D2079" t="s">
        <v>267</v>
      </c>
      <c r="E2079" t="s">
        <v>11</v>
      </c>
      <c r="F2079">
        <v>1</v>
      </c>
      <c r="G2079" t="s">
        <v>13</v>
      </c>
    </row>
    <row r="2080" spans="1:7" x14ac:dyDescent="0.25">
      <c r="A2080">
        <v>149</v>
      </c>
      <c r="B2080" t="s">
        <v>648</v>
      </c>
      <c r="C2080">
        <v>70</v>
      </c>
      <c r="D2080" t="s">
        <v>109</v>
      </c>
      <c r="E2080" t="s">
        <v>14</v>
      </c>
      <c r="F2080">
        <v>22.555</v>
      </c>
      <c r="G2080" t="s">
        <v>13</v>
      </c>
    </row>
    <row r="2081" spans="1:7" x14ac:dyDescent="0.25">
      <c r="A2081">
        <v>149</v>
      </c>
      <c r="B2081" t="s">
        <v>648</v>
      </c>
      <c r="C2081">
        <v>80</v>
      </c>
      <c r="D2081" t="s">
        <v>16</v>
      </c>
      <c r="E2081" t="s">
        <v>14</v>
      </c>
      <c r="F2081">
        <v>139.65199999999999</v>
      </c>
      <c r="G2081" t="s">
        <v>13</v>
      </c>
    </row>
    <row r="2082" spans="1:7" x14ac:dyDescent="0.25">
      <c r="A2082">
        <v>149</v>
      </c>
      <c r="B2082" t="s">
        <v>648</v>
      </c>
      <c r="C2082">
        <v>90</v>
      </c>
      <c r="D2082" t="s">
        <v>265</v>
      </c>
      <c r="E2082" t="s">
        <v>12</v>
      </c>
      <c r="F2082">
        <v>0.13700000000000001</v>
      </c>
      <c r="G2082" t="s">
        <v>13</v>
      </c>
    </row>
    <row r="2083" spans="1:7" x14ac:dyDescent="0.25">
      <c r="A2083">
        <v>149</v>
      </c>
      <c r="B2083" t="s">
        <v>648</v>
      </c>
      <c r="C2083">
        <v>100</v>
      </c>
      <c r="D2083" t="s">
        <v>269</v>
      </c>
      <c r="E2083" t="s">
        <v>11</v>
      </c>
      <c r="F2083">
        <v>4</v>
      </c>
      <c r="G2083" t="s">
        <v>13</v>
      </c>
    </row>
    <row r="2084" spans="1:7" x14ac:dyDescent="0.25">
      <c r="A2084">
        <v>149</v>
      </c>
      <c r="B2084" t="s">
        <v>648</v>
      </c>
      <c r="C2084">
        <v>110</v>
      </c>
      <c r="D2084" t="s">
        <v>20</v>
      </c>
      <c r="E2084" t="s">
        <v>11</v>
      </c>
      <c r="F2084">
        <v>1</v>
      </c>
      <c r="G2084" t="s">
        <v>13</v>
      </c>
    </row>
    <row r="2085" spans="1:7" x14ac:dyDescent="0.25">
      <c r="A2085">
        <v>149</v>
      </c>
      <c r="B2085" t="s">
        <v>648</v>
      </c>
      <c r="C2085">
        <v>120</v>
      </c>
      <c r="D2085" t="s">
        <v>21</v>
      </c>
      <c r="E2085" t="s">
        <v>11</v>
      </c>
      <c r="F2085">
        <v>1</v>
      </c>
      <c r="G2085" t="s">
        <v>13</v>
      </c>
    </row>
    <row r="2086" spans="1:7" x14ac:dyDescent="0.25">
      <c r="A2086">
        <v>149</v>
      </c>
      <c r="B2086" t="s">
        <v>648</v>
      </c>
      <c r="C2086">
        <v>130</v>
      </c>
      <c r="D2086" t="s">
        <v>110</v>
      </c>
      <c r="E2086" t="s">
        <v>12</v>
      </c>
      <c r="F2086">
        <v>1.27</v>
      </c>
      <c r="G2086" t="s">
        <v>13</v>
      </c>
    </row>
    <row r="2087" spans="1:7" x14ac:dyDescent="0.25">
      <c r="A2087">
        <v>149</v>
      </c>
      <c r="B2087" t="s">
        <v>648</v>
      </c>
      <c r="C2087">
        <v>140</v>
      </c>
      <c r="D2087" t="s">
        <v>529</v>
      </c>
      <c r="E2087" t="s">
        <v>11</v>
      </c>
      <c r="F2087">
        <v>1</v>
      </c>
      <c r="G2087" t="s">
        <v>15</v>
      </c>
    </row>
    <row r="2088" spans="1:7" x14ac:dyDescent="0.25">
      <c r="A2088">
        <v>150</v>
      </c>
      <c r="B2088" t="s">
        <v>651</v>
      </c>
      <c r="C2088">
        <v>10</v>
      </c>
      <c r="D2088" t="s">
        <v>187</v>
      </c>
      <c r="E2088" t="s">
        <v>14</v>
      </c>
      <c r="F2088">
        <v>2.1589999999999998</v>
      </c>
      <c r="G2088" t="s">
        <v>15</v>
      </c>
    </row>
    <row r="2089" spans="1:7" x14ac:dyDescent="0.25">
      <c r="A2089">
        <v>150</v>
      </c>
      <c r="B2089" t="s">
        <v>651</v>
      </c>
      <c r="C2089">
        <v>20</v>
      </c>
      <c r="D2089" t="s">
        <v>652</v>
      </c>
      <c r="E2089" t="s">
        <v>11</v>
      </c>
      <c r="F2089">
        <v>1</v>
      </c>
      <c r="G2089" t="s">
        <v>15</v>
      </c>
    </row>
    <row r="2090" spans="1:7" x14ac:dyDescent="0.25">
      <c r="A2090">
        <v>150</v>
      </c>
      <c r="B2090" t="s">
        <v>651</v>
      </c>
      <c r="C2090">
        <v>30</v>
      </c>
      <c r="D2090" t="s">
        <v>653</v>
      </c>
      <c r="E2090" t="s">
        <v>11</v>
      </c>
      <c r="F2090">
        <v>1</v>
      </c>
      <c r="G2090" t="s">
        <v>15</v>
      </c>
    </row>
    <row r="2091" spans="1:7" x14ac:dyDescent="0.25">
      <c r="A2091">
        <v>150</v>
      </c>
      <c r="B2091" t="s">
        <v>651</v>
      </c>
      <c r="C2091">
        <v>40</v>
      </c>
      <c r="D2091" t="s">
        <v>266</v>
      </c>
      <c r="E2091" t="s">
        <v>14</v>
      </c>
      <c r="F2091">
        <v>2.1589999999999998</v>
      </c>
      <c r="G2091" t="s">
        <v>15</v>
      </c>
    </row>
    <row r="2092" spans="1:7" x14ac:dyDescent="0.25">
      <c r="A2092">
        <v>150</v>
      </c>
      <c r="B2092" t="s">
        <v>651</v>
      </c>
      <c r="C2092">
        <v>50</v>
      </c>
      <c r="D2092" t="s">
        <v>107</v>
      </c>
      <c r="E2092" t="s">
        <v>108</v>
      </c>
      <c r="F2092">
        <v>1.1739999999999999</v>
      </c>
      <c r="G2092" t="s">
        <v>13</v>
      </c>
    </row>
    <row r="2093" spans="1:7" x14ac:dyDescent="0.25">
      <c r="A2093">
        <v>150</v>
      </c>
      <c r="B2093" t="s">
        <v>651</v>
      </c>
      <c r="C2093">
        <v>60</v>
      </c>
      <c r="D2093" t="s">
        <v>267</v>
      </c>
      <c r="E2093" t="s">
        <v>11</v>
      </c>
      <c r="F2093">
        <v>1</v>
      </c>
      <c r="G2093" t="s">
        <v>13</v>
      </c>
    </row>
    <row r="2094" spans="1:7" x14ac:dyDescent="0.25">
      <c r="A2094">
        <v>150</v>
      </c>
      <c r="B2094" t="s">
        <v>651</v>
      </c>
      <c r="C2094">
        <v>70</v>
      </c>
      <c r="D2094" t="s">
        <v>109</v>
      </c>
      <c r="E2094" t="s">
        <v>14</v>
      </c>
      <c r="F2094">
        <v>23.47</v>
      </c>
      <c r="G2094" t="s">
        <v>13</v>
      </c>
    </row>
    <row r="2095" spans="1:7" x14ac:dyDescent="0.25">
      <c r="A2095">
        <v>150</v>
      </c>
      <c r="B2095" t="s">
        <v>651</v>
      </c>
      <c r="C2095">
        <v>80</v>
      </c>
      <c r="D2095" t="s">
        <v>16</v>
      </c>
      <c r="E2095" t="s">
        <v>14</v>
      </c>
      <c r="F2095">
        <v>145.27500000000001</v>
      </c>
      <c r="G2095" t="s">
        <v>13</v>
      </c>
    </row>
    <row r="2096" spans="1:7" x14ac:dyDescent="0.25">
      <c r="A2096">
        <v>150</v>
      </c>
      <c r="B2096" t="s">
        <v>651</v>
      </c>
      <c r="C2096">
        <v>90</v>
      </c>
      <c r="D2096" t="s">
        <v>265</v>
      </c>
      <c r="E2096" t="s">
        <v>12</v>
      </c>
      <c r="F2096">
        <v>0.14799999999999999</v>
      </c>
      <c r="G2096" t="s">
        <v>13</v>
      </c>
    </row>
    <row r="2097" spans="1:7" x14ac:dyDescent="0.25">
      <c r="A2097">
        <v>150</v>
      </c>
      <c r="B2097" t="s">
        <v>651</v>
      </c>
      <c r="C2097">
        <v>100</v>
      </c>
      <c r="D2097" t="s">
        <v>269</v>
      </c>
      <c r="E2097" t="s">
        <v>11</v>
      </c>
      <c r="F2097">
        <v>4</v>
      </c>
      <c r="G2097" t="s">
        <v>13</v>
      </c>
    </row>
    <row r="2098" spans="1:7" x14ac:dyDescent="0.25">
      <c r="A2098">
        <v>150</v>
      </c>
      <c r="B2098" t="s">
        <v>651</v>
      </c>
      <c r="C2098">
        <v>110</v>
      </c>
      <c r="D2098" t="s">
        <v>20</v>
      </c>
      <c r="E2098" t="s">
        <v>11</v>
      </c>
      <c r="F2098">
        <v>1</v>
      </c>
      <c r="G2098" t="s">
        <v>13</v>
      </c>
    </row>
    <row r="2099" spans="1:7" x14ac:dyDescent="0.25">
      <c r="A2099">
        <v>150</v>
      </c>
      <c r="B2099" t="s">
        <v>651</v>
      </c>
      <c r="C2099">
        <v>120</v>
      </c>
      <c r="D2099" t="s">
        <v>21</v>
      </c>
      <c r="E2099" t="s">
        <v>11</v>
      </c>
      <c r="F2099">
        <v>1</v>
      </c>
      <c r="G2099" t="s">
        <v>13</v>
      </c>
    </row>
    <row r="2100" spans="1:7" x14ac:dyDescent="0.25">
      <c r="A2100">
        <v>150</v>
      </c>
      <c r="B2100" t="s">
        <v>651</v>
      </c>
      <c r="C2100">
        <v>130</v>
      </c>
      <c r="D2100" t="s">
        <v>110</v>
      </c>
      <c r="E2100" t="s">
        <v>12</v>
      </c>
      <c r="F2100">
        <v>1.27</v>
      </c>
      <c r="G2100" t="s">
        <v>13</v>
      </c>
    </row>
    <row r="2101" spans="1:7" x14ac:dyDescent="0.25">
      <c r="A2101">
        <v>150</v>
      </c>
      <c r="B2101" t="s">
        <v>651</v>
      </c>
      <c r="C2101">
        <v>140</v>
      </c>
      <c r="D2101" t="s">
        <v>533</v>
      </c>
      <c r="E2101" t="s">
        <v>11</v>
      </c>
      <c r="F2101">
        <v>1</v>
      </c>
      <c r="G21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04"/>
  <sheetViews>
    <sheetView topLeftCell="F2" zoomScale="85" zoomScaleNormal="85" workbookViewId="0">
      <selection activeCell="V2" sqref="V2"/>
    </sheetView>
  </sheetViews>
  <sheetFormatPr defaultRowHeight="15" x14ac:dyDescent="0.25"/>
  <cols>
    <col min="1" max="1" width="7.42578125" bestFit="1" customWidth="1"/>
    <col min="2" max="2" width="9.7109375" customWidth="1"/>
    <col min="3" max="3" width="30.42578125" bestFit="1" customWidth="1"/>
    <col min="4" max="4" width="11.7109375" bestFit="1" customWidth="1"/>
    <col min="5" max="5" width="30.42578125" bestFit="1" customWidth="1"/>
    <col min="6" max="6" width="12.85546875" bestFit="1" customWidth="1"/>
    <col min="7" max="7" width="14" bestFit="1" customWidth="1"/>
    <col min="8" max="8" width="16.42578125" bestFit="1" customWidth="1"/>
    <col min="9" max="9" width="12.140625" bestFit="1" customWidth="1"/>
    <col min="10" max="10" width="16.28515625" bestFit="1" customWidth="1"/>
    <col min="11" max="11" width="16" bestFit="1" customWidth="1"/>
    <col min="12" max="12" width="11.42578125" bestFit="1" customWidth="1"/>
    <col min="13" max="13" width="10" bestFit="1" customWidth="1"/>
    <col min="14" max="14" width="34.140625" bestFit="1" customWidth="1"/>
    <col min="15" max="15" width="12.85546875" bestFit="1" customWidth="1"/>
    <col min="16" max="19" width="12.140625" bestFit="1" customWidth="1"/>
    <col min="20" max="20" width="10" bestFit="1" customWidth="1"/>
    <col min="21" max="21" width="12.140625" bestFit="1" customWidth="1"/>
    <col min="22" max="22" width="17" bestFit="1" customWidth="1"/>
    <col min="23" max="25" width="12.140625" bestFit="1" customWidth="1"/>
    <col min="26" max="26" width="10.5703125" bestFit="1" customWidth="1"/>
    <col min="27" max="27" width="11" bestFit="1" customWidth="1"/>
    <col min="28" max="28" width="8.85546875" bestFit="1" customWidth="1"/>
    <col min="29" max="30" width="12.140625" bestFit="1" customWidth="1"/>
    <col min="31" max="31" width="15.42578125" bestFit="1" customWidth="1"/>
    <col min="32" max="32" width="16.7109375" bestFit="1" customWidth="1"/>
    <col min="33" max="33" width="12.140625" bestFit="1" customWidth="1"/>
    <col min="34" max="34" width="10.5703125" bestFit="1" customWidth="1"/>
    <col min="35" max="35" width="14.7109375" bestFit="1" customWidth="1"/>
    <col min="36" max="36" width="15.7109375" bestFit="1" customWidth="1"/>
    <col min="37" max="37" width="18.42578125" bestFit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27</v>
      </c>
      <c r="C2" s="46" t="s">
        <v>28</v>
      </c>
      <c r="D2" s="46" t="s">
        <v>29</v>
      </c>
      <c r="E2" s="46" t="s">
        <v>28</v>
      </c>
      <c r="F2" s="46" t="s">
        <v>29</v>
      </c>
      <c r="G2" s="46" t="s">
        <v>27</v>
      </c>
      <c r="H2" s="46" t="s">
        <v>29</v>
      </c>
      <c r="I2" s="46" t="s">
        <v>29</v>
      </c>
      <c r="J2" s="46" t="s">
        <v>29</v>
      </c>
      <c r="K2" s="46" t="s">
        <v>29</v>
      </c>
      <c r="L2" s="46" t="s">
        <v>27</v>
      </c>
      <c r="M2" s="47" t="s">
        <v>30</v>
      </c>
      <c r="N2" s="21" t="s">
        <v>30</v>
      </c>
      <c r="O2" s="47" t="s">
        <v>30</v>
      </c>
      <c r="P2" s="47" t="s">
        <v>31</v>
      </c>
      <c r="Q2" s="47" t="s">
        <v>30</v>
      </c>
      <c r="R2" s="47" t="s">
        <v>31</v>
      </c>
      <c r="S2" s="47" t="s">
        <v>30</v>
      </c>
      <c r="T2" s="47" t="s">
        <v>30</v>
      </c>
      <c r="U2" s="47" t="s">
        <v>31</v>
      </c>
      <c r="V2" s="47" t="s">
        <v>30</v>
      </c>
      <c r="W2" s="47" t="s">
        <v>30</v>
      </c>
      <c r="X2" s="47" t="s">
        <v>30</v>
      </c>
      <c r="Y2" s="47" t="s">
        <v>31</v>
      </c>
      <c r="Z2" s="47" t="s">
        <v>32</v>
      </c>
      <c r="AA2" s="47" t="s">
        <v>30</v>
      </c>
      <c r="AB2" s="47" t="s">
        <v>30</v>
      </c>
      <c r="AC2" s="47" t="s">
        <v>30</v>
      </c>
      <c r="AD2" s="47" t="s">
        <v>30</v>
      </c>
      <c r="AE2" s="47" t="s">
        <v>30</v>
      </c>
      <c r="AF2" s="47" t="s">
        <v>30</v>
      </c>
      <c r="AG2" s="47" t="s">
        <v>32</v>
      </c>
      <c r="AH2" s="47" t="s">
        <v>32</v>
      </c>
      <c r="AI2" s="47" t="s">
        <v>32</v>
      </c>
      <c r="AJ2" s="47" t="s">
        <v>30</v>
      </c>
      <c r="AK2" s="47" t="s">
        <v>30</v>
      </c>
      <c r="AL2" s="47" t="s">
        <v>30</v>
      </c>
    </row>
    <row r="3" spans="1:38" x14ac:dyDescent="0.25">
      <c r="A3" s="48"/>
      <c r="B3" s="46" t="s">
        <v>33</v>
      </c>
      <c r="C3" s="46" t="s">
        <v>34</v>
      </c>
      <c r="D3" s="46" t="s">
        <v>35</v>
      </c>
      <c r="E3" s="46" t="s">
        <v>34</v>
      </c>
      <c r="F3" s="46" t="s">
        <v>36</v>
      </c>
      <c r="G3" s="46" t="s">
        <v>37</v>
      </c>
      <c r="H3" s="46" t="s">
        <v>38</v>
      </c>
      <c r="I3" s="46" t="s">
        <v>39</v>
      </c>
      <c r="J3" s="46" t="s">
        <v>34</v>
      </c>
      <c r="K3" s="46" t="s">
        <v>34</v>
      </c>
      <c r="L3" s="46" t="s">
        <v>40</v>
      </c>
      <c r="M3" s="47" t="s">
        <v>41</v>
      </c>
      <c r="N3" s="21" t="s">
        <v>34</v>
      </c>
      <c r="O3" s="47" t="s">
        <v>36</v>
      </c>
      <c r="P3" s="47" t="s">
        <v>42</v>
      </c>
      <c r="Q3" s="47" t="s">
        <v>39</v>
      </c>
      <c r="R3" s="47" t="s">
        <v>38</v>
      </c>
      <c r="S3" s="47" t="s">
        <v>43</v>
      </c>
      <c r="T3" s="47" t="s">
        <v>41</v>
      </c>
      <c r="U3" s="47" t="s">
        <v>44</v>
      </c>
      <c r="V3" s="47" t="s">
        <v>38</v>
      </c>
      <c r="W3" s="47" t="s">
        <v>39</v>
      </c>
      <c r="X3" s="47" t="s">
        <v>39</v>
      </c>
      <c r="Y3" s="47" t="s">
        <v>33</v>
      </c>
      <c r="Z3" s="47" t="s">
        <v>40</v>
      </c>
      <c r="AA3" s="47" t="s">
        <v>45</v>
      </c>
      <c r="AB3" s="47" t="s">
        <v>45</v>
      </c>
      <c r="AC3" s="47" t="s">
        <v>39</v>
      </c>
      <c r="AD3" s="47" t="s">
        <v>39</v>
      </c>
      <c r="AE3" s="47" t="s">
        <v>44</v>
      </c>
      <c r="AF3" s="47" t="s">
        <v>43</v>
      </c>
      <c r="AG3" s="47" t="s">
        <v>33</v>
      </c>
      <c r="AH3" s="47" t="s">
        <v>40</v>
      </c>
      <c r="AI3" s="47" t="s">
        <v>40</v>
      </c>
      <c r="AJ3" s="47" t="s">
        <v>34</v>
      </c>
      <c r="AK3" s="47" t="s">
        <v>36</v>
      </c>
      <c r="AL3" s="47" t="s">
        <v>46</v>
      </c>
    </row>
    <row r="4" spans="1:38" x14ac:dyDescent="0.25">
      <c r="A4" s="48"/>
      <c r="B4" s="22" t="s">
        <v>47</v>
      </c>
      <c r="C4" s="22" t="s">
        <v>48</v>
      </c>
      <c r="D4" s="46" t="s">
        <v>49</v>
      </c>
      <c r="E4" s="22" t="s">
        <v>3</v>
      </c>
      <c r="F4" s="46" t="s">
        <v>50</v>
      </c>
      <c r="G4" s="22" t="s">
        <v>51</v>
      </c>
      <c r="H4" s="22" t="s">
        <v>6</v>
      </c>
      <c r="I4" s="22" t="s">
        <v>52</v>
      </c>
      <c r="J4" s="46" t="s">
        <v>53</v>
      </c>
      <c r="K4" s="46" t="s">
        <v>54</v>
      </c>
      <c r="L4" s="46" t="s">
        <v>55</v>
      </c>
      <c r="M4" s="23" t="s">
        <v>56</v>
      </c>
      <c r="N4" s="24" t="s">
        <v>3</v>
      </c>
      <c r="O4" s="47" t="s">
        <v>50</v>
      </c>
      <c r="P4" s="47" t="s">
        <v>57</v>
      </c>
      <c r="Q4" s="47" t="s">
        <v>58</v>
      </c>
      <c r="R4" s="47" t="s">
        <v>4</v>
      </c>
      <c r="S4" s="47" t="s">
        <v>59</v>
      </c>
      <c r="T4" s="47" t="s">
        <v>60</v>
      </c>
      <c r="U4" s="47" t="s">
        <v>61</v>
      </c>
      <c r="V4" s="47" t="s">
        <v>6</v>
      </c>
      <c r="W4" s="47" t="s">
        <v>62</v>
      </c>
      <c r="X4" s="47" t="s">
        <v>63</v>
      </c>
      <c r="Y4" s="47" t="s">
        <v>64</v>
      </c>
      <c r="Z4" s="47" t="s">
        <v>65</v>
      </c>
      <c r="AA4" s="47" t="s">
        <v>66</v>
      </c>
      <c r="AB4" s="47" t="s">
        <v>67</v>
      </c>
      <c r="AC4" s="47" t="s">
        <v>68</v>
      </c>
      <c r="AD4" s="47" t="s">
        <v>69</v>
      </c>
      <c r="AE4" s="47" t="s">
        <v>70</v>
      </c>
      <c r="AF4" s="47" t="s">
        <v>71</v>
      </c>
      <c r="AG4" s="47" t="s">
        <v>72</v>
      </c>
      <c r="AH4" s="47" t="s">
        <v>73</v>
      </c>
      <c r="AI4" s="47" t="s">
        <v>74</v>
      </c>
      <c r="AJ4" s="47" t="s">
        <v>75</v>
      </c>
      <c r="AK4" s="47" t="s">
        <v>76</v>
      </c>
      <c r="AL4" s="47" t="s">
        <v>77</v>
      </c>
    </row>
    <row r="5" spans="1:38" x14ac:dyDescent="0.25">
      <c r="A5" s="3">
        <v>1</v>
      </c>
      <c r="B5" s="3" t="s">
        <v>87</v>
      </c>
      <c r="C5" s="3" t="s">
        <v>115</v>
      </c>
      <c r="D5" s="3"/>
      <c r="E5" s="3" t="s">
        <v>115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116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115</v>
      </c>
      <c r="D6" s="3"/>
      <c r="E6" s="3" t="s">
        <v>115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117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115</v>
      </c>
      <c r="D7" s="3"/>
      <c r="E7" s="3" t="s">
        <v>115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268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115</v>
      </c>
      <c r="D8" s="3"/>
      <c r="E8" s="3" t="s">
        <v>115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266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115</v>
      </c>
      <c r="D9" s="3"/>
      <c r="E9" s="3" t="s">
        <v>115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107</v>
      </c>
      <c r="O9" s="3"/>
      <c r="P9" s="3"/>
      <c r="Q9" s="3">
        <v>0.437</v>
      </c>
      <c r="R9" s="3" t="s">
        <v>108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115</v>
      </c>
      <c r="D10" s="3"/>
      <c r="E10" s="3" t="s">
        <v>115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267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115</v>
      </c>
      <c r="D11" s="3"/>
      <c r="E11" s="3" t="s">
        <v>115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109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115</v>
      </c>
      <c r="D12" s="3"/>
      <c r="E12" s="3" t="s">
        <v>115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115</v>
      </c>
      <c r="D13" s="3"/>
      <c r="E13" s="3" t="s">
        <v>115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265</v>
      </c>
      <c r="O13" s="3"/>
      <c r="P13" s="3"/>
      <c r="Q13" s="3">
        <v>7.8E-2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115</v>
      </c>
      <c r="D14" s="3"/>
      <c r="E14" s="3" t="s">
        <v>115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269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115</v>
      </c>
      <c r="D15" s="3"/>
      <c r="E15" s="3" t="s">
        <v>115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115</v>
      </c>
      <c r="D16" s="3"/>
      <c r="E16" s="3" t="s">
        <v>115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110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270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118</v>
      </c>
      <c r="D19" s="3"/>
      <c r="E19" s="3" t="s">
        <v>118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116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118</v>
      </c>
      <c r="D20" s="3"/>
      <c r="E20" s="3" t="s">
        <v>118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119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118</v>
      </c>
      <c r="D21" s="3"/>
      <c r="E21" s="3" t="s">
        <v>118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271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118</v>
      </c>
      <c r="D22" s="3"/>
      <c r="E22" s="3" t="s">
        <v>118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266</v>
      </c>
      <c r="O22" s="3"/>
      <c r="P22" s="3"/>
      <c r="Q22" s="3">
        <v>0.94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118</v>
      </c>
      <c r="D23" s="3"/>
      <c r="E23" s="3" t="s">
        <v>118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107</v>
      </c>
      <c r="O23" s="3"/>
      <c r="P23" s="3"/>
      <c r="Q23" s="3">
        <v>0.52500000000000002</v>
      </c>
      <c r="R23" s="3" t="s">
        <v>108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118</v>
      </c>
      <c r="D24" s="3"/>
      <c r="E24" s="3" t="s">
        <v>118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267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118</v>
      </c>
      <c r="D25" s="3"/>
      <c r="E25" s="3" t="s">
        <v>118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109</v>
      </c>
      <c r="O25" s="3"/>
      <c r="P25" s="3"/>
      <c r="Q25" s="3">
        <v>16.611999999999998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118</v>
      </c>
      <c r="D26" s="3"/>
      <c r="E26" s="3" t="s">
        <v>118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16</v>
      </c>
      <c r="O26" s="3"/>
      <c r="P26" s="3"/>
      <c r="Q26" s="3">
        <v>103.099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118</v>
      </c>
      <c r="D27" s="3"/>
      <c r="E27" s="3" t="s">
        <v>118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265</v>
      </c>
      <c r="O27" s="3"/>
      <c r="P27" s="3"/>
      <c r="Q27" s="3">
        <v>8.8999999999999996E-2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118</v>
      </c>
      <c r="D28" s="3"/>
      <c r="E28" s="3" t="s">
        <v>118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269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118</v>
      </c>
      <c r="D29" s="3"/>
      <c r="E29" s="3" t="s">
        <v>118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118</v>
      </c>
      <c r="D30" s="3"/>
      <c r="E30" s="3" t="s">
        <v>118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118</v>
      </c>
      <c r="D31" s="3"/>
      <c r="E31" s="3" t="s">
        <v>118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110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272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120</v>
      </c>
      <c r="D33" s="3"/>
      <c r="E33" s="3" t="s">
        <v>120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116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120</v>
      </c>
      <c r="D34" s="3"/>
      <c r="E34" s="3" t="s">
        <v>120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121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120</v>
      </c>
      <c r="D35" s="3"/>
      <c r="E35" s="3" t="s">
        <v>120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273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120</v>
      </c>
      <c r="D36" s="3"/>
      <c r="E36" s="3" t="s">
        <v>120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266</v>
      </c>
      <c r="O36" s="3"/>
      <c r="P36" s="3"/>
      <c r="Q36" s="3">
        <v>1.0920000000000001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120</v>
      </c>
      <c r="D37" s="3"/>
      <c r="E37" s="3" t="s">
        <v>120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107</v>
      </c>
      <c r="O37" s="3"/>
      <c r="P37" s="3"/>
      <c r="Q37" s="3">
        <v>0.61199999999999999</v>
      </c>
      <c r="R37" s="3" t="s">
        <v>108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120</v>
      </c>
      <c r="D38" s="3"/>
      <c r="E38" s="3" t="s">
        <v>120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267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120</v>
      </c>
      <c r="D39" s="3"/>
      <c r="E39" s="3" t="s">
        <v>120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109</v>
      </c>
      <c r="O39" s="3"/>
      <c r="P39" s="3"/>
      <c r="Q39" s="3">
        <v>17.526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120</v>
      </c>
      <c r="D40" s="3"/>
      <c r="E40" s="3" t="s">
        <v>120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16</v>
      </c>
      <c r="O40" s="3"/>
      <c r="P40" s="3"/>
      <c r="Q40" s="3">
        <v>108.72199999999999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120</v>
      </c>
      <c r="D41" s="3"/>
      <c r="E41" s="3" t="s">
        <v>120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265</v>
      </c>
      <c r="O41" s="3"/>
      <c r="P41" s="3"/>
      <c r="Q41" s="3">
        <v>0.1</v>
      </c>
      <c r="R41" s="3" t="s">
        <v>12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120</v>
      </c>
      <c r="D42" s="3"/>
      <c r="E42" s="3" t="s">
        <v>120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269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120</v>
      </c>
      <c r="D43" s="3"/>
      <c r="E43" s="3" t="s">
        <v>120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120</v>
      </c>
      <c r="D44" s="3"/>
      <c r="E44" s="3" t="s">
        <v>120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120</v>
      </c>
      <c r="D45" s="3"/>
      <c r="E45" s="3" t="s">
        <v>120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110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120</v>
      </c>
      <c r="D46" s="3"/>
      <c r="E46" s="3" t="s">
        <v>120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274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122</v>
      </c>
      <c r="D47" s="3"/>
      <c r="E47" s="3" t="s">
        <v>122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116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122</v>
      </c>
      <c r="D48" s="3"/>
      <c r="E48" s="3" t="s">
        <v>122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123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122</v>
      </c>
      <c r="D49" s="3"/>
      <c r="E49" s="3" t="s">
        <v>122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275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266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107</v>
      </c>
      <c r="O51" s="3"/>
      <c r="P51" s="3"/>
      <c r="Q51" s="3">
        <v>0.7</v>
      </c>
      <c r="R51" s="3" t="s">
        <v>108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267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109</v>
      </c>
      <c r="O53" s="3"/>
      <c r="P53" s="3"/>
      <c r="Q53" s="3">
        <v>18.440000000000001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16</v>
      </c>
      <c r="O54" s="3"/>
      <c r="P54" s="3"/>
      <c r="Q54" s="3">
        <v>114.346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265</v>
      </c>
      <c r="O55" s="3"/>
      <c r="P55" s="3"/>
      <c r="Q55" s="3">
        <v>0.11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269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122</v>
      </c>
      <c r="D59" s="3"/>
      <c r="E59" s="3" t="s">
        <v>122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110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276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124</v>
      </c>
      <c r="D61" s="3"/>
      <c r="E61" s="3" t="s">
        <v>124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116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124</v>
      </c>
      <c r="D62" s="3"/>
      <c r="E62" s="3" t="s">
        <v>124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124</v>
      </c>
      <c r="D63" s="3"/>
      <c r="E63" s="3" t="s">
        <v>124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277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124</v>
      </c>
      <c r="D64" s="3"/>
      <c r="E64" s="3" t="s">
        <v>124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266</v>
      </c>
      <c r="O64" s="3"/>
      <c r="P64" s="3"/>
      <c r="Q64" s="3">
        <v>1.5489999999999999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124</v>
      </c>
      <c r="D65" s="3"/>
      <c r="E65" s="3" t="s">
        <v>124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107</v>
      </c>
      <c r="O65" s="3"/>
      <c r="P65" s="3"/>
      <c r="Q65" s="3">
        <v>0.875</v>
      </c>
      <c r="R65" s="3" t="s">
        <v>108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124</v>
      </c>
      <c r="D66" s="3"/>
      <c r="E66" s="3" t="s">
        <v>124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267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124</v>
      </c>
      <c r="D67" s="3"/>
      <c r="E67" s="3" t="s">
        <v>124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109</v>
      </c>
      <c r="O67" s="3"/>
      <c r="P67" s="3"/>
      <c r="Q67" s="3">
        <v>20.268999999999998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124</v>
      </c>
      <c r="D68" s="3"/>
      <c r="E68" s="3" t="s">
        <v>124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16</v>
      </c>
      <c r="O68" s="3"/>
      <c r="P68" s="3"/>
      <c r="Q68" s="3">
        <v>125.593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124</v>
      </c>
      <c r="D69" s="3"/>
      <c r="E69" s="3" t="s">
        <v>124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265</v>
      </c>
      <c r="O69" s="3"/>
      <c r="P69" s="3"/>
      <c r="Q69" s="3">
        <v>0.13200000000000001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124</v>
      </c>
      <c r="D70" s="3"/>
      <c r="E70" s="3" t="s">
        <v>124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269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124</v>
      </c>
      <c r="D71" s="3"/>
      <c r="E71" s="3" t="s">
        <v>124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124</v>
      </c>
      <c r="D72" s="3"/>
      <c r="E72" s="3" t="s">
        <v>124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124</v>
      </c>
      <c r="D73" s="3"/>
      <c r="E73" s="3" t="s">
        <v>124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110</v>
      </c>
      <c r="O73" s="3"/>
      <c r="P73" s="3"/>
      <c r="Q73" s="3">
        <v>0.94599999999999995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124</v>
      </c>
      <c r="D74" s="3"/>
      <c r="E74" s="3" t="s">
        <v>124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278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116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279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266</v>
      </c>
      <c r="O78" s="3"/>
      <c r="P78" s="3"/>
      <c r="Q78" s="3">
        <v>1.702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107</v>
      </c>
      <c r="O79" s="3"/>
      <c r="P79" s="3"/>
      <c r="Q79" s="3">
        <v>0.96199999999999997</v>
      </c>
      <c r="R79" s="3" t="s">
        <v>108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267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109</v>
      </c>
      <c r="O81" s="3"/>
      <c r="P81" s="3"/>
      <c r="Q81" s="3">
        <v>21.184000000000001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16</v>
      </c>
      <c r="O82" s="3"/>
      <c r="P82" s="3"/>
      <c r="Q82" s="3">
        <v>131.21600000000001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126</v>
      </c>
      <c r="D83" s="3"/>
      <c r="E83" s="3" t="s">
        <v>126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265</v>
      </c>
      <c r="O83" s="3"/>
      <c r="P83" s="3"/>
      <c r="Q83" s="3">
        <v>0.14199999999999999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126</v>
      </c>
      <c r="D84" s="3"/>
      <c r="E84" s="3" t="s">
        <v>126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269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126</v>
      </c>
      <c r="D85" s="3"/>
      <c r="E85" s="3" t="s">
        <v>126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126</v>
      </c>
      <c r="D86" s="3"/>
      <c r="E86" s="3" t="s">
        <v>126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126</v>
      </c>
      <c r="D87" s="3"/>
      <c r="E87" s="3" t="s">
        <v>126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110</v>
      </c>
      <c r="O87" s="3"/>
      <c r="P87" s="3"/>
      <c r="Q87" s="3">
        <v>1.0269999999999999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126</v>
      </c>
      <c r="D88" s="3"/>
      <c r="E88" s="3" t="s">
        <v>126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280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128</v>
      </c>
      <c r="D89" s="3"/>
      <c r="E89" s="3" t="s">
        <v>128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116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128</v>
      </c>
      <c r="D90" s="3"/>
      <c r="E90" s="3" t="s">
        <v>128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129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128</v>
      </c>
      <c r="D91" s="3"/>
      <c r="E91" s="3" t="s">
        <v>128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281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128</v>
      </c>
      <c r="D92" s="3"/>
      <c r="E92" s="3" t="s">
        <v>128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266</v>
      </c>
      <c r="O92" s="3"/>
      <c r="P92" s="3"/>
      <c r="Q92" s="3">
        <v>1.8540000000000001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128</v>
      </c>
      <c r="D93" s="3"/>
      <c r="E93" s="3" t="s">
        <v>128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107</v>
      </c>
      <c r="O93" s="3"/>
      <c r="P93" s="3"/>
      <c r="Q93" s="3">
        <v>1.05</v>
      </c>
      <c r="R93" s="3" t="s">
        <v>108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128</v>
      </c>
      <c r="D94" s="3"/>
      <c r="E94" s="3" t="s">
        <v>128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267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128</v>
      </c>
      <c r="D95" s="3"/>
      <c r="E95" s="3" t="s">
        <v>128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109</v>
      </c>
      <c r="O95" s="3"/>
      <c r="P95" s="3"/>
      <c r="Q95" s="3">
        <v>22.097999999999999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16</v>
      </c>
      <c r="O96" s="3"/>
      <c r="P96" s="3"/>
      <c r="Q96" s="3">
        <v>136.84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265</v>
      </c>
      <c r="O97" s="3"/>
      <c r="P97" s="3"/>
      <c r="Q97" s="3">
        <v>0.153</v>
      </c>
      <c r="R97" s="3" t="s">
        <v>12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269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110</v>
      </c>
      <c r="O101" s="3"/>
      <c r="P101" s="3"/>
      <c r="Q101" s="3">
        <v>1.1080000000000001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282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130</v>
      </c>
      <c r="D103" s="3"/>
      <c r="E103" s="3" t="s">
        <v>130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116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131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283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266</v>
      </c>
      <c r="O106" s="3"/>
      <c r="P106" s="3"/>
      <c r="Q106" s="3">
        <v>0.78700000000000003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130</v>
      </c>
      <c r="D107" s="3"/>
      <c r="E107" s="3" t="s">
        <v>130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107</v>
      </c>
      <c r="O107" s="3"/>
      <c r="P107" s="3"/>
      <c r="Q107" s="3">
        <v>0.45600000000000002</v>
      </c>
      <c r="R107" s="3" t="s">
        <v>108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130</v>
      </c>
      <c r="D108" s="3"/>
      <c r="E108" s="3" t="s">
        <v>130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267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109</v>
      </c>
      <c r="O109" s="3"/>
      <c r="P109" s="3"/>
      <c r="Q109" s="3">
        <v>16.154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16</v>
      </c>
      <c r="O110" s="3"/>
      <c r="P110" s="3"/>
      <c r="Q110" s="3">
        <v>100.28700000000001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265</v>
      </c>
      <c r="O111" s="3"/>
      <c r="P111" s="3"/>
      <c r="Q111" s="3">
        <v>7.8E-2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269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130</v>
      </c>
      <c r="D115" s="3"/>
      <c r="E115" s="3" t="s">
        <v>130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110</v>
      </c>
      <c r="O115" s="3"/>
      <c r="P115" s="3"/>
      <c r="Q115" s="3">
        <v>0.54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130</v>
      </c>
      <c r="D116" s="3"/>
      <c r="E116" s="3" t="s">
        <v>130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284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132</v>
      </c>
      <c r="D117" s="3"/>
      <c r="E117" s="3" t="s">
        <v>132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116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132</v>
      </c>
      <c r="D118" s="3"/>
      <c r="E118" s="3" t="s">
        <v>132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133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132</v>
      </c>
      <c r="D119" s="3"/>
      <c r="E119" s="3" t="s">
        <v>132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285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132</v>
      </c>
      <c r="D120" s="3"/>
      <c r="E120" s="3" t="s">
        <v>132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266</v>
      </c>
      <c r="O120" s="3"/>
      <c r="P120" s="3"/>
      <c r="Q120" s="3">
        <v>0.94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132</v>
      </c>
      <c r="D121" s="3"/>
      <c r="E121" s="3" t="s">
        <v>132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107</v>
      </c>
      <c r="O121" s="3"/>
      <c r="P121" s="3"/>
      <c r="Q121" s="3">
        <v>0.54700000000000004</v>
      </c>
      <c r="R121" s="3" t="s">
        <v>108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132</v>
      </c>
      <c r="D122" s="3"/>
      <c r="E122" s="3" t="s">
        <v>132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267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132</v>
      </c>
      <c r="D123" s="3"/>
      <c r="E123" s="3" t="s">
        <v>132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109</v>
      </c>
      <c r="O123" s="3"/>
      <c r="P123" s="3"/>
      <c r="Q123" s="3">
        <v>17.068999999999999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132</v>
      </c>
      <c r="D124" s="3"/>
      <c r="E124" s="3" t="s">
        <v>132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16</v>
      </c>
      <c r="O124" s="3"/>
      <c r="P124" s="3"/>
      <c r="Q124" s="3">
        <v>105.91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265</v>
      </c>
      <c r="O125" s="3"/>
      <c r="P125" s="3"/>
      <c r="Q125" s="3">
        <v>8.8999999999999996E-2</v>
      </c>
      <c r="R125" s="3" t="s">
        <v>12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132</v>
      </c>
      <c r="D126" s="3"/>
      <c r="E126" s="3" t="s">
        <v>132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269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132</v>
      </c>
      <c r="D127" s="3"/>
      <c r="E127" s="3" t="s">
        <v>132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132</v>
      </c>
      <c r="D128" s="3"/>
      <c r="E128" s="3" t="s">
        <v>132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132</v>
      </c>
      <c r="D129" s="3"/>
      <c r="E129" s="3" t="s">
        <v>132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110</v>
      </c>
      <c r="O129" s="3"/>
      <c r="P129" s="3"/>
      <c r="Q129" s="3">
        <v>0.622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132</v>
      </c>
      <c r="D130" s="3"/>
      <c r="E130" s="3" t="s">
        <v>132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286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116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135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134</v>
      </c>
      <c r="D133" s="3"/>
      <c r="E133" s="3" t="s">
        <v>134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287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134</v>
      </c>
      <c r="D134" s="3"/>
      <c r="E134" s="3" t="s">
        <v>134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266</v>
      </c>
      <c r="O134" s="3"/>
      <c r="P134" s="3"/>
      <c r="Q134" s="3">
        <v>1.0920000000000001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107</v>
      </c>
      <c r="O135" s="3"/>
      <c r="P135" s="3"/>
      <c r="Q135" s="3">
        <v>0.63800000000000001</v>
      </c>
      <c r="R135" s="3" t="s">
        <v>108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267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134</v>
      </c>
      <c r="D137" s="3"/>
      <c r="E137" s="3" t="s">
        <v>134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109</v>
      </c>
      <c r="O137" s="3"/>
      <c r="P137" s="3"/>
      <c r="Q137" s="3">
        <v>17.983000000000001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134</v>
      </c>
      <c r="D138" s="3"/>
      <c r="E138" s="3" t="s">
        <v>134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16</v>
      </c>
      <c r="O138" s="3"/>
      <c r="P138" s="3"/>
      <c r="Q138" s="3">
        <v>111.53400000000001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134</v>
      </c>
      <c r="D139" s="3"/>
      <c r="E139" s="3" t="s">
        <v>134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265</v>
      </c>
      <c r="O139" s="3"/>
      <c r="P139" s="3"/>
      <c r="Q139" s="3">
        <v>0.1</v>
      </c>
      <c r="R139" s="3" t="s">
        <v>12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134</v>
      </c>
      <c r="D140" s="3"/>
      <c r="E140" s="3" t="s">
        <v>134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269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134</v>
      </c>
      <c r="D141" s="3"/>
      <c r="E141" s="3" t="s">
        <v>134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134</v>
      </c>
      <c r="D142" s="3"/>
      <c r="E142" s="3" t="s">
        <v>134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134</v>
      </c>
      <c r="D143" s="3"/>
      <c r="E143" s="3" t="s">
        <v>134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110</v>
      </c>
      <c r="O143" s="3"/>
      <c r="P143" s="3"/>
      <c r="Q143" s="3">
        <v>0.70299999999999996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134</v>
      </c>
      <c r="D144" s="3"/>
      <c r="E144" s="3" t="s">
        <v>134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288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116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137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289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266</v>
      </c>
      <c r="O148" s="3"/>
      <c r="P148" s="3"/>
      <c r="Q148" s="3">
        <v>1.2450000000000001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136</v>
      </c>
      <c r="D149" s="3"/>
      <c r="E149" s="3" t="s">
        <v>136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107</v>
      </c>
      <c r="O149" s="3"/>
      <c r="P149" s="3"/>
      <c r="Q149" s="3">
        <v>0.72899999999999998</v>
      </c>
      <c r="R149" s="3" t="s">
        <v>108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136</v>
      </c>
      <c r="D150" s="3"/>
      <c r="E150" s="3" t="s">
        <v>136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267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136</v>
      </c>
      <c r="D151" s="3"/>
      <c r="E151" s="3" t="s">
        <v>136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109</v>
      </c>
      <c r="O151" s="3"/>
      <c r="P151" s="3"/>
      <c r="Q151" s="3">
        <v>18.898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136</v>
      </c>
      <c r="D152" s="3"/>
      <c r="E152" s="3" t="s">
        <v>136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16</v>
      </c>
      <c r="O152" s="3"/>
      <c r="P152" s="3"/>
      <c r="Q152" s="3">
        <v>117.158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136</v>
      </c>
      <c r="D153" s="3"/>
      <c r="E153" s="3" t="s">
        <v>136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265</v>
      </c>
      <c r="O153" s="3"/>
      <c r="P153" s="3"/>
      <c r="Q153" s="3">
        <v>0.11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136</v>
      </c>
      <c r="D154" s="3"/>
      <c r="E154" s="3" t="s">
        <v>136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269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136</v>
      </c>
      <c r="D155" s="3"/>
      <c r="E155" s="3" t="s">
        <v>136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136</v>
      </c>
      <c r="D156" s="3"/>
      <c r="E156" s="3" t="s">
        <v>136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136</v>
      </c>
      <c r="D157" s="3"/>
      <c r="E157" s="3" t="s">
        <v>136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110</v>
      </c>
      <c r="O157" s="3"/>
      <c r="P157" s="3"/>
      <c r="Q157" s="3">
        <v>0.78400000000000003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136</v>
      </c>
      <c r="D158" s="3"/>
      <c r="E158" s="3" t="s">
        <v>136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290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116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139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291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266</v>
      </c>
      <c r="O162" s="3"/>
      <c r="P162" s="3"/>
      <c r="Q162" s="3">
        <v>1.5489999999999999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107</v>
      </c>
      <c r="O163" s="3"/>
      <c r="P163" s="3"/>
      <c r="Q163" s="3">
        <v>0.91100000000000003</v>
      </c>
      <c r="R163" s="3" t="s">
        <v>108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267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138</v>
      </c>
      <c r="D165" s="3"/>
      <c r="E165" s="3" t="s">
        <v>138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109</v>
      </c>
      <c r="O165" s="3"/>
      <c r="P165" s="3"/>
      <c r="Q165" s="3">
        <v>20.725999999999999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138</v>
      </c>
      <c r="D166" s="3"/>
      <c r="E166" s="3" t="s">
        <v>138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16</v>
      </c>
      <c r="O166" s="3"/>
      <c r="P166" s="3"/>
      <c r="Q166" s="3">
        <v>128.405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138</v>
      </c>
      <c r="D167" s="3"/>
      <c r="E167" s="3" t="s">
        <v>138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265</v>
      </c>
      <c r="O167" s="3"/>
      <c r="P167" s="3"/>
      <c r="Q167" s="3">
        <v>0.13200000000000001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138</v>
      </c>
      <c r="D168" s="3"/>
      <c r="E168" s="3" t="s">
        <v>138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269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138</v>
      </c>
      <c r="D169" s="3"/>
      <c r="E169" s="3" t="s">
        <v>138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138</v>
      </c>
      <c r="D170" s="3"/>
      <c r="E170" s="3" t="s">
        <v>138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138</v>
      </c>
      <c r="D171" s="3"/>
      <c r="E171" s="3" t="s">
        <v>138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110</v>
      </c>
      <c r="O171" s="3"/>
      <c r="P171" s="3"/>
      <c r="Q171" s="3">
        <v>0.94599999999999995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138</v>
      </c>
      <c r="D172" s="3"/>
      <c r="E172" s="3" t="s">
        <v>138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292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116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141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293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266</v>
      </c>
      <c r="O176" s="3"/>
      <c r="P176" s="3"/>
      <c r="Q176" s="3">
        <v>1.702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107</v>
      </c>
      <c r="O177" s="3"/>
      <c r="P177" s="3"/>
      <c r="Q177" s="3">
        <v>1.002</v>
      </c>
      <c r="R177" s="3" t="s">
        <v>108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267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109</v>
      </c>
      <c r="O179" s="3"/>
      <c r="P179" s="3"/>
      <c r="Q179" s="3">
        <v>21.640999999999998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16</v>
      </c>
      <c r="O180" s="3"/>
      <c r="P180" s="3"/>
      <c r="Q180" s="3">
        <v>134.02799999999999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140</v>
      </c>
      <c r="D181" s="3"/>
      <c r="E181" s="3" t="s">
        <v>140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265</v>
      </c>
      <c r="O181" s="3"/>
      <c r="P181" s="3"/>
      <c r="Q181" s="3">
        <v>0.14199999999999999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140</v>
      </c>
      <c r="D182" s="3"/>
      <c r="E182" s="3" t="s">
        <v>140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269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140</v>
      </c>
      <c r="D183" s="3"/>
      <c r="E183" s="3" t="s">
        <v>140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140</v>
      </c>
      <c r="D184" s="3"/>
      <c r="E184" s="3" t="s">
        <v>140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140</v>
      </c>
      <c r="D185" s="3"/>
      <c r="E185" s="3" t="s">
        <v>140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110</v>
      </c>
      <c r="O185" s="3"/>
      <c r="P185" s="3"/>
      <c r="Q185" s="3">
        <v>1.0269999999999999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140</v>
      </c>
      <c r="D186" s="3"/>
      <c r="E186" s="3" t="s">
        <v>140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294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116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143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295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266</v>
      </c>
      <c r="O190" s="3"/>
      <c r="P190" s="3"/>
      <c r="Q190" s="3">
        <v>1.8540000000000001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107</v>
      </c>
      <c r="O191" s="3"/>
      <c r="P191" s="3"/>
      <c r="Q191" s="3">
        <v>1.0940000000000001</v>
      </c>
      <c r="R191" s="3" t="s">
        <v>108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267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109</v>
      </c>
      <c r="O193" s="3"/>
      <c r="P193" s="3"/>
      <c r="Q193" s="3">
        <v>22.555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16</v>
      </c>
      <c r="O194" s="3"/>
      <c r="P194" s="3"/>
      <c r="Q194" s="3">
        <v>139.65199999999999</v>
      </c>
      <c r="R194" s="3" t="s">
        <v>14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265</v>
      </c>
      <c r="O195" s="3"/>
      <c r="P195" s="3"/>
      <c r="Q195" s="3">
        <v>0.153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269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142</v>
      </c>
      <c r="D197" s="3"/>
      <c r="E197" s="3" t="s">
        <v>142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142</v>
      </c>
      <c r="D198" s="3"/>
      <c r="E198" s="3" t="s">
        <v>142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142</v>
      </c>
      <c r="D199" s="3"/>
      <c r="E199" s="3" t="s">
        <v>142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110</v>
      </c>
      <c r="O199" s="3"/>
      <c r="P199" s="3"/>
      <c r="Q199" s="3">
        <v>1.1080000000000001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296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116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145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297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266</v>
      </c>
      <c r="O204" s="3"/>
      <c r="P204" s="3"/>
      <c r="Q204" s="3">
        <v>0.78700000000000003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107</v>
      </c>
      <c r="O205" s="3"/>
      <c r="P205" s="3"/>
      <c r="Q205" s="3">
        <v>0.47399999999999998</v>
      </c>
      <c r="R205" s="3" t="s">
        <v>108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267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109</v>
      </c>
      <c r="O207" s="3"/>
      <c r="P207" s="3"/>
      <c r="Q207" s="3">
        <v>16.611999999999998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16</v>
      </c>
      <c r="O208" s="3"/>
      <c r="P208" s="3"/>
      <c r="Q208" s="3">
        <v>103.099</v>
      </c>
      <c r="R208" s="3" t="s">
        <v>14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265</v>
      </c>
      <c r="O209" s="3"/>
      <c r="P209" s="3"/>
      <c r="Q209" s="3">
        <v>7.8E-2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269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110</v>
      </c>
      <c r="O213" s="3"/>
      <c r="P213" s="3"/>
      <c r="Q213" s="3">
        <v>0.54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298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116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147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299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266</v>
      </c>
      <c r="O218" s="3"/>
      <c r="P218" s="3"/>
      <c r="Q218" s="3">
        <v>0.94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107</v>
      </c>
      <c r="O219" s="3"/>
      <c r="P219" s="3"/>
      <c r="Q219" s="3">
        <v>0.56899999999999995</v>
      </c>
      <c r="R219" s="3" t="s">
        <v>108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267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109</v>
      </c>
      <c r="O221" s="3"/>
      <c r="P221" s="3"/>
      <c r="Q221" s="3">
        <v>17.526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108.72199999999999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265</v>
      </c>
      <c r="O223" s="3"/>
      <c r="P223" s="3"/>
      <c r="Q223" s="3">
        <v>8.8999999999999996E-2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269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110</v>
      </c>
      <c r="O227" s="3"/>
      <c r="P227" s="3"/>
      <c r="Q227" s="3">
        <v>0.622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300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116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149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301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266</v>
      </c>
      <c r="O232" s="3"/>
      <c r="P232" s="3"/>
      <c r="Q232" s="3">
        <v>1.0920000000000001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107</v>
      </c>
      <c r="O233" s="3"/>
      <c r="P233" s="3"/>
      <c r="Q233" s="3">
        <v>0.66300000000000003</v>
      </c>
      <c r="R233" s="3" t="s">
        <v>108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267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109</v>
      </c>
      <c r="O235" s="3"/>
      <c r="P235" s="3"/>
      <c r="Q235" s="3">
        <v>18.440000000000001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16</v>
      </c>
      <c r="O236" s="3"/>
      <c r="P236" s="3"/>
      <c r="Q236" s="3">
        <v>114.346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265</v>
      </c>
      <c r="O237" s="3"/>
      <c r="P237" s="3"/>
      <c r="Q237" s="3">
        <v>0.1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269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110</v>
      </c>
      <c r="O241" s="3"/>
      <c r="P241" s="3"/>
      <c r="Q241" s="3">
        <v>0.70299999999999996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302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150</v>
      </c>
      <c r="D243" s="3"/>
      <c r="E243" s="3" t="s">
        <v>150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116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150</v>
      </c>
      <c r="D244" s="3"/>
      <c r="E244" s="3" t="s">
        <v>150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151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303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266</v>
      </c>
      <c r="O246" s="3"/>
      <c r="P246" s="3"/>
      <c r="Q246" s="3">
        <v>1.2450000000000001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107</v>
      </c>
      <c r="O247" s="3"/>
      <c r="P247" s="3"/>
      <c r="Q247" s="3">
        <v>0.75800000000000001</v>
      </c>
      <c r="R247" s="3" t="s">
        <v>108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267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109</v>
      </c>
      <c r="O249" s="3"/>
      <c r="P249" s="3"/>
      <c r="Q249" s="3">
        <v>19.355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16</v>
      </c>
      <c r="O250" s="3"/>
      <c r="P250" s="3"/>
      <c r="Q250" s="3">
        <v>119.96899999999999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265</v>
      </c>
      <c r="O251" s="3"/>
      <c r="P251" s="3"/>
      <c r="Q251" s="3">
        <v>0.11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269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110</v>
      </c>
      <c r="O255" s="3"/>
      <c r="P255" s="3"/>
      <c r="Q255" s="3">
        <v>0.78400000000000003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304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152</v>
      </c>
      <c r="D257" s="3"/>
      <c r="E257" s="3" t="s">
        <v>152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116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152</v>
      </c>
      <c r="D258" s="3"/>
      <c r="E258" s="3" t="s">
        <v>152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153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152</v>
      </c>
      <c r="D259" s="3"/>
      <c r="E259" s="3" t="s">
        <v>152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305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152</v>
      </c>
      <c r="D260" s="3"/>
      <c r="E260" s="3" t="s">
        <v>152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266</v>
      </c>
      <c r="O260" s="3"/>
      <c r="P260" s="3"/>
      <c r="Q260" s="3">
        <v>1.5489999999999999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107</v>
      </c>
      <c r="O261" s="3"/>
      <c r="P261" s="3"/>
      <c r="Q261" s="3">
        <v>0.94799999999999995</v>
      </c>
      <c r="R261" s="3" t="s">
        <v>108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267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109</v>
      </c>
      <c r="O263" s="3"/>
      <c r="P263" s="3"/>
      <c r="Q263" s="3">
        <v>21.184000000000001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16</v>
      </c>
      <c r="O264" s="3"/>
      <c r="P264" s="3"/>
      <c r="Q264" s="3">
        <v>131.21600000000001</v>
      </c>
      <c r="R264" s="3" t="s">
        <v>14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265</v>
      </c>
      <c r="O265" s="3"/>
      <c r="P265" s="3"/>
      <c r="Q265" s="3">
        <v>0.13200000000000001</v>
      </c>
      <c r="R265" s="3" t="s">
        <v>12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269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110</v>
      </c>
      <c r="O269" s="3"/>
      <c r="P269" s="3"/>
      <c r="Q269" s="3">
        <v>0.94599999999999995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306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154</v>
      </c>
      <c r="D271" s="3"/>
      <c r="E271" s="3" t="s">
        <v>154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116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154</v>
      </c>
      <c r="D272" s="3"/>
      <c r="E272" s="3" t="s">
        <v>154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155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154</v>
      </c>
      <c r="D273" s="3"/>
      <c r="E273" s="3" t="s">
        <v>154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307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154</v>
      </c>
      <c r="D274" s="3"/>
      <c r="E274" s="3" t="s">
        <v>154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266</v>
      </c>
      <c r="O274" s="3"/>
      <c r="P274" s="3"/>
      <c r="Q274" s="3">
        <v>1.702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154</v>
      </c>
      <c r="D275" s="3"/>
      <c r="E275" s="3" t="s">
        <v>154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107</v>
      </c>
      <c r="O275" s="3"/>
      <c r="P275" s="3"/>
      <c r="Q275" s="3">
        <v>1.042</v>
      </c>
      <c r="R275" s="3" t="s">
        <v>108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154</v>
      </c>
      <c r="D276" s="3"/>
      <c r="E276" s="3" t="s">
        <v>154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267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109</v>
      </c>
      <c r="O277" s="3"/>
      <c r="P277" s="3"/>
      <c r="Q277" s="3">
        <v>22.097999999999999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16</v>
      </c>
      <c r="O278" s="3"/>
      <c r="P278" s="3"/>
      <c r="Q278" s="3">
        <v>136.84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265</v>
      </c>
      <c r="O279" s="3"/>
      <c r="P279" s="3"/>
      <c r="Q279" s="3">
        <v>0.14199999999999999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269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110</v>
      </c>
      <c r="O283" s="3"/>
      <c r="P283" s="3"/>
      <c r="Q283" s="3">
        <v>1.0269999999999999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308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156</v>
      </c>
      <c r="D285" s="3"/>
      <c r="E285" s="3" t="s">
        <v>156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116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156</v>
      </c>
      <c r="D286" s="3"/>
      <c r="E286" s="3" t="s">
        <v>156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157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156</v>
      </c>
      <c r="D287" s="3"/>
      <c r="E287" s="3" t="s">
        <v>156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309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156</v>
      </c>
      <c r="D288" s="3"/>
      <c r="E288" s="3" t="s">
        <v>156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266</v>
      </c>
      <c r="O288" s="3"/>
      <c r="P288" s="3"/>
      <c r="Q288" s="3">
        <v>1.8540000000000001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156</v>
      </c>
      <c r="D289" s="3"/>
      <c r="E289" s="3" t="s">
        <v>156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107</v>
      </c>
      <c r="O289" s="3"/>
      <c r="P289" s="3"/>
      <c r="Q289" s="3">
        <v>1.137</v>
      </c>
      <c r="R289" s="3" t="s">
        <v>108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156</v>
      </c>
      <c r="D290" s="3"/>
      <c r="E290" s="3" t="s">
        <v>156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267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156</v>
      </c>
      <c r="D291" s="3"/>
      <c r="E291" s="3" t="s">
        <v>156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109</v>
      </c>
      <c r="O291" s="3"/>
      <c r="P291" s="3"/>
      <c r="Q291" s="3">
        <v>23.012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156</v>
      </c>
      <c r="D292" s="3"/>
      <c r="E292" s="3" t="s">
        <v>156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16</v>
      </c>
      <c r="O292" s="3"/>
      <c r="P292" s="3"/>
      <c r="Q292" s="3">
        <v>142.464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265</v>
      </c>
      <c r="O293" s="3"/>
      <c r="P293" s="3"/>
      <c r="Q293" s="3">
        <v>0.153</v>
      </c>
      <c r="R293" s="3" t="s">
        <v>12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269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110</v>
      </c>
      <c r="O297" s="3"/>
      <c r="P297" s="3"/>
      <c r="Q297" s="3">
        <v>1.1080000000000001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310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158</v>
      </c>
      <c r="D299" s="3"/>
      <c r="E299" s="3" t="s">
        <v>158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116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158</v>
      </c>
      <c r="D300" s="3"/>
      <c r="E300" s="3" t="s">
        <v>158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159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158</v>
      </c>
      <c r="D301" s="3"/>
      <c r="E301" s="3" t="s">
        <v>158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311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158</v>
      </c>
      <c r="D302" s="3"/>
      <c r="E302" s="3" t="s">
        <v>158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266</v>
      </c>
      <c r="O302" s="3"/>
      <c r="P302" s="3"/>
      <c r="Q302" s="3">
        <v>0.78700000000000003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158</v>
      </c>
      <c r="D303" s="3"/>
      <c r="E303" s="3" t="s">
        <v>158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107</v>
      </c>
      <c r="O303" s="3"/>
      <c r="P303" s="3"/>
      <c r="Q303" s="3">
        <v>0.48599999999999999</v>
      </c>
      <c r="R303" s="3" t="s">
        <v>108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267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109</v>
      </c>
      <c r="O305" s="3"/>
      <c r="P305" s="3"/>
      <c r="Q305" s="3">
        <v>16.916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16</v>
      </c>
      <c r="O306" s="3"/>
      <c r="P306" s="3"/>
      <c r="Q306" s="3">
        <v>104.973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265</v>
      </c>
      <c r="O307" s="3"/>
      <c r="P307" s="3"/>
      <c r="Q307" s="3">
        <v>7.8E-2</v>
      </c>
      <c r="R307" s="3" t="s">
        <v>12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269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110</v>
      </c>
      <c r="O311" s="3"/>
      <c r="P311" s="3"/>
      <c r="Q311" s="3">
        <v>1.216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312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160</v>
      </c>
      <c r="D313" s="3"/>
      <c r="E313" s="3" t="s">
        <v>160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116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160</v>
      </c>
      <c r="D314" s="3"/>
      <c r="E314" s="3" t="s">
        <v>160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161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160</v>
      </c>
      <c r="D315" s="3"/>
      <c r="E315" s="3" t="s">
        <v>160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313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160</v>
      </c>
      <c r="D316" s="3"/>
      <c r="E316" s="3" t="s">
        <v>160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266</v>
      </c>
      <c r="O316" s="3"/>
      <c r="P316" s="3"/>
      <c r="Q316" s="3">
        <v>0.94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107</v>
      </c>
      <c r="O317" s="3"/>
      <c r="P317" s="3"/>
      <c r="Q317" s="3">
        <v>0.58299999999999996</v>
      </c>
      <c r="R317" s="3" t="s">
        <v>108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267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109</v>
      </c>
      <c r="O319" s="3"/>
      <c r="P319" s="3"/>
      <c r="Q319" s="3">
        <v>17.831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16</v>
      </c>
      <c r="O320" s="3"/>
      <c r="P320" s="3"/>
      <c r="Q320" s="3">
        <v>110.59699999999999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265</v>
      </c>
      <c r="O321" s="3"/>
      <c r="P321" s="3"/>
      <c r="Q321" s="3">
        <v>8.8999999999999996E-2</v>
      </c>
      <c r="R321" s="3" t="s">
        <v>12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269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110</v>
      </c>
      <c r="O325" s="3"/>
      <c r="P325" s="3"/>
      <c r="Q325" s="3">
        <v>1.216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314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162</v>
      </c>
      <c r="D327" s="3"/>
      <c r="E327" s="3" t="s">
        <v>162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116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162</v>
      </c>
      <c r="D328" s="3"/>
      <c r="E328" s="3" t="s">
        <v>162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163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315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266</v>
      </c>
      <c r="O330" s="3"/>
      <c r="P330" s="3"/>
      <c r="Q330" s="3">
        <v>1.0920000000000001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107</v>
      </c>
      <c r="O331" s="3"/>
      <c r="P331" s="3"/>
      <c r="Q331" s="3">
        <v>0.68</v>
      </c>
      <c r="R331" s="3" t="s">
        <v>108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267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109</v>
      </c>
      <c r="O333" s="3"/>
      <c r="P333" s="3"/>
      <c r="Q333" s="3">
        <v>18.745000000000001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16</v>
      </c>
      <c r="O334" s="3"/>
      <c r="P334" s="3"/>
      <c r="Q334" s="3">
        <v>116.22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265</v>
      </c>
      <c r="O335" s="3"/>
      <c r="P335" s="3"/>
      <c r="Q335" s="3">
        <v>0.1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269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110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316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116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165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317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266</v>
      </c>
      <c r="O344" s="3"/>
      <c r="P344" s="3"/>
      <c r="Q344" s="3">
        <v>1.2450000000000001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107</v>
      </c>
      <c r="O345" s="3"/>
      <c r="P345" s="3"/>
      <c r="Q345" s="3">
        <v>0.77800000000000002</v>
      </c>
      <c r="R345" s="3" t="s">
        <v>108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267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109</v>
      </c>
      <c r="O347" s="3"/>
      <c r="P347" s="3"/>
      <c r="Q347" s="3">
        <v>19.66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16</v>
      </c>
      <c r="O348" s="3"/>
      <c r="P348" s="3"/>
      <c r="Q348" s="3">
        <v>121.84399999999999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265</v>
      </c>
      <c r="O349" s="3"/>
      <c r="P349" s="3"/>
      <c r="Q349" s="3">
        <v>0.11</v>
      </c>
      <c r="R349" s="3" t="s">
        <v>12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269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110</v>
      </c>
      <c r="O353" s="3"/>
      <c r="P353" s="3"/>
      <c r="Q353" s="3">
        <v>1.216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318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116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167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319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266</v>
      </c>
      <c r="O358" s="3"/>
      <c r="P358" s="3"/>
      <c r="Q358" s="3">
        <v>1.5489999999999999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107</v>
      </c>
      <c r="O359" s="3"/>
      <c r="P359" s="3"/>
      <c r="Q359" s="3">
        <v>0.97199999999999998</v>
      </c>
      <c r="R359" s="3" t="s">
        <v>108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267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109</v>
      </c>
      <c r="O361" s="3"/>
      <c r="P361" s="3"/>
      <c r="Q361" s="3">
        <v>21.488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16</v>
      </c>
      <c r="O362" s="3"/>
      <c r="P362" s="3"/>
      <c r="Q362" s="3">
        <v>133.09100000000001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265</v>
      </c>
      <c r="O363" s="3"/>
      <c r="P363" s="3"/>
      <c r="Q363" s="3">
        <v>0.13200000000000001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269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110</v>
      </c>
      <c r="O367" s="3"/>
      <c r="P367" s="3"/>
      <c r="Q367" s="3">
        <v>1.216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166</v>
      </c>
      <c r="D368" s="3"/>
      <c r="E368" s="3" t="s">
        <v>166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320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116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169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321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266</v>
      </c>
      <c r="O372" s="3"/>
      <c r="P372" s="3"/>
      <c r="Q372" s="3">
        <v>1.702</v>
      </c>
      <c r="R372" s="3" t="s">
        <v>14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107</v>
      </c>
      <c r="O373" s="3"/>
      <c r="P373" s="3"/>
      <c r="Q373" s="3">
        <v>1.069</v>
      </c>
      <c r="R373" s="3" t="s">
        <v>108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267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109</v>
      </c>
      <c r="O375" s="3"/>
      <c r="P375" s="3"/>
      <c r="Q375" s="3">
        <v>22.402999999999999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16</v>
      </c>
      <c r="O376" s="3"/>
      <c r="P376" s="3"/>
      <c r="Q376" s="3">
        <v>138.714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265</v>
      </c>
      <c r="O377" s="3"/>
      <c r="P377" s="3"/>
      <c r="Q377" s="3">
        <v>0.14199999999999999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269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168</v>
      </c>
      <c r="D380" s="3"/>
      <c r="E380" s="3" t="s">
        <v>168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168</v>
      </c>
      <c r="D381" s="3"/>
      <c r="E381" s="3" t="s">
        <v>168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110</v>
      </c>
      <c r="O381" s="3"/>
      <c r="P381" s="3"/>
      <c r="Q381" s="3">
        <v>1.216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168</v>
      </c>
      <c r="D382" s="3"/>
      <c r="E382" s="3" t="s">
        <v>168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322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116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171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323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266</v>
      </c>
      <c r="O386" s="3"/>
      <c r="P386" s="3"/>
      <c r="Q386" s="3">
        <v>1.8540000000000001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107</v>
      </c>
      <c r="O387" s="3"/>
      <c r="P387" s="3"/>
      <c r="Q387" s="3">
        <v>1.1659999999999999</v>
      </c>
      <c r="R387" s="3" t="s">
        <v>108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267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109</v>
      </c>
      <c r="O389" s="3"/>
      <c r="P389" s="3"/>
      <c r="Q389" s="3">
        <v>23.317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16</v>
      </c>
      <c r="O390" s="3"/>
      <c r="P390" s="3"/>
      <c r="Q390" s="3">
        <v>144.33799999999999</v>
      </c>
      <c r="R390" s="3" t="s">
        <v>14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265</v>
      </c>
      <c r="O391" s="3"/>
      <c r="P391" s="3"/>
      <c r="Q391" s="3">
        <v>0.153</v>
      </c>
      <c r="R391" s="3" t="s">
        <v>12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269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170</v>
      </c>
      <c r="D395" s="3"/>
      <c r="E395" s="3" t="s">
        <v>170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110</v>
      </c>
      <c r="O395" s="3"/>
      <c r="P395" s="3"/>
      <c r="Q395" s="3">
        <v>1.216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170</v>
      </c>
      <c r="D396" s="3"/>
      <c r="E396" s="3" t="s">
        <v>170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324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116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173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325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266</v>
      </c>
      <c r="O400" s="3"/>
      <c r="P400" s="3"/>
      <c r="Q400" s="3">
        <v>2.1589999999999998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172</v>
      </c>
      <c r="D401" s="3"/>
      <c r="E401" s="3" t="s">
        <v>172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107</v>
      </c>
      <c r="O401" s="3"/>
      <c r="P401" s="3"/>
      <c r="Q401" s="3">
        <v>0.51</v>
      </c>
      <c r="R401" s="3" t="s">
        <v>108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172</v>
      </c>
      <c r="D402" s="3"/>
      <c r="E402" s="3" t="s">
        <v>172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267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172</v>
      </c>
      <c r="D403" s="3"/>
      <c r="E403" s="3" t="s">
        <v>172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109</v>
      </c>
      <c r="O403" s="3"/>
      <c r="P403" s="3"/>
      <c r="Q403" s="3">
        <v>17.526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172</v>
      </c>
      <c r="D404" s="3"/>
      <c r="E404" s="3" t="s">
        <v>172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16</v>
      </c>
      <c r="O404" s="3"/>
      <c r="P404" s="3"/>
      <c r="Q404" s="3">
        <v>108.72199999999999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265</v>
      </c>
      <c r="O405" s="3"/>
      <c r="P405" s="3"/>
      <c r="Q405" s="3">
        <v>7.8E-2</v>
      </c>
      <c r="R405" s="3" t="s">
        <v>12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269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172</v>
      </c>
      <c r="D408" s="3"/>
      <c r="E408" s="3" t="s">
        <v>172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172</v>
      </c>
      <c r="D409" s="3"/>
      <c r="E409" s="3" t="s">
        <v>172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110</v>
      </c>
      <c r="O409" s="3"/>
      <c r="P409" s="3"/>
      <c r="Q409" s="3">
        <v>1.27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172</v>
      </c>
      <c r="D410" s="3"/>
      <c r="E410" s="3" t="s">
        <v>172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326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116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174</v>
      </c>
      <c r="D413" s="3"/>
      <c r="E413" s="3" t="s">
        <v>174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327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174</v>
      </c>
      <c r="D414" s="3"/>
      <c r="E414" s="3" t="s">
        <v>174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266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174</v>
      </c>
      <c r="D415" s="3"/>
      <c r="E415" s="3" t="s">
        <v>174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107</v>
      </c>
      <c r="O415" s="3"/>
      <c r="P415" s="3"/>
      <c r="Q415" s="3">
        <v>0.61199999999999999</v>
      </c>
      <c r="R415" s="3" t="s">
        <v>108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174</v>
      </c>
      <c r="D416" s="3"/>
      <c r="E416" s="3" t="s">
        <v>174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267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174</v>
      </c>
      <c r="D417" s="3"/>
      <c r="E417" s="3" t="s">
        <v>174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109</v>
      </c>
      <c r="O417" s="3"/>
      <c r="P417" s="3"/>
      <c r="Q417" s="3">
        <v>18.440000000000001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174</v>
      </c>
      <c r="D418" s="3"/>
      <c r="E418" s="3" t="s">
        <v>174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16</v>
      </c>
      <c r="O418" s="3"/>
      <c r="P418" s="3"/>
      <c r="Q418" s="3">
        <v>114.346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174</v>
      </c>
      <c r="D419" s="3"/>
      <c r="E419" s="3" t="s">
        <v>174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265</v>
      </c>
      <c r="O419" s="3"/>
      <c r="P419" s="3"/>
      <c r="Q419" s="3">
        <v>8.8999999999999996E-2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174</v>
      </c>
      <c r="D420" s="3"/>
      <c r="E420" s="3" t="s">
        <v>174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269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174</v>
      </c>
      <c r="D421" s="3"/>
      <c r="E421" s="3" t="s">
        <v>174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174</v>
      </c>
      <c r="D422" s="3"/>
      <c r="E422" s="3" t="s">
        <v>174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174</v>
      </c>
      <c r="D423" s="3"/>
      <c r="E423" s="3" t="s">
        <v>174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110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174</v>
      </c>
      <c r="D424" s="3"/>
      <c r="E424" s="3" t="s">
        <v>174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328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176</v>
      </c>
      <c r="D425" s="3"/>
      <c r="E425" s="3" t="s">
        <v>176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116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176</v>
      </c>
      <c r="D426" s="3"/>
      <c r="E426" s="3" t="s">
        <v>176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177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176</v>
      </c>
      <c r="D427" s="3"/>
      <c r="E427" s="3" t="s">
        <v>176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329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176</v>
      </c>
      <c r="D428" s="3"/>
      <c r="E428" s="3" t="s">
        <v>176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266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176</v>
      </c>
      <c r="D429" s="3"/>
      <c r="E429" s="3" t="s">
        <v>176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107</v>
      </c>
      <c r="O429" s="3"/>
      <c r="P429" s="3"/>
      <c r="Q429" s="3">
        <v>0.71399999999999997</v>
      </c>
      <c r="R429" s="3" t="s">
        <v>108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176</v>
      </c>
      <c r="D430" s="3"/>
      <c r="E430" s="3" t="s">
        <v>176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267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176</v>
      </c>
      <c r="D431" s="3"/>
      <c r="E431" s="3" t="s">
        <v>176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109</v>
      </c>
      <c r="O431" s="3"/>
      <c r="P431" s="3"/>
      <c r="Q431" s="3">
        <v>19.355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176</v>
      </c>
      <c r="D432" s="3"/>
      <c r="E432" s="3" t="s">
        <v>176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119.96899999999999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176</v>
      </c>
      <c r="D433" s="3"/>
      <c r="E433" s="3" t="s">
        <v>176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265</v>
      </c>
      <c r="O433" s="3"/>
      <c r="P433" s="3"/>
      <c r="Q433" s="3">
        <v>0.1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176</v>
      </c>
      <c r="D434" s="3"/>
      <c r="E434" s="3" t="s">
        <v>176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269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176</v>
      </c>
      <c r="D435" s="3"/>
      <c r="E435" s="3" t="s">
        <v>176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176</v>
      </c>
      <c r="D436" s="3"/>
      <c r="E436" s="3" t="s">
        <v>176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176</v>
      </c>
      <c r="D437" s="3"/>
      <c r="E437" s="3" t="s">
        <v>176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110</v>
      </c>
      <c r="O437" s="3"/>
      <c r="P437" s="3"/>
      <c r="Q437" s="3">
        <v>1.27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176</v>
      </c>
      <c r="D438" s="3"/>
      <c r="E438" s="3" t="s">
        <v>176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330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178</v>
      </c>
      <c r="D439" s="3"/>
      <c r="E439" s="3" t="s">
        <v>178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116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178</v>
      </c>
      <c r="D440" s="3"/>
      <c r="E440" s="3" t="s">
        <v>178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179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178</v>
      </c>
      <c r="D441" s="3"/>
      <c r="E441" s="3" t="s">
        <v>178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331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178</v>
      </c>
      <c r="D442" s="3"/>
      <c r="E442" s="3" t="s">
        <v>178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266</v>
      </c>
      <c r="O442" s="3"/>
      <c r="P442" s="3"/>
      <c r="Q442" s="3">
        <v>2.1589999999999998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178</v>
      </c>
      <c r="D443" s="3"/>
      <c r="E443" s="3" t="s">
        <v>178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107</v>
      </c>
      <c r="O443" s="3"/>
      <c r="P443" s="3"/>
      <c r="Q443" s="3">
        <v>0.81599999999999995</v>
      </c>
      <c r="R443" s="3" t="s">
        <v>108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178</v>
      </c>
      <c r="D444" s="3"/>
      <c r="E444" s="3" t="s">
        <v>178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267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178</v>
      </c>
      <c r="D445" s="3"/>
      <c r="E445" s="3" t="s">
        <v>178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109</v>
      </c>
      <c r="O445" s="3"/>
      <c r="P445" s="3"/>
      <c r="Q445" s="3">
        <v>20.268999999999998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178</v>
      </c>
      <c r="D446" s="3"/>
      <c r="E446" s="3" t="s">
        <v>178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16</v>
      </c>
      <c r="O446" s="3"/>
      <c r="P446" s="3"/>
      <c r="Q446" s="3">
        <v>125.593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178</v>
      </c>
      <c r="D447" s="3"/>
      <c r="E447" s="3" t="s">
        <v>178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265</v>
      </c>
      <c r="O447" s="3"/>
      <c r="P447" s="3"/>
      <c r="Q447" s="3">
        <v>0.11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178</v>
      </c>
      <c r="D448" s="3"/>
      <c r="E448" s="3" t="s">
        <v>178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269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178</v>
      </c>
      <c r="D449" s="3"/>
      <c r="E449" s="3" t="s">
        <v>178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178</v>
      </c>
      <c r="D450" s="3"/>
      <c r="E450" s="3" t="s">
        <v>178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178</v>
      </c>
      <c r="D451" s="3"/>
      <c r="E451" s="3" t="s">
        <v>178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110</v>
      </c>
      <c r="O451" s="3"/>
      <c r="P451" s="3"/>
      <c r="Q451" s="3">
        <v>1.27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178</v>
      </c>
      <c r="D452" s="3"/>
      <c r="E452" s="3" t="s">
        <v>178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332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180</v>
      </c>
      <c r="D453" s="3"/>
      <c r="E453" s="3" t="s">
        <v>180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116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180</v>
      </c>
      <c r="D454" s="3"/>
      <c r="E454" s="3" t="s">
        <v>180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181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180</v>
      </c>
      <c r="D455" s="3"/>
      <c r="E455" s="3" t="s">
        <v>180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333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180</v>
      </c>
      <c r="D456" s="3"/>
      <c r="E456" s="3" t="s">
        <v>180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266</v>
      </c>
      <c r="O456" s="3"/>
      <c r="P456" s="3"/>
      <c r="Q456" s="3">
        <v>2.1589999999999998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180</v>
      </c>
      <c r="D457" s="3"/>
      <c r="E457" s="3" t="s">
        <v>180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107</v>
      </c>
      <c r="O457" s="3"/>
      <c r="P457" s="3"/>
      <c r="Q457" s="3">
        <v>1.0209999999999999</v>
      </c>
      <c r="R457" s="3" t="s">
        <v>108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180</v>
      </c>
      <c r="D458" s="3"/>
      <c r="E458" s="3" t="s">
        <v>180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267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180</v>
      </c>
      <c r="D459" s="3"/>
      <c r="E459" s="3" t="s">
        <v>180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109</v>
      </c>
      <c r="O459" s="3"/>
      <c r="P459" s="3"/>
      <c r="Q459" s="3">
        <v>22.097999999999999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180</v>
      </c>
      <c r="D460" s="3"/>
      <c r="E460" s="3" t="s">
        <v>180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16</v>
      </c>
      <c r="O460" s="3"/>
      <c r="P460" s="3"/>
      <c r="Q460" s="3">
        <v>136.84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180</v>
      </c>
      <c r="D461" s="3"/>
      <c r="E461" s="3" t="s">
        <v>180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265</v>
      </c>
      <c r="O461" s="3"/>
      <c r="P461" s="3"/>
      <c r="Q461" s="3">
        <v>0.13200000000000001</v>
      </c>
      <c r="R461" s="3" t="s">
        <v>12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180</v>
      </c>
      <c r="D462" s="3"/>
      <c r="E462" s="3" t="s">
        <v>180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269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180</v>
      </c>
      <c r="D463" s="3"/>
      <c r="E463" s="3" t="s">
        <v>180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180</v>
      </c>
      <c r="D464" s="3"/>
      <c r="E464" s="3" t="s">
        <v>180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180</v>
      </c>
      <c r="D465" s="3"/>
      <c r="E465" s="3" t="s">
        <v>180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110</v>
      </c>
      <c r="O465" s="3"/>
      <c r="P465" s="3"/>
      <c r="Q465" s="3">
        <v>1.27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180</v>
      </c>
      <c r="D466" s="3"/>
      <c r="E466" s="3" t="s">
        <v>180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334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182</v>
      </c>
      <c r="D467" s="3"/>
      <c r="E467" s="3" t="s">
        <v>182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116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182</v>
      </c>
      <c r="D468" s="3"/>
      <c r="E468" s="3" t="s">
        <v>182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183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182</v>
      </c>
      <c r="D469" s="3"/>
      <c r="E469" s="3" t="s">
        <v>182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335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182</v>
      </c>
      <c r="D470" s="3"/>
      <c r="E470" s="3" t="s">
        <v>182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266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182</v>
      </c>
      <c r="D471" s="3"/>
      <c r="E471" s="3" t="s">
        <v>182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107</v>
      </c>
      <c r="O471" s="3"/>
      <c r="P471" s="3"/>
      <c r="Q471" s="3">
        <v>1.123</v>
      </c>
      <c r="R471" s="3" t="s">
        <v>108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182</v>
      </c>
      <c r="D472" s="3"/>
      <c r="E472" s="3" t="s">
        <v>182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267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182</v>
      </c>
      <c r="D473" s="3"/>
      <c r="E473" s="3" t="s">
        <v>182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109</v>
      </c>
      <c r="O473" s="3"/>
      <c r="P473" s="3"/>
      <c r="Q473" s="3">
        <v>23.012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182</v>
      </c>
      <c r="D474" s="3"/>
      <c r="E474" s="3" t="s">
        <v>182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16</v>
      </c>
      <c r="O474" s="3"/>
      <c r="P474" s="3"/>
      <c r="Q474" s="3">
        <v>142.464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182</v>
      </c>
      <c r="D475" s="3"/>
      <c r="E475" s="3" t="s">
        <v>182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265</v>
      </c>
      <c r="O475" s="3"/>
      <c r="P475" s="3"/>
      <c r="Q475" s="3">
        <v>0.14199999999999999</v>
      </c>
      <c r="R475" s="3" t="s">
        <v>12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182</v>
      </c>
      <c r="D476" s="3"/>
      <c r="E476" s="3" t="s">
        <v>182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269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182</v>
      </c>
      <c r="D477" s="3"/>
      <c r="E477" s="3" t="s">
        <v>182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182</v>
      </c>
      <c r="D478" s="3"/>
      <c r="E478" s="3" t="s">
        <v>182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182</v>
      </c>
      <c r="D479" s="3"/>
      <c r="E479" s="3" t="s">
        <v>182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110</v>
      </c>
      <c r="O479" s="3"/>
      <c r="P479" s="3"/>
      <c r="Q479" s="3">
        <v>1.27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182</v>
      </c>
      <c r="D480" s="3"/>
      <c r="E480" s="3" t="s">
        <v>182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336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116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185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337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266</v>
      </c>
      <c r="O484" s="3"/>
      <c r="P484" s="3"/>
      <c r="Q484" s="3">
        <v>2.1589999999999998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184</v>
      </c>
      <c r="D485" s="3"/>
      <c r="E485" s="3" t="s">
        <v>184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107</v>
      </c>
      <c r="O485" s="3"/>
      <c r="P485" s="3"/>
      <c r="Q485" s="3">
        <v>1.2250000000000001</v>
      </c>
      <c r="R485" s="3" t="s">
        <v>108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184</v>
      </c>
      <c r="D486" s="3"/>
      <c r="E486" s="3" t="s">
        <v>184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267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184</v>
      </c>
      <c r="D487" s="3"/>
      <c r="E487" s="3" t="s">
        <v>184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109</v>
      </c>
      <c r="O487" s="3"/>
      <c r="P487" s="3"/>
      <c r="Q487" s="3">
        <v>23.927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184</v>
      </c>
      <c r="D488" s="3"/>
      <c r="E488" s="3" t="s">
        <v>184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16</v>
      </c>
      <c r="O488" s="3"/>
      <c r="P488" s="3"/>
      <c r="Q488" s="3">
        <v>148.08699999999999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184</v>
      </c>
      <c r="D489" s="3"/>
      <c r="E489" s="3" t="s">
        <v>184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265</v>
      </c>
      <c r="O489" s="3"/>
      <c r="P489" s="3"/>
      <c r="Q489" s="3">
        <v>0.153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184</v>
      </c>
      <c r="D490" s="3"/>
      <c r="E490" s="3" t="s">
        <v>184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269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184</v>
      </c>
      <c r="D491" s="3"/>
      <c r="E491" s="3" t="s">
        <v>184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184</v>
      </c>
      <c r="D492" s="3"/>
      <c r="E492" s="3" t="s">
        <v>184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184</v>
      </c>
      <c r="D493" s="3"/>
      <c r="E493" s="3" t="s">
        <v>184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110</v>
      </c>
      <c r="O493" s="3"/>
      <c r="P493" s="3"/>
      <c r="Q493" s="3">
        <v>1.27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184</v>
      </c>
      <c r="D494" s="3"/>
      <c r="E494" s="3" t="s">
        <v>184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338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186</v>
      </c>
      <c r="D495" s="3"/>
      <c r="E495" s="3" t="s">
        <v>186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187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186</v>
      </c>
      <c r="D496" s="3"/>
      <c r="E496" s="3" t="s">
        <v>186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188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339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266</v>
      </c>
      <c r="O498" s="3"/>
      <c r="P498" s="3"/>
      <c r="Q498" s="3">
        <v>0.78700000000000003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107</v>
      </c>
      <c r="O499" s="3"/>
      <c r="P499" s="3"/>
      <c r="Q499" s="3">
        <v>0.437</v>
      </c>
      <c r="R499" s="3" t="s">
        <v>108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267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109</v>
      </c>
      <c r="O501" s="3"/>
      <c r="P501" s="3"/>
      <c r="Q501" s="3">
        <v>15.696999999999999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16</v>
      </c>
      <c r="O502" s="3"/>
      <c r="P502" s="3"/>
      <c r="Q502" s="3">
        <v>97.474999999999994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265</v>
      </c>
      <c r="O503" s="3"/>
      <c r="P503" s="3"/>
      <c r="Q503" s="3">
        <v>7.8E-2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269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110</v>
      </c>
      <c r="O507" s="3"/>
      <c r="P507" s="3"/>
      <c r="Q507" s="3">
        <v>0.54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270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187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190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340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189</v>
      </c>
      <c r="D512" s="3"/>
      <c r="E512" s="3" t="s">
        <v>189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266</v>
      </c>
      <c r="O512" s="3"/>
      <c r="P512" s="3"/>
      <c r="Q512" s="3">
        <v>0.94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189</v>
      </c>
      <c r="D513" s="3"/>
      <c r="E513" s="3" t="s">
        <v>189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107</v>
      </c>
      <c r="O513" s="3"/>
      <c r="P513" s="3"/>
      <c r="Q513" s="3">
        <v>0.52500000000000002</v>
      </c>
      <c r="R513" s="3" t="s">
        <v>108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189</v>
      </c>
      <c r="D514" s="3"/>
      <c r="E514" s="3" t="s">
        <v>189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267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189</v>
      </c>
      <c r="D515" s="3"/>
      <c r="E515" s="3" t="s">
        <v>189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109</v>
      </c>
      <c r="O515" s="3"/>
      <c r="P515" s="3"/>
      <c r="Q515" s="3">
        <v>16.611999999999998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189</v>
      </c>
      <c r="D516" s="3"/>
      <c r="E516" s="3" t="s">
        <v>189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16</v>
      </c>
      <c r="O516" s="3"/>
      <c r="P516" s="3"/>
      <c r="Q516" s="3">
        <v>103.099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189</v>
      </c>
      <c r="D517" s="3"/>
      <c r="E517" s="3" t="s">
        <v>189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265</v>
      </c>
      <c r="O517" s="3"/>
      <c r="P517" s="3"/>
      <c r="Q517" s="3">
        <v>8.8999999999999996E-2</v>
      </c>
      <c r="R517" s="3" t="s">
        <v>12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189</v>
      </c>
      <c r="D518" s="3"/>
      <c r="E518" s="3" t="s">
        <v>189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269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189</v>
      </c>
      <c r="D519" s="3"/>
      <c r="E519" s="3" t="s">
        <v>189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189</v>
      </c>
      <c r="D520" s="3"/>
      <c r="E520" s="3" t="s">
        <v>189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189</v>
      </c>
      <c r="D521" s="3"/>
      <c r="E521" s="3" t="s">
        <v>189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110</v>
      </c>
      <c r="O521" s="3"/>
      <c r="P521" s="3"/>
      <c r="Q521" s="3">
        <v>0.622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189</v>
      </c>
      <c r="D522" s="3"/>
      <c r="E522" s="3" t="s">
        <v>189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272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187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341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266</v>
      </c>
      <c r="O526" s="3"/>
      <c r="P526" s="3"/>
      <c r="Q526" s="3">
        <v>1.0920000000000001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107</v>
      </c>
      <c r="O527" s="3"/>
      <c r="P527" s="3"/>
      <c r="Q527" s="3">
        <v>0.61199999999999999</v>
      </c>
      <c r="R527" s="3" t="s">
        <v>108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267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109</v>
      </c>
      <c r="O529" s="3"/>
      <c r="P529" s="3"/>
      <c r="Q529" s="3">
        <v>17.526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191</v>
      </c>
      <c r="D530" s="3"/>
      <c r="E530" s="3" t="s">
        <v>191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16</v>
      </c>
      <c r="O530" s="3"/>
      <c r="P530" s="3"/>
      <c r="Q530" s="3">
        <v>108.72199999999999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191</v>
      </c>
      <c r="D531" s="3"/>
      <c r="E531" s="3" t="s">
        <v>191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265</v>
      </c>
      <c r="O531" s="3"/>
      <c r="P531" s="3"/>
      <c r="Q531" s="3">
        <v>0.1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191</v>
      </c>
      <c r="D532" s="3"/>
      <c r="E532" s="3" t="s">
        <v>191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269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191</v>
      </c>
      <c r="D533" s="3"/>
      <c r="E533" s="3" t="s">
        <v>191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191</v>
      </c>
      <c r="D534" s="3"/>
      <c r="E534" s="3" t="s">
        <v>191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191</v>
      </c>
      <c r="D535" s="3"/>
      <c r="E535" s="3" t="s">
        <v>191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110</v>
      </c>
      <c r="O535" s="3"/>
      <c r="P535" s="3"/>
      <c r="Q535" s="3">
        <v>0.70299999999999996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191</v>
      </c>
      <c r="D536" s="3"/>
      <c r="E536" s="3" t="s">
        <v>191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274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187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193</v>
      </c>
      <c r="D538" s="3"/>
      <c r="E538" s="3" t="s">
        <v>193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194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193</v>
      </c>
      <c r="D539" s="3"/>
      <c r="E539" s="3" t="s">
        <v>193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342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193</v>
      </c>
      <c r="D540" s="3"/>
      <c r="E540" s="3" t="s">
        <v>193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266</v>
      </c>
      <c r="O540" s="3"/>
      <c r="P540" s="3"/>
      <c r="Q540" s="3">
        <v>1.2450000000000001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193</v>
      </c>
      <c r="D541" s="3"/>
      <c r="E541" s="3" t="s">
        <v>193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107</v>
      </c>
      <c r="O541" s="3"/>
      <c r="P541" s="3"/>
      <c r="Q541" s="3">
        <v>0.7</v>
      </c>
      <c r="R541" s="3" t="s">
        <v>108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193</v>
      </c>
      <c r="D542" s="3"/>
      <c r="E542" s="3" t="s">
        <v>193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267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193</v>
      </c>
      <c r="D543" s="3"/>
      <c r="E543" s="3" t="s">
        <v>193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109</v>
      </c>
      <c r="O543" s="3"/>
      <c r="P543" s="3"/>
      <c r="Q543" s="3">
        <v>18.440000000000001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193</v>
      </c>
      <c r="D544" s="3"/>
      <c r="E544" s="3" t="s">
        <v>193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16</v>
      </c>
      <c r="O544" s="3"/>
      <c r="P544" s="3"/>
      <c r="Q544" s="3">
        <v>114.346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265</v>
      </c>
      <c r="O545" s="3"/>
      <c r="P545" s="3"/>
      <c r="Q545" s="3">
        <v>0.11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269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110</v>
      </c>
      <c r="O549" s="3"/>
      <c r="P549" s="3"/>
      <c r="Q549" s="3">
        <v>0.78400000000000003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276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195</v>
      </c>
      <c r="D551" s="3"/>
      <c r="E551" s="3" t="s">
        <v>195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187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195</v>
      </c>
      <c r="D552" s="3"/>
      <c r="E552" s="3" t="s">
        <v>195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196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195</v>
      </c>
      <c r="D553" s="3"/>
      <c r="E553" s="3" t="s">
        <v>195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343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195</v>
      </c>
      <c r="D554" s="3"/>
      <c r="E554" s="3" t="s">
        <v>195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266</v>
      </c>
      <c r="O554" s="3"/>
      <c r="P554" s="3"/>
      <c r="Q554" s="3">
        <v>1.5489999999999999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195</v>
      </c>
      <c r="D555" s="3"/>
      <c r="E555" s="3" t="s">
        <v>195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107</v>
      </c>
      <c r="O555" s="3"/>
      <c r="P555" s="3"/>
      <c r="Q555" s="3">
        <v>0.875</v>
      </c>
      <c r="R555" s="3" t="s">
        <v>108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195</v>
      </c>
      <c r="D556" s="3"/>
      <c r="E556" s="3" t="s">
        <v>195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267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195</v>
      </c>
      <c r="D557" s="3"/>
      <c r="E557" s="3" t="s">
        <v>195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109</v>
      </c>
      <c r="O557" s="3"/>
      <c r="P557" s="3"/>
      <c r="Q557" s="3">
        <v>20.268999999999998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195</v>
      </c>
      <c r="D558" s="3"/>
      <c r="E558" s="3" t="s">
        <v>195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16</v>
      </c>
      <c r="O558" s="3"/>
      <c r="P558" s="3"/>
      <c r="Q558" s="3">
        <v>125.593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195</v>
      </c>
      <c r="D559" s="3"/>
      <c r="E559" s="3" t="s">
        <v>195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265</v>
      </c>
      <c r="O559" s="3"/>
      <c r="P559" s="3"/>
      <c r="Q559" s="3">
        <v>0.13200000000000001</v>
      </c>
      <c r="R559" s="3" t="s">
        <v>12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195</v>
      </c>
      <c r="D560" s="3"/>
      <c r="E560" s="3" t="s">
        <v>195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269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195</v>
      </c>
      <c r="D561" s="3"/>
      <c r="E561" s="3" t="s">
        <v>195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195</v>
      </c>
      <c r="D562" s="3"/>
      <c r="E562" s="3" t="s">
        <v>195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195</v>
      </c>
      <c r="D563" s="3"/>
      <c r="E563" s="3" t="s">
        <v>195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110</v>
      </c>
      <c r="O563" s="3"/>
      <c r="P563" s="3"/>
      <c r="Q563" s="3">
        <v>0.94599999999999995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195</v>
      </c>
      <c r="D564" s="3"/>
      <c r="E564" s="3" t="s">
        <v>195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278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197</v>
      </c>
      <c r="D565" s="3"/>
      <c r="E565" s="3" t="s">
        <v>197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187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197</v>
      </c>
      <c r="D566" s="3"/>
      <c r="E566" s="3" t="s">
        <v>197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198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197</v>
      </c>
      <c r="D567" s="3"/>
      <c r="E567" s="3" t="s">
        <v>197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344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197</v>
      </c>
      <c r="D568" s="3"/>
      <c r="E568" s="3" t="s">
        <v>197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266</v>
      </c>
      <c r="O568" s="3"/>
      <c r="P568" s="3"/>
      <c r="Q568" s="3">
        <v>1.702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197</v>
      </c>
      <c r="D569" s="3"/>
      <c r="E569" s="3" t="s">
        <v>197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107</v>
      </c>
      <c r="O569" s="3"/>
      <c r="P569" s="3"/>
      <c r="Q569" s="3">
        <v>0.96199999999999997</v>
      </c>
      <c r="R569" s="3" t="s">
        <v>108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197</v>
      </c>
      <c r="D570" s="3"/>
      <c r="E570" s="3" t="s">
        <v>197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267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197</v>
      </c>
      <c r="D571" s="3"/>
      <c r="E571" s="3" t="s">
        <v>197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109</v>
      </c>
      <c r="O571" s="3"/>
      <c r="P571" s="3"/>
      <c r="Q571" s="3">
        <v>21.184000000000001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197</v>
      </c>
      <c r="D572" s="3"/>
      <c r="E572" s="3" t="s">
        <v>197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16</v>
      </c>
      <c r="O572" s="3"/>
      <c r="P572" s="3"/>
      <c r="Q572" s="3">
        <v>131.21600000000001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197</v>
      </c>
      <c r="D573" s="3"/>
      <c r="E573" s="3" t="s">
        <v>197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265</v>
      </c>
      <c r="O573" s="3"/>
      <c r="P573" s="3"/>
      <c r="Q573" s="3">
        <v>0.14199999999999999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197</v>
      </c>
      <c r="D574" s="3"/>
      <c r="E574" s="3" t="s">
        <v>197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269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197</v>
      </c>
      <c r="D575" s="3"/>
      <c r="E575" s="3" t="s">
        <v>197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197</v>
      </c>
      <c r="D576" s="3"/>
      <c r="E576" s="3" t="s">
        <v>197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197</v>
      </c>
      <c r="D577" s="3"/>
      <c r="E577" s="3" t="s">
        <v>197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110</v>
      </c>
      <c r="O577" s="3"/>
      <c r="P577" s="3"/>
      <c r="Q577" s="3">
        <v>1.0269999999999999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197</v>
      </c>
      <c r="D578" s="3"/>
      <c r="E578" s="3" t="s">
        <v>197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280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199</v>
      </c>
      <c r="D579" s="3"/>
      <c r="E579" s="3" t="s">
        <v>199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187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199</v>
      </c>
      <c r="D580" s="3"/>
      <c r="E580" s="3" t="s">
        <v>199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200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199</v>
      </c>
      <c r="D581" s="3"/>
      <c r="E581" s="3" t="s">
        <v>199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345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199</v>
      </c>
      <c r="D582" s="3"/>
      <c r="E582" s="3" t="s">
        <v>199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266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199</v>
      </c>
      <c r="D583" s="3"/>
      <c r="E583" s="3" t="s">
        <v>199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107</v>
      </c>
      <c r="O583" s="3"/>
      <c r="P583" s="3"/>
      <c r="Q583" s="3">
        <v>1.05</v>
      </c>
      <c r="R583" s="3" t="s">
        <v>108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199</v>
      </c>
      <c r="D584" s="3"/>
      <c r="E584" s="3" t="s">
        <v>199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267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199</v>
      </c>
      <c r="D585" s="3"/>
      <c r="E585" s="3" t="s">
        <v>199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109</v>
      </c>
      <c r="O585" s="3"/>
      <c r="P585" s="3"/>
      <c r="Q585" s="3">
        <v>22.097999999999999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199</v>
      </c>
      <c r="D586" s="3"/>
      <c r="E586" s="3" t="s">
        <v>199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16</v>
      </c>
      <c r="O586" s="3"/>
      <c r="P586" s="3"/>
      <c r="Q586" s="3">
        <v>136.84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199</v>
      </c>
      <c r="D587" s="3"/>
      <c r="E587" s="3" t="s">
        <v>199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265</v>
      </c>
      <c r="O587" s="3"/>
      <c r="P587" s="3"/>
      <c r="Q587" s="3">
        <v>0.153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199</v>
      </c>
      <c r="D588" s="3"/>
      <c r="E588" s="3" t="s">
        <v>199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269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199</v>
      </c>
      <c r="D589" s="3"/>
      <c r="E589" s="3" t="s">
        <v>199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199</v>
      </c>
      <c r="D590" s="3"/>
      <c r="E590" s="3" t="s">
        <v>199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199</v>
      </c>
      <c r="D591" s="3"/>
      <c r="E591" s="3" t="s">
        <v>199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110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199</v>
      </c>
      <c r="D592" s="3"/>
      <c r="E592" s="3" t="s">
        <v>199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282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201</v>
      </c>
      <c r="D593" s="3"/>
      <c r="E593" s="3" t="s">
        <v>201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187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201</v>
      </c>
      <c r="D594" s="3"/>
      <c r="E594" s="3" t="s">
        <v>201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202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201</v>
      </c>
      <c r="D595" s="3"/>
      <c r="E595" s="3" t="s">
        <v>201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346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201</v>
      </c>
      <c r="D596" s="3"/>
      <c r="E596" s="3" t="s">
        <v>201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266</v>
      </c>
      <c r="O596" s="3"/>
      <c r="P596" s="3"/>
      <c r="Q596" s="3">
        <v>0.78700000000000003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201</v>
      </c>
      <c r="D597" s="3"/>
      <c r="E597" s="3" t="s">
        <v>201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107</v>
      </c>
      <c r="O597" s="3"/>
      <c r="P597" s="3"/>
      <c r="Q597" s="3">
        <v>0.45600000000000002</v>
      </c>
      <c r="R597" s="3" t="s">
        <v>108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201</v>
      </c>
      <c r="D598" s="3"/>
      <c r="E598" s="3" t="s">
        <v>201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267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201</v>
      </c>
      <c r="D599" s="3"/>
      <c r="E599" s="3" t="s">
        <v>201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109</v>
      </c>
      <c r="O599" s="3"/>
      <c r="P599" s="3"/>
      <c r="Q599" s="3">
        <v>16.154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201</v>
      </c>
      <c r="D600" s="3"/>
      <c r="E600" s="3" t="s">
        <v>201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16</v>
      </c>
      <c r="O600" s="3"/>
      <c r="P600" s="3"/>
      <c r="Q600" s="3">
        <v>100.28700000000001</v>
      </c>
      <c r="R600" s="3" t="s">
        <v>14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201</v>
      </c>
      <c r="D601" s="3"/>
      <c r="E601" s="3" t="s">
        <v>201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265</v>
      </c>
      <c r="O601" s="3"/>
      <c r="P601" s="3"/>
      <c r="Q601" s="3">
        <v>7.8E-2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201</v>
      </c>
      <c r="D602" s="3"/>
      <c r="E602" s="3" t="s">
        <v>201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269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201</v>
      </c>
      <c r="D603" s="3"/>
      <c r="E603" s="3" t="s">
        <v>201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201</v>
      </c>
      <c r="D604" s="3"/>
      <c r="E604" s="3" t="s">
        <v>201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201</v>
      </c>
      <c r="D605" s="3"/>
      <c r="E605" s="3" t="s">
        <v>201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110</v>
      </c>
      <c r="O605" s="3"/>
      <c r="P605" s="3"/>
      <c r="Q605" s="3">
        <v>0.54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201</v>
      </c>
      <c r="D606" s="3"/>
      <c r="E606" s="3" t="s">
        <v>201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284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203</v>
      </c>
      <c r="D607" s="3"/>
      <c r="E607" s="3" t="s">
        <v>203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187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203</v>
      </c>
      <c r="D608" s="3"/>
      <c r="E608" s="3" t="s">
        <v>203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204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203</v>
      </c>
      <c r="D609" s="3"/>
      <c r="E609" s="3" t="s">
        <v>203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347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203</v>
      </c>
      <c r="D610" s="3"/>
      <c r="E610" s="3" t="s">
        <v>203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266</v>
      </c>
      <c r="O610" s="3"/>
      <c r="P610" s="3"/>
      <c r="Q610" s="3">
        <v>0.94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203</v>
      </c>
      <c r="D611" s="3"/>
      <c r="E611" s="3" t="s">
        <v>203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107</v>
      </c>
      <c r="O611" s="3"/>
      <c r="P611" s="3"/>
      <c r="Q611" s="3">
        <v>0.54700000000000004</v>
      </c>
      <c r="R611" s="3" t="s">
        <v>108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203</v>
      </c>
      <c r="D612" s="3"/>
      <c r="E612" s="3" t="s">
        <v>203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267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203</v>
      </c>
      <c r="D613" s="3"/>
      <c r="E613" s="3" t="s">
        <v>203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109</v>
      </c>
      <c r="O613" s="3"/>
      <c r="P613" s="3"/>
      <c r="Q613" s="3">
        <v>17.068999999999999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203</v>
      </c>
      <c r="D614" s="3"/>
      <c r="E614" s="3" t="s">
        <v>203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16</v>
      </c>
      <c r="O614" s="3"/>
      <c r="P614" s="3"/>
      <c r="Q614" s="3">
        <v>105.91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203</v>
      </c>
      <c r="D615" s="3"/>
      <c r="E615" s="3" t="s">
        <v>203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265</v>
      </c>
      <c r="O615" s="3"/>
      <c r="P615" s="3"/>
      <c r="Q615" s="3">
        <v>8.8999999999999996E-2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203</v>
      </c>
      <c r="D616" s="3"/>
      <c r="E616" s="3" t="s">
        <v>203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269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203</v>
      </c>
      <c r="D617" s="3"/>
      <c r="E617" s="3" t="s">
        <v>203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203</v>
      </c>
      <c r="D618" s="3"/>
      <c r="E618" s="3" t="s">
        <v>203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203</v>
      </c>
      <c r="D619" s="3"/>
      <c r="E619" s="3" t="s">
        <v>203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110</v>
      </c>
      <c r="O619" s="3"/>
      <c r="P619" s="3"/>
      <c r="Q619" s="3">
        <v>0.622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203</v>
      </c>
      <c r="D620" s="3"/>
      <c r="E620" s="3" t="s">
        <v>203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286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205</v>
      </c>
      <c r="D621" s="3"/>
      <c r="E621" s="3" t="s">
        <v>205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187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205</v>
      </c>
      <c r="D622" s="3"/>
      <c r="E622" s="3" t="s">
        <v>205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206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205</v>
      </c>
      <c r="D623" s="3"/>
      <c r="E623" s="3" t="s">
        <v>205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348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205</v>
      </c>
      <c r="D624" s="3"/>
      <c r="E624" s="3" t="s">
        <v>205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266</v>
      </c>
      <c r="O624" s="3"/>
      <c r="P624" s="3"/>
      <c r="Q624" s="3">
        <v>1.0920000000000001</v>
      </c>
      <c r="R624" s="3" t="s">
        <v>14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205</v>
      </c>
      <c r="D625" s="3"/>
      <c r="E625" s="3" t="s">
        <v>205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107</v>
      </c>
      <c r="O625" s="3"/>
      <c r="P625" s="3"/>
      <c r="Q625" s="3">
        <v>0.63800000000000001</v>
      </c>
      <c r="R625" s="3" t="s">
        <v>108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205</v>
      </c>
      <c r="D626" s="3"/>
      <c r="E626" s="3" t="s">
        <v>205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267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205</v>
      </c>
      <c r="D627" s="3"/>
      <c r="E627" s="3" t="s">
        <v>205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109</v>
      </c>
      <c r="O627" s="3"/>
      <c r="P627" s="3"/>
      <c r="Q627" s="3">
        <v>17.983000000000001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205</v>
      </c>
      <c r="D628" s="3"/>
      <c r="E628" s="3" t="s">
        <v>205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16</v>
      </c>
      <c r="O628" s="3"/>
      <c r="P628" s="3"/>
      <c r="Q628" s="3">
        <v>111.53400000000001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205</v>
      </c>
      <c r="D629" s="3"/>
      <c r="E629" s="3" t="s">
        <v>205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265</v>
      </c>
      <c r="O629" s="3"/>
      <c r="P629" s="3"/>
      <c r="Q629" s="3">
        <v>0.1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205</v>
      </c>
      <c r="D630" s="3"/>
      <c r="E630" s="3" t="s">
        <v>205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269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205</v>
      </c>
      <c r="D631" s="3"/>
      <c r="E631" s="3" t="s">
        <v>205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205</v>
      </c>
      <c r="D632" s="3"/>
      <c r="E632" s="3" t="s">
        <v>205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205</v>
      </c>
      <c r="D633" s="3"/>
      <c r="E633" s="3" t="s">
        <v>205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110</v>
      </c>
      <c r="O633" s="3"/>
      <c r="P633" s="3"/>
      <c r="Q633" s="3">
        <v>0.70299999999999996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205</v>
      </c>
      <c r="D634" s="3"/>
      <c r="E634" s="3" t="s">
        <v>205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288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207</v>
      </c>
      <c r="D635" s="3"/>
      <c r="E635" s="3" t="s">
        <v>207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187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207</v>
      </c>
      <c r="D636" s="3"/>
      <c r="E636" s="3" t="s">
        <v>207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208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207</v>
      </c>
      <c r="D637" s="3"/>
      <c r="E637" s="3" t="s">
        <v>207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349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207</v>
      </c>
      <c r="D638" s="3"/>
      <c r="E638" s="3" t="s">
        <v>207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266</v>
      </c>
      <c r="O638" s="3"/>
      <c r="P638" s="3"/>
      <c r="Q638" s="3">
        <v>1.2450000000000001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207</v>
      </c>
      <c r="D639" s="3"/>
      <c r="E639" s="3" t="s">
        <v>207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107</v>
      </c>
      <c r="O639" s="3"/>
      <c r="P639" s="3"/>
      <c r="Q639" s="3">
        <v>0.72899999999999998</v>
      </c>
      <c r="R639" s="3" t="s">
        <v>108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207</v>
      </c>
      <c r="D640" s="3"/>
      <c r="E640" s="3" t="s">
        <v>207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267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207</v>
      </c>
      <c r="D641" s="3"/>
      <c r="E641" s="3" t="s">
        <v>207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109</v>
      </c>
      <c r="O641" s="3"/>
      <c r="P641" s="3"/>
      <c r="Q641" s="3">
        <v>18.898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207</v>
      </c>
      <c r="D642" s="3"/>
      <c r="E642" s="3" t="s">
        <v>207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117.158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207</v>
      </c>
      <c r="D643" s="3"/>
      <c r="E643" s="3" t="s">
        <v>207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265</v>
      </c>
      <c r="O643" s="3"/>
      <c r="P643" s="3"/>
      <c r="Q643" s="3">
        <v>0.11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207</v>
      </c>
      <c r="D644" s="3"/>
      <c r="E644" s="3" t="s">
        <v>207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269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207</v>
      </c>
      <c r="D645" s="3"/>
      <c r="E645" s="3" t="s">
        <v>207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207</v>
      </c>
      <c r="D646" s="3"/>
      <c r="E646" s="3" t="s">
        <v>207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207</v>
      </c>
      <c r="D647" s="3"/>
      <c r="E647" s="3" t="s">
        <v>207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110</v>
      </c>
      <c r="O647" s="3"/>
      <c r="P647" s="3"/>
      <c r="Q647" s="3">
        <v>0.78400000000000003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207</v>
      </c>
      <c r="D648" s="3"/>
      <c r="E648" s="3" t="s">
        <v>207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290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209</v>
      </c>
      <c r="D649" s="3"/>
      <c r="E649" s="3" t="s">
        <v>209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187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209</v>
      </c>
      <c r="D650" s="3"/>
      <c r="E650" s="3" t="s">
        <v>209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210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209</v>
      </c>
      <c r="D651" s="3"/>
      <c r="E651" s="3" t="s">
        <v>209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350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209</v>
      </c>
      <c r="D652" s="3"/>
      <c r="E652" s="3" t="s">
        <v>209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266</v>
      </c>
      <c r="O652" s="3"/>
      <c r="P652" s="3"/>
      <c r="Q652" s="3">
        <v>1.5489999999999999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209</v>
      </c>
      <c r="D653" s="3"/>
      <c r="E653" s="3" t="s">
        <v>209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107</v>
      </c>
      <c r="O653" s="3"/>
      <c r="P653" s="3"/>
      <c r="Q653" s="3">
        <v>0.91100000000000003</v>
      </c>
      <c r="R653" s="3" t="s">
        <v>108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209</v>
      </c>
      <c r="D654" s="3"/>
      <c r="E654" s="3" t="s">
        <v>209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267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209</v>
      </c>
      <c r="D655" s="3"/>
      <c r="E655" s="3" t="s">
        <v>209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109</v>
      </c>
      <c r="O655" s="3"/>
      <c r="P655" s="3"/>
      <c r="Q655" s="3">
        <v>20.725999999999999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209</v>
      </c>
      <c r="D656" s="3"/>
      <c r="E656" s="3" t="s">
        <v>209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16</v>
      </c>
      <c r="O656" s="3"/>
      <c r="P656" s="3"/>
      <c r="Q656" s="3">
        <v>128.405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209</v>
      </c>
      <c r="D657" s="3"/>
      <c r="E657" s="3" t="s">
        <v>209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265</v>
      </c>
      <c r="O657" s="3"/>
      <c r="P657" s="3"/>
      <c r="Q657" s="3">
        <v>0.13200000000000001</v>
      </c>
      <c r="R657" s="3" t="s">
        <v>12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209</v>
      </c>
      <c r="D658" s="3"/>
      <c r="E658" s="3" t="s">
        <v>209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269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209</v>
      </c>
      <c r="D659" s="3"/>
      <c r="E659" s="3" t="s">
        <v>209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209</v>
      </c>
      <c r="D660" s="3"/>
      <c r="E660" s="3" t="s">
        <v>209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209</v>
      </c>
      <c r="D661" s="3"/>
      <c r="E661" s="3" t="s">
        <v>209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110</v>
      </c>
      <c r="O661" s="3"/>
      <c r="P661" s="3"/>
      <c r="Q661" s="3">
        <v>0.94599999999999995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209</v>
      </c>
      <c r="D662" s="3"/>
      <c r="E662" s="3" t="s">
        <v>209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292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211</v>
      </c>
      <c r="D663" s="3"/>
      <c r="E663" s="3" t="s">
        <v>211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187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211</v>
      </c>
      <c r="D664" s="3"/>
      <c r="E664" s="3" t="s">
        <v>211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212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211</v>
      </c>
      <c r="D665" s="3"/>
      <c r="E665" s="3" t="s">
        <v>211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351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211</v>
      </c>
      <c r="D666" s="3"/>
      <c r="E666" s="3" t="s">
        <v>211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266</v>
      </c>
      <c r="O666" s="3"/>
      <c r="P666" s="3"/>
      <c r="Q666" s="3">
        <v>1.702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211</v>
      </c>
      <c r="D667" s="3"/>
      <c r="E667" s="3" t="s">
        <v>211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107</v>
      </c>
      <c r="O667" s="3"/>
      <c r="P667" s="3"/>
      <c r="Q667" s="3">
        <v>1.002</v>
      </c>
      <c r="R667" s="3" t="s">
        <v>108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211</v>
      </c>
      <c r="D668" s="3"/>
      <c r="E668" s="3" t="s">
        <v>211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267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211</v>
      </c>
      <c r="D669" s="3"/>
      <c r="E669" s="3" t="s">
        <v>211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109</v>
      </c>
      <c r="O669" s="3"/>
      <c r="P669" s="3"/>
      <c r="Q669" s="3">
        <v>21.640999999999998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211</v>
      </c>
      <c r="D670" s="3"/>
      <c r="E670" s="3" t="s">
        <v>211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16</v>
      </c>
      <c r="O670" s="3"/>
      <c r="P670" s="3"/>
      <c r="Q670" s="3">
        <v>134.02799999999999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211</v>
      </c>
      <c r="D671" s="3"/>
      <c r="E671" s="3" t="s">
        <v>211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265</v>
      </c>
      <c r="O671" s="3"/>
      <c r="P671" s="3"/>
      <c r="Q671" s="3">
        <v>0.14199999999999999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211</v>
      </c>
      <c r="D672" s="3"/>
      <c r="E672" s="3" t="s">
        <v>211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269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211</v>
      </c>
      <c r="D673" s="3"/>
      <c r="E673" s="3" t="s">
        <v>211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211</v>
      </c>
      <c r="D674" s="3"/>
      <c r="E674" s="3" t="s">
        <v>211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211</v>
      </c>
      <c r="D675" s="3"/>
      <c r="E675" s="3" t="s">
        <v>211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110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211</v>
      </c>
      <c r="D676" s="3"/>
      <c r="E676" s="3" t="s">
        <v>211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294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213</v>
      </c>
      <c r="D677" s="3"/>
      <c r="E677" s="3" t="s">
        <v>213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187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213</v>
      </c>
      <c r="D678" s="3"/>
      <c r="E678" s="3" t="s">
        <v>213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214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213</v>
      </c>
      <c r="D679" s="3"/>
      <c r="E679" s="3" t="s">
        <v>213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352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213</v>
      </c>
      <c r="D680" s="3"/>
      <c r="E680" s="3" t="s">
        <v>213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266</v>
      </c>
      <c r="O680" s="3"/>
      <c r="P680" s="3"/>
      <c r="Q680" s="3">
        <v>1.8540000000000001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213</v>
      </c>
      <c r="D681" s="3"/>
      <c r="E681" s="3" t="s">
        <v>213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107</v>
      </c>
      <c r="O681" s="3"/>
      <c r="P681" s="3"/>
      <c r="Q681" s="3">
        <v>1.0940000000000001</v>
      </c>
      <c r="R681" s="3" t="s">
        <v>108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213</v>
      </c>
      <c r="D682" s="3"/>
      <c r="E682" s="3" t="s">
        <v>213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267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213</v>
      </c>
      <c r="D683" s="3"/>
      <c r="E683" s="3" t="s">
        <v>213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109</v>
      </c>
      <c r="O683" s="3"/>
      <c r="P683" s="3"/>
      <c r="Q683" s="3">
        <v>22.555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213</v>
      </c>
      <c r="D684" s="3"/>
      <c r="E684" s="3" t="s">
        <v>213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16</v>
      </c>
      <c r="O684" s="3"/>
      <c r="P684" s="3"/>
      <c r="Q684" s="3">
        <v>139.65199999999999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213</v>
      </c>
      <c r="D685" s="3"/>
      <c r="E685" s="3" t="s">
        <v>213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265</v>
      </c>
      <c r="O685" s="3"/>
      <c r="P685" s="3"/>
      <c r="Q685" s="3">
        <v>0.153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213</v>
      </c>
      <c r="D686" s="3"/>
      <c r="E686" s="3" t="s">
        <v>213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269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213</v>
      </c>
      <c r="D687" s="3"/>
      <c r="E687" s="3" t="s">
        <v>213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213</v>
      </c>
      <c r="D688" s="3"/>
      <c r="E688" s="3" t="s">
        <v>213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213</v>
      </c>
      <c r="D689" s="3"/>
      <c r="E689" s="3" t="s">
        <v>213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110</v>
      </c>
      <c r="O689" s="3"/>
      <c r="P689" s="3"/>
      <c r="Q689" s="3">
        <v>1.1080000000000001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213</v>
      </c>
      <c r="D690" s="3"/>
      <c r="E690" s="3" t="s">
        <v>213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296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215</v>
      </c>
      <c r="D691" s="3"/>
      <c r="E691" s="3" t="s">
        <v>215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187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215</v>
      </c>
      <c r="D692" s="3"/>
      <c r="E692" s="3" t="s">
        <v>215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216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215</v>
      </c>
      <c r="D693" s="3"/>
      <c r="E693" s="3" t="s">
        <v>215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353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215</v>
      </c>
      <c r="D694" s="3"/>
      <c r="E694" s="3" t="s">
        <v>215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266</v>
      </c>
      <c r="O694" s="3"/>
      <c r="P694" s="3"/>
      <c r="Q694" s="3">
        <v>0.78700000000000003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215</v>
      </c>
      <c r="D695" s="3"/>
      <c r="E695" s="3" t="s">
        <v>215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107</v>
      </c>
      <c r="O695" s="3"/>
      <c r="P695" s="3"/>
      <c r="Q695" s="3">
        <v>0.47399999999999998</v>
      </c>
      <c r="R695" s="3" t="s">
        <v>108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215</v>
      </c>
      <c r="D696" s="3"/>
      <c r="E696" s="3" t="s">
        <v>215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267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215</v>
      </c>
      <c r="D697" s="3"/>
      <c r="E697" s="3" t="s">
        <v>215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109</v>
      </c>
      <c r="O697" s="3"/>
      <c r="P697" s="3"/>
      <c r="Q697" s="3">
        <v>16.611999999999998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215</v>
      </c>
      <c r="D698" s="3"/>
      <c r="E698" s="3" t="s">
        <v>215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16</v>
      </c>
      <c r="O698" s="3"/>
      <c r="P698" s="3"/>
      <c r="Q698" s="3">
        <v>103.099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215</v>
      </c>
      <c r="D699" s="3"/>
      <c r="E699" s="3" t="s">
        <v>215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265</v>
      </c>
      <c r="O699" s="3"/>
      <c r="P699" s="3"/>
      <c r="Q699" s="3">
        <v>7.8E-2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215</v>
      </c>
      <c r="D700" s="3"/>
      <c r="E700" s="3" t="s">
        <v>215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269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215</v>
      </c>
      <c r="D701" s="3"/>
      <c r="E701" s="3" t="s">
        <v>215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215</v>
      </c>
      <c r="D702" s="3"/>
      <c r="E702" s="3" t="s">
        <v>215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215</v>
      </c>
      <c r="D703" s="3"/>
      <c r="E703" s="3" t="s">
        <v>215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110</v>
      </c>
      <c r="O703" s="3"/>
      <c r="P703" s="3"/>
      <c r="Q703" s="3">
        <v>0.54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215</v>
      </c>
      <c r="D704" s="3"/>
      <c r="E704" s="3" t="s">
        <v>215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298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217</v>
      </c>
      <c r="D705" s="3"/>
      <c r="E705" s="3" t="s">
        <v>217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187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217</v>
      </c>
      <c r="D706" s="3"/>
      <c r="E706" s="3" t="s">
        <v>217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218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217</v>
      </c>
      <c r="D707" s="3"/>
      <c r="E707" s="3" t="s">
        <v>217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354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217</v>
      </c>
      <c r="D708" s="3"/>
      <c r="E708" s="3" t="s">
        <v>217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266</v>
      </c>
      <c r="O708" s="3"/>
      <c r="P708" s="3"/>
      <c r="Q708" s="3">
        <v>0.94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217</v>
      </c>
      <c r="D709" s="3"/>
      <c r="E709" s="3" t="s">
        <v>217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107</v>
      </c>
      <c r="O709" s="3"/>
      <c r="P709" s="3"/>
      <c r="Q709" s="3">
        <v>0.56899999999999995</v>
      </c>
      <c r="R709" s="3" t="s">
        <v>108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217</v>
      </c>
      <c r="D710" s="3"/>
      <c r="E710" s="3" t="s">
        <v>217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267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217</v>
      </c>
      <c r="D711" s="3"/>
      <c r="E711" s="3" t="s">
        <v>217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109</v>
      </c>
      <c r="O711" s="3"/>
      <c r="P711" s="3"/>
      <c r="Q711" s="3">
        <v>17.526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217</v>
      </c>
      <c r="D712" s="3"/>
      <c r="E712" s="3" t="s">
        <v>217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16</v>
      </c>
      <c r="O712" s="3"/>
      <c r="P712" s="3"/>
      <c r="Q712" s="3">
        <v>108.72199999999999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217</v>
      </c>
      <c r="D713" s="3"/>
      <c r="E713" s="3" t="s">
        <v>217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265</v>
      </c>
      <c r="O713" s="3"/>
      <c r="P713" s="3"/>
      <c r="Q713" s="3">
        <v>8.8999999999999996E-2</v>
      </c>
      <c r="R713" s="3" t="s">
        <v>12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217</v>
      </c>
      <c r="D714" s="3"/>
      <c r="E714" s="3" t="s">
        <v>217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269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217</v>
      </c>
      <c r="D715" s="3"/>
      <c r="E715" s="3" t="s">
        <v>217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217</v>
      </c>
      <c r="D716" s="3"/>
      <c r="E716" s="3" t="s">
        <v>217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217</v>
      </c>
      <c r="D717" s="3"/>
      <c r="E717" s="3" t="s">
        <v>217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110</v>
      </c>
      <c r="O717" s="3"/>
      <c r="P717" s="3"/>
      <c r="Q717" s="3">
        <v>0.622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217</v>
      </c>
      <c r="D718" s="3"/>
      <c r="E718" s="3" t="s">
        <v>217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300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219</v>
      </c>
      <c r="D719" s="3"/>
      <c r="E719" s="3" t="s">
        <v>219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187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219</v>
      </c>
      <c r="D720" s="3"/>
      <c r="E720" s="3" t="s">
        <v>219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220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219</v>
      </c>
      <c r="D721" s="3"/>
      <c r="E721" s="3" t="s">
        <v>219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355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219</v>
      </c>
      <c r="D722" s="3"/>
      <c r="E722" s="3" t="s">
        <v>219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266</v>
      </c>
      <c r="O722" s="3"/>
      <c r="P722" s="3"/>
      <c r="Q722" s="3">
        <v>1.0920000000000001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219</v>
      </c>
      <c r="D723" s="3"/>
      <c r="E723" s="3" t="s">
        <v>219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107</v>
      </c>
      <c r="O723" s="3"/>
      <c r="P723" s="3"/>
      <c r="Q723" s="3">
        <v>0.66300000000000003</v>
      </c>
      <c r="R723" s="3" t="s">
        <v>108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219</v>
      </c>
      <c r="D724" s="3"/>
      <c r="E724" s="3" t="s">
        <v>219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267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219</v>
      </c>
      <c r="D725" s="3"/>
      <c r="E725" s="3" t="s">
        <v>219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109</v>
      </c>
      <c r="O725" s="3"/>
      <c r="P725" s="3"/>
      <c r="Q725" s="3">
        <v>18.440000000000001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219</v>
      </c>
      <c r="D726" s="3"/>
      <c r="E726" s="3" t="s">
        <v>219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16</v>
      </c>
      <c r="O726" s="3"/>
      <c r="P726" s="3"/>
      <c r="Q726" s="3">
        <v>114.346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219</v>
      </c>
      <c r="D727" s="3"/>
      <c r="E727" s="3" t="s">
        <v>219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265</v>
      </c>
      <c r="O727" s="3"/>
      <c r="P727" s="3"/>
      <c r="Q727" s="3">
        <v>0.1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219</v>
      </c>
      <c r="D728" s="3"/>
      <c r="E728" s="3" t="s">
        <v>219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269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219</v>
      </c>
      <c r="D729" s="3"/>
      <c r="E729" s="3" t="s">
        <v>219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219</v>
      </c>
      <c r="D730" s="3"/>
      <c r="E730" s="3" t="s">
        <v>219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219</v>
      </c>
      <c r="D731" s="3"/>
      <c r="E731" s="3" t="s">
        <v>219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110</v>
      </c>
      <c r="O731" s="3"/>
      <c r="P731" s="3"/>
      <c r="Q731" s="3">
        <v>0.70299999999999996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219</v>
      </c>
      <c r="D732" s="3"/>
      <c r="E732" s="3" t="s">
        <v>219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302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221</v>
      </c>
      <c r="D733" s="3"/>
      <c r="E733" s="3" t="s">
        <v>221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187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221</v>
      </c>
      <c r="D734" s="3"/>
      <c r="E734" s="3" t="s">
        <v>221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222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221</v>
      </c>
      <c r="D735" s="3"/>
      <c r="E735" s="3" t="s">
        <v>221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356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221</v>
      </c>
      <c r="D736" s="3"/>
      <c r="E736" s="3" t="s">
        <v>221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266</v>
      </c>
      <c r="O736" s="3"/>
      <c r="P736" s="3"/>
      <c r="Q736" s="3">
        <v>1.2450000000000001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221</v>
      </c>
      <c r="D737" s="3"/>
      <c r="E737" s="3" t="s">
        <v>221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107</v>
      </c>
      <c r="O737" s="3"/>
      <c r="P737" s="3"/>
      <c r="Q737" s="3">
        <v>0.75800000000000001</v>
      </c>
      <c r="R737" s="3" t="s">
        <v>108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221</v>
      </c>
      <c r="D738" s="3"/>
      <c r="E738" s="3" t="s">
        <v>221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267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221</v>
      </c>
      <c r="D739" s="3"/>
      <c r="E739" s="3" t="s">
        <v>221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109</v>
      </c>
      <c r="O739" s="3"/>
      <c r="P739" s="3"/>
      <c r="Q739" s="3">
        <v>19.355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221</v>
      </c>
      <c r="D740" s="3"/>
      <c r="E740" s="3" t="s">
        <v>221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16</v>
      </c>
      <c r="O740" s="3"/>
      <c r="P740" s="3"/>
      <c r="Q740" s="3">
        <v>119.96899999999999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221</v>
      </c>
      <c r="D741" s="3"/>
      <c r="E741" s="3" t="s">
        <v>221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265</v>
      </c>
      <c r="O741" s="3"/>
      <c r="P741" s="3"/>
      <c r="Q741" s="3">
        <v>0.11</v>
      </c>
      <c r="R741" s="3" t="s">
        <v>12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221</v>
      </c>
      <c r="D742" s="3"/>
      <c r="E742" s="3" t="s">
        <v>221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269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221</v>
      </c>
      <c r="D743" s="3"/>
      <c r="E743" s="3" t="s">
        <v>221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221</v>
      </c>
      <c r="D744" s="3"/>
      <c r="E744" s="3" t="s">
        <v>221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221</v>
      </c>
      <c r="D745" s="3"/>
      <c r="E745" s="3" t="s">
        <v>221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110</v>
      </c>
      <c r="O745" s="3"/>
      <c r="P745" s="3"/>
      <c r="Q745" s="3">
        <v>0.78400000000000003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221</v>
      </c>
      <c r="D746" s="3"/>
      <c r="E746" s="3" t="s">
        <v>221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304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223</v>
      </c>
      <c r="D747" s="3"/>
      <c r="E747" s="3" t="s">
        <v>223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187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223</v>
      </c>
      <c r="D748" s="3"/>
      <c r="E748" s="3" t="s">
        <v>223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224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223</v>
      </c>
      <c r="D749" s="3"/>
      <c r="E749" s="3" t="s">
        <v>223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357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223</v>
      </c>
      <c r="D750" s="3"/>
      <c r="E750" s="3" t="s">
        <v>223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266</v>
      </c>
      <c r="O750" s="3"/>
      <c r="P750" s="3"/>
      <c r="Q750" s="3">
        <v>1.5489999999999999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223</v>
      </c>
      <c r="D751" s="3"/>
      <c r="E751" s="3" t="s">
        <v>223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107</v>
      </c>
      <c r="O751" s="3"/>
      <c r="P751" s="3"/>
      <c r="Q751" s="3">
        <v>0.94799999999999995</v>
      </c>
      <c r="R751" s="3" t="s">
        <v>108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223</v>
      </c>
      <c r="D752" s="3"/>
      <c r="E752" s="3" t="s">
        <v>223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267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223</v>
      </c>
      <c r="D753" s="3"/>
      <c r="E753" s="3" t="s">
        <v>223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109</v>
      </c>
      <c r="O753" s="3"/>
      <c r="P753" s="3"/>
      <c r="Q753" s="3">
        <v>21.184000000000001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223</v>
      </c>
      <c r="D754" s="3"/>
      <c r="E754" s="3" t="s">
        <v>223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16</v>
      </c>
      <c r="O754" s="3"/>
      <c r="P754" s="3"/>
      <c r="Q754" s="3">
        <v>131.21600000000001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223</v>
      </c>
      <c r="D755" s="3"/>
      <c r="E755" s="3" t="s">
        <v>223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265</v>
      </c>
      <c r="O755" s="3"/>
      <c r="P755" s="3"/>
      <c r="Q755" s="3">
        <v>0.13200000000000001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223</v>
      </c>
      <c r="D756" s="3"/>
      <c r="E756" s="3" t="s">
        <v>223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269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223</v>
      </c>
      <c r="D757" s="3"/>
      <c r="E757" s="3" t="s">
        <v>223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223</v>
      </c>
      <c r="D758" s="3"/>
      <c r="E758" s="3" t="s">
        <v>223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223</v>
      </c>
      <c r="D759" s="3"/>
      <c r="E759" s="3" t="s">
        <v>223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110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223</v>
      </c>
      <c r="D760" s="3"/>
      <c r="E760" s="3" t="s">
        <v>223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306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225</v>
      </c>
      <c r="D761" s="3"/>
      <c r="E761" s="3" t="s">
        <v>225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187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225</v>
      </c>
      <c r="D762" s="3"/>
      <c r="E762" s="3" t="s">
        <v>225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226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225</v>
      </c>
      <c r="D763" s="3"/>
      <c r="E763" s="3" t="s">
        <v>225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358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225</v>
      </c>
      <c r="D764" s="3"/>
      <c r="E764" s="3" t="s">
        <v>225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266</v>
      </c>
      <c r="O764" s="3"/>
      <c r="P764" s="3"/>
      <c r="Q764" s="3">
        <v>1.702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225</v>
      </c>
      <c r="D765" s="3"/>
      <c r="E765" s="3" t="s">
        <v>225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107</v>
      </c>
      <c r="O765" s="3"/>
      <c r="P765" s="3"/>
      <c r="Q765" s="3">
        <v>1.042</v>
      </c>
      <c r="R765" s="3" t="s">
        <v>108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225</v>
      </c>
      <c r="D766" s="3"/>
      <c r="E766" s="3" t="s">
        <v>225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267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225</v>
      </c>
      <c r="D767" s="3"/>
      <c r="E767" s="3" t="s">
        <v>225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109</v>
      </c>
      <c r="O767" s="3"/>
      <c r="P767" s="3"/>
      <c r="Q767" s="3">
        <v>22.097999999999999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225</v>
      </c>
      <c r="D768" s="3"/>
      <c r="E768" s="3" t="s">
        <v>225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16</v>
      </c>
      <c r="O768" s="3"/>
      <c r="P768" s="3"/>
      <c r="Q768" s="3">
        <v>136.84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225</v>
      </c>
      <c r="D769" s="3"/>
      <c r="E769" s="3" t="s">
        <v>225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265</v>
      </c>
      <c r="O769" s="3"/>
      <c r="P769" s="3"/>
      <c r="Q769" s="3">
        <v>0.14199999999999999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225</v>
      </c>
      <c r="D770" s="3"/>
      <c r="E770" s="3" t="s">
        <v>225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269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225</v>
      </c>
      <c r="D771" s="3"/>
      <c r="E771" s="3" t="s">
        <v>225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225</v>
      </c>
      <c r="D772" s="3"/>
      <c r="E772" s="3" t="s">
        <v>225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225</v>
      </c>
      <c r="D773" s="3"/>
      <c r="E773" s="3" t="s">
        <v>225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110</v>
      </c>
      <c r="O773" s="3"/>
      <c r="P773" s="3"/>
      <c r="Q773" s="3">
        <v>1.0269999999999999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225</v>
      </c>
      <c r="D774" s="3"/>
      <c r="E774" s="3" t="s">
        <v>225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308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227</v>
      </c>
      <c r="D775" s="3"/>
      <c r="E775" s="3" t="s">
        <v>227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187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227</v>
      </c>
      <c r="D776" s="3"/>
      <c r="E776" s="3" t="s">
        <v>227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228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227</v>
      </c>
      <c r="D777" s="3"/>
      <c r="E777" s="3" t="s">
        <v>227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359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227</v>
      </c>
      <c r="D778" s="3"/>
      <c r="E778" s="3" t="s">
        <v>227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266</v>
      </c>
      <c r="O778" s="3"/>
      <c r="P778" s="3"/>
      <c r="Q778" s="3">
        <v>1.8540000000000001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227</v>
      </c>
      <c r="D779" s="3"/>
      <c r="E779" s="3" t="s">
        <v>227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107</v>
      </c>
      <c r="O779" s="3"/>
      <c r="P779" s="3"/>
      <c r="Q779" s="3">
        <v>1.137</v>
      </c>
      <c r="R779" s="3" t="s">
        <v>108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227</v>
      </c>
      <c r="D780" s="3"/>
      <c r="E780" s="3" t="s">
        <v>227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267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227</v>
      </c>
      <c r="D781" s="3"/>
      <c r="E781" s="3" t="s">
        <v>227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109</v>
      </c>
      <c r="O781" s="3"/>
      <c r="P781" s="3"/>
      <c r="Q781" s="3">
        <v>23.012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227</v>
      </c>
      <c r="D782" s="3"/>
      <c r="E782" s="3" t="s">
        <v>227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16</v>
      </c>
      <c r="O782" s="3"/>
      <c r="P782" s="3"/>
      <c r="Q782" s="3">
        <v>142.464</v>
      </c>
      <c r="R782" s="3" t="s">
        <v>14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227</v>
      </c>
      <c r="D783" s="3"/>
      <c r="E783" s="3" t="s">
        <v>227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265</v>
      </c>
      <c r="O783" s="3"/>
      <c r="P783" s="3"/>
      <c r="Q783" s="3">
        <v>0.153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227</v>
      </c>
      <c r="D784" s="3"/>
      <c r="E784" s="3" t="s">
        <v>227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269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227</v>
      </c>
      <c r="D785" s="3"/>
      <c r="E785" s="3" t="s">
        <v>227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227</v>
      </c>
      <c r="D786" s="3"/>
      <c r="E786" s="3" t="s">
        <v>227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227</v>
      </c>
      <c r="D787" s="3"/>
      <c r="E787" s="3" t="s">
        <v>227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110</v>
      </c>
      <c r="O787" s="3"/>
      <c r="P787" s="3"/>
      <c r="Q787" s="3">
        <v>1.1080000000000001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227</v>
      </c>
      <c r="D788" s="3"/>
      <c r="E788" s="3" t="s">
        <v>227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310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229</v>
      </c>
      <c r="D789" s="3"/>
      <c r="E789" s="3" t="s">
        <v>229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187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229</v>
      </c>
      <c r="D790" s="3"/>
      <c r="E790" s="3" t="s">
        <v>229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230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229</v>
      </c>
      <c r="D791" s="3"/>
      <c r="E791" s="3" t="s">
        <v>229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360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229</v>
      </c>
      <c r="D792" s="3"/>
      <c r="E792" s="3" t="s">
        <v>229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266</v>
      </c>
      <c r="O792" s="3"/>
      <c r="P792" s="3"/>
      <c r="Q792" s="3">
        <v>0.78700000000000003</v>
      </c>
      <c r="R792" s="3" t="s">
        <v>14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229</v>
      </c>
      <c r="D793" s="3"/>
      <c r="E793" s="3" t="s">
        <v>229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107</v>
      </c>
      <c r="O793" s="3"/>
      <c r="P793" s="3"/>
      <c r="Q793" s="3">
        <v>0.48599999999999999</v>
      </c>
      <c r="R793" s="3" t="s">
        <v>108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229</v>
      </c>
      <c r="D794" s="3"/>
      <c r="E794" s="3" t="s">
        <v>229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267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229</v>
      </c>
      <c r="D795" s="3"/>
      <c r="E795" s="3" t="s">
        <v>229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109</v>
      </c>
      <c r="O795" s="3"/>
      <c r="P795" s="3"/>
      <c r="Q795" s="3">
        <v>16.916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229</v>
      </c>
      <c r="D796" s="3"/>
      <c r="E796" s="3" t="s">
        <v>229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16</v>
      </c>
      <c r="O796" s="3"/>
      <c r="P796" s="3"/>
      <c r="Q796" s="3">
        <v>104.973</v>
      </c>
      <c r="R796" s="3" t="s">
        <v>14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229</v>
      </c>
      <c r="D797" s="3"/>
      <c r="E797" s="3" t="s">
        <v>229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265</v>
      </c>
      <c r="O797" s="3"/>
      <c r="P797" s="3"/>
      <c r="Q797" s="3">
        <v>7.8E-2</v>
      </c>
      <c r="R797" s="3" t="s">
        <v>12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229</v>
      </c>
      <c r="D798" s="3"/>
      <c r="E798" s="3" t="s">
        <v>229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269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229</v>
      </c>
      <c r="D799" s="3"/>
      <c r="E799" s="3" t="s">
        <v>229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229</v>
      </c>
      <c r="D800" s="3"/>
      <c r="E800" s="3" t="s">
        <v>229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229</v>
      </c>
      <c r="D801" s="3"/>
      <c r="E801" s="3" t="s">
        <v>229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110</v>
      </c>
      <c r="O801" s="3"/>
      <c r="P801" s="3"/>
      <c r="Q801" s="3">
        <v>1.216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229</v>
      </c>
      <c r="D802" s="3"/>
      <c r="E802" s="3" t="s">
        <v>229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312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231</v>
      </c>
      <c r="D803" s="3"/>
      <c r="E803" s="3" t="s">
        <v>231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187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231</v>
      </c>
      <c r="D804" s="3"/>
      <c r="E804" s="3" t="s">
        <v>231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231</v>
      </c>
      <c r="D805" s="3"/>
      <c r="E805" s="3" t="s">
        <v>231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361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231</v>
      </c>
      <c r="D806" s="3"/>
      <c r="E806" s="3" t="s">
        <v>231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266</v>
      </c>
      <c r="O806" s="3"/>
      <c r="P806" s="3"/>
      <c r="Q806" s="3">
        <v>0.94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231</v>
      </c>
      <c r="D807" s="3"/>
      <c r="E807" s="3" t="s">
        <v>231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107</v>
      </c>
      <c r="O807" s="3"/>
      <c r="P807" s="3"/>
      <c r="Q807" s="3">
        <v>0.58299999999999996</v>
      </c>
      <c r="R807" s="3" t="s">
        <v>108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231</v>
      </c>
      <c r="D808" s="3"/>
      <c r="E808" s="3" t="s">
        <v>231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267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231</v>
      </c>
      <c r="D809" s="3"/>
      <c r="E809" s="3" t="s">
        <v>231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109</v>
      </c>
      <c r="O809" s="3"/>
      <c r="P809" s="3"/>
      <c r="Q809" s="3">
        <v>17.831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231</v>
      </c>
      <c r="D810" s="3"/>
      <c r="E810" s="3" t="s">
        <v>231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16</v>
      </c>
      <c r="O810" s="3"/>
      <c r="P810" s="3"/>
      <c r="Q810" s="3">
        <v>110.59699999999999</v>
      </c>
      <c r="R810" s="3" t="s">
        <v>14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231</v>
      </c>
      <c r="D811" s="3"/>
      <c r="E811" s="3" t="s">
        <v>231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265</v>
      </c>
      <c r="O811" s="3"/>
      <c r="P811" s="3"/>
      <c r="Q811" s="3">
        <v>8.8999999999999996E-2</v>
      </c>
      <c r="R811" s="3" t="s">
        <v>12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231</v>
      </c>
      <c r="D812" s="3"/>
      <c r="E812" s="3" t="s">
        <v>231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269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231</v>
      </c>
      <c r="D813" s="3"/>
      <c r="E813" s="3" t="s">
        <v>231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231</v>
      </c>
      <c r="D814" s="3"/>
      <c r="E814" s="3" t="s">
        <v>231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231</v>
      </c>
      <c r="D815" s="3"/>
      <c r="E815" s="3" t="s">
        <v>231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110</v>
      </c>
      <c r="O815" s="3"/>
      <c r="P815" s="3"/>
      <c r="Q815" s="3">
        <v>1.216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231</v>
      </c>
      <c r="D816" s="3"/>
      <c r="E816" s="3" t="s">
        <v>231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314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233</v>
      </c>
      <c r="D817" s="3"/>
      <c r="E817" s="3" t="s">
        <v>233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187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233</v>
      </c>
      <c r="D818" s="3"/>
      <c r="E818" s="3" t="s">
        <v>233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234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233</v>
      </c>
      <c r="D819" s="3"/>
      <c r="E819" s="3" t="s">
        <v>233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362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233</v>
      </c>
      <c r="D820" s="3"/>
      <c r="E820" s="3" t="s">
        <v>233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266</v>
      </c>
      <c r="O820" s="3"/>
      <c r="P820" s="3"/>
      <c r="Q820" s="3">
        <v>1.0920000000000001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233</v>
      </c>
      <c r="D821" s="3"/>
      <c r="E821" s="3" t="s">
        <v>233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107</v>
      </c>
      <c r="O821" s="3"/>
      <c r="P821" s="3"/>
      <c r="Q821" s="3">
        <v>0.68</v>
      </c>
      <c r="R821" s="3" t="s">
        <v>108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233</v>
      </c>
      <c r="D822" s="3"/>
      <c r="E822" s="3" t="s">
        <v>233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267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233</v>
      </c>
      <c r="D823" s="3"/>
      <c r="E823" s="3" t="s">
        <v>233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109</v>
      </c>
      <c r="O823" s="3"/>
      <c r="P823" s="3"/>
      <c r="Q823" s="3">
        <v>18.745000000000001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233</v>
      </c>
      <c r="D824" s="3"/>
      <c r="E824" s="3" t="s">
        <v>233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16</v>
      </c>
      <c r="O824" s="3"/>
      <c r="P824" s="3"/>
      <c r="Q824" s="3">
        <v>116.22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233</v>
      </c>
      <c r="D825" s="3"/>
      <c r="E825" s="3" t="s">
        <v>233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265</v>
      </c>
      <c r="O825" s="3"/>
      <c r="P825" s="3"/>
      <c r="Q825" s="3">
        <v>0.1</v>
      </c>
      <c r="R825" s="3" t="s">
        <v>12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233</v>
      </c>
      <c r="D826" s="3"/>
      <c r="E826" s="3" t="s">
        <v>233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269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233</v>
      </c>
      <c r="D827" s="3"/>
      <c r="E827" s="3" t="s">
        <v>233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233</v>
      </c>
      <c r="D828" s="3"/>
      <c r="E828" s="3" t="s">
        <v>233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233</v>
      </c>
      <c r="D829" s="3"/>
      <c r="E829" s="3" t="s">
        <v>233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110</v>
      </c>
      <c r="O829" s="3"/>
      <c r="P829" s="3"/>
      <c r="Q829" s="3">
        <v>1.216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233</v>
      </c>
      <c r="D830" s="3"/>
      <c r="E830" s="3" t="s">
        <v>233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316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235</v>
      </c>
      <c r="D831" s="3"/>
      <c r="E831" s="3" t="s">
        <v>235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187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235</v>
      </c>
      <c r="D832" s="3"/>
      <c r="E832" s="3" t="s">
        <v>235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236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235</v>
      </c>
      <c r="D833" s="3"/>
      <c r="E833" s="3" t="s">
        <v>235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363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235</v>
      </c>
      <c r="D834" s="3"/>
      <c r="E834" s="3" t="s">
        <v>235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266</v>
      </c>
      <c r="O834" s="3"/>
      <c r="P834" s="3"/>
      <c r="Q834" s="3">
        <v>1.2450000000000001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235</v>
      </c>
      <c r="D835" s="3"/>
      <c r="E835" s="3" t="s">
        <v>235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107</v>
      </c>
      <c r="O835" s="3"/>
      <c r="P835" s="3"/>
      <c r="Q835" s="3">
        <v>0.77800000000000002</v>
      </c>
      <c r="R835" s="3" t="s">
        <v>108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235</v>
      </c>
      <c r="D836" s="3"/>
      <c r="E836" s="3" t="s">
        <v>235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267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235</v>
      </c>
      <c r="D837" s="3"/>
      <c r="E837" s="3" t="s">
        <v>235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109</v>
      </c>
      <c r="O837" s="3"/>
      <c r="P837" s="3"/>
      <c r="Q837" s="3">
        <v>19.66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235</v>
      </c>
      <c r="D838" s="3"/>
      <c r="E838" s="3" t="s">
        <v>235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16</v>
      </c>
      <c r="O838" s="3"/>
      <c r="P838" s="3"/>
      <c r="Q838" s="3">
        <v>121.84399999999999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235</v>
      </c>
      <c r="D839" s="3"/>
      <c r="E839" s="3" t="s">
        <v>235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265</v>
      </c>
      <c r="O839" s="3"/>
      <c r="P839" s="3"/>
      <c r="Q839" s="3">
        <v>0.11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235</v>
      </c>
      <c r="D840" s="3"/>
      <c r="E840" s="3" t="s">
        <v>235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269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235</v>
      </c>
      <c r="D841" s="3"/>
      <c r="E841" s="3" t="s">
        <v>235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235</v>
      </c>
      <c r="D842" s="3"/>
      <c r="E842" s="3" t="s">
        <v>235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235</v>
      </c>
      <c r="D843" s="3"/>
      <c r="E843" s="3" t="s">
        <v>235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110</v>
      </c>
      <c r="O843" s="3"/>
      <c r="P843" s="3"/>
      <c r="Q843" s="3">
        <v>1.216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235</v>
      </c>
      <c r="D844" s="3"/>
      <c r="E844" s="3" t="s">
        <v>235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318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237</v>
      </c>
      <c r="D845" s="3"/>
      <c r="E845" s="3" t="s">
        <v>237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187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237</v>
      </c>
      <c r="D846" s="3"/>
      <c r="E846" s="3" t="s">
        <v>237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238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237</v>
      </c>
      <c r="D847" s="3"/>
      <c r="E847" s="3" t="s">
        <v>237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364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237</v>
      </c>
      <c r="D848" s="3"/>
      <c r="E848" s="3" t="s">
        <v>237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266</v>
      </c>
      <c r="O848" s="3"/>
      <c r="P848" s="3"/>
      <c r="Q848" s="3">
        <v>1.5489999999999999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237</v>
      </c>
      <c r="D849" s="3"/>
      <c r="E849" s="3" t="s">
        <v>237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107</v>
      </c>
      <c r="O849" s="3"/>
      <c r="P849" s="3"/>
      <c r="Q849" s="3">
        <v>0.97199999999999998</v>
      </c>
      <c r="R849" s="3" t="s">
        <v>108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237</v>
      </c>
      <c r="D850" s="3"/>
      <c r="E850" s="3" t="s">
        <v>237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267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237</v>
      </c>
      <c r="D851" s="3"/>
      <c r="E851" s="3" t="s">
        <v>237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109</v>
      </c>
      <c r="O851" s="3"/>
      <c r="P851" s="3"/>
      <c r="Q851" s="3">
        <v>21.488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237</v>
      </c>
      <c r="D852" s="3"/>
      <c r="E852" s="3" t="s">
        <v>237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133.09100000000001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237</v>
      </c>
      <c r="D853" s="3"/>
      <c r="E853" s="3" t="s">
        <v>237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265</v>
      </c>
      <c r="O853" s="3"/>
      <c r="P853" s="3"/>
      <c r="Q853" s="3">
        <v>0.13200000000000001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237</v>
      </c>
      <c r="D854" s="3"/>
      <c r="E854" s="3" t="s">
        <v>237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269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237</v>
      </c>
      <c r="D855" s="3"/>
      <c r="E855" s="3" t="s">
        <v>237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237</v>
      </c>
      <c r="D856" s="3"/>
      <c r="E856" s="3" t="s">
        <v>237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237</v>
      </c>
      <c r="D857" s="3"/>
      <c r="E857" s="3" t="s">
        <v>237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110</v>
      </c>
      <c r="O857" s="3"/>
      <c r="P857" s="3"/>
      <c r="Q857" s="3">
        <v>1.216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237</v>
      </c>
      <c r="D858" s="3"/>
      <c r="E858" s="3" t="s">
        <v>237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320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239</v>
      </c>
      <c r="D859" s="3"/>
      <c r="E859" s="3" t="s">
        <v>239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187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239</v>
      </c>
      <c r="D860" s="3"/>
      <c r="E860" s="3" t="s">
        <v>239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240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239</v>
      </c>
      <c r="D861" s="3"/>
      <c r="E861" s="3" t="s">
        <v>239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365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239</v>
      </c>
      <c r="D862" s="3"/>
      <c r="E862" s="3" t="s">
        <v>239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266</v>
      </c>
      <c r="O862" s="3"/>
      <c r="P862" s="3"/>
      <c r="Q862" s="3">
        <v>1.702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239</v>
      </c>
      <c r="D863" s="3"/>
      <c r="E863" s="3" t="s">
        <v>239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107</v>
      </c>
      <c r="O863" s="3"/>
      <c r="P863" s="3"/>
      <c r="Q863" s="3">
        <v>1.069</v>
      </c>
      <c r="R863" s="3" t="s">
        <v>108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239</v>
      </c>
      <c r="D864" s="3"/>
      <c r="E864" s="3" t="s">
        <v>239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267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239</v>
      </c>
      <c r="D865" s="3"/>
      <c r="E865" s="3" t="s">
        <v>239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109</v>
      </c>
      <c r="O865" s="3"/>
      <c r="P865" s="3"/>
      <c r="Q865" s="3">
        <v>22.402999999999999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239</v>
      </c>
      <c r="D866" s="3"/>
      <c r="E866" s="3" t="s">
        <v>239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16</v>
      </c>
      <c r="O866" s="3"/>
      <c r="P866" s="3"/>
      <c r="Q866" s="3">
        <v>138.714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239</v>
      </c>
      <c r="D867" s="3"/>
      <c r="E867" s="3" t="s">
        <v>239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265</v>
      </c>
      <c r="O867" s="3"/>
      <c r="P867" s="3"/>
      <c r="Q867" s="3">
        <v>0.14199999999999999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239</v>
      </c>
      <c r="D868" s="3"/>
      <c r="E868" s="3" t="s">
        <v>239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269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239</v>
      </c>
      <c r="D869" s="3"/>
      <c r="E869" s="3" t="s">
        <v>239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239</v>
      </c>
      <c r="D870" s="3"/>
      <c r="E870" s="3" t="s">
        <v>239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239</v>
      </c>
      <c r="D871" s="3"/>
      <c r="E871" s="3" t="s">
        <v>239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110</v>
      </c>
      <c r="O871" s="3"/>
      <c r="P871" s="3"/>
      <c r="Q871" s="3">
        <v>1.216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239</v>
      </c>
      <c r="D872" s="3"/>
      <c r="E872" s="3" t="s">
        <v>239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322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241</v>
      </c>
      <c r="D873" s="3"/>
      <c r="E873" s="3" t="s">
        <v>241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187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241</v>
      </c>
      <c r="D874" s="3"/>
      <c r="E874" s="3" t="s">
        <v>241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242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241</v>
      </c>
      <c r="D875" s="3"/>
      <c r="E875" s="3" t="s">
        <v>241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366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241</v>
      </c>
      <c r="D876" s="3"/>
      <c r="E876" s="3" t="s">
        <v>241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266</v>
      </c>
      <c r="O876" s="3"/>
      <c r="P876" s="3"/>
      <c r="Q876" s="3">
        <v>1.8540000000000001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241</v>
      </c>
      <c r="D877" s="3"/>
      <c r="E877" s="3" t="s">
        <v>241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107</v>
      </c>
      <c r="O877" s="3"/>
      <c r="P877" s="3"/>
      <c r="Q877" s="3">
        <v>1.1659999999999999</v>
      </c>
      <c r="R877" s="3" t="s">
        <v>108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241</v>
      </c>
      <c r="D878" s="3"/>
      <c r="E878" s="3" t="s">
        <v>241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267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241</v>
      </c>
      <c r="D879" s="3"/>
      <c r="E879" s="3" t="s">
        <v>241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109</v>
      </c>
      <c r="O879" s="3"/>
      <c r="P879" s="3"/>
      <c r="Q879" s="3">
        <v>23.317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241</v>
      </c>
      <c r="D880" s="3"/>
      <c r="E880" s="3" t="s">
        <v>241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16</v>
      </c>
      <c r="O880" s="3"/>
      <c r="P880" s="3"/>
      <c r="Q880" s="3">
        <v>144.33799999999999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241</v>
      </c>
      <c r="D881" s="3"/>
      <c r="E881" s="3" t="s">
        <v>241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265</v>
      </c>
      <c r="O881" s="3"/>
      <c r="P881" s="3"/>
      <c r="Q881" s="3">
        <v>0.153</v>
      </c>
      <c r="R881" s="3" t="s">
        <v>12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241</v>
      </c>
      <c r="D882" s="3"/>
      <c r="E882" s="3" t="s">
        <v>241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269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241</v>
      </c>
      <c r="D883" s="3"/>
      <c r="E883" s="3" t="s">
        <v>241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241</v>
      </c>
      <c r="D884" s="3"/>
      <c r="E884" s="3" t="s">
        <v>241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241</v>
      </c>
      <c r="D885" s="3"/>
      <c r="E885" s="3" t="s">
        <v>241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110</v>
      </c>
      <c r="O885" s="3"/>
      <c r="P885" s="3"/>
      <c r="Q885" s="3">
        <v>1.216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241</v>
      </c>
      <c r="D886" s="3"/>
      <c r="E886" s="3" t="s">
        <v>241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324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243</v>
      </c>
      <c r="D887" s="3"/>
      <c r="E887" s="3" t="s">
        <v>243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187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243</v>
      </c>
      <c r="D888" s="3"/>
      <c r="E888" s="3" t="s">
        <v>243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244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243</v>
      </c>
      <c r="D889" s="3"/>
      <c r="E889" s="3" t="s">
        <v>243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367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243</v>
      </c>
      <c r="D890" s="3"/>
      <c r="E890" s="3" t="s">
        <v>243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266</v>
      </c>
      <c r="O890" s="3"/>
      <c r="P890" s="3"/>
      <c r="Q890" s="3">
        <v>2.1589999999999998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243</v>
      </c>
      <c r="D891" s="3"/>
      <c r="E891" s="3" t="s">
        <v>243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107</v>
      </c>
      <c r="O891" s="3"/>
      <c r="P891" s="3"/>
      <c r="Q891" s="3">
        <v>0.51</v>
      </c>
      <c r="R891" s="3" t="s">
        <v>108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243</v>
      </c>
      <c r="D892" s="3"/>
      <c r="E892" s="3" t="s">
        <v>243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243</v>
      </c>
      <c r="D893" s="3"/>
      <c r="E893" s="3" t="s">
        <v>243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109</v>
      </c>
      <c r="O893" s="3"/>
      <c r="P893" s="3"/>
      <c r="Q893" s="3">
        <v>17.526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243</v>
      </c>
      <c r="D894" s="3"/>
      <c r="E894" s="3" t="s">
        <v>243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16</v>
      </c>
      <c r="O894" s="3"/>
      <c r="P894" s="3"/>
      <c r="Q894" s="3">
        <v>108.72199999999999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243</v>
      </c>
      <c r="D895" s="3"/>
      <c r="E895" s="3" t="s">
        <v>243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265</v>
      </c>
      <c r="O895" s="3"/>
      <c r="P895" s="3"/>
      <c r="Q895" s="3">
        <v>7.8E-2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243</v>
      </c>
      <c r="D896" s="3"/>
      <c r="E896" s="3" t="s">
        <v>243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269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243</v>
      </c>
      <c r="D897" s="3"/>
      <c r="E897" s="3" t="s">
        <v>243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243</v>
      </c>
      <c r="D898" s="3"/>
      <c r="E898" s="3" t="s">
        <v>243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243</v>
      </c>
      <c r="D899" s="3"/>
      <c r="E899" s="3" t="s">
        <v>243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110</v>
      </c>
      <c r="O899" s="3"/>
      <c r="P899" s="3"/>
      <c r="Q899" s="3">
        <v>1.27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243</v>
      </c>
      <c r="D900" s="3"/>
      <c r="E900" s="3" t="s">
        <v>243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326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245</v>
      </c>
      <c r="D901" s="3"/>
      <c r="E901" s="3" t="s">
        <v>245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187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245</v>
      </c>
      <c r="D902" s="3"/>
      <c r="E902" s="3" t="s">
        <v>245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246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245</v>
      </c>
      <c r="D903" s="3"/>
      <c r="E903" s="3" t="s">
        <v>245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368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245</v>
      </c>
      <c r="D904" s="3"/>
      <c r="E904" s="3" t="s">
        <v>245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266</v>
      </c>
      <c r="O904" s="3"/>
      <c r="P904" s="3"/>
      <c r="Q904" s="3">
        <v>2.1589999999999998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245</v>
      </c>
      <c r="D905" s="3"/>
      <c r="E905" s="3" t="s">
        <v>245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107</v>
      </c>
      <c r="O905" s="3"/>
      <c r="P905" s="3"/>
      <c r="Q905" s="3">
        <v>0.61199999999999999</v>
      </c>
      <c r="R905" s="3" t="s">
        <v>108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245</v>
      </c>
      <c r="D906" s="3"/>
      <c r="E906" s="3" t="s">
        <v>245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267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245</v>
      </c>
      <c r="D907" s="3"/>
      <c r="E907" s="3" t="s">
        <v>245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109</v>
      </c>
      <c r="O907" s="3"/>
      <c r="P907" s="3"/>
      <c r="Q907" s="3">
        <v>18.440000000000001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245</v>
      </c>
      <c r="D908" s="3"/>
      <c r="E908" s="3" t="s">
        <v>245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16</v>
      </c>
      <c r="O908" s="3"/>
      <c r="P908" s="3"/>
      <c r="Q908" s="3">
        <v>114.346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245</v>
      </c>
      <c r="D909" s="3"/>
      <c r="E909" s="3" t="s">
        <v>245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265</v>
      </c>
      <c r="O909" s="3"/>
      <c r="P909" s="3"/>
      <c r="Q909" s="3">
        <v>8.8999999999999996E-2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245</v>
      </c>
      <c r="D910" s="3"/>
      <c r="E910" s="3" t="s">
        <v>245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269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245</v>
      </c>
      <c r="D911" s="3"/>
      <c r="E911" s="3" t="s">
        <v>245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245</v>
      </c>
      <c r="D912" s="3"/>
      <c r="E912" s="3" t="s">
        <v>245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245</v>
      </c>
      <c r="D913" s="3"/>
      <c r="E913" s="3" t="s">
        <v>245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110</v>
      </c>
      <c r="O913" s="3"/>
      <c r="P913" s="3"/>
      <c r="Q913" s="3">
        <v>1.27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245</v>
      </c>
      <c r="D914" s="3"/>
      <c r="E914" s="3" t="s">
        <v>245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328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247</v>
      </c>
      <c r="D915" s="3"/>
      <c r="E915" s="3" t="s">
        <v>247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187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247</v>
      </c>
      <c r="D916" s="3"/>
      <c r="E916" s="3" t="s">
        <v>247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248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247</v>
      </c>
      <c r="D917" s="3"/>
      <c r="E917" s="3" t="s">
        <v>247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369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247</v>
      </c>
      <c r="D918" s="3"/>
      <c r="E918" s="3" t="s">
        <v>247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266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247</v>
      </c>
      <c r="D919" s="3"/>
      <c r="E919" s="3" t="s">
        <v>247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107</v>
      </c>
      <c r="O919" s="3"/>
      <c r="P919" s="3"/>
      <c r="Q919" s="3">
        <v>0.71399999999999997</v>
      </c>
      <c r="R919" s="3" t="s">
        <v>108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247</v>
      </c>
      <c r="D920" s="3"/>
      <c r="E920" s="3" t="s">
        <v>247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267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247</v>
      </c>
      <c r="D921" s="3"/>
      <c r="E921" s="3" t="s">
        <v>247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109</v>
      </c>
      <c r="O921" s="3"/>
      <c r="P921" s="3"/>
      <c r="Q921" s="3">
        <v>19.355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247</v>
      </c>
      <c r="D922" s="3"/>
      <c r="E922" s="3" t="s">
        <v>247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16</v>
      </c>
      <c r="O922" s="3"/>
      <c r="P922" s="3"/>
      <c r="Q922" s="3">
        <v>119.96899999999999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247</v>
      </c>
      <c r="D923" s="3"/>
      <c r="E923" s="3" t="s">
        <v>247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265</v>
      </c>
      <c r="O923" s="3"/>
      <c r="P923" s="3"/>
      <c r="Q923" s="3">
        <v>0.1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247</v>
      </c>
      <c r="D924" s="3"/>
      <c r="E924" s="3" t="s">
        <v>247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269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247</v>
      </c>
      <c r="D925" s="3"/>
      <c r="E925" s="3" t="s">
        <v>247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247</v>
      </c>
      <c r="D926" s="3"/>
      <c r="E926" s="3" t="s">
        <v>247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247</v>
      </c>
      <c r="D927" s="3"/>
      <c r="E927" s="3" t="s">
        <v>247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110</v>
      </c>
      <c r="O927" s="3"/>
      <c r="P927" s="3"/>
      <c r="Q927" s="3">
        <v>1.27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247</v>
      </c>
      <c r="D928" s="3"/>
      <c r="E928" s="3" t="s">
        <v>247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330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249</v>
      </c>
      <c r="D929" s="3"/>
      <c r="E929" s="3" t="s">
        <v>249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187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249</v>
      </c>
      <c r="D930" s="3"/>
      <c r="E930" s="3" t="s">
        <v>249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250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249</v>
      </c>
      <c r="D931" s="3"/>
      <c r="E931" s="3" t="s">
        <v>249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370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249</v>
      </c>
      <c r="D932" s="3"/>
      <c r="E932" s="3" t="s">
        <v>249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266</v>
      </c>
      <c r="O932" s="3"/>
      <c r="P932" s="3"/>
      <c r="Q932" s="3">
        <v>2.1589999999999998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249</v>
      </c>
      <c r="D933" s="3"/>
      <c r="E933" s="3" t="s">
        <v>249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107</v>
      </c>
      <c r="O933" s="3"/>
      <c r="P933" s="3"/>
      <c r="Q933" s="3">
        <v>0.81599999999999995</v>
      </c>
      <c r="R933" s="3" t="s">
        <v>108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249</v>
      </c>
      <c r="D934" s="3"/>
      <c r="E934" s="3" t="s">
        <v>249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267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249</v>
      </c>
      <c r="D935" s="3"/>
      <c r="E935" s="3" t="s">
        <v>249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109</v>
      </c>
      <c r="O935" s="3"/>
      <c r="P935" s="3"/>
      <c r="Q935" s="3">
        <v>20.268999999999998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249</v>
      </c>
      <c r="D936" s="3"/>
      <c r="E936" s="3" t="s">
        <v>249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16</v>
      </c>
      <c r="O936" s="3"/>
      <c r="P936" s="3"/>
      <c r="Q936" s="3">
        <v>125.593</v>
      </c>
      <c r="R936" s="3" t="s">
        <v>14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249</v>
      </c>
      <c r="D937" s="3"/>
      <c r="E937" s="3" t="s">
        <v>249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265</v>
      </c>
      <c r="O937" s="3"/>
      <c r="P937" s="3"/>
      <c r="Q937" s="3">
        <v>0.11</v>
      </c>
      <c r="R937" s="3" t="s">
        <v>12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249</v>
      </c>
      <c r="D938" s="3"/>
      <c r="E938" s="3" t="s">
        <v>249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269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249</v>
      </c>
      <c r="D939" s="3"/>
      <c r="E939" s="3" t="s">
        <v>249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249</v>
      </c>
      <c r="D940" s="3"/>
      <c r="E940" s="3" t="s">
        <v>249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249</v>
      </c>
      <c r="D941" s="3"/>
      <c r="E941" s="3" t="s">
        <v>249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110</v>
      </c>
      <c r="O941" s="3"/>
      <c r="P941" s="3"/>
      <c r="Q941" s="3">
        <v>1.27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249</v>
      </c>
      <c r="D942" s="3"/>
      <c r="E942" s="3" t="s">
        <v>249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332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251</v>
      </c>
      <c r="D943" s="3"/>
      <c r="E943" s="3" t="s">
        <v>251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187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251</v>
      </c>
      <c r="D944" s="3"/>
      <c r="E944" s="3" t="s">
        <v>251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252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251</v>
      </c>
      <c r="D945" s="3"/>
      <c r="E945" s="3" t="s">
        <v>251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371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251</v>
      </c>
      <c r="D946" s="3"/>
      <c r="E946" s="3" t="s">
        <v>251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266</v>
      </c>
      <c r="O946" s="3"/>
      <c r="P946" s="3"/>
      <c r="Q946" s="3">
        <v>2.1589999999999998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251</v>
      </c>
      <c r="D947" s="3"/>
      <c r="E947" s="3" t="s">
        <v>251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107</v>
      </c>
      <c r="O947" s="3"/>
      <c r="P947" s="3"/>
      <c r="Q947" s="3">
        <v>1.0209999999999999</v>
      </c>
      <c r="R947" s="3" t="s">
        <v>108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251</v>
      </c>
      <c r="D948" s="3"/>
      <c r="E948" s="3" t="s">
        <v>251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267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251</v>
      </c>
      <c r="D949" s="3"/>
      <c r="E949" s="3" t="s">
        <v>251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109</v>
      </c>
      <c r="O949" s="3"/>
      <c r="P949" s="3"/>
      <c r="Q949" s="3">
        <v>22.097999999999999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251</v>
      </c>
      <c r="D950" s="3"/>
      <c r="E950" s="3" t="s">
        <v>251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16</v>
      </c>
      <c r="O950" s="3"/>
      <c r="P950" s="3"/>
      <c r="Q950" s="3">
        <v>136.84</v>
      </c>
      <c r="R950" s="3" t="s">
        <v>14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251</v>
      </c>
      <c r="D951" s="3"/>
      <c r="E951" s="3" t="s">
        <v>251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265</v>
      </c>
      <c r="O951" s="3"/>
      <c r="P951" s="3"/>
      <c r="Q951" s="3">
        <v>0.13200000000000001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251</v>
      </c>
      <c r="D952" s="3"/>
      <c r="E952" s="3" t="s">
        <v>251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269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251</v>
      </c>
      <c r="D953" s="3"/>
      <c r="E953" s="3" t="s">
        <v>251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251</v>
      </c>
      <c r="D954" s="3"/>
      <c r="E954" s="3" t="s">
        <v>251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251</v>
      </c>
      <c r="D955" s="3"/>
      <c r="E955" s="3" t="s">
        <v>251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110</v>
      </c>
      <c r="O955" s="3"/>
      <c r="P955" s="3"/>
      <c r="Q955" s="3">
        <v>1.27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251</v>
      </c>
      <c r="D956" s="3"/>
      <c r="E956" s="3" t="s">
        <v>251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334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253</v>
      </c>
      <c r="D957" s="3"/>
      <c r="E957" s="3" t="s">
        <v>253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187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253</v>
      </c>
      <c r="D958" s="3"/>
      <c r="E958" s="3" t="s">
        <v>253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254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253</v>
      </c>
      <c r="D959" s="3"/>
      <c r="E959" s="3" t="s">
        <v>253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372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253</v>
      </c>
      <c r="D960" s="3"/>
      <c r="E960" s="3" t="s">
        <v>253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266</v>
      </c>
      <c r="O960" s="3"/>
      <c r="P960" s="3"/>
      <c r="Q960" s="3">
        <v>2.1589999999999998</v>
      </c>
      <c r="R960" s="3" t="s">
        <v>14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253</v>
      </c>
      <c r="D961" s="3"/>
      <c r="E961" s="3" t="s">
        <v>253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107</v>
      </c>
      <c r="O961" s="3"/>
      <c r="P961" s="3"/>
      <c r="Q961" s="3">
        <v>1.123</v>
      </c>
      <c r="R961" s="3" t="s">
        <v>108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253</v>
      </c>
      <c r="D962" s="3"/>
      <c r="E962" s="3" t="s">
        <v>253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267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253</v>
      </c>
      <c r="D963" s="3"/>
      <c r="E963" s="3" t="s">
        <v>253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109</v>
      </c>
      <c r="O963" s="3"/>
      <c r="P963" s="3"/>
      <c r="Q963" s="3">
        <v>23.012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253</v>
      </c>
      <c r="D964" s="3"/>
      <c r="E964" s="3" t="s">
        <v>253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16</v>
      </c>
      <c r="O964" s="3"/>
      <c r="P964" s="3"/>
      <c r="Q964" s="3">
        <v>142.464</v>
      </c>
      <c r="R964" s="3" t="s">
        <v>14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253</v>
      </c>
      <c r="D965" s="3"/>
      <c r="E965" s="3" t="s">
        <v>253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265</v>
      </c>
      <c r="O965" s="3"/>
      <c r="P965" s="3"/>
      <c r="Q965" s="3">
        <v>0.14199999999999999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253</v>
      </c>
      <c r="D966" s="3"/>
      <c r="E966" s="3" t="s">
        <v>253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269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253</v>
      </c>
      <c r="D967" s="3"/>
      <c r="E967" s="3" t="s">
        <v>253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253</v>
      </c>
      <c r="D968" s="3"/>
      <c r="E968" s="3" t="s">
        <v>253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253</v>
      </c>
      <c r="D969" s="3"/>
      <c r="E969" s="3" t="s">
        <v>253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110</v>
      </c>
      <c r="O969" s="3"/>
      <c r="P969" s="3"/>
      <c r="Q969" s="3">
        <v>1.27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253</v>
      </c>
      <c r="D970" s="3"/>
      <c r="E970" s="3" t="s">
        <v>253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336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255</v>
      </c>
      <c r="D971" s="3"/>
      <c r="E971" s="3" t="s">
        <v>255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187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255</v>
      </c>
      <c r="D972" s="3"/>
      <c r="E972" s="3" t="s">
        <v>255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256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255</v>
      </c>
      <c r="D973" s="3"/>
      <c r="E973" s="3" t="s">
        <v>255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373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255</v>
      </c>
      <c r="D974" s="3"/>
      <c r="E974" s="3" t="s">
        <v>255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266</v>
      </c>
      <c r="O974" s="3"/>
      <c r="P974" s="3"/>
      <c r="Q974" s="3">
        <v>2.1589999999999998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255</v>
      </c>
      <c r="D975" s="3"/>
      <c r="E975" s="3" t="s">
        <v>255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107</v>
      </c>
      <c r="O975" s="3"/>
      <c r="P975" s="3"/>
      <c r="Q975" s="3">
        <v>1.2250000000000001</v>
      </c>
      <c r="R975" s="3" t="s">
        <v>108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255</v>
      </c>
      <c r="D976" s="3"/>
      <c r="E976" s="3" t="s">
        <v>255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267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255</v>
      </c>
      <c r="D977" s="3"/>
      <c r="E977" s="3" t="s">
        <v>255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109</v>
      </c>
      <c r="O977" s="3"/>
      <c r="P977" s="3"/>
      <c r="Q977" s="3">
        <v>23.927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255</v>
      </c>
      <c r="D978" s="3"/>
      <c r="E978" s="3" t="s">
        <v>255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16</v>
      </c>
      <c r="O978" s="3"/>
      <c r="P978" s="3"/>
      <c r="Q978" s="3">
        <v>148.08699999999999</v>
      </c>
      <c r="R978" s="3" t="s">
        <v>14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255</v>
      </c>
      <c r="D979" s="3"/>
      <c r="E979" s="3" t="s">
        <v>255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265</v>
      </c>
      <c r="O979" s="3"/>
      <c r="P979" s="3"/>
      <c r="Q979" s="3">
        <v>0.153</v>
      </c>
      <c r="R979" s="3" t="s">
        <v>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255</v>
      </c>
      <c r="D980" s="3"/>
      <c r="E980" s="3" t="s">
        <v>255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269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255</v>
      </c>
      <c r="D981" s="3"/>
      <c r="E981" s="3" t="s">
        <v>255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255</v>
      </c>
      <c r="D982" s="3"/>
      <c r="E982" s="3" t="s">
        <v>255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255</v>
      </c>
      <c r="D983" s="3"/>
      <c r="E983" s="3" t="s">
        <v>255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110</v>
      </c>
      <c r="O983" s="3"/>
      <c r="P983" s="3"/>
      <c r="Q983" s="3">
        <v>1.27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255</v>
      </c>
      <c r="D984" s="3"/>
      <c r="E984" s="3" t="s">
        <v>255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338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87</v>
      </c>
      <c r="C985" s="3" t="s">
        <v>374</v>
      </c>
      <c r="D985" s="3"/>
      <c r="E985" s="3" t="s">
        <v>374</v>
      </c>
      <c r="F985" s="3"/>
      <c r="G985" s="3"/>
      <c r="H985" s="3"/>
      <c r="I985" s="3"/>
      <c r="J985" s="3"/>
      <c r="K985" s="3"/>
      <c r="L985" s="3" t="s">
        <v>88</v>
      </c>
      <c r="M985" s="3">
        <v>10</v>
      </c>
      <c r="N985" s="3" t="s">
        <v>116</v>
      </c>
      <c r="O985" s="3"/>
      <c r="P985" s="3"/>
      <c r="Q985" s="3">
        <v>0.86399999999999999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87</v>
      </c>
      <c r="C986" s="3" t="s">
        <v>374</v>
      </c>
      <c r="D986" s="3"/>
      <c r="E986" s="3" t="s">
        <v>374</v>
      </c>
      <c r="F986" s="3"/>
      <c r="G986" s="3"/>
      <c r="H986" s="3"/>
      <c r="I986" s="3"/>
      <c r="J986" s="3"/>
      <c r="K986" s="3"/>
      <c r="L986" s="3" t="s">
        <v>88</v>
      </c>
      <c r="M986" s="3">
        <v>20</v>
      </c>
      <c r="N986" s="3" t="s">
        <v>375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87</v>
      </c>
      <c r="C987" s="3" t="s">
        <v>374</v>
      </c>
      <c r="D987" s="3"/>
      <c r="E987" s="3" t="s">
        <v>374</v>
      </c>
      <c r="F987" s="3"/>
      <c r="G987" s="3"/>
      <c r="H987" s="3"/>
      <c r="I987" s="3"/>
      <c r="J987" s="3"/>
      <c r="K987" s="3"/>
      <c r="L987" s="3" t="s">
        <v>88</v>
      </c>
      <c r="M987" s="3">
        <v>30</v>
      </c>
      <c r="N987" s="3" t="s">
        <v>376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87</v>
      </c>
      <c r="C988" s="3" t="s">
        <v>374</v>
      </c>
      <c r="D988" s="3"/>
      <c r="E988" s="3" t="s">
        <v>374</v>
      </c>
      <c r="F988" s="3"/>
      <c r="G988" s="3"/>
      <c r="H988" s="3"/>
      <c r="I988" s="3"/>
      <c r="J988" s="3"/>
      <c r="K988" s="3"/>
      <c r="L988" s="3" t="s">
        <v>88</v>
      </c>
      <c r="M988" s="3">
        <v>40</v>
      </c>
      <c r="N988" s="3" t="s">
        <v>266</v>
      </c>
      <c r="O988" s="3"/>
      <c r="P988" s="3"/>
      <c r="Q988" s="3">
        <v>0.86399999999999999</v>
      </c>
      <c r="R988" s="3" t="s">
        <v>14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87</v>
      </c>
      <c r="C989" s="3" t="s">
        <v>374</v>
      </c>
      <c r="D989" s="3"/>
      <c r="E989" s="3" t="s">
        <v>374</v>
      </c>
      <c r="F989" s="3"/>
      <c r="G989" s="3"/>
      <c r="H989" s="3"/>
      <c r="I989" s="3"/>
      <c r="J989" s="3"/>
      <c r="K989" s="3"/>
      <c r="L989" s="3" t="s">
        <v>88</v>
      </c>
      <c r="M989" s="3">
        <v>50</v>
      </c>
      <c r="N989" s="3" t="s">
        <v>107</v>
      </c>
      <c r="O989" s="3"/>
      <c r="P989" s="3"/>
      <c r="Q989" s="3">
        <v>0.48099999999999998</v>
      </c>
      <c r="R989" s="3" t="s">
        <v>108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87</v>
      </c>
      <c r="C990" s="3" t="s">
        <v>374</v>
      </c>
      <c r="D990" s="3"/>
      <c r="E990" s="3" t="s">
        <v>374</v>
      </c>
      <c r="F990" s="3"/>
      <c r="G990" s="3"/>
      <c r="H990" s="3"/>
      <c r="I990" s="3"/>
      <c r="J990" s="3"/>
      <c r="K990" s="3"/>
      <c r="L990" s="3" t="s">
        <v>88</v>
      </c>
      <c r="M990" s="3">
        <v>60</v>
      </c>
      <c r="N990" s="3" t="s">
        <v>267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87</v>
      </c>
      <c r="C991" s="3" t="s">
        <v>374</v>
      </c>
      <c r="D991" s="3"/>
      <c r="E991" s="3" t="s">
        <v>374</v>
      </c>
      <c r="F991" s="3"/>
      <c r="G991" s="3"/>
      <c r="H991" s="3"/>
      <c r="I991" s="3"/>
      <c r="J991" s="3"/>
      <c r="K991" s="3"/>
      <c r="L991" s="3" t="s">
        <v>88</v>
      </c>
      <c r="M991" s="3">
        <v>70</v>
      </c>
      <c r="N991" s="3" t="s">
        <v>109</v>
      </c>
      <c r="O991" s="3"/>
      <c r="P991" s="3"/>
      <c r="Q991" s="3">
        <v>16.154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87</v>
      </c>
      <c r="C992" s="3" t="s">
        <v>374</v>
      </c>
      <c r="D992" s="3"/>
      <c r="E992" s="3" t="s">
        <v>374</v>
      </c>
      <c r="F992" s="3"/>
      <c r="G992" s="3"/>
      <c r="H992" s="3"/>
      <c r="I992" s="3"/>
      <c r="J992" s="3"/>
      <c r="K992" s="3"/>
      <c r="L992" s="3" t="s">
        <v>88</v>
      </c>
      <c r="M992" s="3">
        <v>80</v>
      </c>
      <c r="N992" s="3" t="s">
        <v>16</v>
      </c>
      <c r="O992" s="3"/>
      <c r="P992" s="3"/>
      <c r="Q992" s="3">
        <v>100.28700000000001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87</v>
      </c>
      <c r="C993" s="3" t="s">
        <v>374</v>
      </c>
      <c r="D993" s="3"/>
      <c r="E993" s="3" t="s">
        <v>374</v>
      </c>
      <c r="F993" s="3"/>
      <c r="G993" s="3"/>
      <c r="H993" s="3"/>
      <c r="I993" s="3"/>
      <c r="J993" s="3"/>
      <c r="K993" s="3"/>
      <c r="L993" s="3" t="s">
        <v>88</v>
      </c>
      <c r="M993" s="3">
        <v>90</v>
      </c>
      <c r="N993" s="3" t="s">
        <v>265</v>
      </c>
      <c r="O993" s="3"/>
      <c r="P993" s="3"/>
      <c r="Q993" s="3">
        <v>8.4000000000000005E-2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87</v>
      </c>
      <c r="C994" s="3" t="s">
        <v>374</v>
      </c>
      <c r="D994" s="3"/>
      <c r="E994" s="3" t="s">
        <v>374</v>
      </c>
      <c r="F994" s="3"/>
      <c r="G994" s="3"/>
      <c r="H994" s="3"/>
      <c r="I994" s="3"/>
      <c r="J994" s="3"/>
      <c r="K994" s="3"/>
      <c r="L994" s="3" t="s">
        <v>88</v>
      </c>
      <c r="M994" s="3">
        <v>100</v>
      </c>
      <c r="N994" s="3" t="s">
        <v>269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87</v>
      </c>
      <c r="C995" s="3" t="s">
        <v>374</v>
      </c>
      <c r="D995" s="3"/>
      <c r="E995" s="3" t="s">
        <v>374</v>
      </c>
      <c r="F995" s="3"/>
      <c r="G995" s="3"/>
      <c r="H995" s="3"/>
      <c r="I995" s="3"/>
      <c r="J995" s="3"/>
      <c r="K995" s="3"/>
      <c r="L995" s="3" t="s">
        <v>88</v>
      </c>
      <c r="M995" s="3">
        <v>110</v>
      </c>
      <c r="N995" s="3" t="s">
        <v>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87</v>
      </c>
      <c r="C996" s="3" t="s">
        <v>374</v>
      </c>
      <c r="D996" s="3"/>
      <c r="E996" s="3" t="s">
        <v>374</v>
      </c>
      <c r="F996" s="3"/>
      <c r="G996" s="3"/>
      <c r="H996" s="3"/>
      <c r="I996" s="3"/>
      <c r="J996" s="3"/>
      <c r="K996" s="3"/>
      <c r="L996" s="3" t="s">
        <v>88</v>
      </c>
      <c r="M996" s="3">
        <v>120</v>
      </c>
      <c r="N996" s="3" t="s">
        <v>21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87</v>
      </c>
      <c r="C997" s="3" t="s">
        <v>374</v>
      </c>
      <c r="D997" s="3"/>
      <c r="E997" s="3" t="s">
        <v>374</v>
      </c>
      <c r="F997" s="3"/>
      <c r="G997" s="3"/>
      <c r="H997" s="3"/>
      <c r="I997" s="3"/>
      <c r="J997" s="3"/>
      <c r="K997" s="3"/>
      <c r="L997" s="3" t="s">
        <v>88</v>
      </c>
      <c r="M997" s="3">
        <v>130</v>
      </c>
      <c r="N997" s="3" t="s">
        <v>110</v>
      </c>
      <c r="O997" s="3"/>
      <c r="P997" s="3"/>
      <c r="Q997" s="3">
        <v>0.58099999999999996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87</v>
      </c>
      <c r="C998" s="3" t="s">
        <v>374</v>
      </c>
      <c r="D998" s="3"/>
      <c r="E998" s="3" t="s">
        <v>374</v>
      </c>
      <c r="F998" s="3"/>
      <c r="G998" s="3"/>
      <c r="H998" s="3"/>
      <c r="I998" s="3"/>
      <c r="J998" s="3"/>
      <c r="K998" s="3"/>
      <c r="L998" s="3" t="s">
        <v>88</v>
      </c>
      <c r="M998" s="3">
        <v>140</v>
      </c>
      <c r="N998" s="3" t="s">
        <v>377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87</v>
      </c>
      <c r="C999" s="3" t="s">
        <v>378</v>
      </c>
      <c r="D999" s="3"/>
      <c r="E999" s="3" t="s">
        <v>378</v>
      </c>
      <c r="F999" s="3"/>
      <c r="G999" s="3"/>
      <c r="H999" s="3"/>
      <c r="I999" s="3"/>
      <c r="J999" s="3"/>
      <c r="K999" s="3"/>
      <c r="L999" s="3" t="s">
        <v>88</v>
      </c>
      <c r="M999" s="3">
        <v>10</v>
      </c>
      <c r="N999" s="3" t="s">
        <v>116</v>
      </c>
      <c r="O999" s="3"/>
      <c r="P999" s="3"/>
      <c r="Q999" s="3">
        <v>1.016</v>
      </c>
      <c r="R999" s="3" t="s">
        <v>14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87</v>
      </c>
      <c r="C1000" s="3" t="s">
        <v>378</v>
      </c>
      <c r="D1000" s="3"/>
      <c r="E1000" s="3" t="s">
        <v>378</v>
      </c>
      <c r="F1000" s="3"/>
      <c r="G1000" s="3"/>
      <c r="H1000" s="3"/>
      <c r="I1000" s="3"/>
      <c r="J1000" s="3"/>
      <c r="K1000" s="3"/>
      <c r="L1000" s="3" t="s">
        <v>88</v>
      </c>
      <c r="M1000" s="3">
        <v>20</v>
      </c>
      <c r="N1000" s="3" t="s">
        <v>379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87</v>
      </c>
      <c r="C1001" s="3" t="s">
        <v>378</v>
      </c>
      <c r="D1001" s="3"/>
      <c r="E1001" s="3" t="s">
        <v>378</v>
      </c>
      <c r="F1001" s="3"/>
      <c r="G1001" s="3"/>
      <c r="H1001" s="3"/>
      <c r="I1001" s="3"/>
      <c r="J1001" s="3"/>
      <c r="K1001" s="3"/>
      <c r="L1001" s="3" t="s">
        <v>88</v>
      </c>
      <c r="M1001" s="3">
        <v>30</v>
      </c>
      <c r="N1001" s="3" t="s">
        <v>380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87</v>
      </c>
      <c r="C1002" s="3" t="s">
        <v>378</v>
      </c>
      <c r="D1002" s="3"/>
      <c r="E1002" s="3" t="s">
        <v>378</v>
      </c>
      <c r="F1002" s="3"/>
      <c r="G1002" s="3"/>
      <c r="H1002" s="3"/>
      <c r="I1002" s="3"/>
      <c r="J1002" s="3"/>
      <c r="K1002" s="3"/>
      <c r="L1002" s="3" t="s">
        <v>88</v>
      </c>
      <c r="M1002" s="3">
        <v>40</v>
      </c>
      <c r="N1002" s="3" t="s">
        <v>266</v>
      </c>
      <c r="O1002" s="3"/>
      <c r="P1002" s="3"/>
      <c r="Q1002" s="3">
        <v>1.016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87</v>
      </c>
      <c r="C1003" s="3" t="s">
        <v>378</v>
      </c>
      <c r="D1003" s="3"/>
      <c r="E1003" s="3" t="s">
        <v>378</v>
      </c>
      <c r="F1003" s="3"/>
      <c r="G1003" s="3"/>
      <c r="H1003" s="3"/>
      <c r="I1003" s="3"/>
      <c r="J1003" s="3"/>
      <c r="K1003" s="3"/>
      <c r="L1003" s="3" t="s">
        <v>88</v>
      </c>
      <c r="M1003" s="3">
        <v>50</v>
      </c>
      <c r="N1003" s="3" t="s">
        <v>107</v>
      </c>
      <c r="O1003" s="3"/>
      <c r="P1003" s="3"/>
      <c r="Q1003" s="3">
        <v>0.56899999999999995</v>
      </c>
      <c r="R1003" s="3" t="s">
        <v>108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87</v>
      </c>
      <c r="C1004" s="3" t="s">
        <v>378</v>
      </c>
      <c r="D1004" s="3"/>
      <c r="E1004" s="3" t="s">
        <v>378</v>
      </c>
      <c r="F1004" s="3"/>
      <c r="G1004" s="3"/>
      <c r="H1004" s="3"/>
      <c r="I1004" s="3"/>
      <c r="J1004" s="3"/>
      <c r="K1004" s="3"/>
      <c r="L1004" s="3" t="s">
        <v>88</v>
      </c>
      <c r="M1004" s="3">
        <v>60</v>
      </c>
      <c r="N1004" s="3" t="s">
        <v>267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87</v>
      </c>
      <c r="C1005" s="3" t="s">
        <v>378</v>
      </c>
      <c r="D1005" s="3"/>
      <c r="E1005" s="3" t="s">
        <v>378</v>
      </c>
      <c r="F1005" s="3"/>
      <c r="G1005" s="3"/>
      <c r="H1005" s="3"/>
      <c r="I1005" s="3"/>
      <c r="J1005" s="3"/>
      <c r="K1005" s="3"/>
      <c r="L1005" s="3" t="s">
        <v>88</v>
      </c>
      <c r="M1005" s="3">
        <v>70</v>
      </c>
      <c r="N1005" s="3" t="s">
        <v>109</v>
      </c>
      <c r="O1005" s="3"/>
      <c r="P1005" s="3"/>
      <c r="Q1005" s="3">
        <v>17.068999999999999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87</v>
      </c>
      <c r="C1006" s="3" t="s">
        <v>378</v>
      </c>
      <c r="D1006" s="3"/>
      <c r="E1006" s="3" t="s">
        <v>378</v>
      </c>
      <c r="F1006" s="3"/>
      <c r="G1006" s="3"/>
      <c r="H1006" s="3"/>
      <c r="I1006" s="3"/>
      <c r="J1006" s="3"/>
      <c r="K1006" s="3"/>
      <c r="L1006" s="3" t="s">
        <v>88</v>
      </c>
      <c r="M1006" s="3">
        <v>80</v>
      </c>
      <c r="N1006" s="3" t="s">
        <v>16</v>
      </c>
      <c r="O1006" s="3"/>
      <c r="P1006" s="3"/>
      <c r="Q1006" s="3">
        <v>105.91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87</v>
      </c>
      <c r="C1007" s="3" t="s">
        <v>378</v>
      </c>
      <c r="D1007" s="3"/>
      <c r="E1007" s="3" t="s">
        <v>378</v>
      </c>
      <c r="F1007" s="3"/>
      <c r="G1007" s="3"/>
      <c r="H1007" s="3"/>
      <c r="I1007" s="3"/>
      <c r="J1007" s="3"/>
      <c r="K1007" s="3"/>
      <c r="L1007" s="3" t="s">
        <v>88</v>
      </c>
      <c r="M1007" s="3">
        <v>90</v>
      </c>
      <c r="N1007" s="3" t="s">
        <v>265</v>
      </c>
      <c r="O1007" s="3"/>
      <c r="P1007" s="3"/>
      <c r="Q1007" s="3">
        <v>9.4E-2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87</v>
      </c>
      <c r="C1008" s="3" t="s">
        <v>378</v>
      </c>
      <c r="D1008" s="3"/>
      <c r="E1008" s="3" t="s">
        <v>378</v>
      </c>
      <c r="F1008" s="3"/>
      <c r="G1008" s="3"/>
      <c r="H1008" s="3"/>
      <c r="I1008" s="3"/>
      <c r="J1008" s="3"/>
      <c r="K1008" s="3"/>
      <c r="L1008" s="3" t="s">
        <v>88</v>
      </c>
      <c r="M1008" s="3">
        <v>100</v>
      </c>
      <c r="N1008" s="3" t="s">
        <v>269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87</v>
      </c>
      <c r="C1009" s="3" t="s">
        <v>378</v>
      </c>
      <c r="D1009" s="3"/>
      <c r="E1009" s="3" t="s">
        <v>378</v>
      </c>
      <c r="F1009" s="3"/>
      <c r="G1009" s="3"/>
      <c r="H1009" s="3"/>
      <c r="I1009" s="3"/>
      <c r="J1009" s="3"/>
      <c r="K1009" s="3"/>
      <c r="L1009" s="3" t="s">
        <v>88</v>
      </c>
      <c r="M1009" s="3">
        <v>110</v>
      </c>
      <c r="N1009" s="3" t="s">
        <v>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87</v>
      </c>
      <c r="C1010" s="3" t="s">
        <v>378</v>
      </c>
      <c r="D1010" s="3"/>
      <c r="E1010" s="3" t="s">
        <v>378</v>
      </c>
      <c r="F1010" s="3"/>
      <c r="G1010" s="3"/>
      <c r="H1010" s="3"/>
      <c r="I1010" s="3"/>
      <c r="J1010" s="3"/>
      <c r="K1010" s="3"/>
      <c r="L1010" s="3" t="s">
        <v>88</v>
      </c>
      <c r="M1010" s="3">
        <v>120</v>
      </c>
      <c r="N1010" s="3" t="s">
        <v>21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87</v>
      </c>
      <c r="C1011" s="3" t="s">
        <v>378</v>
      </c>
      <c r="D1011" s="3"/>
      <c r="E1011" s="3" t="s">
        <v>378</v>
      </c>
      <c r="F1011" s="3"/>
      <c r="G1011" s="3"/>
      <c r="H1011" s="3"/>
      <c r="I1011" s="3"/>
      <c r="J1011" s="3"/>
      <c r="K1011" s="3"/>
      <c r="L1011" s="3" t="s">
        <v>88</v>
      </c>
      <c r="M1011" s="3">
        <v>130</v>
      </c>
      <c r="N1011" s="3" t="s">
        <v>110</v>
      </c>
      <c r="O1011" s="3"/>
      <c r="P1011" s="3"/>
      <c r="Q1011" s="3">
        <v>0.66200000000000003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87</v>
      </c>
      <c r="C1012" s="3" t="s">
        <v>378</v>
      </c>
      <c r="D1012" s="3"/>
      <c r="E1012" s="3" t="s">
        <v>378</v>
      </c>
      <c r="F1012" s="3"/>
      <c r="G1012" s="3"/>
      <c r="H1012" s="3"/>
      <c r="I1012" s="3"/>
      <c r="J1012" s="3"/>
      <c r="K1012" s="3"/>
      <c r="L1012" s="3" t="s">
        <v>88</v>
      </c>
      <c r="M1012" s="3">
        <v>140</v>
      </c>
      <c r="N1012" s="3" t="s">
        <v>381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87</v>
      </c>
      <c r="C1013" s="3" t="s">
        <v>382</v>
      </c>
      <c r="D1013" s="3"/>
      <c r="E1013" s="3" t="s">
        <v>382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116</v>
      </c>
      <c r="O1013" s="3"/>
      <c r="P1013" s="3"/>
      <c r="Q1013" s="3">
        <v>1.1679999999999999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87</v>
      </c>
      <c r="C1014" s="3" t="s">
        <v>382</v>
      </c>
      <c r="D1014" s="3"/>
      <c r="E1014" s="3" t="s">
        <v>382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383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87</v>
      </c>
      <c r="C1015" s="3" t="s">
        <v>382</v>
      </c>
      <c r="D1015" s="3"/>
      <c r="E1015" s="3" t="s">
        <v>382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384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87</v>
      </c>
      <c r="C1016" s="3" t="s">
        <v>382</v>
      </c>
      <c r="D1016" s="3"/>
      <c r="E1016" s="3" t="s">
        <v>382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266</v>
      </c>
      <c r="O1016" s="3"/>
      <c r="P1016" s="3"/>
      <c r="Q1016" s="3">
        <v>1.1679999999999999</v>
      </c>
      <c r="R1016" s="3" t="s">
        <v>14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87</v>
      </c>
      <c r="C1017" s="3" t="s">
        <v>382</v>
      </c>
      <c r="D1017" s="3"/>
      <c r="E1017" s="3" t="s">
        <v>382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107</v>
      </c>
      <c r="O1017" s="3"/>
      <c r="P1017" s="3"/>
      <c r="Q1017" s="3">
        <v>0.65600000000000003</v>
      </c>
      <c r="R1017" s="3" t="s">
        <v>108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87</v>
      </c>
      <c r="C1018" s="3" t="s">
        <v>382</v>
      </c>
      <c r="D1018" s="3"/>
      <c r="E1018" s="3" t="s">
        <v>382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267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87</v>
      </c>
      <c r="C1019" s="3" t="s">
        <v>382</v>
      </c>
      <c r="D1019" s="3"/>
      <c r="E1019" s="3" t="s">
        <v>382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109</v>
      </c>
      <c r="O1019" s="3"/>
      <c r="P1019" s="3"/>
      <c r="Q1019" s="3">
        <v>17.983000000000001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87</v>
      </c>
      <c r="C1020" s="3" t="s">
        <v>382</v>
      </c>
      <c r="D1020" s="3"/>
      <c r="E1020" s="3" t="s">
        <v>382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16</v>
      </c>
      <c r="O1020" s="3"/>
      <c r="P1020" s="3"/>
      <c r="Q1020" s="3">
        <v>111.53400000000001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87</v>
      </c>
      <c r="C1021" s="3" t="s">
        <v>382</v>
      </c>
      <c r="D1021" s="3"/>
      <c r="E1021" s="3" t="s">
        <v>382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265</v>
      </c>
      <c r="O1021" s="3"/>
      <c r="P1021" s="3"/>
      <c r="Q1021" s="3">
        <v>0.105</v>
      </c>
      <c r="R1021" s="3" t="s">
        <v>12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87</v>
      </c>
      <c r="C1022" s="3" t="s">
        <v>382</v>
      </c>
      <c r="D1022" s="3"/>
      <c r="E1022" s="3" t="s">
        <v>382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269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87</v>
      </c>
      <c r="C1023" s="3" t="s">
        <v>382</v>
      </c>
      <c r="D1023" s="3"/>
      <c r="E1023" s="3" t="s">
        <v>382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20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87</v>
      </c>
      <c r="C1024" s="3" t="s">
        <v>382</v>
      </c>
      <c r="D1024" s="3"/>
      <c r="E1024" s="3" t="s">
        <v>382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21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87</v>
      </c>
      <c r="C1025" s="3" t="s">
        <v>382</v>
      </c>
      <c r="D1025" s="3"/>
      <c r="E1025" s="3" t="s">
        <v>382</v>
      </c>
      <c r="F1025" s="3"/>
      <c r="G1025" s="3"/>
      <c r="H1025" s="3"/>
      <c r="I1025" s="3"/>
      <c r="J1025" s="3"/>
      <c r="K1025" s="3"/>
      <c r="L1025" s="3" t="s">
        <v>88</v>
      </c>
      <c r="M1025" s="3">
        <v>130</v>
      </c>
      <c r="N1025" s="3" t="s">
        <v>110</v>
      </c>
      <c r="O1025" s="3"/>
      <c r="P1025" s="3"/>
      <c r="Q1025" s="3">
        <v>0.74299999999999999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87</v>
      </c>
      <c r="C1026" s="3" t="s">
        <v>382</v>
      </c>
      <c r="D1026" s="3"/>
      <c r="E1026" s="3" t="s">
        <v>382</v>
      </c>
      <c r="F1026" s="3"/>
      <c r="G1026" s="3"/>
      <c r="H1026" s="3"/>
      <c r="I1026" s="3"/>
      <c r="J1026" s="3"/>
      <c r="K1026" s="3"/>
      <c r="L1026" s="3" t="s">
        <v>88</v>
      </c>
      <c r="M1026" s="3">
        <v>140</v>
      </c>
      <c r="N1026" s="3" t="s">
        <v>385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87</v>
      </c>
      <c r="C1027" s="3" t="s">
        <v>386</v>
      </c>
      <c r="D1027" s="3"/>
      <c r="E1027" s="3" t="s">
        <v>386</v>
      </c>
      <c r="F1027" s="3"/>
      <c r="G1027" s="3"/>
      <c r="H1027" s="3"/>
      <c r="I1027" s="3"/>
      <c r="J1027" s="3"/>
      <c r="K1027" s="3"/>
      <c r="L1027" s="3" t="s">
        <v>88</v>
      </c>
      <c r="M1027" s="3">
        <v>10</v>
      </c>
      <c r="N1027" s="3" t="s">
        <v>116</v>
      </c>
      <c r="O1027" s="3"/>
      <c r="P1027" s="3"/>
      <c r="Q1027" s="3">
        <v>1.321</v>
      </c>
      <c r="R1027" s="3" t="s">
        <v>14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87</v>
      </c>
      <c r="C1028" s="3" t="s">
        <v>386</v>
      </c>
      <c r="D1028" s="3"/>
      <c r="E1028" s="3" t="s">
        <v>386</v>
      </c>
      <c r="F1028" s="3"/>
      <c r="G1028" s="3"/>
      <c r="H1028" s="3"/>
      <c r="I1028" s="3"/>
      <c r="J1028" s="3"/>
      <c r="K1028" s="3"/>
      <c r="L1028" s="3" t="s">
        <v>88</v>
      </c>
      <c r="M1028" s="3">
        <v>20</v>
      </c>
      <c r="N1028" s="3" t="s">
        <v>387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87</v>
      </c>
      <c r="C1029" s="3" t="s">
        <v>386</v>
      </c>
      <c r="D1029" s="3"/>
      <c r="E1029" s="3" t="s">
        <v>386</v>
      </c>
      <c r="F1029" s="3"/>
      <c r="G1029" s="3"/>
      <c r="H1029" s="3"/>
      <c r="I1029" s="3"/>
      <c r="J1029" s="3"/>
      <c r="K1029" s="3"/>
      <c r="L1029" s="3" t="s">
        <v>88</v>
      </c>
      <c r="M1029" s="3">
        <v>30</v>
      </c>
      <c r="N1029" s="3" t="s">
        <v>388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87</v>
      </c>
      <c r="C1030" s="3" t="s">
        <v>386</v>
      </c>
      <c r="D1030" s="3"/>
      <c r="E1030" s="3" t="s">
        <v>386</v>
      </c>
      <c r="F1030" s="3"/>
      <c r="G1030" s="3"/>
      <c r="H1030" s="3"/>
      <c r="I1030" s="3"/>
      <c r="J1030" s="3"/>
      <c r="K1030" s="3"/>
      <c r="L1030" s="3" t="s">
        <v>88</v>
      </c>
      <c r="M1030" s="3">
        <v>40</v>
      </c>
      <c r="N1030" s="3" t="s">
        <v>266</v>
      </c>
      <c r="O1030" s="3"/>
      <c r="P1030" s="3"/>
      <c r="Q1030" s="3">
        <v>1.321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87</v>
      </c>
      <c r="C1031" s="3" t="s">
        <v>386</v>
      </c>
      <c r="D1031" s="3"/>
      <c r="E1031" s="3" t="s">
        <v>386</v>
      </c>
      <c r="F1031" s="3"/>
      <c r="G1031" s="3"/>
      <c r="H1031" s="3"/>
      <c r="I1031" s="3"/>
      <c r="J1031" s="3"/>
      <c r="K1031" s="3"/>
      <c r="L1031" s="3" t="s">
        <v>88</v>
      </c>
      <c r="M1031" s="3">
        <v>50</v>
      </c>
      <c r="N1031" s="3" t="s">
        <v>107</v>
      </c>
      <c r="O1031" s="3"/>
      <c r="P1031" s="3"/>
      <c r="Q1031" s="3">
        <v>0.74399999999999999</v>
      </c>
      <c r="R1031" s="3" t="s">
        <v>108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87</v>
      </c>
      <c r="C1032" s="3" t="s">
        <v>386</v>
      </c>
      <c r="D1032" s="3"/>
      <c r="E1032" s="3" t="s">
        <v>386</v>
      </c>
      <c r="F1032" s="3"/>
      <c r="G1032" s="3"/>
      <c r="H1032" s="3"/>
      <c r="I1032" s="3"/>
      <c r="J1032" s="3"/>
      <c r="K1032" s="3"/>
      <c r="L1032" s="3" t="s">
        <v>88</v>
      </c>
      <c r="M1032" s="3">
        <v>60</v>
      </c>
      <c r="N1032" s="3" t="s">
        <v>267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87</v>
      </c>
      <c r="C1033" s="3" t="s">
        <v>386</v>
      </c>
      <c r="D1033" s="3"/>
      <c r="E1033" s="3" t="s">
        <v>386</v>
      </c>
      <c r="F1033" s="3"/>
      <c r="G1033" s="3"/>
      <c r="H1033" s="3"/>
      <c r="I1033" s="3"/>
      <c r="J1033" s="3"/>
      <c r="K1033" s="3"/>
      <c r="L1033" s="3" t="s">
        <v>88</v>
      </c>
      <c r="M1033" s="3">
        <v>70</v>
      </c>
      <c r="N1033" s="3" t="s">
        <v>109</v>
      </c>
      <c r="O1033" s="3"/>
      <c r="P1033" s="3"/>
      <c r="Q1033" s="3">
        <v>18.898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87</v>
      </c>
      <c r="C1034" s="3" t="s">
        <v>386</v>
      </c>
      <c r="D1034" s="3"/>
      <c r="E1034" s="3" t="s">
        <v>386</v>
      </c>
      <c r="F1034" s="3"/>
      <c r="G1034" s="3"/>
      <c r="H1034" s="3"/>
      <c r="I1034" s="3"/>
      <c r="J1034" s="3"/>
      <c r="K1034" s="3"/>
      <c r="L1034" s="3" t="s">
        <v>88</v>
      </c>
      <c r="M1034" s="3">
        <v>80</v>
      </c>
      <c r="N1034" s="3" t="s">
        <v>16</v>
      </c>
      <c r="O1034" s="3"/>
      <c r="P1034" s="3"/>
      <c r="Q1034" s="3">
        <v>117.158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87</v>
      </c>
      <c r="C1035" s="3" t="s">
        <v>386</v>
      </c>
      <c r="D1035" s="3"/>
      <c r="E1035" s="3" t="s">
        <v>386</v>
      </c>
      <c r="F1035" s="3"/>
      <c r="G1035" s="3"/>
      <c r="H1035" s="3"/>
      <c r="I1035" s="3"/>
      <c r="J1035" s="3"/>
      <c r="K1035" s="3"/>
      <c r="L1035" s="3" t="s">
        <v>88</v>
      </c>
      <c r="M1035" s="3">
        <v>90</v>
      </c>
      <c r="N1035" s="3" t="s">
        <v>265</v>
      </c>
      <c r="O1035" s="3"/>
      <c r="P1035" s="3"/>
      <c r="Q1035" s="3">
        <v>0.11600000000000001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87</v>
      </c>
      <c r="C1036" s="3" t="s">
        <v>386</v>
      </c>
      <c r="D1036" s="3"/>
      <c r="E1036" s="3" t="s">
        <v>386</v>
      </c>
      <c r="F1036" s="3"/>
      <c r="G1036" s="3"/>
      <c r="H1036" s="3"/>
      <c r="I1036" s="3"/>
      <c r="J1036" s="3"/>
      <c r="K1036" s="3"/>
      <c r="L1036" s="3" t="s">
        <v>88</v>
      </c>
      <c r="M1036" s="3">
        <v>100</v>
      </c>
      <c r="N1036" s="3" t="s">
        <v>269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87</v>
      </c>
      <c r="C1037" s="3" t="s">
        <v>386</v>
      </c>
      <c r="D1037" s="3"/>
      <c r="E1037" s="3" t="s">
        <v>386</v>
      </c>
      <c r="F1037" s="3"/>
      <c r="G1037" s="3"/>
      <c r="H1037" s="3"/>
      <c r="I1037" s="3"/>
      <c r="J1037" s="3"/>
      <c r="K1037" s="3"/>
      <c r="L1037" s="3" t="s">
        <v>88</v>
      </c>
      <c r="M1037" s="3">
        <v>110</v>
      </c>
      <c r="N1037" s="3" t="s">
        <v>20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87</v>
      </c>
      <c r="C1038" s="3" t="s">
        <v>386</v>
      </c>
      <c r="D1038" s="3"/>
      <c r="E1038" s="3" t="s">
        <v>386</v>
      </c>
      <c r="F1038" s="3"/>
      <c r="G1038" s="3"/>
      <c r="H1038" s="3"/>
      <c r="I1038" s="3"/>
      <c r="J1038" s="3"/>
      <c r="K1038" s="3"/>
      <c r="L1038" s="3" t="s">
        <v>88</v>
      </c>
      <c r="M1038" s="3">
        <v>120</v>
      </c>
      <c r="N1038" s="3" t="s">
        <v>21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87</v>
      </c>
      <c r="C1039" s="3" t="s">
        <v>386</v>
      </c>
      <c r="D1039" s="3"/>
      <c r="E1039" s="3" t="s">
        <v>386</v>
      </c>
      <c r="F1039" s="3"/>
      <c r="G1039" s="3"/>
      <c r="H1039" s="3"/>
      <c r="I1039" s="3"/>
      <c r="J1039" s="3"/>
      <c r="K1039" s="3"/>
      <c r="L1039" s="3" t="s">
        <v>88</v>
      </c>
      <c r="M1039" s="3">
        <v>130</v>
      </c>
      <c r="N1039" s="3" t="s">
        <v>110</v>
      </c>
      <c r="O1039" s="3"/>
      <c r="P1039" s="3"/>
      <c r="Q1039" s="3">
        <v>0.82399999999999995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87</v>
      </c>
      <c r="C1040" s="3" t="s">
        <v>386</v>
      </c>
      <c r="D1040" s="3"/>
      <c r="E1040" s="3" t="s">
        <v>386</v>
      </c>
      <c r="F1040" s="3"/>
      <c r="G1040" s="3"/>
      <c r="H1040" s="3"/>
      <c r="I1040" s="3"/>
      <c r="J1040" s="3"/>
      <c r="K1040" s="3"/>
      <c r="L1040" s="3" t="s">
        <v>88</v>
      </c>
      <c r="M1040" s="3">
        <v>140</v>
      </c>
      <c r="N1040" s="3" t="s">
        <v>389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87</v>
      </c>
      <c r="C1041" s="3" t="s">
        <v>390</v>
      </c>
      <c r="D1041" s="3"/>
      <c r="E1041" s="3" t="s">
        <v>390</v>
      </c>
      <c r="F1041" s="3"/>
      <c r="G1041" s="3"/>
      <c r="H1041" s="3"/>
      <c r="I1041" s="3"/>
      <c r="J1041" s="3"/>
      <c r="K1041" s="3"/>
      <c r="L1041" s="3" t="s">
        <v>88</v>
      </c>
      <c r="M1041" s="3">
        <v>10</v>
      </c>
      <c r="N1041" s="3" t="s">
        <v>116</v>
      </c>
      <c r="O1041" s="3"/>
      <c r="P1041" s="3"/>
      <c r="Q1041" s="3">
        <v>1.397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87</v>
      </c>
      <c r="C1042" s="3" t="s">
        <v>390</v>
      </c>
      <c r="D1042" s="3"/>
      <c r="E1042" s="3" t="s">
        <v>390</v>
      </c>
      <c r="F1042" s="3"/>
      <c r="G1042" s="3"/>
      <c r="H1042" s="3"/>
      <c r="I1042" s="3"/>
      <c r="J1042" s="3"/>
      <c r="K1042" s="3"/>
      <c r="L1042" s="3" t="s">
        <v>88</v>
      </c>
      <c r="M1042" s="3">
        <v>20</v>
      </c>
      <c r="N1042" s="3" t="s">
        <v>391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87</v>
      </c>
      <c r="C1043" s="3" t="s">
        <v>390</v>
      </c>
      <c r="D1043" s="3"/>
      <c r="E1043" s="3" t="s">
        <v>390</v>
      </c>
      <c r="F1043" s="3"/>
      <c r="G1043" s="3"/>
      <c r="H1043" s="3"/>
      <c r="I1043" s="3"/>
      <c r="J1043" s="3"/>
      <c r="K1043" s="3"/>
      <c r="L1043" s="3" t="s">
        <v>88</v>
      </c>
      <c r="M1043" s="3">
        <v>30</v>
      </c>
      <c r="N1043" s="3" t="s">
        <v>392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87</v>
      </c>
      <c r="C1044" s="3" t="s">
        <v>390</v>
      </c>
      <c r="D1044" s="3"/>
      <c r="E1044" s="3" t="s">
        <v>390</v>
      </c>
      <c r="F1044" s="3"/>
      <c r="G1044" s="3"/>
      <c r="H1044" s="3"/>
      <c r="I1044" s="3"/>
      <c r="J1044" s="3"/>
      <c r="K1044" s="3"/>
      <c r="L1044" s="3" t="s">
        <v>88</v>
      </c>
      <c r="M1044" s="3">
        <v>40</v>
      </c>
      <c r="N1044" s="3" t="s">
        <v>266</v>
      </c>
      <c r="O1044" s="3"/>
      <c r="P1044" s="3"/>
      <c r="Q1044" s="3">
        <v>1.397</v>
      </c>
      <c r="R1044" s="3" t="s">
        <v>14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87</v>
      </c>
      <c r="C1045" s="3" t="s">
        <v>390</v>
      </c>
      <c r="D1045" s="3"/>
      <c r="E1045" s="3" t="s">
        <v>390</v>
      </c>
      <c r="F1045" s="3"/>
      <c r="G1045" s="3"/>
      <c r="H1045" s="3"/>
      <c r="I1045" s="3"/>
      <c r="J1045" s="3"/>
      <c r="K1045" s="3"/>
      <c r="L1045" s="3" t="s">
        <v>88</v>
      </c>
      <c r="M1045" s="3">
        <v>50</v>
      </c>
      <c r="N1045" s="3" t="s">
        <v>107</v>
      </c>
      <c r="O1045" s="3"/>
      <c r="P1045" s="3"/>
      <c r="Q1045" s="3">
        <v>0.78700000000000003</v>
      </c>
      <c r="R1045" s="3" t="s">
        <v>108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87</v>
      </c>
      <c r="C1046" s="3" t="s">
        <v>390</v>
      </c>
      <c r="D1046" s="3"/>
      <c r="E1046" s="3" t="s">
        <v>390</v>
      </c>
      <c r="F1046" s="3"/>
      <c r="G1046" s="3"/>
      <c r="H1046" s="3"/>
      <c r="I1046" s="3"/>
      <c r="J1046" s="3"/>
      <c r="K1046" s="3"/>
      <c r="L1046" s="3" t="s">
        <v>88</v>
      </c>
      <c r="M1046" s="3">
        <v>60</v>
      </c>
      <c r="N1046" s="3" t="s">
        <v>267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87</v>
      </c>
      <c r="C1047" s="3" t="s">
        <v>390</v>
      </c>
      <c r="D1047" s="3"/>
      <c r="E1047" s="3" t="s">
        <v>390</v>
      </c>
      <c r="F1047" s="3"/>
      <c r="G1047" s="3"/>
      <c r="H1047" s="3"/>
      <c r="I1047" s="3"/>
      <c r="J1047" s="3"/>
      <c r="K1047" s="3"/>
      <c r="L1047" s="3" t="s">
        <v>88</v>
      </c>
      <c r="M1047" s="3">
        <v>70</v>
      </c>
      <c r="N1047" s="3" t="s">
        <v>109</v>
      </c>
      <c r="O1047" s="3"/>
      <c r="P1047" s="3"/>
      <c r="Q1047" s="3">
        <v>19.355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87</v>
      </c>
      <c r="C1048" s="3" t="s">
        <v>390</v>
      </c>
      <c r="D1048" s="3"/>
      <c r="E1048" s="3" t="s">
        <v>390</v>
      </c>
      <c r="F1048" s="3"/>
      <c r="G1048" s="3"/>
      <c r="H1048" s="3"/>
      <c r="I1048" s="3"/>
      <c r="J1048" s="3"/>
      <c r="K1048" s="3"/>
      <c r="L1048" s="3" t="s">
        <v>88</v>
      </c>
      <c r="M1048" s="3">
        <v>80</v>
      </c>
      <c r="N1048" s="3" t="s">
        <v>16</v>
      </c>
      <c r="O1048" s="3"/>
      <c r="P1048" s="3"/>
      <c r="Q1048" s="3">
        <v>119.96899999999999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87</v>
      </c>
      <c r="C1049" s="3" t="s">
        <v>390</v>
      </c>
      <c r="D1049" s="3"/>
      <c r="E1049" s="3" t="s">
        <v>390</v>
      </c>
      <c r="F1049" s="3"/>
      <c r="G1049" s="3"/>
      <c r="H1049" s="3"/>
      <c r="I1049" s="3"/>
      <c r="J1049" s="3"/>
      <c r="K1049" s="3"/>
      <c r="L1049" s="3" t="s">
        <v>88</v>
      </c>
      <c r="M1049" s="3">
        <v>90</v>
      </c>
      <c r="N1049" s="3" t="s">
        <v>265</v>
      </c>
      <c r="O1049" s="3"/>
      <c r="P1049" s="3"/>
      <c r="Q1049" s="3">
        <v>0.121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87</v>
      </c>
      <c r="C1050" s="3" t="s">
        <v>390</v>
      </c>
      <c r="D1050" s="3"/>
      <c r="E1050" s="3" t="s">
        <v>390</v>
      </c>
      <c r="F1050" s="3"/>
      <c r="G1050" s="3"/>
      <c r="H1050" s="3"/>
      <c r="I1050" s="3"/>
      <c r="J1050" s="3"/>
      <c r="K1050" s="3"/>
      <c r="L1050" s="3" t="s">
        <v>88</v>
      </c>
      <c r="M1050" s="3">
        <v>100</v>
      </c>
      <c r="N1050" s="3" t="s">
        <v>269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87</v>
      </c>
      <c r="C1051" s="3" t="s">
        <v>390</v>
      </c>
      <c r="D1051" s="3"/>
      <c r="E1051" s="3" t="s">
        <v>390</v>
      </c>
      <c r="F1051" s="3"/>
      <c r="G1051" s="3"/>
      <c r="H1051" s="3"/>
      <c r="I1051" s="3"/>
      <c r="J1051" s="3"/>
      <c r="K1051" s="3"/>
      <c r="L1051" s="3" t="s">
        <v>88</v>
      </c>
      <c r="M1051" s="3">
        <v>110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87</v>
      </c>
      <c r="C1052" s="3" t="s">
        <v>390</v>
      </c>
      <c r="D1052" s="3"/>
      <c r="E1052" s="3" t="s">
        <v>390</v>
      </c>
      <c r="F1052" s="3"/>
      <c r="G1052" s="3"/>
      <c r="H1052" s="3"/>
      <c r="I1052" s="3"/>
      <c r="J1052" s="3"/>
      <c r="K1052" s="3"/>
      <c r="L1052" s="3" t="s">
        <v>88</v>
      </c>
      <c r="M1052" s="3">
        <v>120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87</v>
      </c>
      <c r="C1053" s="3" t="s">
        <v>390</v>
      </c>
      <c r="D1053" s="3"/>
      <c r="E1053" s="3" t="s">
        <v>390</v>
      </c>
      <c r="F1053" s="3"/>
      <c r="G1053" s="3"/>
      <c r="H1053" s="3"/>
      <c r="I1053" s="3"/>
      <c r="J1053" s="3"/>
      <c r="K1053" s="3"/>
      <c r="L1053" s="3" t="s">
        <v>88</v>
      </c>
      <c r="M1053" s="3">
        <v>130</v>
      </c>
      <c r="N1053" s="3" t="s">
        <v>110</v>
      </c>
      <c r="O1053" s="3"/>
      <c r="P1053" s="3"/>
      <c r="Q1053" s="3">
        <v>0.86499999999999999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87</v>
      </c>
      <c r="C1054" s="3" t="s">
        <v>390</v>
      </c>
      <c r="D1054" s="3"/>
      <c r="E1054" s="3" t="s">
        <v>390</v>
      </c>
      <c r="F1054" s="3"/>
      <c r="G1054" s="3"/>
      <c r="H1054" s="3"/>
      <c r="I1054" s="3"/>
      <c r="J1054" s="3"/>
      <c r="K1054" s="3"/>
      <c r="L1054" s="3" t="s">
        <v>88</v>
      </c>
      <c r="M1054" s="3">
        <v>140</v>
      </c>
      <c r="N1054" s="3" t="s">
        <v>393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87</v>
      </c>
      <c r="C1055" s="3" t="s">
        <v>394</v>
      </c>
      <c r="D1055" s="3"/>
      <c r="E1055" s="3" t="s">
        <v>394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116</v>
      </c>
      <c r="O1055" s="3"/>
      <c r="P1055" s="3"/>
      <c r="Q1055" s="3">
        <v>1.4730000000000001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87</v>
      </c>
      <c r="C1056" s="3" t="s">
        <v>394</v>
      </c>
      <c r="D1056" s="3"/>
      <c r="E1056" s="3" t="s">
        <v>394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395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87</v>
      </c>
      <c r="C1057" s="3" t="s">
        <v>394</v>
      </c>
      <c r="D1057" s="3"/>
      <c r="E1057" s="3" t="s">
        <v>394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396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87</v>
      </c>
      <c r="C1058" s="3" t="s">
        <v>394</v>
      </c>
      <c r="D1058" s="3"/>
      <c r="E1058" s="3" t="s">
        <v>394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266</v>
      </c>
      <c r="O1058" s="3"/>
      <c r="P1058" s="3"/>
      <c r="Q1058" s="3">
        <v>1.4730000000000001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87</v>
      </c>
      <c r="C1059" s="3" t="s">
        <v>394</v>
      </c>
      <c r="D1059" s="3"/>
      <c r="E1059" s="3" t="s">
        <v>394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107</v>
      </c>
      <c r="O1059" s="3"/>
      <c r="P1059" s="3"/>
      <c r="Q1059" s="3">
        <v>0.83099999999999996</v>
      </c>
      <c r="R1059" s="3" t="s">
        <v>108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87</v>
      </c>
      <c r="C1060" s="3" t="s">
        <v>394</v>
      </c>
      <c r="D1060" s="3"/>
      <c r="E1060" s="3" t="s">
        <v>394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267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87</v>
      </c>
      <c r="C1061" s="3" t="s">
        <v>394</v>
      </c>
      <c r="D1061" s="3"/>
      <c r="E1061" s="3" t="s">
        <v>394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109</v>
      </c>
      <c r="O1061" s="3"/>
      <c r="P1061" s="3"/>
      <c r="Q1061" s="3">
        <v>19.812000000000001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87</v>
      </c>
      <c r="C1062" s="3" t="s">
        <v>394</v>
      </c>
      <c r="D1062" s="3"/>
      <c r="E1062" s="3" t="s">
        <v>394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16</v>
      </c>
      <c r="O1062" s="3"/>
      <c r="P1062" s="3"/>
      <c r="Q1062" s="3">
        <v>122.78100000000001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87</v>
      </c>
      <c r="C1063" s="3" t="s">
        <v>394</v>
      </c>
      <c r="D1063" s="3"/>
      <c r="E1063" s="3" t="s">
        <v>394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265</v>
      </c>
      <c r="O1063" s="3"/>
      <c r="P1063" s="3"/>
      <c r="Q1063" s="3">
        <v>0.126</v>
      </c>
      <c r="R1063" s="3" t="s">
        <v>12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87</v>
      </c>
      <c r="C1064" s="3" t="s">
        <v>394</v>
      </c>
      <c r="D1064" s="3"/>
      <c r="E1064" s="3" t="s">
        <v>394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269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87</v>
      </c>
      <c r="C1065" s="3" t="s">
        <v>394</v>
      </c>
      <c r="D1065" s="3"/>
      <c r="E1065" s="3" t="s">
        <v>394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87</v>
      </c>
      <c r="C1066" s="3" t="s">
        <v>394</v>
      </c>
      <c r="D1066" s="3"/>
      <c r="E1066" s="3" t="s">
        <v>394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87</v>
      </c>
      <c r="C1067" s="3" t="s">
        <v>394</v>
      </c>
      <c r="D1067" s="3"/>
      <c r="E1067" s="3" t="s">
        <v>394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110</v>
      </c>
      <c r="O1067" s="3"/>
      <c r="P1067" s="3"/>
      <c r="Q1067" s="3">
        <v>0.90500000000000003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87</v>
      </c>
      <c r="C1068" s="3" t="s">
        <v>394</v>
      </c>
      <c r="D1068" s="3"/>
      <c r="E1068" s="3" t="s">
        <v>394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397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87</v>
      </c>
      <c r="C1069" s="3" t="s">
        <v>398</v>
      </c>
      <c r="D1069" s="3"/>
      <c r="E1069" s="3" t="s">
        <v>398</v>
      </c>
      <c r="F1069" s="3"/>
      <c r="G1069" s="3"/>
      <c r="H1069" s="3"/>
      <c r="I1069" s="3"/>
      <c r="J1069" s="3"/>
      <c r="K1069" s="3"/>
      <c r="L1069" s="3" t="s">
        <v>88</v>
      </c>
      <c r="M1069" s="3">
        <v>10</v>
      </c>
      <c r="N1069" s="3" t="s">
        <v>116</v>
      </c>
      <c r="O1069" s="3"/>
      <c r="P1069" s="3"/>
      <c r="Q1069" s="3">
        <v>1.6259999999999999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87</v>
      </c>
      <c r="C1070" s="3" t="s">
        <v>398</v>
      </c>
      <c r="D1070" s="3"/>
      <c r="E1070" s="3" t="s">
        <v>398</v>
      </c>
      <c r="F1070" s="3"/>
      <c r="G1070" s="3"/>
      <c r="H1070" s="3"/>
      <c r="I1070" s="3"/>
      <c r="J1070" s="3"/>
      <c r="K1070" s="3"/>
      <c r="L1070" s="3" t="s">
        <v>88</v>
      </c>
      <c r="M1070" s="3">
        <v>20</v>
      </c>
      <c r="N1070" s="3" t="s">
        <v>399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87</v>
      </c>
      <c r="C1071" s="3" t="s">
        <v>398</v>
      </c>
      <c r="D1071" s="3"/>
      <c r="E1071" s="3" t="s">
        <v>398</v>
      </c>
      <c r="F1071" s="3"/>
      <c r="G1071" s="3"/>
      <c r="H1071" s="3"/>
      <c r="I1071" s="3"/>
      <c r="J1071" s="3"/>
      <c r="K1071" s="3"/>
      <c r="L1071" s="3" t="s">
        <v>88</v>
      </c>
      <c r="M1071" s="3">
        <v>30</v>
      </c>
      <c r="N1071" s="3" t="s">
        <v>400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87</v>
      </c>
      <c r="C1072" s="3" t="s">
        <v>398</v>
      </c>
      <c r="D1072" s="3"/>
      <c r="E1072" s="3" t="s">
        <v>398</v>
      </c>
      <c r="F1072" s="3"/>
      <c r="G1072" s="3"/>
      <c r="H1072" s="3"/>
      <c r="I1072" s="3"/>
      <c r="J1072" s="3"/>
      <c r="K1072" s="3"/>
      <c r="L1072" s="3" t="s">
        <v>88</v>
      </c>
      <c r="M1072" s="3">
        <v>40</v>
      </c>
      <c r="N1072" s="3" t="s">
        <v>266</v>
      </c>
      <c r="O1072" s="3"/>
      <c r="P1072" s="3"/>
      <c r="Q1072" s="3">
        <v>1.6259999999999999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87</v>
      </c>
      <c r="C1073" s="3" t="s">
        <v>398</v>
      </c>
      <c r="D1073" s="3"/>
      <c r="E1073" s="3" t="s">
        <v>398</v>
      </c>
      <c r="F1073" s="3"/>
      <c r="G1073" s="3"/>
      <c r="H1073" s="3"/>
      <c r="I1073" s="3"/>
      <c r="J1073" s="3"/>
      <c r="K1073" s="3"/>
      <c r="L1073" s="3" t="s">
        <v>88</v>
      </c>
      <c r="M1073" s="3">
        <v>50</v>
      </c>
      <c r="N1073" s="3" t="s">
        <v>107</v>
      </c>
      <c r="O1073" s="3"/>
      <c r="P1073" s="3"/>
      <c r="Q1073" s="3">
        <v>0.91900000000000004</v>
      </c>
      <c r="R1073" s="3" t="s">
        <v>108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87</v>
      </c>
      <c r="C1074" s="3" t="s">
        <v>398</v>
      </c>
      <c r="D1074" s="3"/>
      <c r="E1074" s="3" t="s">
        <v>398</v>
      </c>
      <c r="F1074" s="3"/>
      <c r="G1074" s="3"/>
      <c r="H1074" s="3"/>
      <c r="I1074" s="3"/>
      <c r="J1074" s="3"/>
      <c r="K1074" s="3"/>
      <c r="L1074" s="3" t="s">
        <v>88</v>
      </c>
      <c r="M1074" s="3">
        <v>60</v>
      </c>
      <c r="N1074" s="3" t="s">
        <v>267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87</v>
      </c>
      <c r="C1075" s="3" t="s">
        <v>398</v>
      </c>
      <c r="D1075" s="3"/>
      <c r="E1075" s="3" t="s">
        <v>398</v>
      </c>
      <c r="F1075" s="3"/>
      <c r="G1075" s="3"/>
      <c r="H1075" s="3"/>
      <c r="I1075" s="3"/>
      <c r="J1075" s="3"/>
      <c r="K1075" s="3"/>
      <c r="L1075" s="3" t="s">
        <v>88</v>
      </c>
      <c r="M1075" s="3">
        <v>70</v>
      </c>
      <c r="N1075" s="3" t="s">
        <v>109</v>
      </c>
      <c r="O1075" s="3"/>
      <c r="P1075" s="3"/>
      <c r="Q1075" s="3">
        <v>20.725999999999999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87</v>
      </c>
      <c r="C1076" s="3" t="s">
        <v>398</v>
      </c>
      <c r="D1076" s="3"/>
      <c r="E1076" s="3" t="s">
        <v>398</v>
      </c>
      <c r="F1076" s="3"/>
      <c r="G1076" s="3"/>
      <c r="H1076" s="3"/>
      <c r="I1076" s="3"/>
      <c r="J1076" s="3"/>
      <c r="K1076" s="3"/>
      <c r="L1076" s="3" t="s">
        <v>88</v>
      </c>
      <c r="M1076" s="3">
        <v>80</v>
      </c>
      <c r="N1076" s="3" t="s">
        <v>16</v>
      </c>
      <c r="O1076" s="3"/>
      <c r="P1076" s="3"/>
      <c r="Q1076" s="3">
        <v>128.405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87</v>
      </c>
      <c r="C1077" s="3" t="s">
        <v>398</v>
      </c>
      <c r="D1077" s="3"/>
      <c r="E1077" s="3" t="s">
        <v>398</v>
      </c>
      <c r="F1077" s="3"/>
      <c r="G1077" s="3"/>
      <c r="H1077" s="3"/>
      <c r="I1077" s="3"/>
      <c r="J1077" s="3"/>
      <c r="K1077" s="3"/>
      <c r="L1077" s="3" t="s">
        <v>88</v>
      </c>
      <c r="M1077" s="3">
        <v>90</v>
      </c>
      <c r="N1077" s="3" t="s">
        <v>265</v>
      </c>
      <c r="O1077" s="3"/>
      <c r="P1077" s="3"/>
      <c r="Q1077" s="3">
        <v>0.13700000000000001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87</v>
      </c>
      <c r="C1078" s="3" t="s">
        <v>398</v>
      </c>
      <c r="D1078" s="3"/>
      <c r="E1078" s="3" t="s">
        <v>398</v>
      </c>
      <c r="F1078" s="3"/>
      <c r="G1078" s="3"/>
      <c r="H1078" s="3"/>
      <c r="I1078" s="3"/>
      <c r="J1078" s="3"/>
      <c r="K1078" s="3"/>
      <c r="L1078" s="3" t="s">
        <v>88</v>
      </c>
      <c r="M1078" s="3">
        <v>100</v>
      </c>
      <c r="N1078" s="3" t="s">
        <v>269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87</v>
      </c>
      <c r="C1079" s="3" t="s">
        <v>398</v>
      </c>
      <c r="D1079" s="3"/>
      <c r="E1079" s="3" t="s">
        <v>398</v>
      </c>
      <c r="F1079" s="3"/>
      <c r="G1079" s="3"/>
      <c r="H1079" s="3"/>
      <c r="I1079" s="3"/>
      <c r="J1079" s="3"/>
      <c r="K1079" s="3"/>
      <c r="L1079" s="3" t="s">
        <v>88</v>
      </c>
      <c r="M1079" s="3">
        <v>110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87</v>
      </c>
      <c r="C1080" s="3" t="s">
        <v>398</v>
      </c>
      <c r="D1080" s="3"/>
      <c r="E1080" s="3" t="s">
        <v>398</v>
      </c>
      <c r="F1080" s="3"/>
      <c r="G1080" s="3"/>
      <c r="H1080" s="3"/>
      <c r="I1080" s="3"/>
      <c r="J1080" s="3"/>
      <c r="K1080" s="3"/>
      <c r="L1080" s="3" t="s">
        <v>88</v>
      </c>
      <c r="M1080" s="3">
        <v>120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87</v>
      </c>
      <c r="C1081" s="3" t="s">
        <v>398</v>
      </c>
      <c r="D1081" s="3"/>
      <c r="E1081" s="3" t="s">
        <v>398</v>
      </c>
      <c r="F1081" s="3"/>
      <c r="G1081" s="3"/>
      <c r="H1081" s="3"/>
      <c r="I1081" s="3"/>
      <c r="J1081" s="3"/>
      <c r="K1081" s="3"/>
      <c r="L1081" s="3" t="s">
        <v>88</v>
      </c>
      <c r="M1081" s="3">
        <v>130</v>
      </c>
      <c r="N1081" s="3" t="s">
        <v>110</v>
      </c>
      <c r="O1081" s="3"/>
      <c r="P1081" s="3"/>
      <c r="Q1081" s="3">
        <v>0.98599999999999999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87</v>
      </c>
      <c r="C1082" s="3" t="s">
        <v>398</v>
      </c>
      <c r="D1082" s="3"/>
      <c r="E1082" s="3" t="s">
        <v>398</v>
      </c>
      <c r="F1082" s="3"/>
      <c r="G1082" s="3"/>
      <c r="H1082" s="3"/>
      <c r="I1082" s="3"/>
      <c r="J1082" s="3"/>
      <c r="K1082" s="3"/>
      <c r="L1082" s="3" t="s">
        <v>88</v>
      </c>
      <c r="M1082" s="3">
        <v>140</v>
      </c>
      <c r="N1082" s="3" t="s">
        <v>401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87</v>
      </c>
      <c r="C1083" s="3" t="s">
        <v>402</v>
      </c>
      <c r="D1083" s="3"/>
      <c r="E1083" s="3" t="s">
        <v>402</v>
      </c>
      <c r="F1083" s="3"/>
      <c r="G1083" s="3"/>
      <c r="H1083" s="3"/>
      <c r="I1083" s="3"/>
      <c r="J1083" s="3"/>
      <c r="K1083" s="3"/>
      <c r="L1083" s="3" t="s">
        <v>88</v>
      </c>
      <c r="M1083" s="3">
        <v>10</v>
      </c>
      <c r="N1083" s="3" t="s">
        <v>116</v>
      </c>
      <c r="O1083" s="3"/>
      <c r="P1083" s="3"/>
      <c r="Q1083" s="3">
        <v>1.778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87</v>
      </c>
      <c r="C1084" s="3" t="s">
        <v>402</v>
      </c>
      <c r="D1084" s="3"/>
      <c r="E1084" s="3" t="s">
        <v>402</v>
      </c>
      <c r="F1084" s="3"/>
      <c r="G1084" s="3"/>
      <c r="H1084" s="3"/>
      <c r="I1084" s="3"/>
      <c r="J1084" s="3"/>
      <c r="K1084" s="3"/>
      <c r="L1084" s="3" t="s">
        <v>88</v>
      </c>
      <c r="M1084" s="3">
        <v>20</v>
      </c>
      <c r="N1084" s="3" t="s">
        <v>403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87</v>
      </c>
      <c r="C1085" s="3" t="s">
        <v>402</v>
      </c>
      <c r="D1085" s="3"/>
      <c r="E1085" s="3" t="s">
        <v>402</v>
      </c>
      <c r="F1085" s="3"/>
      <c r="G1085" s="3"/>
      <c r="H1085" s="3"/>
      <c r="I1085" s="3"/>
      <c r="J1085" s="3"/>
      <c r="K1085" s="3"/>
      <c r="L1085" s="3" t="s">
        <v>88</v>
      </c>
      <c r="M1085" s="3">
        <v>30</v>
      </c>
      <c r="N1085" s="3" t="s">
        <v>404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87</v>
      </c>
      <c r="C1086" s="3" t="s">
        <v>402</v>
      </c>
      <c r="D1086" s="3"/>
      <c r="E1086" s="3" t="s">
        <v>402</v>
      </c>
      <c r="F1086" s="3"/>
      <c r="G1086" s="3"/>
      <c r="H1086" s="3"/>
      <c r="I1086" s="3"/>
      <c r="J1086" s="3"/>
      <c r="K1086" s="3"/>
      <c r="L1086" s="3" t="s">
        <v>88</v>
      </c>
      <c r="M1086" s="3">
        <v>40</v>
      </c>
      <c r="N1086" s="3" t="s">
        <v>266</v>
      </c>
      <c r="O1086" s="3"/>
      <c r="P1086" s="3"/>
      <c r="Q1086" s="3">
        <v>1.778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87</v>
      </c>
      <c r="C1087" s="3" t="s">
        <v>402</v>
      </c>
      <c r="D1087" s="3"/>
      <c r="E1087" s="3" t="s">
        <v>402</v>
      </c>
      <c r="F1087" s="3"/>
      <c r="G1087" s="3"/>
      <c r="H1087" s="3"/>
      <c r="I1087" s="3"/>
      <c r="J1087" s="3"/>
      <c r="K1087" s="3"/>
      <c r="L1087" s="3" t="s">
        <v>88</v>
      </c>
      <c r="M1087" s="3">
        <v>50</v>
      </c>
      <c r="N1087" s="3" t="s">
        <v>107</v>
      </c>
      <c r="O1087" s="3"/>
      <c r="P1087" s="3"/>
      <c r="Q1087" s="3">
        <v>1.006</v>
      </c>
      <c r="R1087" s="3" t="s">
        <v>108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87</v>
      </c>
      <c r="C1088" s="3" t="s">
        <v>402</v>
      </c>
      <c r="D1088" s="3"/>
      <c r="E1088" s="3" t="s">
        <v>402</v>
      </c>
      <c r="F1088" s="3"/>
      <c r="G1088" s="3"/>
      <c r="H1088" s="3"/>
      <c r="I1088" s="3"/>
      <c r="J1088" s="3"/>
      <c r="K1088" s="3"/>
      <c r="L1088" s="3" t="s">
        <v>88</v>
      </c>
      <c r="M1088" s="3">
        <v>60</v>
      </c>
      <c r="N1088" s="3" t="s">
        <v>267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87</v>
      </c>
      <c r="C1089" s="3" t="s">
        <v>402</v>
      </c>
      <c r="D1089" s="3"/>
      <c r="E1089" s="3" t="s">
        <v>402</v>
      </c>
      <c r="F1089" s="3"/>
      <c r="G1089" s="3"/>
      <c r="H1089" s="3"/>
      <c r="I1089" s="3"/>
      <c r="J1089" s="3"/>
      <c r="K1089" s="3"/>
      <c r="L1089" s="3" t="s">
        <v>88</v>
      </c>
      <c r="M1089" s="3">
        <v>70</v>
      </c>
      <c r="N1089" s="3" t="s">
        <v>109</v>
      </c>
      <c r="O1089" s="3"/>
      <c r="P1089" s="3"/>
      <c r="Q1089" s="3">
        <v>21.640999999999998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87</v>
      </c>
      <c r="C1090" s="3" t="s">
        <v>402</v>
      </c>
      <c r="D1090" s="3"/>
      <c r="E1090" s="3" t="s">
        <v>402</v>
      </c>
      <c r="F1090" s="3"/>
      <c r="G1090" s="3"/>
      <c r="H1090" s="3"/>
      <c r="I1090" s="3"/>
      <c r="J1090" s="3"/>
      <c r="K1090" s="3"/>
      <c r="L1090" s="3" t="s">
        <v>88</v>
      </c>
      <c r="M1090" s="3">
        <v>80</v>
      </c>
      <c r="N1090" s="3" t="s">
        <v>16</v>
      </c>
      <c r="O1090" s="3"/>
      <c r="P1090" s="3"/>
      <c r="Q1090" s="3">
        <v>134.02799999999999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87</v>
      </c>
      <c r="C1091" s="3" t="s">
        <v>402</v>
      </c>
      <c r="D1091" s="3"/>
      <c r="E1091" s="3" t="s">
        <v>402</v>
      </c>
      <c r="F1091" s="3"/>
      <c r="G1091" s="3"/>
      <c r="H1091" s="3"/>
      <c r="I1091" s="3"/>
      <c r="J1091" s="3"/>
      <c r="K1091" s="3"/>
      <c r="L1091" s="3" t="s">
        <v>88</v>
      </c>
      <c r="M1091" s="3">
        <v>90</v>
      </c>
      <c r="N1091" s="3" t="s">
        <v>265</v>
      </c>
      <c r="O1091" s="3"/>
      <c r="P1091" s="3"/>
      <c r="Q1091" s="3">
        <v>0.14799999999999999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87</v>
      </c>
      <c r="C1092" s="3" t="s">
        <v>402</v>
      </c>
      <c r="D1092" s="3"/>
      <c r="E1092" s="3" t="s">
        <v>402</v>
      </c>
      <c r="F1092" s="3"/>
      <c r="G1092" s="3"/>
      <c r="H1092" s="3"/>
      <c r="I1092" s="3"/>
      <c r="J1092" s="3"/>
      <c r="K1092" s="3"/>
      <c r="L1092" s="3" t="s">
        <v>88</v>
      </c>
      <c r="M1092" s="3">
        <v>100</v>
      </c>
      <c r="N1092" s="3" t="s">
        <v>269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87</v>
      </c>
      <c r="C1093" s="3" t="s">
        <v>402</v>
      </c>
      <c r="D1093" s="3"/>
      <c r="E1093" s="3" t="s">
        <v>402</v>
      </c>
      <c r="F1093" s="3"/>
      <c r="G1093" s="3"/>
      <c r="H1093" s="3"/>
      <c r="I1093" s="3"/>
      <c r="J1093" s="3"/>
      <c r="K1093" s="3"/>
      <c r="L1093" s="3" t="s">
        <v>88</v>
      </c>
      <c r="M1093" s="3">
        <v>110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87</v>
      </c>
      <c r="C1094" s="3" t="s">
        <v>402</v>
      </c>
      <c r="D1094" s="3"/>
      <c r="E1094" s="3" t="s">
        <v>402</v>
      </c>
      <c r="F1094" s="3"/>
      <c r="G1094" s="3"/>
      <c r="H1094" s="3"/>
      <c r="I1094" s="3"/>
      <c r="J1094" s="3"/>
      <c r="K1094" s="3"/>
      <c r="L1094" s="3" t="s">
        <v>88</v>
      </c>
      <c r="M1094" s="3">
        <v>120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87</v>
      </c>
      <c r="C1095" s="3" t="s">
        <v>402</v>
      </c>
      <c r="D1095" s="3"/>
      <c r="E1095" s="3" t="s">
        <v>402</v>
      </c>
      <c r="F1095" s="3"/>
      <c r="G1095" s="3"/>
      <c r="H1095" s="3"/>
      <c r="I1095" s="3"/>
      <c r="J1095" s="3"/>
      <c r="K1095" s="3"/>
      <c r="L1095" s="3" t="s">
        <v>88</v>
      </c>
      <c r="M1095" s="3">
        <v>130</v>
      </c>
      <c r="N1095" s="3" t="s">
        <v>110</v>
      </c>
      <c r="O1095" s="3"/>
      <c r="P1095" s="3"/>
      <c r="Q1095" s="3">
        <v>1.0669999999999999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87</v>
      </c>
      <c r="C1096" s="3" t="s">
        <v>402</v>
      </c>
      <c r="D1096" s="3"/>
      <c r="E1096" s="3" t="s">
        <v>402</v>
      </c>
      <c r="F1096" s="3"/>
      <c r="G1096" s="3"/>
      <c r="H1096" s="3"/>
      <c r="I1096" s="3"/>
      <c r="J1096" s="3"/>
      <c r="K1096" s="3"/>
      <c r="L1096" s="3" t="s">
        <v>88</v>
      </c>
      <c r="M1096" s="3">
        <v>140</v>
      </c>
      <c r="N1096" s="3" t="s">
        <v>405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87</v>
      </c>
      <c r="C1097" s="3" t="s">
        <v>406</v>
      </c>
      <c r="D1097" s="3"/>
      <c r="E1097" s="3" t="s">
        <v>406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116</v>
      </c>
      <c r="O1097" s="3"/>
      <c r="P1097" s="3"/>
      <c r="Q1097" s="3">
        <v>0.86399999999999999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87</v>
      </c>
      <c r="C1098" s="3" t="s">
        <v>406</v>
      </c>
      <c r="D1098" s="3"/>
      <c r="E1098" s="3" t="s">
        <v>406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407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87</v>
      </c>
      <c r="C1099" s="3" t="s">
        <v>406</v>
      </c>
      <c r="D1099" s="3"/>
      <c r="E1099" s="3" t="s">
        <v>406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408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87</v>
      </c>
      <c r="C1100" s="3" t="s">
        <v>406</v>
      </c>
      <c r="D1100" s="3"/>
      <c r="E1100" s="3" t="s">
        <v>406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266</v>
      </c>
      <c r="O1100" s="3"/>
      <c r="P1100" s="3"/>
      <c r="Q1100" s="3">
        <v>0.86399999999999999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87</v>
      </c>
      <c r="C1101" s="3" t="s">
        <v>406</v>
      </c>
      <c r="D1101" s="3"/>
      <c r="E1101" s="3" t="s">
        <v>406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107</v>
      </c>
      <c r="O1101" s="3"/>
      <c r="P1101" s="3"/>
      <c r="Q1101" s="3">
        <v>0.501</v>
      </c>
      <c r="R1101" s="3" t="s">
        <v>108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87</v>
      </c>
      <c r="C1102" s="3" t="s">
        <v>406</v>
      </c>
      <c r="D1102" s="3"/>
      <c r="E1102" s="3" t="s">
        <v>406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267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87</v>
      </c>
      <c r="C1103" s="3" t="s">
        <v>406</v>
      </c>
      <c r="D1103" s="3"/>
      <c r="E1103" s="3" t="s">
        <v>406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109</v>
      </c>
      <c r="O1103" s="3"/>
      <c r="P1103" s="3"/>
      <c r="Q1103" s="3">
        <v>16.611999999999998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87</v>
      </c>
      <c r="C1104" s="3" t="s">
        <v>406</v>
      </c>
      <c r="D1104" s="3"/>
      <c r="E1104" s="3" t="s">
        <v>406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16</v>
      </c>
      <c r="O1104" s="3"/>
      <c r="P1104" s="3"/>
      <c r="Q1104" s="3">
        <v>103.099</v>
      </c>
      <c r="R1104" s="3" t="s">
        <v>14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87</v>
      </c>
      <c r="C1105" s="3" t="s">
        <v>406</v>
      </c>
      <c r="D1105" s="3"/>
      <c r="E1105" s="3" t="s">
        <v>406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265</v>
      </c>
      <c r="O1105" s="3"/>
      <c r="P1105" s="3"/>
      <c r="Q1105" s="3">
        <v>8.4000000000000005E-2</v>
      </c>
      <c r="R1105" s="3" t="s">
        <v>12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87</v>
      </c>
      <c r="C1106" s="3" t="s">
        <v>406</v>
      </c>
      <c r="D1106" s="3"/>
      <c r="E1106" s="3" t="s">
        <v>406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269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87</v>
      </c>
      <c r="C1107" s="3" t="s">
        <v>406</v>
      </c>
      <c r="D1107" s="3"/>
      <c r="E1107" s="3" t="s">
        <v>406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87</v>
      </c>
      <c r="C1108" s="3" t="s">
        <v>406</v>
      </c>
      <c r="D1108" s="3"/>
      <c r="E1108" s="3" t="s">
        <v>406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87</v>
      </c>
      <c r="C1109" s="3" t="s">
        <v>406</v>
      </c>
      <c r="D1109" s="3"/>
      <c r="E1109" s="3" t="s">
        <v>406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110</v>
      </c>
      <c r="O1109" s="3"/>
      <c r="P1109" s="3"/>
      <c r="Q1109" s="3">
        <v>0.58099999999999996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87</v>
      </c>
      <c r="C1110" s="3" t="s">
        <v>406</v>
      </c>
      <c r="D1110" s="3"/>
      <c r="E1110" s="3" t="s">
        <v>406</v>
      </c>
      <c r="F1110" s="3"/>
      <c r="G1110" s="3"/>
      <c r="H1110" s="3"/>
      <c r="I1110" s="3"/>
      <c r="J1110" s="3"/>
      <c r="K1110" s="3"/>
      <c r="L1110" s="3" t="s">
        <v>88</v>
      </c>
      <c r="M1110" s="3">
        <v>140</v>
      </c>
      <c r="N1110" s="3" t="s">
        <v>409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87</v>
      </c>
      <c r="C1111" s="3" t="s">
        <v>410</v>
      </c>
      <c r="D1111" s="3"/>
      <c r="E1111" s="3" t="s">
        <v>410</v>
      </c>
      <c r="F1111" s="3"/>
      <c r="G1111" s="3"/>
      <c r="H1111" s="3"/>
      <c r="I1111" s="3"/>
      <c r="J1111" s="3"/>
      <c r="K1111" s="3"/>
      <c r="L1111" s="3" t="s">
        <v>88</v>
      </c>
      <c r="M1111" s="3">
        <v>10</v>
      </c>
      <c r="N1111" s="3" t="s">
        <v>116</v>
      </c>
      <c r="O1111" s="3"/>
      <c r="P1111" s="3"/>
      <c r="Q1111" s="3">
        <v>1.016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87</v>
      </c>
      <c r="C1112" s="3" t="s">
        <v>410</v>
      </c>
      <c r="D1112" s="3"/>
      <c r="E1112" s="3" t="s">
        <v>410</v>
      </c>
      <c r="F1112" s="3"/>
      <c r="G1112" s="3"/>
      <c r="H1112" s="3"/>
      <c r="I1112" s="3"/>
      <c r="J1112" s="3"/>
      <c r="K1112" s="3"/>
      <c r="L1112" s="3" t="s">
        <v>88</v>
      </c>
      <c r="M1112" s="3">
        <v>20</v>
      </c>
      <c r="N1112" s="3" t="s">
        <v>411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87</v>
      </c>
      <c r="C1113" s="3" t="s">
        <v>410</v>
      </c>
      <c r="D1113" s="3"/>
      <c r="E1113" s="3" t="s">
        <v>410</v>
      </c>
      <c r="F1113" s="3"/>
      <c r="G1113" s="3"/>
      <c r="H1113" s="3"/>
      <c r="I1113" s="3"/>
      <c r="J1113" s="3"/>
      <c r="K1113" s="3"/>
      <c r="L1113" s="3" t="s">
        <v>88</v>
      </c>
      <c r="M1113" s="3">
        <v>30</v>
      </c>
      <c r="N1113" s="3" t="s">
        <v>412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87</v>
      </c>
      <c r="C1114" s="3" t="s">
        <v>410</v>
      </c>
      <c r="D1114" s="3"/>
      <c r="E1114" s="3" t="s">
        <v>410</v>
      </c>
      <c r="F1114" s="3"/>
      <c r="G1114" s="3"/>
      <c r="H1114" s="3"/>
      <c r="I1114" s="3"/>
      <c r="J1114" s="3"/>
      <c r="K1114" s="3"/>
      <c r="L1114" s="3" t="s">
        <v>88</v>
      </c>
      <c r="M1114" s="3">
        <v>40</v>
      </c>
      <c r="N1114" s="3" t="s">
        <v>266</v>
      </c>
      <c r="O1114" s="3"/>
      <c r="P1114" s="3"/>
      <c r="Q1114" s="3">
        <v>1.016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87</v>
      </c>
      <c r="C1115" s="3" t="s">
        <v>410</v>
      </c>
      <c r="D1115" s="3"/>
      <c r="E1115" s="3" t="s">
        <v>410</v>
      </c>
      <c r="F1115" s="3"/>
      <c r="G1115" s="3"/>
      <c r="H1115" s="3"/>
      <c r="I1115" s="3"/>
      <c r="J1115" s="3"/>
      <c r="K1115" s="3"/>
      <c r="L1115" s="3" t="s">
        <v>88</v>
      </c>
      <c r="M1115" s="3">
        <v>50</v>
      </c>
      <c r="N1115" s="3" t="s">
        <v>107</v>
      </c>
      <c r="O1115" s="3"/>
      <c r="P1115" s="3"/>
      <c r="Q1115" s="3">
        <v>0.59199999999999997</v>
      </c>
      <c r="R1115" s="3" t="s">
        <v>108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87</v>
      </c>
      <c r="C1116" s="3" t="s">
        <v>410</v>
      </c>
      <c r="D1116" s="3"/>
      <c r="E1116" s="3" t="s">
        <v>410</v>
      </c>
      <c r="F1116" s="3"/>
      <c r="G1116" s="3"/>
      <c r="H1116" s="3"/>
      <c r="I1116" s="3"/>
      <c r="J1116" s="3"/>
      <c r="K1116" s="3"/>
      <c r="L1116" s="3" t="s">
        <v>88</v>
      </c>
      <c r="M1116" s="3">
        <v>60</v>
      </c>
      <c r="N1116" s="3" t="s">
        <v>267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87</v>
      </c>
      <c r="C1117" s="3" t="s">
        <v>410</v>
      </c>
      <c r="D1117" s="3"/>
      <c r="E1117" s="3" t="s">
        <v>410</v>
      </c>
      <c r="F1117" s="3"/>
      <c r="G1117" s="3"/>
      <c r="H1117" s="3"/>
      <c r="I1117" s="3"/>
      <c r="J1117" s="3"/>
      <c r="K1117" s="3"/>
      <c r="L1117" s="3" t="s">
        <v>88</v>
      </c>
      <c r="M1117" s="3">
        <v>70</v>
      </c>
      <c r="N1117" s="3" t="s">
        <v>109</v>
      </c>
      <c r="O1117" s="3"/>
      <c r="P1117" s="3"/>
      <c r="Q1117" s="3">
        <v>17.526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87</v>
      </c>
      <c r="C1118" s="3" t="s">
        <v>410</v>
      </c>
      <c r="D1118" s="3"/>
      <c r="E1118" s="3" t="s">
        <v>410</v>
      </c>
      <c r="F1118" s="3"/>
      <c r="G1118" s="3"/>
      <c r="H1118" s="3"/>
      <c r="I1118" s="3"/>
      <c r="J1118" s="3"/>
      <c r="K1118" s="3"/>
      <c r="L1118" s="3" t="s">
        <v>88</v>
      </c>
      <c r="M1118" s="3">
        <v>80</v>
      </c>
      <c r="N1118" s="3" t="s">
        <v>16</v>
      </c>
      <c r="O1118" s="3"/>
      <c r="P1118" s="3"/>
      <c r="Q1118" s="3">
        <v>108.72199999999999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87</v>
      </c>
      <c r="C1119" s="3" t="s">
        <v>410</v>
      </c>
      <c r="D1119" s="3"/>
      <c r="E1119" s="3" t="s">
        <v>410</v>
      </c>
      <c r="F1119" s="3"/>
      <c r="G1119" s="3"/>
      <c r="H1119" s="3"/>
      <c r="I1119" s="3"/>
      <c r="J1119" s="3"/>
      <c r="K1119" s="3"/>
      <c r="L1119" s="3" t="s">
        <v>88</v>
      </c>
      <c r="M1119" s="3">
        <v>90</v>
      </c>
      <c r="N1119" s="3" t="s">
        <v>265</v>
      </c>
      <c r="O1119" s="3"/>
      <c r="P1119" s="3"/>
      <c r="Q1119" s="3">
        <v>9.4E-2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87</v>
      </c>
      <c r="C1120" s="3" t="s">
        <v>410</v>
      </c>
      <c r="D1120" s="3"/>
      <c r="E1120" s="3" t="s">
        <v>410</v>
      </c>
      <c r="F1120" s="3"/>
      <c r="G1120" s="3"/>
      <c r="H1120" s="3"/>
      <c r="I1120" s="3"/>
      <c r="J1120" s="3"/>
      <c r="K1120" s="3"/>
      <c r="L1120" s="3" t="s">
        <v>88</v>
      </c>
      <c r="M1120" s="3">
        <v>100</v>
      </c>
      <c r="N1120" s="3" t="s">
        <v>269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87</v>
      </c>
      <c r="C1121" s="3" t="s">
        <v>410</v>
      </c>
      <c r="D1121" s="3"/>
      <c r="E1121" s="3" t="s">
        <v>410</v>
      </c>
      <c r="F1121" s="3"/>
      <c r="G1121" s="3"/>
      <c r="H1121" s="3"/>
      <c r="I1121" s="3"/>
      <c r="J1121" s="3"/>
      <c r="K1121" s="3"/>
      <c r="L1121" s="3" t="s">
        <v>88</v>
      </c>
      <c r="M1121" s="3">
        <v>110</v>
      </c>
      <c r="N1121" s="3" t="s">
        <v>20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87</v>
      </c>
      <c r="C1122" s="3" t="s">
        <v>410</v>
      </c>
      <c r="D1122" s="3"/>
      <c r="E1122" s="3" t="s">
        <v>410</v>
      </c>
      <c r="F1122" s="3"/>
      <c r="G1122" s="3"/>
      <c r="H1122" s="3"/>
      <c r="I1122" s="3"/>
      <c r="J1122" s="3"/>
      <c r="K1122" s="3"/>
      <c r="L1122" s="3" t="s">
        <v>88</v>
      </c>
      <c r="M1122" s="3">
        <v>120</v>
      </c>
      <c r="N1122" s="3" t="s">
        <v>21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87</v>
      </c>
      <c r="C1123" s="3" t="s">
        <v>410</v>
      </c>
      <c r="D1123" s="3"/>
      <c r="E1123" s="3" t="s">
        <v>410</v>
      </c>
      <c r="F1123" s="3"/>
      <c r="G1123" s="3"/>
      <c r="H1123" s="3"/>
      <c r="I1123" s="3"/>
      <c r="J1123" s="3"/>
      <c r="K1123" s="3"/>
      <c r="L1123" s="3" t="s">
        <v>88</v>
      </c>
      <c r="M1123" s="3">
        <v>130</v>
      </c>
      <c r="N1123" s="3" t="s">
        <v>110</v>
      </c>
      <c r="O1123" s="3"/>
      <c r="P1123" s="3"/>
      <c r="Q1123" s="3">
        <v>0.66200000000000003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87</v>
      </c>
      <c r="C1124" s="3" t="s">
        <v>410</v>
      </c>
      <c r="D1124" s="3"/>
      <c r="E1124" s="3" t="s">
        <v>410</v>
      </c>
      <c r="F1124" s="3"/>
      <c r="G1124" s="3"/>
      <c r="H1124" s="3"/>
      <c r="I1124" s="3"/>
      <c r="J1124" s="3"/>
      <c r="K1124" s="3"/>
      <c r="L1124" s="3" t="s">
        <v>88</v>
      </c>
      <c r="M1124" s="3">
        <v>140</v>
      </c>
      <c r="N1124" s="3" t="s">
        <v>413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87</v>
      </c>
      <c r="C1125" s="3" t="s">
        <v>414</v>
      </c>
      <c r="D1125" s="3"/>
      <c r="E1125" s="3" t="s">
        <v>414</v>
      </c>
      <c r="F1125" s="3"/>
      <c r="G1125" s="3"/>
      <c r="H1125" s="3"/>
      <c r="I1125" s="3"/>
      <c r="J1125" s="3"/>
      <c r="K1125" s="3"/>
      <c r="L1125" s="3" t="s">
        <v>88</v>
      </c>
      <c r="M1125" s="3">
        <v>10</v>
      </c>
      <c r="N1125" s="3" t="s">
        <v>116</v>
      </c>
      <c r="O1125" s="3"/>
      <c r="P1125" s="3"/>
      <c r="Q1125" s="3">
        <v>1.1679999999999999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87</v>
      </c>
      <c r="C1126" s="3" t="s">
        <v>414</v>
      </c>
      <c r="D1126" s="3"/>
      <c r="E1126" s="3" t="s">
        <v>414</v>
      </c>
      <c r="F1126" s="3"/>
      <c r="G1126" s="3"/>
      <c r="H1126" s="3"/>
      <c r="I1126" s="3"/>
      <c r="J1126" s="3"/>
      <c r="K1126" s="3"/>
      <c r="L1126" s="3" t="s">
        <v>88</v>
      </c>
      <c r="M1126" s="3">
        <v>20</v>
      </c>
      <c r="N1126" s="3" t="s">
        <v>415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87</v>
      </c>
      <c r="C1127" s="3" t="s">
        <v>414</v>
      </c>
      <c r="D1127" s="3"/>
      <c r="E1127" s="3" t="s">
        <v>414</v>
      </c>
      <c r="F1127" s="3"/>
      <c r="G1127" s="3"/>
      <c r="H1127" s="3"/>
      <c r="I1127" s="3"/>
      <c r="J1127" s="3"/>
      <c r="K1127" s="3"/>
      <c r="L1127" s="3" t="s">
        <v>88</v>
      </c>
      <c r="M1127" s="3">
        <v>30</v>
      </c>
      <c r="N1127" s="3" t="s">
        <v>416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87</v>
      </c>
      <c r="C1128" s="3" t="s">
        <v>414</v>
      </c>
      <c r="D1128" s="3"/>
      <c r="E1128" s="3" t="s">
        <v>414</v>
      </c>
      <c r="F1128" s="3"/>
      <c r="G1128" s="3"/>
      <c r="H1128" s="3"/>
      <c r="I1128" s="3"/>
      <c r="J1128" s="3"/>
      <c r="K1128" s="3"/>
      <c r="L1128" s="3" t="s">
        <v>88</v>
      </c>
      <c r="M1128" s="3">
        <v>40</v>
      </c>
      <c r="N1128" s="3" t="s">
        <v>266</v>
      </c>
      <c r="O1128" s="3"/>
      <c r="P1128" s="3"/>
      <c r="Q1128" s="3">
        <v>1.1679999999999999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87</v>
      </c>
      <c r="C1129" s="3" t="s">
        <v>414</v>
      </c>
      <c r="D1129" s="3"/>
      <c r="E1129" s="3" t="s">
        <v>414</v>
      </c>
      <c r="F1129" s="3"/>
      <c r="G1129" s="3"/>
      <c r="H1129" s="3"/>
      <c r="I1129" s="3"/>
      <c r="J1129" s="3"/>
      <c r="K1129" s="3"/>
      <c r="L1129" s="3" t="s">
        <v>88</v>
      </c>
      <c r="M1129" s="3">
        <v>50</v>
      </c>
      <c r="N1129" s="3" t="s">
        <v>107</v>
      </c>
      <c r="O1129" s="3"/>
      <c r="P1129" s="3"/>
      <c r="Q1129" s="3">
        <v>0.68300000000000005</v>
      </c>
      <c r="R1129" s="3" t="s">
        <v>108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87</v>
      </c>
      <c r="C1130" s="3" t="s">
        <v>414</v>
      </c>
      <c r="D1130" s="3"/>
      <c r="E1130" s="3" t="s">
        <v>414</v>
      </c>
      <c r="F1130" s="3"/>
      <c r="G1130" s="3"/>
      <c r="H1130" s="3"/>
      <c r="I1130" s="3"/>
      <c r="J1130" s="3"/>
      <c r="K1130" s="3"/>
      <c r="L1130" s="3" t="s">
        <v>88</v>
      </c>
      <c r="M1130" s="3">
        <v>60</v>
      </c>
      <c r="N1130" s="3" t="s">
        <v>267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87</v>
      </c>
      <c r="C1131" s="3" t="s">
        <v>414</v>
      </c>
      <c r="D1131" s="3"/>
      <c r="E1131" s="3" t="s">
        <v>414</v>
      </c>
      <c r="F1131" s="3"/>
      <c r="G1131" s="3"/>
      <c r="H1131" s="3"/>
      <c r="I1131" s="3"/>
      <c r="J1131" s="3"/>
      <c r="K1131" s="3"/>
      <c r="L1131" s="3" t="s">
        <v>88</v>
      </c>
      <c r="M1131" s="3">
        <v>70</v>
      </c>
      <c r="N1131" s="3" t="s">
        <v>109</v>
      </c>
      <c r="O1131" s="3"/>
      <c r="P1131" s="3"/>
      <c r="Q1131" s="3">
        <v>18.440000000000001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87</v>
      </c>
      <c r="C1132" s="3" t="s">
        <v>414</v>
      </c>
      <c r="D1132" s="3"/>
      <c r="E1132" s="3" t="s">
        <v>414</v>
      </c>
      <c r="F1132" s="3"/>
      <c r="G1132" s="3"/>
      <c r="H1132" s="3"/>
      <c r="I1132" s="3"/>
      <c r="J1132" s="3"/>
      <c r="K1132" s="3"/>
      <c r="L1132" s="3" t="s">
        <v>88</v>
      </c>
      <c r="M1132" s="3">
        <v>80</v>
      </c>
      <c r="N1132" s="3" t="s">
        <v>16</v>
      </c>
      <c r="O1132" s="3"/>
      <c r="P1132" s="3"/>
      <c r="Q1132" s="3">
        <v>114.346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87</v>
      </c>
      <c r="C1133" s="3" t="s">
        <v>414</v>
      </c>
      <c r="D1133" s="3"/>
      <c r="E1133" s="3" t="s">
        <v>414</v>
      </c>
      <c r="F1133" s="3"/>
      <c r="G1133" s="3"/>
      <c r="H1133" s="3"/>
      <c r="I1133" s="3"/>
      <c r="J1133" s="3"/>
      <c r="K1133" s="3"/>
      <c r="L1133" s="3" t="s">
        <v>88</v>
      </c>
      <c r="M1133" s="3">
        <v>90</v>
      </c>
      <c r="N1133" s="3" t="s">
        <v>265</v>
      </c>
      <c r="O1133" s="3"/>
      <c r="P1133" s="3"/>
      <c r="Q1133" s="3">
        <v>0.105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87</v>
      </c>
      <c r="C1134" s="3" t="s">
        <v>414</v>
      </c>
      <c r="D1134" s="3"/>
      <c r="E1134" s="3" t="s">
        <v>414</v>
      </c>
      <c r="F1134" s="3"/>
      <c r="G1134" s="3"/>
      <c r="H1134" s="3"/>
      <c r="I1134" s="3"/>
      <c r="J1134" s="3"/>
      <c r="K1134" s="3"/>
      <c r="L1134" s="3" t="s">
        <v>88</v>
      </c>
      <c r="M1134" s="3">
        <v>100</v>
      </c>
      <c r="N1134" s="3" t="s">
        <v>269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87</v>
      </c>
      <c r="C1135" s="3" t="s">
        <v>414</v>
      </c>
      <c r="D1135" s="3"/>
      <c r="E1135" s="3" t="s">
        <v>414</v>
      </c>
      <c r="F1135" s="3"/>
      <c r="G1135" s="3"/>
      <c r="H1135" s="3"/>
      <c r="I1135" s="3"/>
      <c r="J1135" s="3"/>
      <c r="K1135" s="3"/>
      <c r="L1135" s="3" t="s">
        <v>88</v>
      </c>
      <c r="M1135" s="3">
        <v>110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87</v>
      </c>
      <c r="C1136" s="3" t="s">
        <v>414</v>
      </c>
      <c r="D1136" s="3"/>
      <c r="E1136" s="3" t="s">
        <v>414</v>
      </c>
      <c r="F1136" s="3"/>
      <c r="G1136" s="3"/>
      <c r="H1136" s="3"/>
      <c r="I1136" s="3"/>
      <c r="J1136" s="3"/>
      <c r="K1136" s="3"/>
      <c r="L1136" s="3" t="s">
        <v>88</v>
      </c>
      <c r="M1136" s="3">
        <v>120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87</v>
      </c>
      <c r="C1137" s="3" t="s">
        <v>414</v>
      </c>
      <c r="D1137" s="3"/>
      <c r="E1137" s="3" t="s">
        <v>414</v>
      </c>
      <c r="F1137" s="3"/>
      <c r="G1137" s="3"/>
      <c r="H1137" s="3"/>
      <c r="I1137" s="3"/>
      <c r="J1137" s="3"/>
      <c r="K1137" s="3"/>
      <c r="L1137" s="3" t="s">
        <v>88</v>
      </c>
      <c r="M1137" s="3">
        <v>130</v>
      </c>
      <c r="N1137" s="3" t="s">
        <v>110</v>
      </c>
      <c r="O1137" s="3"/>
      <c r="P1137" s="3"/>
      <c r="Q1137" s="3">
        <v>0.74299999999999999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87</v>
      </c>
      <c r="C1138" s="3" t="s">
        <v>414</v>
      </c>
      <c r="D1138" s="3"/>
      <c r="E1138" s="3" t="s">
        <v>414</v>
      </c>
      <c r="F1138" s="3"/>
      <c r="G1138" s="3"/>
      <c r="H1138" s="3"/>
      <c r="I1138" s="3"/>
      <c r="J1138" s="3"/>
      <c r="K1138" s="3"/>
      <c r="L1138" s="3" t="s">
        <v>88</v>
      </c>
      <c r="M1138" s="3">
        <v>140</v>
      </c>
      <c r="N1138" s="3" t="s">
        <v>417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87</v>
      </c>
      <c r="C1139" s="3" t="s">
        <v>418</v>
      </c>
      <c r="D1139" s="3"/>
      <c r="E1139" s="3" t="s">
        <v>418</v>
      </c>
      <c r="F1139" s="3"/>
      <c r="G1139" s="3"/>
      <c r="H1139" s="3"/>
      <c r="I1139" s="3"/>
      <c r="J1139" s="3"/>
      <c r="K1139" s="3"/>
      <c r="L1139" s="3" t="s">
        <v>88</v>
      </c>
      <c r="M1139" s="3">
        <v>10</v>
      </c>
      <c r="N1139" s="3" t="s">
        <v>116</v>
      </c>
      <c r="O1139" s="3"/>
      <c r="P1139" s="3"/>
      <c r="Q1139" s="3">
        <v>1.321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87</v>
      </c>
      <c r="C1140" s="3" t="s">
        <v>418</v>
      </c>
      <c r="D1140" s="3"/>
      <c r="E1140" s="3" t="s">
        <v>418</v>
      </c>
      <c r="F1140" s="3"/>
      <c r="G1140" s="3"/>
      <c r="H1140" s="3"/>
      <c r="I1140" s="3"/>
      <c r="J1140" s="3"/>
      <c r="K1140" s="3"/>
      <c r="L1140" s="3" t="s">
        <v>88</v>
      </c>
      <c r="M1140" s="3">
        <v>20</v>
      </c>
      <c r="N1140" s="3" t="s">
        <v>419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87</v>
      </c>
      <c r="C1141" s="3" t="s">
        <v>418</v>
      </c>
      <c r="D1141" s="3"/>
      <c r="E1141" s="3" t="s">
        <v>418</v>
      </c>
      <c r="F1141" s="3"/>
      <c r="G1141" s="3"/>
      <c r="H1141" s="3"/>
      <c r="I1141" s="3"/>
      <c r="J1141" s="3"/>
      <c r="K1141" s="3"/>
      <c r="L1141" s="3" t="s">
        <v>88</v>
      </c>
      <c r="M1141" s="3">
        <v>30</v>
      </c>
      <c r="N1141" s="3" t="s">
        <v>420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87</v>
      </c>
      <c r="C1142" s="3" t="s">
        <v>418</v>
      </c>
      <c r="D1142" s="3"/>
      <c r="E1142" s="3" t="s">
        <v>418</v>
      </c>
      <c r="F1142" s="3"/>
      <c r="G1142" s="3"/>
      <c r="H1142" s="3"/>
      <c r="I1142" s="3"/>
      <c r="J1142" s="3"/>
      <c r="K1142" s="3"/>
      <c r="L1142" s="3" t="s">
        <v>88</v>
      </c>
      <c r="M1142" s="3">
        <v>40</v>
      </c>
      <c r="N1142" s="3" t="s">
        <v>266</v>
      </c>
      <c r="O1142" s="3"/>
      <c r="P1142" s="3"/>
      <c r="Q1142" s="3">
        <v>1.321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87</v>
      </c>
      <c r="C1143" s="3" t="s">
        <v>418</v>
      </c>
      <c r="D1143" s="3"/>
      <c r="E1143" s="3" t="s">
        <v>418</v>
      </c>
      <c r="F1143" s="3"/>
      <c r="G1143" s="3"/>
      <c r="H1143" s="3"/>
      <c r="I1143" s="3"/>
      <c r="J1143" s="3"/>
      <c r="K1143" s="3"/>
      <c r="L1143" s="3" t="s">
        <v>88</v>
      </c>
      <c r="M1143" s="3">
        <v>50</v>
      </c>
      <c r="N1143" s="3" t="s">
        <v>107</v>
      </c>
      <c r="O1143" s="3"/>
      <c r="P1143" s="3"/>
      <c r="Q1143" s="3">
        <v>0.77500000000000002</v>
      </c>
      <c r="R1143" s="3" t="s">
        <v>108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87</v>
      </c>
      <c r="C1144" s="3" t="s">
        <v>418</v>
      </c>
      <c r="D1144" s="3"/>
      <c r="E1144" s="3" t="s">
        <v>418</v>
      </c>
      <c r="F1144" s="3"/>
      <c r="G1144" s="3"/>
      <c r="H1144" s="3"/>
      <c r="I1144" s="3"/>
      <c r="J1144" s="3"/>
      <c r="K1144" s="3"/>
      <c r="L1144" s="3" t="s">
        <v>88</v>
      </c>
      <c r="M1144" s="3">
        <v>60</v>
      </c>
      <c r="N1144" s="3" t="s">
        <v>267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87</v>
      </c>
      <c r="C1145" s="3" t="s">
        <v>418</v>
      </c>
      <c r="D1145" s="3"/>
      <c r="E1145" s="3" t="s">
        <v>418</v>
      </c>
      <c r="F1145" s="3"/>
      <c r="G1145" s="3"/>
      <c r="H1145" s="3"/>
      <c r="I1145" s="3"/>
      <c r="J1145" s="3"/>
      <c r="K1145" s="3"/>
      <c r="L1145" s="3" t="s">
        <v>88</v>
      </c>
      <c r="M1145" s="3">
        <v>70</v>
      </c>
      <c r="N1145" s="3" t="s">
        <v>109</v>
      </c>
      <c r="O1145" s="3"/>
      <c r="P1145" s="3"/>
      <c r="Q1145" s="3">
        <v>19.355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87</v>
      </c>
      <c r="C1146" s="3" t="s">
        <v>418</v>
      </c>
      <c r="D1146" s="3"/>
      <c r="E1146" s="3" t="s">
        <v>418</v>
      </c>
      <c r="F1146" s="3"/>
      <c r="G1146" s="3"/>
      <c r="H1146" s="3"/>
      <c r="I1146" s="3"/>
      <c r="J1146" s="3"/>
      <c r="K1146" s="3"/>
      <c r="L1146" s="3" t="s">
        <v>88</v>
      </c>
      <c r="M1146" s="3">
        <v>80</v>
      </c>
      <c r="N1146" s="3" t="s">
        <v>16</v>
      </c>
      <c r="O1146" s="3"/>
      <c r="P1146" s="3"/>
      <c r="Q1146" s="3">
        <v>119.96899999999999</v>
      </c>
      <c r="R1146" s="3" t="s">
        <v>14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87</v>
      </c>
      <c r="C1147" s="3" t="s">
        <v>418</v>
      </c>
      <c r="D1147" s="3"/>
      <c r="E1147" s="3" t="s">
        <v>418</v>
      </c>
      <c r="F1147" s="3"/>
      <c r="G1147" s="3"/>
      <c r="H1147" s="3"/>
      <c r="I1147" s="3"/>
      <c r="J1147" s="3"/>
      <c r="K1147" s="3"/>
      <c r="L1147" s="3" t="s">
        <v>88</v>
      </c>
      <c r="M1147" s="3">
        <v>90</v>
      </c>
      <c r="N1147" s="3" t="s">
        <v>265</v>
      </c>
      <c r="O1147" s="3"/>
      <c r="P1147" s="3"/>
      <c r="Q1147" s="3">
        <v>0.11600000000000001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87</v>
      </c>
      <c r="C1148" s="3" t="s">
        <v>418</v>
      </c>
      <c r="D1148" s="3"/>
      <c r="E1148" s="3" t="s">
        <v>418</v>
      </c>
      <c r="F1148" s="3"/>
      <c r="G1148" s="3"/>
      <c r="H1148" s="3"/>
      <c r="I1148" s="3"/>
      <c r="J1148" s="3"/>
      <c r="K1148" s="3"/>
      <c r="L1148" s="3" t="s">
        <v>88</v>
      </c>
      <c r="M1148" s="3">
        <v>100</v>
      </c>
      <c r="N1148" s="3" t="s">
        <v>269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87</v>
      </c>
      <c r="C1149" s="3" t="s">
        <v>418</v>
      </c>
      <c r="D1149" s="3"/>
      <c r="E1149" s="3" t="s">
        <v>418</v>
      </c>
      <c r="F1149" s="3"/>
      <c r="G1149" s="3"/>
      <c r="H1149" s="3"/>
      <c r="I1149" s="3"/>
      <c r="J1149" s="3"/>
      <c r="K1149" s="3"/>
      <c r="L1149" s="3" t="s">
        <v>88</v>
      </c>
      <c r="M1149" s="3">
        <v>110</v>
      </c>
      <c r="N1149" s="3" t="s">
        <v>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87</v>
      </c>
      <c r="C1150" s="3" t="s">
        <v>418</v>
      </c>
      <c r="D1150" s="3"/>
      <c r="E1150" s="3" t="s">
        <v>418</v>
      </c>
      <c r="F1150" s="3"/>
      <c r="G1150" s="3"/>
      <c r="H1150" s="3"/>
      <c r="I1150" s="3"/>
      <c r="J1150" s="3"/>
      <c r="K1150" s="3"/>
      <c r="L1150" s="3" t="s">
        <v>88</v>
      </c>
      <c r="M1150" s="3">
        <v>120</v>
      </c>
      <c r="N1150" s="3" t="s">
        <v>21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87</v>
      </c>
      <c r="C1151" s="3" t="s">
        <v>418</v>
      </c>
      <c r="D1151" s="3"/>
      <c r="E1151" s="3" t="s">
        <v>418</v>
      </c>
      <c r="F1151" s="3"/>
      <c r="G1151" s="3"/>
      <c r="H1151" s="3"/>
      <c r="I1151" s="3"/>
      <c r="J1151" s="3"/>
      <c r="K1151" s="3"/>
      <c r="L1151" s="3" t="s">
        <v>88</v>
      </c>
      <c r="M1151" s="3">
        <v>130</v>
      </c>
      <c r="N1151" s="3" t="s">
        <v>110</v>
      </c>
      <c r="O1151" s="3"/>
      <c r="P1151" s="3"/>
      <c r="Q1151" s="3">
        <v>0.82399999999999995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87</v>
      </c>
      <c r="C1152" s="3" t="s">
        <v>418</v>
      </c>
      <c r="D1152" s="3"/>
      <c r="E1152" s="3" t="s">
        <v>418</v>
      </c>
      <c r="F1152" s="3"/>
      <c r="G1152" s="3"/>
      <c r="H1152" s="3"/>
      <c r="I1152" s="3"/>
      <c r="J1152" s="3"/>
      <c r="K1152" s="3"/>
      <c r="L1152" s="3" t="s">
        <v>88</v>
      </c>
      <c r="M1152" s="3">
        <v>140</v>
      </c>
      <c r="N1152" s="3" t="s">
        <v>421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87</v>
      </c>
      <c r="C1153" s="3" t="s">
        <v>422</v>
      </c>
      <c r="D1153" s="3"/>
      <c r="E1153" s="3" t="s">
        <v>422</v>
      </c>
      <c r="F1153" s="3"/>
      <c r="G1153" s="3"/>
      <c r="H1153" s="3"/>
      <c r="I1153" s="3"/>
      <c r="J1153" s="3"/>
      <c r="K1153" s="3"/>
      <c r="L1153" s="3" t="s">
        <v>88</v>
      </c>
      <c r="M1153" s="3">
        <v>10</v>
      </c>
      <c r="N1153" s="3" t="s">
        <v>116</v>
      </c>
      <c r="O1153" s="3"/>
      <c r="P1153" s="3"/>
      <c r="Q1153" s="3">
        <v>1.397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87</v>
      </c>
      <c r="C1154" s="3" t="s">
        <v>422</v>
      </c>
      <c r="D1154" s="3"/>
      <c r="E1154" s="3" t="s">
        <v>422</v>
      </c>
      <c r="F1154" s="3"/>
      <c r="G1154" s="3"/>
      <c r="H1154" s="3"/>
      <c r="I1154" s="3"/>
      <c r="J1154" s="3"/>
      <c r="K1154" s="3"/>
      <c r="L1154" s="3" t="s">
        <v>88</v>
      </c>
      <c r="M1154" s="3">
        <v>20</v>
      </c>
      <c r="N1154" s="3" t="s">
        <v>423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87</v>
      </c>
      <c r="C1155" s="3" t="s">
        <v>422</v>
      </c>
      <c r="D1155" s="3"/>
      <c r="E1155" s="3" t="s">
        <v>422</v>
      </c>
      <c r="F1155" s="3"/>
      <c r="G1155" s="3"/>
      <c r="H1155" s="3"/>
      <c r="I1155" s="3"/>
      <c r="J1155" s="3"/>
      <c r="K1155" s="3"/>
      <c r="L1155" s="3" t="s">
        <v>88</v>
      </c>
      <c r="M1155" s="3">
        <v>30</v>
      </c>
      <c r="N1155" s="3" t="s">
        <v>424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87</v>
      </c>
      <c r="C1156" s="3" t="s">
        <v>422</v>
      </c>
      <c r="D1156" s="3"/>
      <c r="E1156" s="3" t="s">
        <v>422</v>
      </c>
      <c r="F1156" s="3"/>
      <c r="G1156" s="3"/>
      <c r="H1156" s="3"/>
      <c r="I1156" s="3"/>
      <c r="J1156" s="3"/>
      <c r="K1156" s="3"/>
      <c r="L1156" s="3" t="s">
        <v>88</v>
      </c>
      <c r="M1156" s="3">
        <v>40</v>
      </c>
      <c r="N1156" s="3" t="s">
        <v>266</v>
      </c>
      <c r="O1156" s="3"/>
      <c r="P1156" s="3"/>
      <c r="Q1156" s="3">
        <v>1.397</v>
      </c>
      <c r="R1156" s="3" t="s">
        <v>14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87</v>
      </c>
      <c r="C1157" s="3" t="s">
        <v>422</v>
      </c>
      <c r="D1157" s="3"/>
      <c r="E1157" s="3" t="s">
        <v>422</v>
      </c>
      <c r="F1157" s="3"/>
      <c r="G1157" s="3"/>
      <c r="H1157" s="3"/>
      <c r="I1157" s="3"/>
      <c r="J1157" s="3"/>
      <c r="K1157" s="3"/>
      <c r="L1157" s="3" t="s">
        <v>88</v>
      </c>
      <c r="M1157" s="3">
        <v>50</v>
      </c>
      <c r="N1157" s="3" t="s">
        <v>107</v>
      </c>
      <c r="O1157" s="3"/>
      <c r="P1157" s="3"/>
      <c r="Q1157" s="3">
        <v>0.82</v>
      </c>
      <c r="R1157" s="3" t="s">
        <v>108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87</v>
      </c>
      <c r="C1158" s="3" t="s">
        <v>422</v>
      </c>
      <c r="D1158" s="3"/>
      <c r="E1158" s="3" t="s">
        <v>422</v>
      </c>
      <c r="F1158" s="3"/>
      <c r="G1158" s="3"/>
      <c r="H1158" s="3"/>
      <c r="I1158" s="3"/>
      <c r="J1158" s="3"/>
      <c r="K1158" s="3"/>
      <c r="L1158" s="3" t="s">
        <v>88</v>
      </c>
      <c r="M1158" s="3">
        <v>60</v>
      </c>
      <c r="N1158" s="3" t="s">
        <v>267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87</v>
      </c>
      <c r="C1159" s="3" t="s">
        <v>422</v>
      </c>
      <c r="D1159" s="3"/>
      <c r="E1159" s="3" t="s">
        <v>422</v>
      </c>
      <c r="F1159" s="3"/>
      <c r="G1159" s="3"/>
      <c r="H1159" s="3"/>
      <c r="I1159" s="3"/>
      <c r="J1159" s="3"/>
      <c r="K1159" s="3"/>
      <c r="L1159" s="3" t="s">
        <v>88</v>
      </c>
      <c r="M1159" s="3">
        <v>70</v>
      </c>
      <c r="N1159" s="3" t="s">
        <v>109</v>
      </c>
      <c r="O1159" s="3"/>
      <c r="P1159" s="3"/>
      <c r="Q1159" s="3">
        <v>19.812000000000001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87</v>
      </c>
      <c r="C1160" s="3" t="s">
        <v>422</v>
      </c>
      <c r="D1160" s="3"/>
      <c r="E1160" s="3" t="s">
        <v>422</v>
      </c>
      <c r="F1160" s="3"/>
      <c r="G1160" s="3"/>
      <c r="H1160" s="3"/>
      <c r="I1160" s="3"/>
      <c r="J1160" s="3"/>
      <c r="K1160" s="3"/>
      <c r="L1160" s="3" t="s">
        <v>88</v>
      </c>
      <c r="M1160" s="3">
        <v>80</v>
      </c>
      <c r="N1160" s="3" t="s">
        <v>16</v>
      </c>
      <c r="O1160" s="3"/>
      <c r="P1160" s="3"/>
      <c r="Q1160" s="3">
        <v>122.78100000000001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87</v>
      </c>
      <c r="C1161" s="3" t="s">
        <v>422</v>
      </c>
      <c r="D1161" s="3"/>
      <c r="E1161" s="3" t="s">
        <v>422</v>
      </c>
      <c r="F1161" s="3"/>
      <c r="G1161" s="3"/>
      <c r="H1161" s="3"/>
      <c r="I1161" s="3"/>
      <c r="J1161" s="3"/>
      <c r="K1161" s="3"/>
      <c r="L1161" s="3" t="s">
        <v>88</v>
      </c>
      <c r="M1161" s="3">
        <v>90</v>
      </c>
      <c r="N1161" s="3" t="s">
        <v>265</v>
      </c>
      <c r="O1161" s="3"/>
      <c r="P1161" s="3"/>
      <c r="Q1161" s="3">
        <v>0.121</v>
      </c>
      <c r="R1161" s="3" t="s">
        <v>12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87</v>
      </c>
      <c r="C1162" s="3" t="s">
        <v>422</v>
      </c>
      <c r="D1162" s="3"/>
      <c r="E1162" s="3" t="s">
        <v>422</v>
      </c>
      <c r="F1162" s="3"/>
      <c r="G1162" s="3"/>
      <c r="H1162" s="3"/>
      <c r="I1162" s="3"/>
      <c r="J1162" s="3"/>
      <c r="K1162" s="3"/>
      <c r="L1162" s="3" t="s">
        <v>88</v>
      </c>
      <c r="M1162" s="3">
        <v>100</v>
      </c>
      <c r="N1162" s="3" t="s">
        <v>269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87</v>
      </c>
      <c r="C1163" s="3" t="s">
        <v>422</v>
      </c>
      <c r="D1163" s="3"/>
      <c r="E1163" s="3" t="s">
        <v>422</v>
      </c>
      <c r="F1163" s="3"/>
      <c r="G1163" s="3"/>
      <c r="H1163" s="3"/>
      <c r="I1163" s="3"/>
      <c r="J1163" s="3"/>
      <c r="K1163" s="3"/>
      <c r="L1163" s="3" t="s">
        <v>88</v>
      </c>
      <c r="M1163" s="3">
        <v>110</v>
      </c>
      <c r="N1163" s="3" t="s">
        <v>20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87</v>
      </c>
      <c r="C1164" s="3" t="s">
        <v>422</v>
      </c>
      <c r="D1164" s="3"/>
      <c r="E1164" s="3" t="s">
        <v>422</v>
      </c>
      <c r="F1164" s="3"/>
      <c r="G1164" s="3"/>
      <c r="H1164" s="3"/>
      <c r="I1164" s="3"/>
      <c r="J1164" s="3"/>
      <c r="K1164" s="3"/>
      <c r="L1164" s="3" t="s">
        <v>88</v>
      </c>
      <c r="M1164" s="3">
        <v>120</v>
      </c>
      <c r="N1164" s="3" t="s">
        <v>21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87</v>
      </c>
      <c r="C1165" s="3" t="s">
        <v>422</v>
      </c>
      <c r="D1165" s="3"/>
      <c r="E1165" s="3" t="s">
        <v>422</v>
      </c>
      <c r="F1165" s="3"/>
      <c r="G1165" s="3"/>
      <c r="H1165" s="3"/>
      <c r="I1165" s="3"/>
      <c r="J1165" s="3"/>
      <c r="K1165" s="3"/>
      <c r="L1165" s="3" t="s">
        <v>88</v>
      </c>
      <c r="M1165" s="3">
        <v>130</v>
      </c>
      <c r="N1165" s="3" t="s">
        <v>110</v>
      </c>
      <c r="O1165" s="3"/>
      <c r="P1165" s="3"/>
      <c r="Q1165" s="3">
        <v>0.86499999999999999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87</v>
      </c>
      <c r="C1166" s="3" t="s">
        <v>422</v>
      </c>
      <c r="D1166" s="3"/>
      <c r="E1166" s="3" t="s">
        <v>422</v>
      </c>
      <c r="F1166" s="3"/>
      <c r="G1166" s="3"/>
      <c r="H1166" s="3"/>
      <c r="I1166" s="3"/>
      <c r="J1166" s="3"/>
      <c r="K1166" s="3"/>
      <c r="L1166" s="3" t="s">
        <v>88</v>
      </c>
      <c r="M1166" s="3">
        <v>140</v>
      </c>
      <c r="N1166" s="3" t="s">
        <v>425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87</v>
      </c>
      <c r="C1167" s="3" t="s">
        <v>426</v>
      </c>
      <c r="D1167" s="3"/>
      <c r="E1167" s="3" t="s">
        <v>426</v>
      </c>
      <c r="F1167" s="3"/>
      <c r="G1167" s="3"/>
      <c r="H1167" s="3"/>
      <c r="I1167" s="3"/>
      <c r="J1167" s="3"/>
      <c r="K1167" s="3"/>
      <c r="L1167" s="3" t="s">
        <v>88</v>
      </c>
      <c r="M1167" s="3">
        <v>10</v>
      </c>
      <c r="N1167" s="3" t="s">
        <v>116</v>
      </c>
      <c r="O1167" s="3"/>
      <c r="P1167" s="3"/>
      <c r="Q1167" s="3">
        <v>1.4730000000000001</v>
      </c>
      <c r="R1167" s="3" t="s">
        <v>14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87</v>
      </c>
      <c r="C1168" s="3" t="s">
        <v>426</v>
      </c>
      <c r="D1168" s="3"/>
      <c r="E1168" s="3" t="s">
        <v>426</v>
      </c>
      <c r="F1168" s="3"/>
      <c r="G1168" s="3"/>
      <c r="H1168" s="3"/>
      <c r="I1168" s="3"/>
      <c r="J1168" s="3"/>
      <c r="K1168" s="3"/>
      <c r="L1168" s="3" t="s">
        <v>88</v>
      </c>
      <c r="M1168" s="3">
        <v>20</v>
      </c>
      <c r="N1168" s="3" t="s">
        <v>427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87</v>
      </c>
      <c r="C1169" s="3" t="s">
        <v>426</v>
      </c>
      <c r="D1169" s="3"/>
      <c r="E1169" s="3" t="s">
        <v>426</v>
      </c>
      <c r="F1169" s="3"/>
      <c r="G1169" s="3"/>
      <c r="H1169" s="3"/>
      <c r="I1169" s="3"/>
      <c r="J1169" s="3"/>
      <c r="K1169" s="3"/>
      <c r="L1169" s="3" t="s">
        <v>88</v>
      </c>
      <c r="M1169" s="3">
        <v>30</v>
      </c>
      <c r="N1169" s="3" t="s">
        <v>428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87</v>
      </c>
      <c r="C1170" s="3" t="s">
        <v>426</v>
      </c>
      <c r="D1170" s="3"/>
      <c r="E1170" s="3" t="s">
        <v>426</v>
      </c>
      <c r="F1170" s="3"/>
      <c r="G1170" s="3"/>
      <c r="H1170" s="3"/>
      <c r="I1170" s="3"/>
      <c r="J1170" s="3"/>
      <c r="K1170" s="3"/>
      <c r="L1170" s="3" t="s">
        <v>88</v>
      </c>
      <c r="M1170" s="3">
        <v>40</v>
      </c>
      <c r="N1170" s="3" t="s">
        <v>266</v>
      </c>
      <c r="O1170" s="3"/>
      <c r="P1170" s="3"/>
      <c r="Q1170" s="3">
        <v>1.4730000000000001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87</v>
      </c>
      <c r="C1171" s="3" t="s">
        <v>426</v>
      </c>
      <c r="D1171" s="3"/>
      <c r="E1171" s="3" t="s">
        <v>426</v>
      </c>
      <c r="F1171" s="3"/>
      <c r="G1171" s="3"/>
      <c r="H1171" s="3"/>
      <c r="I1171" s="3"/>
      <c r="J1171" s="3"/>
      <c r="K1171" s="3"/>
      <c r="L1171" s="3" t="s">
        <v>88</v>
      </c>
      <c r="M1171" s="3">
        <v>50</v>
      </c>
      <c r="N1171" s="3" t="s">
        <v>107</v>
      </c>
      <c r="O1171" s="3"/>
      <c r="P1171" s="3"/>
      <c r="Q1171" s="3">
        <v>0.86599999999999999</v>
      </c>
      <c r="R1171" s="3" t="s">
        <v>108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87</v>
      </c>
      <c r="C1172" s="3" t="s">
        <v>426</v>
      </c>
      <c r="D1172" s="3"/>
      <c r="E1172" s="3" t="s">
        <v>426</v>
      </c>
      <c r="F1172" s="3"/>
      <c r="G1172" s="3"/>
      <c r="H1172" s="3"/>
      <c r="I1172" s="3"/>
      <c r="J1172" s="3"/>
      <c r="K1172" s="3"/>
      <c r="L1172" s="3" t="s">
        <v>88</v>
      </c>
      <c r="M1172" s="3">
        <v>60</v>
      </c>
      <c r="N1172" s="3" t="s">
        <v>267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87</v>
      </c>
      <c r="C1173" s="3" t="s">
        <v>426</v>
      </c>
      <c r="D1173" s="3"/>
      <c r="E1173" s="3" t="s">
        <v>426</v>
      </c>
      <c r="F1173" s="3"/>
      <c r="G1173" s="3"/>
      <c r="H1173" s="3"/>
      <c r="I1173" s="3"/>
      <c r="J1173" s="3"/>
      <c r="K1173" s="3"/>
      <c r="L1173" s="3" t="s">
        <v>88</v>
      </c>
      <c r="M1173" s="3">
        <v>70</v>
      </c>
      <c r="N1173" s="3" t="s">
        <v>109</v>
      </c>
      <c r="O1173" s="3"/>
      <c r="P1173" s="3"/>
      <c r="Q1173" s="3">
        <v>20.268999999999998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87</v>
      </c>
      <c r="C1174" s="3" t="s">
        <v>426</v>
      </c>
      <c r="D1174" s="3"/>
      <c r="E1174" s="3" t="s">
        <v>426</v>
      </c>
      <c r="F1174" s="3"/>
      <c r="G1174" s="3"/>
      <c r="H1174" s="3"/>
      <c r="I1174" s="3"/>
      <c r="J1174" s="3"/>
      <c r="K1174" s="3"/>
      <c r="L1174" s="3" t="s">
        <v>88</v>
      </c>
      <c r="M1174" s="3">
        <v>80</v>
      </c>
      <c r="N1174" s="3" t="s">
        <v>16</v>
      </c>
      <c r="O1174" s="3"/>
      <c r="P1174" s="3"/>
      <c r="Q1174" s="3">
        <v>125.593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87</v>
      </c>
      <c r="C1175" s="3" t="s">
        <v>426</v>
      </c>
      <c r="D1175" s="3"/>
      <c r="E1175" s="3" t="s">
        <v>426</v>
      </c>
      <c r="F1175" s="3"/>
      <c r="G1175" s="3"/>
      <c r="H1175" s="3"/>
      <c r="I1175" s="3"/>
      <c r="J1175" s="3"/>
      <c r="K1175" s="3"/>
      <c r="L1175" s="3" t="s">
        <v>88</v>
      </c>
      <c r="M1175" s="3">
        <v>90</v>
      </c>
      <c r="N1175" s="3" t="s">
        <v>265</v>
      </c>
      <c r="O1175" s="3"/>
      <c r="P1175" s="3"/>
      <c r="Q1175" s="3">
        <v>0.126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87</v>
      </c>
      <c r="C1176" s="3" t="s">
        <v>426</v>
      </c>
      <c r="D1176" s="3"/>
      <c r="E1176" s="3" t="s">
        <v>426</v>
      </c>
      <c r="F1176" s="3"/>
      <c r="G1176" s="3"/>
      <c r="H1176" s="3"/>
      <c r="I1176" s="3"/>
      <c r="J1176" s="3"/>
      <c r="K1176" s="3"/>
      <c r="L1176" s="3" t="s">
        <v>88</v>
      </c>
      <c r="M1176" s="3">
        <v>100</v>
      </c>
      <c r="N1176" s="3" t="s">
        <v>269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87</v>
      </c>
      <c r="C1177" s="3" t="s">
        <v>426</v>
      </c>
      <c r="D1177" s="3"/>
      <c r="E1177" s="3" t="s">
        <v>426</v>
      </c>
      <c r="F1177" s="3"/>
      <c r="G1177" s="3"/>
      <c r="H1177" s="3"/>
      <c r="I1177" s="3"/>
      <c r="J1177" s="3"/>
      <c r="K1177" s="3"/>
      <c r="L1177" s="3" t="s">
        <v>88</v>
      </c>
      <c r="M1177" s="3">
        <v>110</v>
      </c>
      <c r="N1177" s="3" t="s">
        <v>20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87</v>
      </c>
      <c r="C1178" s="3" t="s">
        <v>426</v>
      </c>
      <c r="D1178" s="3"/>
      <c r="E1178" s="3" t="s">
        <v>426</v>
      </c>
      <c r="F1178" s="3"/>
      <c r="G1178" s="3"/>
      <c r="H1178" s="3"/>
      <c r="I1178" s="3"/>
      <c r="J1178" s="3"/>
      <c r="K1178" s="3"/>
      <c r="L1178" s="3" t="s">
        <v>88</v>
      </c>
      <c r="M1178" s="3">
        <v>120</v>
      </c>
      <c r="N1178" s="3" t="s">
        <v>21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87</v>
      </c>
      <c r="C1179" s="3" t="s">
        <v>426</v>
      </c>
      <c r="D1179" s="3"/>
      <c r="E1179" s="3" t="s">
        <v>426</v>
      </c>
      <c r="F1179" s="3"/>
      <c r="G1179" s="3"/>
      <c r="H1179" s="3"/>
      <c r="I1179" s="3"/>
      <c r="J1179" s="3"/>
      <c r="K1179" s="3"/>
      <c r="L1179" s="3" t="s">
        <v>88</v>
      </c>
      <c r="M1179" s="3">
        <v>130</v>
      </c>
      <c r="N1179" s="3" t="s">
        <v>110</v>
      </c>
      <c r="O1179" s="3"/>
      <c r="P1179" s="3"/>
      <c r="Q1179" s="3">
        <v>0.90500000000000003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87</v>
      </c>
      <c r="C1180" s="3" t="s">
        <v>426</v>
      </c>
      <c r="D1180" s="3"/>
      <c r="E1180" s="3" t="s">
        <v>426</v>
      </c>
      <c r="F1180" s="3"/>
      <c r="G1180" s="3"/>
      <c r="H1180" s="3"/>
      <c r="I1180" s="3"/>
      <c r="J1180" s="3"/>
      <c r="K1180" s="3"/>
      <c r="L1180" s="3" t="s">
        <v>88</v>
      </c>
      <c r="M1180" s="3">
        <v>140</v>
      </c>
      <c r="N1180" s="3" t="s">
        <v>429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87</v>
      </c>
      <c r="C1181" s="3" t="s">
        <v>430</v>
      </c>
      <c r="D1181" s="3"/>
      <c r="E1181" s="3" t="s">
        <v>430</v>
      </c>
      <c r="F1181" s="3"/>
      <c r="G1181" s="3"/>
      <c r="H1181" s="3"/>
      <c r="I1181" s="3"/>
      <c r="J1181" s="3"/>
      <c r="K1181" s="3"/>
      <c r="L1181" s="3" t="s">
        <v>88</v>
      </c>
      <c r="M1181" s="3">
        <v>10</v>
      </c>
      <c r="N1181" s="3" t="s">
        <v>116</v>
      </c>
      <c r="O1181" s="3"/>
      <c r="P1181" s="3"/>
      <c r="Q1181" s="3">
        <v>1.6259999999999999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87</v>
      </c>
      <c r="C1182" s="3" t="s">
        <v>430</v>
      </c>
      <c r="D1182" s="3"/>
      <c r="E1182" s="3" t="s">
        <v>430</v>
      </c>
      <c r="F1182" s="3"/>
      <c r="G1182" s="3"/>
      <c r="H1182" s="3"/>
      <c r="I1182" s="3"/>
      <c r="J1182" s="3"/>
      <c r="K1182" s="3"/>
      <c r="L1182" s="3" t="s">
        <v>88</v>
      </c>
      <c r="M1182" s="3">
        <v>20</v>
      </c>
      <c r="N1182" s="3" t="s">
        <v>431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87</v>
      </c>
      <c r="C1183" s="3" t="s">
        <v>430</v>
      </c>
      <c r="D1183" s="3"/>
      <c r="E1183" s="3" t="s">
        <v>430</v>
      </c>
      <c r="F1183" s="3"/>
      <c r="G1183" s="3"/>
      <c r="H1183" s="3"/>
      <c r="I1183" s="3"/>
      <c r="J1183" s="3"/>
      <c r="K1183" s="3"/>
      <c r="L1183" s="3" t="s">
        <v>88</v>
      </c>
      <c r="M1183" s="3">
        <v>30</v>
      </c>
      <c r="N1183" s="3" t="s">
        <v>432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87</v>
      </c>
      <c r="C1184" s="3" t="s">
        <v>430</v>
      </c>
      <c r="D1184" s="3"/>
      <c r="E1184" s="3" t="s">
        <v>430</v>
      </c>
      <c r="F1184" s="3"/>
      <c r="G1184" s="3"/>
      <c r="H1184" s="3"/>
      <c r="I1184" s="3"/>
      <c r="J1184" s="3"/>
      <c r="K1184" s="3"/>
      <c r="L1184" s="3" t="s">
        <v>88</v>
      </c>
      <c r="M1184" s="3">
        <v>40</v>
      </c>
      <c r="N1184" s="3" t="s">
        <v>266</v>
      </c>
      <c r="O1184" s="3"/>
      <c r="P1184" s="3"/>
      <c r="Q1184" s="3">
        <v>1.6259999999999999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87</v>
      </c>
      <c r="C1185" s="3" t="s">
        <v>430</v>
      </c>
      <c r="D1185" s="3"/>
      <c r="E1185" s="3" t="s">
        <v>430</v>
      </c>
      <c r="F1185" s="3"/>
      <c r="G1185" s="3"/>
      <c r="H1185" s="3"/>
      <c r="I1185" s="3"/>
      <c r="J1185" s="3"/>
      <c r="K1185" s="3"/>
      <c r="L1185" s="3" t="s">
        <v>88</v>
      </c>
      <c r="M1185" s="3">
        <v>50</v>
      </c>
      <c r="N1185" s="3" t="s">
        <v>107</v>
      </c>
      <c r="O1185" s="3"/>
      <c r="P1185" s="3"/>
      <c r="Q1185" s="3">
        <v>0.95699999999999996</v>
      </c>
      <c r="R1185" s="3" t="s">
        <v>108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87</v>
      </c>
      <c r="C1186" s="3" t="s">
        <v>430</v>
      </c>
      <c r="D1186" s="3"/>
      <c r="E1186" s="3" t="s">
        <v>430</v>
      </c>
      <c r="F1186" s="3"/>
      <c r="G1186" s="3"/>
      <c r="H1186" s="3"/>
      <c r="I1186" s="3"/>
      <c r="J1186" s="3"/>
      <c r="K1186" s="3"/>
      <c r="L1186" s="3" t="s">
        <v>88</v>
      </c>
      <c r="M1186" s="3">
        <v>60</v>
      </c>
      <c r="N1186" s="3" t="s">
        <v>267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87</v>
      </c>
      <c r="C1187" s="3" t="s">
        <v>430</v>
      </c>
      <c r="D1187" s="3"/>
      <c r="E1187" s="3" t="s">
        <v>430</v>
      </c>
      <c r="F1187" s="3"/>
      <c r="G1187" s="3"/>
      <c r="H1187" s="3"/>
      <c r="I1187" s="3"/>
      <c r="J1187" s="3"/>
      <c r="K1187" s="3"/>
      <c r="L1187" s="3" t="s">
        <v>88</v>
      </c>
      <c r="M1187" s="3">
        <v>70</v>
      </c>
      <c r="N1187" s="3" t="s">
        <v>109</v>
      </c>
      <c r="O1187" s="3"/>
      <c r="P1187" s="3"/>
      <c r="Q1187" s="3">
        <v>21.184000000000001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87</v>
      </c>
      <c r="C1188" s="3" t="s">
        <v>430</v>
      </c>
      <c r="D1188" s="3"/>
      <c r="E1188" s="3" t="s">
        <v>430</v>
      </c>
      <c r="F1188" s="3"/>
      <c r="G1188" s="3"/>
      <c r="H1188" s="3"/>
      <c r="I1188" s="3"/>
      <c r="J1188" s="3"/>
      <c r="K1188" s="3"/>
      <c r="L1188" s="3" t="s">
        <v>88</v>
      </c>
      <c r="M1188" s="3">
        <v>80</v>
      </c>
      <c r="N1188" s="3" t="s">
        <v>16</v>
      </c>
      <c r="O1188" s="3"/>
      <c r="P1188" s="3"/>
      <c r="Q1188" s="3">
        <v>131.21600000000001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87</v>
      </c>
      <c r="C1189" s="3" t="s">
        <v>430</v>
      </c>
      <c r="D1189" s="3"/>
      <c r="E1189" s="3" t="s">
        <v>430</v>
      </c>
      <c r="F1189" s="3"/>
      <c r="G1189" s="3"/>
      <c r="H1189" s="3"/>
      <c r="I1189" s="3"/>
      <c r="J1189" s="3"/>
      <c r="K1189" s="3"/>
      <c r="L1189" s="3" t="s">
        <v>88</v>
      </c>
      <c r="M1189" s="3">
        <v>90</v>
      </c>
      <c r="N1189" s="3" t="s">
        <v>265</v>
      </c>
      <c r="O1189" s="3"/>
      <c r="P1189" s="3"/>
      <c r="Q1189" s="3">
        <v>0.13700000000000001</v>
      </c>
      <c r="R1189" s="3" t="s">
        <v>12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87</v>
      </c>
      <c r="C1190" s="3" t="s">
        <v>430</v>
      </c>
      <c r="D1190" s="3"/>
      <c r="E1190" s="3" t="s">
        <v>430</v>
      </c>
      <c r="F1190" s="3"/>
      <c r="G1190" s="3"/>
      <c r="H1190" s="3"/>
      <c r="I1190" s="3"/>
      <c r="J1190" s="3"/>
      <c r="K1190" s="3"/>
      <c r="L1190" s="3" t="s">
        <v>88</v>
      </c>
      <c r="M1190" s="3">
        <v>100</v>
      </c>
      <c r="N1190" s="3" t="s">
        <v>269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87</v>
      </c>
      <c r="C1191" s="3" t="s">
        <v>430</v>
      </c>
      <c r="D1191" s="3"/>
      <c r="E1191" s="3" t="s">
        <v>430</v>
      </c>
      <c r="F1191" s="3"/>
      <c r="G1191" s="3"/>
      <c r="H1191" s="3"/>
      <c r="I1191" s="3"/>
      <c r="J1191" s="3"/>
      <c r="K1191" s="3"/>
      <c r="L1191" s="3" t="s">
        <v>88</v>
      </c>
      <c r="M1191" s="3">
        <v>110</v>
      </c>
      <c r="N1191" s="3" t="s">
        <v>20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87</v>
      </c>
      <c r="C1192" s="3" t="s">
        <v>430</v>
      </c>
      <c r="D1192" s="3"/>
      <c r="E1192" s="3" t="s">
        <v>430</v>
      </c>
      <c r="F1192" s="3"/>
      <c r="G1192" s="3"/>
      <c r="H1192" s="3"/>
      <c r="I1192" s="3"/>
      <c r="J1192" s="3"/>
      <c r="K1192" s="3"/>
      <c r="L1192" s="3" t="s">
        <v>88</v>
      </c>
      <c r="M1192" s="3">
        <v>120</v>
      </c>
      <c r="N1192" s="3" t="s">
        <v>21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87</v>
      </c>
      <c r="C1193" s="3" t="s">
        <v>430</v>
      </c>
      <c r="D1193" s="3"/>
      <c r="E1193" s="3" t="s">
        <v>430</v>
      </c>
      <c r="F1193" s="3"/>
      <c r="G1193" s="3"/>
      <c r="H1193" s="3"/>
      <c r="I1193" s="3"/>
      <c r="J1193" s="3"/>
      <c r="K1193" s="3"/>
      <c r="L1193" s="3" t="s">
        <v>88</v>
      </c>
      <c r="M1193" s="3">
        <v>130</v>
      </c>
      <c r="N1193" s="3" t="s">
        <v>110</v>
      </c>
      <c r="O1193" s="3"/>
      <c r="P1193" s="3"/>
      <c r="Q1193" s="3">
        <v>0.98599999999999999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87</v>
      </c>
      <c r="C1194" s="3" t="s">
        <v>430</v>
      </c>
      <c r="D1194" s="3"/>
      <c r="E1194" s="3" t="s">
        <v>430</v>
      </c>
      <c r="F1194" s="3"/>
      <c r="G1194" s="3"/>
      <c r="H1194" s="3"/>
      <c r="I1194" s="3"/>
      <c r="J1194" s="3"/>
      <c r="K1194" s="3"/>
      <c r="L1194" s="3" t="s">
        <v>88</v>
      </c>
      <c r="M1194" s="3">
        <v>140</v>
      </c>
      <c r="N1194" s="3" t="s">
        <v>433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87</v>
      </c>
      <c r="C1195" s="3" t="s">
        <v>434</v>
      </c>
      <c r="D1195" s="3"/>
      <c r="E1195" s="3" t="s">
        <v>434</v>
      </c>
      <c r="F1195" s="3"/>
      <c r="G1195" s="3"/>
      <c r="H1195" s="3"/>
      <c r="I1195" s="3"/>
      <c r="J1195" s="3"/>
      <c r="K1195" s="3"/>
      <c r="L1195" s="3" t="s">
        <v>88</v>
      </c>
      <c r="M1195" s="3">
        <v>10</v>
      </c>
      <c r="N1195" s="3" t="s">
        <v>116</v>
      </c>
      <c r="O1195" s="3"/>
      <c r="P1195" s="3"/>
      <c r="Q1195" s="3">
        <v>1.778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87</v>
      </c>
      <c r="C1196" s="3" t="s">
        <v>434</v>
      </c>
      <c r="D1196" s="3"/>
      <c r="E1196" s="3" t="s">
        <v>434</v>
      </c>
      <c r="F1196" s="3"/>
      <c r="G1196" s="3"/>
      <c r="H1196" s="3"/>
      <c r="I1196" s="3"/>
      <c r="J1196" s="3"/>
      <c r="K1196" s="3"/>
      <c r="L1196" s="3" t="s">
        <v>88</v>
      </c>
      <c r="M1196" s="3">
        <v>20</v>
      </c>
      <c r="N1196" s="3" t="s">
        <v>435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87</v>
      </c>
      <c r="C1197" s="3" t="s">
        <v>434</v>
      </c>
      <c r="D1197" s="3"/>
      <c r="E1197" s="3" t="s">
        <v>434</v>
      </c>
      <c r="F1197" s="3"/>
      <c r="G1197" s="3"/>
      <c r="H1197" s="3"/>
      <c r="I1197" s="3"/>
      <c r="J1197" s="3"/>
      <c r="K1197" s="3"/>
      <c r="L1197" s="3" t="s">
        <v>88</v>
      </c>
      <c r="M1197" s="3">
        <v>30</v>
      </c>
      <c r="N1197" s="3" t="s">
        <v>436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87</v>
      </c>
      <c r="C1198" s="3" t="s">
        <v>434</v>
      </c>
      <c r="D1198" s="3"/>
      <c r="E1198" s="3" t="s">
        <v>434</v>
      </c>
      <c r="F1198" s="3"/>
      <c r="G1198" s="3"/>
      <c r="H1198" s="3"/>
      <c r="I1198" s="3"/>
      <c r="J1198" s="3"/>
      <c r="K1198" s="3"/>
      <c r="L1198" s="3" t="s">
        <v>88</v>
      </c>
      <c r="M1198" s="3">
        <v>40</v>
      </c>
      <c r="N1198" s="3" t="s">
        <v>266</v>
      </c>
      <c r="O1198" s="3"/>
      <c r="P1198" s="3"/>
      <c r="Q1198" s="3">
        <v>1.778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87</v>
      </c>
      <c r="C1199" s="3" t="s">
        <v>434</v>
      </c>
      <c r="D1199" s="3"/>
      <c r="E1199" s="3" t="s">
        <v>434</v>
      </c>
      <c r="F1199" s="3"/>
      <c r="G1199" s="3"/>
      <c r="H1199" s="3"/>
      <c r="I1199" s="3"/>
      <c r="J1199" s="3"/>
      <c r="K1199" s="3"/>
      <c r="L1199" s="3" t="s">
        <v>88</v>
      </c>
      <c r="M1199" s="3">
        <v>50</v>
      </c>
      <c r="N1199" s="3" t="s">
        <v>107</v>
      </c>
      <c r="O1199" s="3"/>
      <c r="P1199" s="3"/>
      <c r="Q1199" s="3">
        <v>1.048</v>
      </c>
      <c r="R1199" s="3" t="s">
        <v>108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87</v>
      </c>
      <c r="C1200" s="3" t="s">
        <v>434</v>
      </c>
      <c r="D1200" s="3"/>
      <c r="E1200" s="3" t="s">
        <v>434</v>
      </c>
      <c r="F1200" s="3"/>
      <c r="G1200" s="3"/>
      <c r="H1200" s="3"/>
      <c r="I1200" s="3"/>
      <c r="J1200" s="3"/>
      <c r="K1200" s="3"/>
      <c r="L1200" s="3" t="s">
        <v>88</v>
      </c>
      <c r="M1200" s="3">
        <v>60</v>
      </c>
      <c r="N1200" s="3" t="s">
        <v>267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87</v>
      </c>
      <c r="C1201" s="3" t="s">
        <v>434</v>
      </c>
      <c r="D1201" s="3"/>
      <c r="E1201" s="3" t="s">
        <v>434</v>
      </c>
      <c r="F1201" s="3"/>
      <c r="G1201" s="3"/>
      <c r="H1201" s="3"/>
      <c r="I1201" s="3"/>
      <c r="J1201" s="3"/>
      <c r="K1201" s="3"/>
      <c r="L1201" s="3" t="s">
        <v>88</v>
      </c>
      <c r="M1201" s="3">
        <v>70</v>
      </c>
      <c r="N1201" s="3" t="s">
        <v>109</v>
      </c>
      <c r="O1201" s="3"/>
      <c r="P1201" s="3"/>
      <c r="Q1201" s="3">
        <v>22.097999999999999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87</v>
      </c>
      <c r="C1202" s="3" t="s">
        <v>434</v>
      </c>
      <c r="D1202" s="3"/>
      <c r="E1202" s="3" t="s">
        <v>434</v>
      </c>
      <c r="F1202" s="3"/>
      <c r="G1202" s="3"/>
      <c r="H1202" s="3"/>
      <c r="I1202" s="3"/>
      <c r="J1202" s="3"/>
      <c r="K1202" s="3"/>
      <c r="L1202" s="3" t="s">
        <v>88</v>
      </c>
      <c r="M1202" s="3">
        <v>80</v>
      </c>
      <c r="N1202" s="3" t="s">
        <v>16</v>
      </c>
      <c r="O1202" s="3"/>
      <c r="P1202" s="3"/>
      <c r="Q1202" s="3">
        <v>136.84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87</v>
      </c>
      <c r="C1203" s="3" t="s">
        <v>434</v>
      </c>
      <c r="D1203" s="3"/>
      <c r="E1203" s="3" t="s">
        <v>434</v>
      </c>
      <c r="F1203" s="3"/>
      <c r="G1203" s="3"/>
      <c r="H1203" s="3"/>
      <c r="I1203" s="3"/>
      <c r="J1203" s="3"/>
      <c r="K1203" s="3"/>
      <c r="L1203" s="3" t="s">
        <v>88</v>
      </c>
      <c r="M1203" s="3">
        <v>90</v>
      </c>
      <c r="N1203" s="3" t="s">
        <v>265</v>
      </c>
      <c r="O1203" s="3"/>
      <c r="P1203" s="3"/>
      <c r="Q1203" s="3">
        <v>0.14799999999999999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87</v>
      </c>
      <c r="C1204" s="3" t="s">
        <v>434</v>
      </c>
      <c r="D1204" s="3"/>
      <c r="E1204" s="3" t="s">
        <v>434</v>
      </c>
      <c r="F1204" s="3"/>
      <c r="G1204" s="3"/>
      <c r="H1204" s="3"/>
      <c r="I1204" s="3"/>
      <c r="J1204" s="3"/>
      <c r="K1204" s="3"/>
      <c r="L1204" s="3" t="s">
        <v>88</v>
      </c>
      <c r="M1204" s="3">
        <v>100</v>
      </c>
      <c r="N1204" s="3" t="s">
        <v>269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87</v>
      </c>
      <c r="C1205" s="3" t="s">
        <v>434</v>
      </c>
      <c r="D1205" s="3"/>
      <c r="E1205" s="3" t="s">
        <v>434</v>
      </c>
      <c r="F1205" s="3"/>
      <c r="G1205" s="3"/>
      <c r="H1205" s="3"/>
      <c r="I1205" s="3"/>
      <c r="J1205" s="3"/>
      <c r="K1205" s="3"/>
      <c r="L1205" s="3" t="s">
        <v>88</v>
      </c>
      <c r="M1205" s="3">
        <v>110</v>
      </c>
      <c r="N1205" s="3" t="s">
        <v>20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87</v>
      </c>
      <c r="C1206" s="3" t="s">
        <v>434</v>
      </c>
      <c r="D1206" s="3"/>
      <c r="E1206" s="3" t="s">
        <v>434</v>
      </c>
      <c r="F1206" s="3"/>
      <c r="G1206" s="3"/>
      <c r="H1206" s="3"/>
      <c r="I1206" s="3"/>
      <c r="J1206" s="3"/>
      <c r="K1206" s="3"/>
      <c r="L1206" s="3" t="s">
        <v>88</v>
      </c>
      <c r="M1206" s="3">
        <v>120</v>
      </c>
      <c r="N1206" s="3" t="s">
        <v>21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87</v>
      </c>
      <c r="C1207" s="3" t="s">
        <v>434</v>
      </c>
      <c r="D1207" s="3"/>
      <c r="E1207" s="3" t="s">
        <v>434</v>
      </c>
      <c r="F1207" s="3"/>
      <c r="G1207" s="3"/>
      <c r="H1207" s="3"/>
      <c r="I1207" s="3"/>
      <c r="J1207" s="3"/>
      <c r="K1207" s="3"/>
      <c r="L1207" s="3" t="s">
        <v>88</v>
      </c>
      <c r="M1207" s="3">
        <v>130</v>
      </c>
      <c r="N1207" s="3" t="s">
        <v>110</v>
      </c>
      <c r="O1207" s="3"/>
      <c r="P1207" s="3"/>
      <c r="Q1207" s="3">
        <v>1.0669999999999999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87</v>
      </c>
      <c r="C1208" s="3" t="s">
        <v>434</v>
      </c>
      <c r="D1208" s="3"/>
      <c r="E1208" s="3" t="s">
        <v>434</v>
      </c>
      <c r="F1208" s="3"/>
      <c r="G1208" s="3"/>
      <c r="H1208" s="3"/>
      <c r="I1208" s="3"/>
      <c r="J1208" s="3"/>
      <c r="K1208" s="3"/>
      <c r="L1208" s="3" t="s">
        <v>88</v>
      </c>
      <c r="M1208" s="3">
        <v>140</v>
      </c>
      <c r="N1208" s="3" t="s">
        <v>437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87</v>
      </c>
      <c r="C1209" s="3" t="s">
        <v>438</v>
      </c>
      <c r="D1209" s="3"/>
      <c r="E1209" s="3" t="s">
        <v>438</v>
      </c>
      <c r="F1209" s="3"/>
      <c r="G1209" s="3"/>
      <c r="H1209" s="3"/>
      <c r="I1209" s="3"/>
      <c r="J1209" s="3"/>
      <c r="K1209" s="3"/>
      <c r="L1209" s="3" t="s">
        <v>88</v>
      </c>
      <c r="M1209" s="3">
        <v>10</v>
      </c>
      <c r="N1209" s="3" t="s">
        <v>116</v>
      </c>
      <c r="O1209" s="3"/>
      <c r="P1209" s="3"/>
      <c r="Q1209" s="3">
        <v>0.86399999999999999</v>
      </c>
      <c r="R1209" s="3" t="s">
        <v>14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87</v>
      </c>
      <c r="C1210" s="3" t="s">
        <v>438</v>
      </c>
      <c r="D1210" s="3"/>
      <c r="E1210" s="3" t="s">
        <v>438</v>
      </c>
      <c r="F1210" s="3"/>
      <c r="G1210" s="3"/>
      <c r="H1210" s="3"/>
      <c r="I1210" s="3"/>
      <c r="J1210" s="3"/>
      <c r="K1210" s="3"/>
      <c r="L1210" s="3" t="s">
        <v>88</v>
      </c>
      <c r="M1210" s="3">
        <v>20</v>
      </c>
      <c r="N1210" s="3" t="s">
        <v>439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87</v>
      </c>
      <c r="C1211" s="3" t="s">
        <v>438</v>
      </c>
      <c r="D1211" s="3"/>
      <c r="E1211" s="3" t="s">
        <v>438</v>
      </c>
      <c r="F1211" s="3"/>
      <c r="G1211" s="3"/>
      <c r="H1211" s="3"/>
      <c r="I1211" s="3"/>
      <c r="J1211" s="3"/>
      <c r="K1211" s="3"/>
      <c r="L1211" s="3" t="s">
        <v>88</v>
      </c>
      <c r="M1211" s="3">
        <v>30</v>
      </c>
      <c r="N1211" s="3" t="s">
        <v>440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87</v>
      </c>
      <c r="C1212" s="3" t="s">
        <v>438</v>
      </c>
      <c r="D1212" s="3"/>
      <c r="E1212" s="3" t="s">
        <v>438</v>
      </c>
      <c r="F1212" s="3"/>
      <c r="G1212" s="3"/>
      <c r="H1212" s="3"/>
      <c r="I1212" s="3"/>
      <c r="J1212" s="3"/>
      <c r="K1212" s="3"/>
      <c r="L1212" s="3" t="s">
        <v>88</v>
      </c>
      <c r="M1212" s="3">
        <v>40</v>
      </c>
      <c r="N1212" s="3" t="s">
        <v>266</v>
      </c>
      <c r="O1212" s="3"/>
      <c r="P1212" s="3"/>
      <c r="Q1212" s="3">
        <v>0.86399999999999999</v>
      </c>
      <c r="R1212" s="3" t="s">
        <v>14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87</v>
      </c>
      <c r="C1213" s="3" t="s">
        <v>438</v>
      </c>
      <c r="D1213" s="3"/>
      <c r="E1213" s="3" t="s">
        <v>438</v>
      </c>
      <c r="F1213" s="3"/>
      <c r="G1213" s="3"/>
      <c r="H1213" s="3"/>
      <c r="I1213" s="3"/>
      <c r="J1213" s="3"/>
      <c r="K1213" s="3"/>
      <c r="L1213" s="3" t="s">
        <v>88</v>
      </c>
      <c r="M1213" s="3">
        <v>50</v>
      </c>
      <c r="N1213" s="3" t="s">
        <v>107</v>
      </c>
      <c r="O1213" s="3"/>
      <c r="P1213" s="3"/>
      <c r="Q1213" s="3">
        <v>0.52100000000000002</v>
      </c>
      <c r="R1213" s="3" t="s">
        <v>108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87</v>
      </c>
      <c r="C1214" s="3" t="s">
        <v>438</v>
      </c>
      <c r="D1214" s="3"/>
      <c r="E1214" s="3" t="s">
        <v>438</v>
      </c>
      <c r="F1214" s="3"/>
      <c r="G1214" s="3"/>
      <c r="H1214" s="3"/>
      <c r="I1214" s="3"/>
      <c r="J1214" s="3"/>
      <c r="K1214" s="3"/>
      <c r="L1214" s="3" t="s">
        <v>88</v>
      </c>
      <c r="M1214" s="3">
        <v>60</v>
      </c>
      <c r="N1214" s="3" t="s">
        <v>267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87</v>
      </c>
      <c r="C1215" s="3" t="s">
        <v>438</v>
      </c>
      <c r="D1215" s="3"/>
      <c r="E1215" s="3" t="s">
        <v>438</v>
      </c>
      <c r="F1215" s="3"/>
      <c r="G1215" s="3"/>
      <c r="H1215" s="3"/>
      <c r="I1215" s="3"/>
      <c r="J1215" s="3"/>
      <c r="K1215" s="3"/>
      <c r="L1215" s="3" t="s">
        <v>88</v>
      </c>
      <c r="M1215" s="3">
        <v>70</v>
      </c>
      <c r="N1215" s="3" t="s">
        <v>109</v>
      </c>
      <c r="O1215" s="3"/>
      <c r="P1215" s="3"/>
      <c r="Q1215" s="3">
        <v>17.068999999999999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87</v>
      </c>
      <c r="C1216" s="3" t="s">
        <v>438</v>
      </c>
      <c r="D1216" s="3"/>
      <c r="E1216" s="3" t="s">
        <v>438</v>
      </c>
      <c r="F1216" s="3"/>
      <c r="G1216" s="3"/>
      <c r="H1216" s="3"/>
      <c r="I1216" s="3"/>
      <c r="J1216" s="3"/>
      <c r="K1216" s="3"/>
      <c r="L1216" s="3" t="s">
        <v>88</v>
      </c>
      <c r="M1216" s="3">
        <v>80</v>
      </c>
      <c r="N1216" s="3" t="s">
        <v>16</v>
      </c>
      <c r="O1216" s="3"/>
      <c r="P1216" s="3"/>
      <c r="Q1216" s="3">
        <v>105.91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87</v>
      </c>
      <c r="C1217" s="3" t="s">
        <v>438</v>
      </c>
      <c r="D1217" s="3"/>
      <c r="E1217" s="3" t="s">
        <v>438</v>
      </c>
      <c r="F1217" s="3"/>
      <c r="G1217" s="3"/>
      <c r="H1217" s="3"/>
      <c r="I1217" s="3"/>
      <c r="J1217" s="3"/>
      <c r="K1217" s="3"/>
      <c r="L1217" s="3" t="s">
        <v>88</v>
      </c>
      <c r="M1217" s="3">
        <v>90</v>
      </c>
      <c r="N1217" s="3" t="s">
        <v>265</v>
      </c>
      <c r="O1217" s="3"/>
      <c r="P1217" s="3"/>
      <c r="Q1217" s="3">
        <v>8.4000000000000005E-2</v>
      </c>
      <c r="R1217" s="3" t="s">
        <v>12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87</v>
      </c>
      <c r="C1218" s="3" t="s">
        <v>438</v>
      </c>
      <c r="D1218" s="3"/>
      <c r="E1218" s="3" t="s">
        <v>438</v>
      </c>
      <c r="F1218" s="3"/>
      <c r="G1218" s="3"/>
      <c r="H1218" s="3"/>
      <c r="I1218" s="3"/>
      <c r="J1218" s="3"/>
      <c r="K1218" s="3"/>
      <c r="L1218" s="3" t="s">
        <v>88</v>
      </c>
      <c r="M1218" s="3">
        <v>100</v>
      </c>
      <c r="N1218" s="3" t="s">
        <v>269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87</v>
      </c>
      <c r="C1219" s="3" t="s">
        <v>438</v>
      </c>
      <c r="D1219" s="3"/>
      <c r="E1219" s="3" t="s">
        <v>438</v>
      </c>
      <c r="F1219" s="3"/>
      <c r="G1219" s="3"/>
      <c r="H1219" s="3"/>
      <c r="I1219" s="3"/>
      <c r="J1219" s="3"/>
      <c r="K1219" s="3"/>
      <c r="L1219" s="3" t="s">
        <v>88</v>
      </c>
      <c r="M1219" s="3">
        <v>110</v>
      </c>
      <c r="N1219" s="3" t="s">
        <v>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87</v>
      </c>
      <c r="C1220" s="3" t="s">
        <v>438</v>
      </c>
      <c r="D1220" s="3"/>
      <c r="E1220" s="3" t="s">
        <v>438</v>
      </c>
      <c r="F1220" s="3"/>
      <c r="G1220" s="3"/>
      <c r="H1220" s="3"/>
      <c r="I1220" s="3"/>
      <c r="J1220" s="3"/>
      <c r="K1220" s="3"/>
      <c r="L1220" s="3" t="s">
        <v>88</v>
      </c>
      <c r="M1220" s="3">
        <v>120</v>
      </c>
      <c r="N1220" s="3" t="s">
        <v>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87</v>
      </c>
      <c r="C1221" s="3" t="s">
        <v>438</v>
      </c>
      <c r="D1221" s="3"/>
      <c r="E1221" s="3" t="s">
        <v>438</v>
      </c>
      <c r="F1221" s="3"/>
      <c r="G1221" s="3"/>
      <c r="H1221" s="3"/>
      <c r="I1221" s="3"/>
      <c r="J1221" s="3"/>
      <c r="K1221" s="3"/>
      <c r="L1221" s="3" t="s">
        <v>88</v>
      </c>
      <c r="M1221" s="3">
        <v>130</v>
      </c>
      <c r="N1221" s="3" t="s">
        <v>110</v>
      </c>
      <c r="O1221" s="3"/>
      <c r="P1221" s="3"/>
      <c r="Q1221" s="3">
        <v>0.58099999999999996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87</v>
      </c>
      <c r="C1222" s="3" t="s">
        <v>438</v>
      </c>
      <c r="D1222" s="3"/>
      <c r="E1222" s="3" t="s">
        <v>438</v>
      </c>
      <c r="F1222" s="3"/>
      <c r="G1222" s="3"/>
      <c r="H1222" s="3"/>
      <c r="I1222" s="3"/>
      <c r="J1222" s="3"/>
      <c r="K1222" s="3"/>
      <c r="L1222" s="3" t="s">
        <v>88</v>
      </c>
      <c r="M1222" s="3">
        <v>140</v>
      </c>
      <c r="N1222" s="3" t="s">
        <v>441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87</v>
      </c>
      <c r="C1223" s="3" t="s">
        <v>442</v>
      </c>
      <c r="D1223" s="3"/>
      <c r="E1223" s="3" t="s">
        <v>442</v>
      </c>
      <c r="F1223" s="3"/>
      <c r="G1223" s="3"/>
      <c r="H1223" s="3"/>
      <c r="I1223" s="3"/>
      <c r="J1223" s="3"/>
      <c r="K1223" s="3"/>
      <c r="L1223" s="3" t="s">
        <v>88</v>
      </c>
      <c r="M1223" s="3">
        <v>10</v>
      </c>
      <c r="N1223" s="3" t="s">
        <v>116</v>
      </c>
      <c r="O1223" s="3"/>
      <c r="P1223" s="3"/>
      <c r="Q1223" s="3">
        <v>1.016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87</v>
      </c>
      <c r="C1224" s="3" t="s">
        <v>442</v>
      </c>
      <c r="D1224" s="3"/>
      <c r="E1224" s="3" t="s">
        <v>442</v>
      </c>
      <c r="F1224" s="3"/>
      <c r="G1224" s="3"/>
      <c r="H1224" s="3"/>
      <c r="I1224" s="3"/>
      <c r="J1224" s="3"/>
      <c r="K1224" s="3"/>
      <c r="L1224" s="3" t="s">
        <v>88</v>
      </c>
      <c r="M1224" s="3">
        <v>20</v>
      </c>
      <c r="N1224" s="3" t="s">
        <v>443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87</v>
      </c>
      <c r="C1225" s="3" t="s">
        <v>442</v>
      </c>
      <c r="D1225" s="3"/>
      <c r="E1225" s="3" t="s">
        <v>442</v>
      </c>
      <c r="F1225" s="3"/>
      <c r="G1225" s="3"/>
      <c r="H1225" s="3"/>
      <c r="I1225" s="3"/>
      <c r="J1225" s="3"/>
      <c r="K1225" s="3"/>
      <c r="L1225" s="3" t="s">
        <v>88</v>
      </c>
      <c r="M1225" s="3">
        <v>30</v>
      </c>
      <c r="N1225" s="3" t="s">
        <v>444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87</v>
      </c>
      <c r="C1226" s="3" t="s">
        <v>442</v>
      </c>
      <c r="D1226" s="3"/>
      <c r="E1226" s="3" t="s">
        <v>442</v>
      </c>
      <c r="F1226" s="3"/>
      <c r="G1226" s="3"/>
      <c r="H1226" s="3"/>
      <c r="I1226" s="3"/>
      <c r="J1226" s="3"/>
      <c r="K1226" s="3"/>
      <c r="L1226" s="3" t="s">
        <v>88</v>
      </c>
      <c r="M1226" s="3">
        <v>40</v>
      </c>
      <c r="N1226" s="3" t="s">
        <v>266</v>
      </c>
      <c r="O1226" s="3"/>
      <c r="P1226" s="3"/>
      <c r="Q1226" s="3">
        <v>1.016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87</v>
      </c>
      <c r="C1227" s="3" t="s">
        <v>442</v>
      </c>
      <c r="D1227" s="3"/>
      <c r="E1227" s="3" t="s">
        <v>442</v>
      </c>
      <c r="F1227" s="3"/>
      <c r="G1227" s="3"/>
      <c r="H1227" s="3"/>
      <c r="I1227" s="3"/>
      <c r="J1227" s="3"/>
      <c r="K1227" s="3"/>
      <c r="L1227" s="3" t="s">
        <v>88</v>
      </c>
      <c r="M1227" s="3">
        <v>50</v>
      </c>
      <c r="N1227" s="3" t="s">
        <v>107</v>
      </c>
      <c r="O1227" s="3"/>
      <c r="P1227" s="3"/>
      <c r="Q1227" s="3">
        <v>0.61599999999999999</v>
      </c>
      <c r="R1227" s="3" t="s">
        <v>108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87</v>
      </c>
      <c r="C1228" s="3" t="s">
        <v>442</v>
      </c>
      <c r="D1228" s="3"/>
      <c r="E1228" s="3" t="s">
        <v>442</v>
      </c>
      <c r="F1228" s="3"/>
      <c r="G1228" s="3"/>
      <c r="H1228" s="3"/>
      <c r="I1228" s="3"/>
      <c r="J1228" s="3"/>
      <c r="K1228" s="3"/>
      <c r="L1228" s="3" t="s">
        <v>88</v>
      </c>
      <c r="M1228" s="3">
        <v>60</v>
      </c>
      <c r="N1228" s="3" t="s">
        <v>267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87</v>
      </c>
      <c r="C1229" s="3" t="s">
        <v>442</v>
      </c>
      <c r="D1229" s="3"/>
      <c r="E1229" s="3" t="s">
        <v>442</v>
      </c>
      <c r="F1229" s="3"/>
      <c r="G1229" s="3"/>
      <c r="H1229" s="3"/>
      <c r="I1229" s="3"/>
      <c r="J1229" s="3"/>
      <c r="K1229" s="3"/>
      <c r="L1229" s="3" t="s">
        <v>88</v>
      </c>
      <c r="M1229" s="3">
        <v>70</v>
      </c>
      <c r="N1229" s="3" t="s">
        <v>109</v>
      </c>
      <c r="O1229" s="3"/>
      <c r="P1229" s="3"/>
      <c r="Q1229" s="3">
        <v>17.983000000000001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87</v>
      </c>
      <c r="C1230" s="3" t="s">
        <v>442</v>
      </c>
      <c r="D1230" s="3"/>
      <c r="E1230" s="3" t="s">
        <v>442</v>
      </c>
      <c r="F1230" s="3"/>
      <c r="G1230" s="3"/>
      <c r="H1230" s="3"/>
      <c r="I1230" s="3"/>
      <c r="J1230" s="3"/>
      <c r="K1230" s="3"/>
      <c r="L1230" s="3" t="s">
        <v>88</v>
      </c>
      <c r="M1230" s="3">
        <v>80</v>
      </c>
      <c r="N1230" s="3" t="s">
        <v>16</v>
      </c>
      <c r="O1230" s="3"/>
      <c r="P1230" s="3"/>
      <c r="Q1230" s="3">
        <v>111.53400000000001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87</v>
      </c>
      <c r="C1231" s="3" t="s">
        <v>442</v>
      </c>
      <c r="D1231" s="3"/>
      <c r="E1231" s="3" t="s">
        <v>442</v>
      </c>
      <c r="F1231" s="3"/>
      <c r="G1231" s="3"/>
      <c r="H1231" s="3"/>
      <c r="I1231" s="3"/>
      <c r="J1231" s="3"/>
      <c r="K1231" s="3"/>
      <c r="L1231" s="3" t="s">
        <v>88</v>
      </c>
      <c r="M1231" s="3">
        <v>90</v>
      </c>
      <c r="N1231" s="3" t="s">
        <v>265</v>
      </c>
      <c r="O1231" s="3"/>
      <c r="P1231" s="3"/>
      <c r="Q1231" s="3">
        <v>9.4E-2</v>
      </c>
      <c r="R1231" s="3" t="s">
        <v>12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87</v>
      </c>
      <c r="C1232" s="3" t="s">
        <v>442</v>
      </c>
      <c r="D1232" s="3"/>
      <c r="E1232" s="3" t="s">
        <v>442</v>
      </c>
      <c r="F1232" s="3"/>
      <c r="G1232" s="3"/>
      <c r="H1232" s="3"/>
      <c r="I1232" s="3"/>
      <c r="J1232" s="3"/>
      <c r="K1232" s="3"/>
      <c r="L1232" s="3" t="s">
        <v>88</v>
      </c>
      <c r="M1232" s="3">
        <v>100</v>
      </c>
      <c r="N1232" s="3" t="s">
        <v>269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87</v>
      </c>
      <c r="C1233" s="3" t="s">
        <v>442</v>
      </c>
      <c r="D1233" s="3"/>
      <c r="E1233" s="3" t="s">
        <v>442</v>
      </c>
      <c r="F1233" s="3"/>
      <c r="G1233" s="3"/>
      <c r="H1233" s="3"/>
      <c r="I1233" s="3"/>
      <c r="J1233" s="3"/>
      <c r="K1233" s="3"/>
      <c r="L1233" s="3" t="s">
        <v>88</v>
      </c>
      <c r="M1233" s="3">
        <v>110</v>
      </c>
      <c r="N1233" s="3" t="s">
        <v>20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87</v>
      </c>
      <c r="C1234" s="3" t="s">
        <v>442</v>
      </c>
      <c r="D1234" s="3"/>
      <c r="E1234" s="3" t="s">
        <v>442</v>
      </c>
      <c r="F1234" s="3"/>
      <c r="G1234" s="3"/>
      <c r="H1234" s="3"/>
      <c r="I1234" s="3"/>
      <c r="J1234" s="3"/>
      <c r="K1234" s="3"/>
      <c r="L1234" s="3" t="s">
        <v>88</v>
      </c>
      <c r="M1234" s="3">
        <v>120</v>
      </c>
      <c r="N1234" s="3" t="s">
        <v>21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87</v>
      </c>
      <c r="C1235" s="3" t="s">
        <v>442</v>
      </c>
      <c r="D1235" s="3"/>
      <c r="E1235" s="3" t="s">
        <v>442</v>
      </c>
      <c r="F1235" s="3"/>
      <c r="G1235" s="3"/>
      <c r="H1235" s="3"/>
      <c r="I1235" s="3"/>
      <c r="J1235" s="3"/>
      <c r="K1235" s="3"/>
      <c r="L1235" s="3" t="s">
        <v>88</v>
      </c>
      <c r="M1235" s="3">
        <v>130</v>
      </c>
      <c r="N1235" s="3" t="s">
        <v>110</v>
      </c>
      <c r="O1235" s="3"/>
      <c r="P1235" s="3"/>
      <c r="Q1235" s="3">
        <v>0.66200000000000003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87</v>
      </c>
      <c r="C1236" s="3" t="s">
        <v>442</v>
      </c>
      <c r="D1236" s="3"/>
      <c r="E1236" s="3" t="s">
        <v>442</v>
      </c>
      <c r="F1236" s="3"/>
      <c r="G1236" s="3"/>
      <c r="H1236" s="3"/>
      <c r="I1236" s="3"/>
      <c r="J1236" s="3"/>
      <c r="K1236" s="3"/>
      <c r="L1236" s="3" t="s">
        <v>88</v>
      </c>
      <c r="M1236" s="3">
        <v>140</v>
      </c>
      <c r="N1236" s="3" t="s">
        <v>445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87</v>
      </c>
      <c r="C1237" s="3" t="s">
        <v>446</v>
      </c>
      <c r="D1237" s="3"/>
      <c r="E1237" s="3" t="s">
        <v>446</v>
      </c>
      <c r="F1237" s="3"/>
      <c r="G1237" s="3"/>
      <c r="H1237" s="3"/>
      <c r="I1237" s="3"/>
      <c r="J1237" s="3"/>
      <c r="K1237" s="3"/>
      <c r="L1237" s="3" t="s">
        <v>88</v>
      </c>
      <c r="M1237" s="3">
        <v>10</v>
      </c>
      <c r="N1237" s="3" t="s">
        <v>116</v>
      </c>
      <c r="O1237" s="3"/>
      <c r="P1237" s="3"/>
      <c r="Q1237" s="3">
        <v>1.1679999999999999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87</v>
      </c>
      <c r="C1238" s="3" t="s">
        <v>446</v>
      </c>
      <c r="D1238" s="3"/>
      <c r="E1238" s="3" t="s">
        <v>446</v>
      </c>
      <c r="F1238" s="3"/>
      <c r="G1238" s="3"/>
      <c r="H1238" s="3"/>
      <c r="I1238" s="3"/>
      <c r="J1238" s="3"/>
      <c r="K1238" s="3"/>
      <c r="L1238" s="3" t="s">
        <v>88</v>
      </c>
      <c r="M1238" s="3">
        <v>20</v>
      </c>
      <c r="N1238" s="3" t="s">
        <v>447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87</v>
      </c>
      <c r="C1239" s="3" t="s">
        <v>446</v>
      </c>
      <c r="D1239" s="3"/>
      <c r="E1239" s="3" t="s">
        <v>446</v>
      </c>
      <c r="F1239" s="3"/>
      <c r="G1239" s="3"/>
      <c r="H1239" s="3"/>
      <c r="I1239" s="3"/>
      <c r="J1239" s="3"/>
      <c r="K1239" s="3"/>
      <c r="L1239" s="3" t="s">
        <v>88</v>
      </c>
      <c r="M1239" s="3">
        <v>30</v>
      </c>
      <c r="N1239" s="3" t="s">
        <v>448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87</v>
      </c>
      <c r="C1240" s="3" t="s">
        <v>446</v>
      </c>
      <c r="D1240" s="3"/>
      <c r="E1240" s="3" t="s">
        <v>446</v>
      </c>
      <c r="F1240" s="3"/>
      <c r="G1240" s="3"/>
      <c r="H1240" s="3"/>
      <c r="I1240" s="3"/>
      <c r="J1240" s="3"/>
      <c r="K1240" s="3"/>
      <c r="L1240" s="3" t="s">
        <v>88</v>
      </c>
      <c r="M1240" s="3">
        <v>40</v>
      </c>
      <c r="N1240" s="3" t="s">
        <v>266</v>
      </c>
      <c r="O1240" s="3"/>
      <c r="P1240" s="3"/>
      <c r="Q1240" s="3">
        <v>1.1679999999999999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87</v>
      </c>
      <c r="C1241" s="3" t="s">
        <v>446</v>
      </c>
      <c r="D1241" s="3"/>
      <c r="E1241" s="3" t="s">
        <v>446</v>
      </c>
      <c r="F1241" s="3"/>
      <c r="G1241" s="3"/>
      <c r="H1241" s="3"/>
      <c r="I1241" s="3"/>
      <c r="J1241" s="3"/>
      <c r="K1241" s="3"/>
      <c r="L1241" s="3" t="s">
        <v>88</v>
      </c>
      <c r="M1241" s="3">
        <v>50</v>
      </c>
      <c r="N1241" s="3" t="s">
        <v>107</v>
      </c>
      <c r="O1241" s="3"/>
      <c r="P1241" s="3"/>
      <c r="Q1241" s="3">
        <v>0.71099999999999997</v>
      </c>
      <c r="R1241" s="3" t="s">
        <v>108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87</v>
      </c>
      <c r="C1242" s="3" t="s">
        <v>446</v>
      </c>
      <c r="D1242" s="3"/>
      <c r="E1242" s="3" t="s">
        <v>446</v>
      </c>
      <c r="F1242" s="3"/>
      <c r="G1242" s="3"/>
      <c r="H1242" s="3"/>
      <c r="I1242" s="3"/>
      <c r="J1242" s="3"/>
      <c r="K1242" s="3"/>
      <c r="L1242" s="3" t="s">
        <v>88</v>
      </c>
      <c r="M1242" s="3">
        <v>60</v>
      </c>
      <c r="N1242" s="3" t="s">
        <v>267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87</v>
      </c>
      <c r="C1243" s="3" t="s">
        <v>446</v>
      </c>
      <c r="D1243" s="3"/>
      <c r="E1243" s="3" t="s">
        <v>446</v>
      </c>
      <c r="F1243" s="3"/>
      <c r="G1243" s="3"/>
      <c r="H1243" s="3"/>
      <c r="I1243" s="3"/>
      <c r="J1243" s="3"/>
      <c r="K1243" s="3"/>
      <c r="L1243" s="3" t="s">
        <v>88</v>
      </c>
      <c r="M1243" s="3">
        <v>70</v>
      </c>
      <c r="N1243" s="3" t="s">
        <v>109</v>
      </c>
      <c r="O1243" s="3"/>
      <c r="P1243" s="3"/>
      <c r="Q1243" s="3">
        <v>18.898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87</v>
      </c>
      <c r="C1244" s="3" t="s">
        <v>446</v>
      </c>
      <c r="D1244" s="3"/>
      <c r="E1244" s="3" t="s">
        <v>446</v>
      </c>
      <c r="F1244" s="3"/>
      <c r="G1244" s="3"/>
      <c r="H1244" s="3"/>
      <c r="I1244" s="3"/>
      <c r="J1244" s="3"/>
      <c r="K1244" s="3"/>
      <c r="L1244" s="3" t="s">
        <v>88</v>
      </c>
      <c r="M1244" s="3">
        <v>80</v>
      </c>
      <c r="N1244" s="3" t="s">
        <v>16</v>
      </c>
      <c r="O1244" s="3"/>
      <c r="P1244" s="3"/>
      <c r="Q1244" s="3">
        <v>117.158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87</v>
      </c>
      <c r="C1245" s="3" t="s">
        <v>446</v>
      </c>
      <c r="D1245" s="3"/>
      <c r="E1245" s="3" t="s">
        <v>446</v>
      </c>
      <c r="F1245" s="3"/>
      <c r="G1245" s="3"/>
      <c r="H1245" s="3"/>
      <c r="I1245" s="3"/>
      <c r="J1245" s="3"/>
      <c r="K1245" s="3"/>
      <c r="L1245" s="3" t="s">
        <v>88</v>
      </c>
      <c r="M1245" s="3">
        <v>90</v>
      </c>
      <c r="N1245" s="3" t="s">
        <v>265</v>
      </c>
      <c r="O1245" s="3"/>
      <c r="P1245" s="3"/>
      <c r="Q1245" s="3">
        <v>0.105</v>
      </c>
      <c r="R1245" s="3" t="s">
        <v>12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87</v>
      </c>
      <c r="C1246" s="3" t="s">
        <v>446</v>
      </c>
      <c r="D1246" s="3"/>
      <c r="E1246" s="3" t="s">
        <v>446</v>
      </c>
      <c r="F1246" s="3"/>
      <c r="G1246" s="3"/>
      <c r="H1246" s="3"/>
      <c r="I1246" s="3"/>
      <c r="J1246" s="3"/>
      <c r="K1246" s="3"/>
      <c r="L1246" s="3" t="s">
        <v>88</v>
      </c>
      <c r="M1246" s="3">
        <v>100</v>
      </c>
      <c r="N1246" s="3" t="s">
        <v>269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87</v>
      </c>
      <c r="C1247" s="3" t="s">
        <v>446</v>
      </c>
      <c r="D1247" s="3"/>
      <c r="E1247" s="3" t="s">
        <v>446</v>
      </c>
      <c r="F1247" s="3"/>
      <c r="G1247" s="3"/>
      <c r="H1247" s="3"/>
      <c r="I1247" s="3"/>
      <c r="J1247" s="3"/>
      <c r="K1247" s="3"/>
      <c r="L1247" s="3" t="s">
        <v>88</v>
      </c>
      <c r="M1247" s="3">
        <v>110</v>
      </c>
      <c r="N1247" s="3" t="s">
        <v>20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87</v>
      </c>
      <c r="C1248" s="3" t="s">
        <v>446</v>
      </c>
      <c r="D1248" s="3"/>
      <c r="E1248" s="3" t="s">
        <v>446</v>
      </c>
      <c r="F1248" s="3"/>
      <c r="G1248" s="3"/>
      <c r="H1248" s="3"/>
      <c r="I1248" s="3"/>
      <c r="J1248" s="3"/>
      <c r="K1248" s="3"/>
      <c r="L1248" s="3" t="s">
        <v>88</v>
      </c>
      <c r="M1248" s="3">
        <v>120</v>
      </c>
      <c r="N1248" s="3" t="s">
        <v>21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87</v>
      </c>
      <c r="C1249" s="3" t="s">
        <v>446</v>
      </c>
      <c r="D1249" s="3"/>
      <c r="E1249" s="3" t="s">
        <v>446</v>
      </c>
      <c r="F1249" s="3"/>
      <c r="G1249" s="3"/>
      <c r="H1249" s="3"/>
      <c r="I1249" s="3"/>
      <c r="J1249" s="3"/>
      <c r="K1249" s="3"/>
      <c r="L1249" s="3" t="s">
        <v>88</v>
      </c>
      <c r="M1249" s="3">
        <v>130</v>
      </c>
      <c r="N1249" s="3" t="s">
        <v>110</v>
      </c>
      <c r="O1249" s="3"/>
      <c r="P1249" s="3"/>
      <c r="Q1249" s="3">
        <v>0.74299999999999999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87</v>
      </c>
      <c r="C1250" s="3" t="s">
        <v>446</v>
      </c>
      <c r="D1250" s="3"/>
      <c r="E1250" s="3" t="s">
        <v>446</v>
      </c>
      <c r="F1250" s="3"/>
      <c r="G1250" s="3"/>
      <c r="H1250" s="3"/>
      <c r="I1250" s="3"/>
      <c r="J1250" s="3"/>
      <c r="K1250" s="3"/>
      <c r="L1250" s="3" t="s">
        <v>88</v>
      </c>
      <c r="M1250" s="3">
        <v>140</v>
      </c>
      <c r="N1250" s="3" t="s">
        <v>449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87</v>
      </c>
      <c r="C1251" s="3" t="s">
        <v>450</v>
      </c>
      <c r="D1251" s="3"/>
      <c r="E1251" s="3" t="s">
        <v>450</v>
      </c>
      <c r="F1251" s="3"/>
      <c r="G1251" s="3"/>
      <c r="H1251" s="3"/>
      <c r="I1251" s="3"/>
      <c r="J1251" s="3"/>
      <c r="K1251" s="3"/>
      <c r="L1251" s="3" t="s">
        <v>88</v>
      </c>
      <c r="M1251" s="3">
        <v>10</v>
      </c>
      <c r="N1251" s="3" t="s">
        <v>116</v>
      </c>
      <c r="O1251" s="3"/>
      <c r="P1251" s="3"/>
      <c r="Q1251" s="3">
        <v>1.321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87</v>
      </c>
      <c r="C1252" s="3" t="s">
        <v>450</v>
      </c>
      <c r="D1252" s="3"/>
      <c r="E1252" s="3" t="s">
        <v>450</v>
      </c>
      <c r="F1252" s="3"/>
      <c r="G1252" s="3"/>
      <c r="H1252" s="3"/>
      <c r="I1252" s="3"/>
      <c r="J1252" s="3"/>
      <c r="K1252" s="3"/>
      <c r="L1252" s="3" t="s">
        <v>88</v>
      </c>
      <c r="M1252" s="3">
        <v>20</v>
      </c>
      <c r="N1252" s="3" t="s">
        <v>451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87</v>
      </c>
      <c r="C1253" s="3" t="s">
        <v>450</v>
      </c>
      <c r="D1253" s="3"/>
      <c r="E1253" s="3" t="s">
        <v>450</v>
      </c>
      <c r="F1253" s="3"/>
      <c r="G1253" s="3"/>
      <c r="H1253" s="3"/>
      <c r="I1253" s="3"/>
      <c r="J1253" s="3"/>
      <c r="K1253" s="3"/>
      <c r="L1253" s="3" t="s">
        <v>88</v>
      </c>
      <c r="M1253" s="3">
        <v>30</v>
      </c>
      <c r="N1253" s="3" t="s">
        <v>452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87</v>
      </c>
      <c r="C1254" s="3" t="s">
        <v>450</v>
      </c>
      <c r="D1254" s="3"/>
      <c r="E1254" s="3" t="s">
        <v>450</v>
      </c>
      <c r="F1254" s="3"/>
      <c r="G1254" s="3"/>
      <c r="H1254" s="3"/>
      <c r="I1254" s="3"/>
      <c r="J1254" s="3"/>
      <c r="K1254" s="3"/>
      <c r="L1254" s="3" t="s">
        <v>88</v>
      </c>
      <c r="M1254" s="3">
        <v>40</v>
      </c>
      <c r="N1254" s="3" t="s">
        <v>266</v>
      </c>
      <c r="O1254" s="3"/>
      <c r="P1254" s="3"/>
      <c r="Q1254" s="3">
        <v>1.321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87</v>
      </c>
      <c r="C1255" s="3" t="s">
        <v>450</v>
      </c>
      <c r="D1255" s="3"/>
      <c r="E1255" s="3" t="s">
        <v>450</v>
      </c>
      <c r="F1255" s="3"/>
      <c r="G1255" s="3"/>
      <c r="H1255" s="3"/>
      <c r="I1255" s="3"/>
      <c r="J1255" s="3"/>
      <c r="K1255" s="3"/>
      <c r="L1255" s="3" t="s">
        <v>88</v>
      </c>
      <c r="M1255" s="3">
        <v>50</v>
      </c>
      <c r="N1255" s="3" t="s">
        <v>107</v>
      </c>
      <c r="O1255" s="3"/>
      <c r="P1255" s="3"/>
      <c r="Q1255" s="3">
        <v>0.80600000000000005</v>
      </c>
      <c r="R1255" s="3" t="s">
        <v>108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87</v>
      </c>
      <c r="C1256" s="3" t="s">
        <v>450</v>
      </c>
      <c r="D1256" s="3"/>
      <c r="E1256" s="3" t="s">
        <v>450</v>
      </c>
      <c r="F1256" s="3"/>
      <c r="G1256" s="3"/>
      <c r="H1256" s="3"/>
      <c r="I1256" s="3"/>
      <c r="J1256" s="3"/>
      <c r="K1256" s="3"/>
      <c r="L1256" s="3" t="s">
        <v>88</v>
      </c>
      <c r="M1256" s="3">
        <v>60</v>
      </c>
      <c r="N1256" s="3" t="s">
        <v>267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87</v>
      </c>
      <c r="C1257" s="3" t="s">
        <v>450</v>
      </c>
      <c r="D1257" s="3"/>
      <c r="E1257" s="3" t="s">
        <v>450</v>
      </c>
      <c r="F1257" s="3"/>
      <c r="G1257" s="3"/>
      <c r="H1257" s="3"/>
      <c r="I1257" s="3"/>
      <c r="J1257" s="3"/>
      <c r="K1257" s="3"/>
      <c r="L1257" s="3" t="s">
        <v>88</v>
      </c>
      <c r="M1257" s="3">
        <v>70</v>
      </c>
      <c r="N1257" s="3" t="s">
        <v>109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87</v>
      </c>
      <c r="C1258" s="3" t="s">
        <v>450</v>
      </c>
      <c r="D1258" s="3"/>
      <c r="E1258" s="3" t="s">
        <v>450</v>
      </c>
      <c r="F1258" s="3"/>
      <c r="G1258" s="3"/>
      <c r="H1258" s="3"/>
      <c r="I1258" s="3"/>
      <c r="J1258" s="3"/>
      <c r="K1258" s="3"/>
      <c r="L1258" s="3" t="s">
        <v>88</v>
      </c>
      <c r="M1258" s="3">
        <v>80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87</v>
      </c>
      <c r="C1259" s="3" t="s">
        <v>450</v>
      </c>
      <c r="D1259" s="3"/>
      <c r="E1259" s="3" t="s">
        <v>450</v>
      </c>
      <c r="F1259" s="3"/>
      <c r="G1259" s="3"/>
      <c r="H1259" s="3"/>
      <c r="I1259" s="3"/>
      <c r="J1259" s="3"/>
      <c r="K1259" s="3"/>
      <c r="L1259" s="3" t="s">
        <v>88</v>
      </c>
      <c r="M1259" s="3">
        <v>90</v>
      </c>
      <c r="N1259" s="3" t="s">
        <v>265</v>
      </c>
      <c r="O1259" s="3"/>
      <c r="P1259" s="3"/>
      <c r="Q1259" s="3">
        <v>0.11600000000000001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87</v>
      </c>
      <c r="C1260" s="3" t="s">
        <v>450</v>
      </c>
      <c r="D1260" s="3"/>
      <c r="E1260" s="3" t="s">
        <v>450</v>
      </c>
      <c r="F1260" s="3"/>
      <c r="G1260" s="3"/>
      <c r="H1260" s="3"/>
      <c r="I1260" s="3"/>
      <c r="J1260" s="3"/>
      <c r="K1260" s="3"/>
      <c r="L1260" s="3" t="s">
        <v>88</v>
      </c>
      <c r="M1260" s="3">
        <v>100</v>
      </c>
      <c r="N1260" s="3" t="s">
        <v>269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87</v>
      </c>
      <c r="C1261" s="3" t="s">
        <v>450</v>
      </c>
      <c r="D1261" s="3"/>
      <c r="E1261" s="3" t="s">
        <v>450</v>
      </c>
      <c r="F1261" s="3"/>
      <c r="G1261" s="3"/>
      <c r="H1261" s="3"/>
      <c r="I1261" s="3"/>
      <c r="J1261" s="3"/>
      <c r="K1261" s="3"/>
      <c r="L1261" s="3" t="s">
        <v>88</v>
      </c>
      <c r="M1261" s="3">
        <v>110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87</v>
      </c>
      <c r="C1262" s="3" t="s">
        <v>450</v>
      </c>
      <c r="D1262" s="3"/>
      <c r="E1262" s="3" t="s">
        <v>450</v>
      </c>
      <c r="F1262" s="3"/>
      <c r="G1262" s="3"/>
      <c r="H1262" s="3"/>
      <c r="I1262" s="3"/>
      <c r="J1262" s="3"/>
      <c r="K1262" s="3"/>
      <c r="L1262" s="3" t="s">
        <v>88</v>
      </c>
      <c r="M1262" s="3">
        <v>120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87</v>
      </c>
      <c r="C1263" s="3" t="s">
        <v>450</v>
      </c>
      <c r="D1263" s="3"/>
      <c r="E1263" s="3" t="s">
        <v>450</v>
      </c>
      <c r="F1263" s="3"/>
      <c r="G1263" s="3"/>
      <c r="H1263" s="3"/>
      <c r="I1263" s="3"/>
      <c r="J1263" s="3"/>
      <c r="K1263" s="3"/>
      <c r="L1263" s="3" t="s">
        <v>88</v>
      </c>
      <c r="M1263" s="3">
        <v>130</v>
      </c>
      <c r="N1263" s="3" t="s">
        <v>110</v>
      </c>
      <c r="O1263" s="3"/>
      <c r="P1263" s="3"/>
      <c r="Q1263" s="3">
        <v>0.82399999999999995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87</v>
      </c>
      <c r="C1264" s="3" t="s">
        <v>450</v>
      </c>
      <c r="D1264" s="3"/>
      <c r="E1264" s="3" t="s">
        <v>450</v>
      </c>
      <c r="F1264" s="3"/>
      <c r="G1264" s="3"/>
      <c r="H1264" s="3"/>
      <c r="I1264" s="3"/>
      <c r="J1264" s="3"/>
      <c r="K1264" s="3"/>
      <c r="L1264" s="3" t="s">
        <v>88</v>
      </c>
      <c r="M1264" s="3">
        <v>140</v>
      </c>
      <c r="N1264" s="3" t="s">
        <v>453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87</v>
      </c>
      <c r="C1265" s="3" t="s">
        <v>454</v>
      </c>
      <c r="D1265" s="3"/>
      <c r="E1265" s="3" t="s">
        <v>454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116</v>
      </c>
      <c r="O1265" s="3"/>
      <c r="P1265" s="3"/>
      <c r="Q1265" s="3">
        <v>1.397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87</v>
      </c>
      <c r="C1266" s="3" t="s">
        <v>454</v>
      </c>
      <c r="D1266" s="3"/>
      <c r="E1266" s="3" t="s">
        <v>454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455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87</v>
      </c>
      <c r="C1267" s="3" t="s">
        <v>454</v>
      </c>
      <c r="D1267" s="3"/>
      <c r="E1267" s="3" t="s">
        <v>454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456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87</v>
      </c>
      <c r="C1268" s="3" t="s">
        <v>454</v>
      </c>
      <c r="D1268" s="3"/>
      <c r="E1268" s="3" t="s">
        <v>454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266</v>
      </c>
      <c r="O1268" s="3"/>
      <c r="P1268" s="3"/>
      <c r="Q1268" s="3">
        <v>1.397</v>
      </c>
      <c r="R1268" s="3" t="s">
        <v>14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87</v>
      </c>
      <c r="C1269" s="3" t="s">
        <v>454</v>
      </c>
      <c r="D1269" s="3"/>
      <c r="E1269" s="3" t="s">
        <v>454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107</v>
      </c>
      <c r="O1269" s="3"/>
      <c r="P1269" s="3"/>
      <c r="Q1269" s="3">
        <v>0.85299999999999998</v>
      </c>
      <c r="R1269" s="3" t="s">
        <v>108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87</v>
      </c>
      <c r="C1270" s="3" t="s">
        <v>454</v>
      </c>
      <c r="D1270" s="3"/>
      <c r="E1270" s="3" t="s">
        <v>454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267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87</v>
      </c>
      <c r="C1271" s="3" t="s">
        <v>454</v>
      </c>
      <c r="D1271" s="3"/>
      <c r="E1271" s="3" t="s">
        <v>454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109</v>
      </c>
      <c r="O1271" s="3"/>
      <c r="P1271" s="3"/>
      <c r="Q1271" s="3">
        <v>20.268999999999998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87</v>
      </c>
      <c r="C1272" s="3" t="s">
        <v>454</v>
      </c>
      <c r="D1272" s="3"/>
      <c r="E1272" s="3" t="s">
        <v>454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16</v>
      </c>
      <c r="O1272" s="3"/>
      <c r="P1272" s="3"/>
      <c r="Q1272" s="3">
        <v>125.593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87</v>
      </c>
      <c r="C1273" s="3" t="s">
        <v>454</v>
      </c>
      <c r="D1273" s="3"/>
      <c r="E1273" s="3" t="s">
        <v>454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265</v>
      </c>
      <c r="O1273" s="3"/>
      <c r="P1273" s="3"/>
      <c r="Q1273" s="3">
        <v>0.121</v>
      </c>
      <c r="R1273" s="3" t="s">
        <v>12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87</v>
      </c>
      <c r="C1274" s="3" t="s">
        <v>454</v>
      </c>
      <c r="D1274" s="3"/>
      <c r="E1274" s="3" t="s">
        <v>454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269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87</v>
      </c>
      <c r="C1275" s="3" t="s">
        <v>454</v>
      </c>
      <c r="D1275" s="3"/>
      <c r="E1275" s="3" t="s">
        <v>454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87</v>
      </c>
      <c r="C1276" s="3" t="s">
        <v>454</v>
      </c>
      <c r="D1276" s="3"/>
      <c r="E1276" s="3" t="s">
        <v>454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87</v>
      </c>
      <c r="C1277" s="3" t="s">
        <v>454</v>
      </c>
      <c r="D1277" s="3"/>
      <c r="E1277" s="3" t="s">
        <v>454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110</v>
      </c>
      <c r="O1277" s="3"/>
      <c r="P1277" s="3"/>
      <c r="Q1277" s="3">
        <v>0.86499999999999999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87</v>
      </c>
      <c r="C1278" s="3" t="s">
        <v>454</v>
      </c>
      <c r="D1278" s="3"/>
      <c r="E1278" s="3" t="s">
        <v>454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457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87</v>
      </c>
      <c r="C1279" s="3" t="s">
        <v>458</v>
      </c>
      <c r="D1279" s="3"/>
      <c r="E1279" s="3" t="s">
        <v>458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116</v>
      </c>
      <c r="O1279" s="3"/>
      <c r="P1279" s="3"/>
      <c r="Q1279" s="3">
        <v>1.4730000000000001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87</v>
      </c>
      <c r="C1280" s="3" t="s">
        <v>458</v>
      </c>
      <c r="D1280" s="3"/>
      <c r="E1280" s="3" t="s">
        <v>458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459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87</v>
      </c>
      <c r="C1281" s="3" t="s">
        <v>458</v>
      </c>
      <c r="D1281" s="3"/>
      <c r="E1281" s="3" t="s">
        <v>458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460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87</v>
      </c>
      <c r="C1282" s="3" t="s">
        <v>458</v>
      </c>
      <c r="D1282" s="3"/>
      <c r="E1282" s="3" t="s">
        <v>458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266</v>
      </c>
      <c r="O1282" s="3"/>
      <c r="P1282" s="3"/>
      <c r="Q1282" s="3">
        <v>1.4730000000000001</v>
      </c>
      <c r="R1282" s="3" t="s">
        <v>14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87</v>
      </c>
      <c r="C1283" s="3" t="s">
        <v>458</v>
      </c>
      <c r="D1283" s="3"/>
      <c r="E1283" s="3" t="s">
        <v>458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107</v>
      </c>
      <c r="O1283" s="3"/>
      <c r="P1283" s="3"/>
      <c r="Q1283" s="3">
        <v>0.9</v>
      </c>
      <c r="R1283" s="3" t="s">
        <v>108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87</v>
      </c>
      <c r="C1284" s="3" t="s">
        <v>458</v>
      </c>
      <c r="D1284" s="3"/>
      <c r="E1284" s="3" t="s">
        <v>458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267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87</v>
      </c>
      <c r="C1285" s="3" t="s">
        <v>458</v>
      </c>
      <c r="D1285" s="3"/>
      <c r="E1285" s="3" t="s">
        <v>458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109</v>
      </c>
      <c r="O1285" s="3"/>
      <c r="P1285" s="3"/>
      <c r="Q1285" s="3">
        <v>20.725999999999999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87</v>
      </c>
      <c r="C1286" s="3" t="s">
        <v>458</v>
      </c>
      <c r="D1286" s="3"/>
      <c r="E1286" s="3" t="s">
        <v>458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16</v>
      </c>
      <c r="O1286" s="3"/>
      <c r="P1286" s="3"/>
      <c r="Q1286" s="3">
        <v>128.405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87</v>
      </c>
      <c r="C1287" s="3" t="s">
        <v>458</v>
      </c>
      <c r="D1287" s="3"/>
      <c r="E1287" s="3" t="s">
        <v>458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265</v>
      </c>
      <c r="O1287" s="3"/>
      <c r="P1287" s="3"/>
      <c r="Q1287" s="3">
        <v>0.126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87</v>
      </c>
      <c r="C1288" s="3" t="s">
        <v>458</v>
      </c>
      <c r="D1288" s="3"/>
      <c r="E1288" s="3" t="s">
        <v>458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269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87</v>
      </c>
      <c r="C1289" s="3" t="s">
        <v>458</v>
      </c>
      <c r="D1289" s="3"/>
      <c r="E1289" s="3" t="s">
        <v>458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87</v>
      </c>
      <c r="C1290" s="3" t="s">
        <v>458</v>
      </c>
      <c r="D1290" s="3"/>
      <c r="E1290" s="3" t="s">
        <v>458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21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87</v>
      </c>
      <c r="C1291" s="3" t="s">
        <v>458</v>
      </c>
      <c r="D1291" s="3"/>
      <c r="E1291" s="3" t="s">
        <v>458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110</v>
      </c>
      <c r="O1291" s="3"/>
      <c r="P1291" s="3"/>
      <c r="Q1291" s="3">
        <v>0.90500000000000003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87</v>
      </c>
      <c r="C1292" s="3" t="s">
        <v>458</v>
      </c>
      <c r="D1292" s="3"/>
      <c r="E1292" s="3" t="s">
        <v>458</v>
      </c>
      <c r="F1292" s="3"/>
      <c r="G1292" s="3"/>
      <c r="H1292" s="3"/>
      <c r="I1292" s="3"/>
      <c r="J1292" s="3"/>
      <c r="K1292" s="3"/>
      <c r="L1292" s="3" t="s">
        <v>88</v>
      </c>
      <c r="M1292" s="3">
        <v>140</v>
      </c>
      <c r="N1292" s="3" t="s">
        <v>461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87</v>
      </c>
      <c r="C1293" s="3" t="s">
        <v>462</v>
      </c>
      <c r="D1293" s="3"/>
      <c r="E1293" s="3" t="s">
        <v>462</v>
      </c>
      <c r="F1293" s="3"/>
      <c r="G1293" s="3"/>
      <c r="H1293" s="3"/>
      <c r="I1293" s="3"/>
      <c r="J1293" s="3"/>
      <c r="K1293" s="3"/>
      <c r="L1293" s="3" t="s">
        <v>88</v>
      </c>
      <c r="M1293" s="3">
        <v>10</v>
      </c>
      <c r="N1293" s="3" t="s">
        <v>116</v>
      </c>
      <c r="O1293" s="3"/>
      <c r="P1293" s="3"/>
      <c r="Q1293" s="3">
        <v>1.6259999999999999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87</v>
      </c>
      <c r="C1294" s="3" t="s">
        <v>462</v>
      </c>
      <c r="D1294" s="3"/>
      <c r="E1294" s="3" t="s">
        <v>462</v>
      </c>
      <c r="F1294" s="3"/>
      <c r="G1294" s="3"/>
      <c r="H1294" s="3"/>
      <c r="I1294" s="3"/>
      <c r="J1294" s="3"/>
      <c r="K1294" s="3"/>
      <c r="L1294" s="3" t="s">
        <v>88</v>
      </c>
      <c r="M1294" s="3">
        <v>20</v>
      </c>
      <c r="N1294" s="3" t="s">
        <v>463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87</v>
      </c>
      <c r="C1295" s="3" t="s">
        <v>462</v>
      </c>
      <c r="D1295" s="3"/>
      <c r="E1295" s="3" t="s">
        <v>462</v>
      </c>
      <c r="F1295" s="3"/>
      <c r="G1295" s="3"/>
      <c r="H1295" s="3"/>
      <c r="I1295" s="3"/>
      <c r="J1295" s="3"/>
      <c r="K1295" s="3"/>
      <c r="L1295" s="3" t="s">
        <v>88</v>
      </c>
      <c r="M1295" s="3">
        <v>30</v>
      </c>
      <c r="N1295" s="3" t="s">
        <v>464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87</v>
      </c>
      <c r="C1296" s="3" t="s">
        <v>462</v>
      </c>
      <c r="D1296" s="3"/>
      <c r="E1296" s="3" t="s">
        <v>462</v>
      </c>
      <c r="F1296" s="3"/>
      <c r="G1296" s="3"/>
      <c r="H1296" s="3"/>
      <c r="I1296" s="3"/>
      <c r="J1296" s="3"/>
      <c r="K1296" s="3"/>
      <c r="L1296" s="3" t="s">
        <v>88</v>
      </c>
      <c r="M1296" s="3">
        <v>40</v>
      </c>
      <c r="N1296" s="3" t="s">
        <v>266</v>
      </c>
      <c r="O1296" s="3"/>
      <c r="P1296" s="3"/>
      <c r="Q1296" s="3">
        <v>1.6259999999999999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87</v>
      </c>
      <c r="C1297" s="3" t="s">
        <v>462</v>
      </c>
      <c r="D1297" s="3"/>
      <c r="E1297" s="3" t="s">
        <v>462</v>
      </c>
      <c r="F1297" s="3"/>
      <c r="G1297" s="3"/>
      <c r="H1297" s="3"/>
      <c r="I1297" s="3"/>
      <c r="J1297" s="3"/>
      <c r="K1297" s="3"/>
      <c r="L1297" s="3" t="s">
        <v>88</v>
      </c>
      <c r="M1297" s="3">
        <v>50</v>
      </c>
      <c r="N1297" s="3" t="s">
        <v>107</v>
      </c>
      <c r="O1297" s="3"/>
      <c r="P1297" s="3"/>
      <c r="Q1297" s="3">
        <v>0.995</v>
      </c>
      <c r="R1297" s="3" t="s">
        <v>108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87</v>
      </c>
      <c r="C1298" s="3" t="s">
        <v>462</v>
      </c>
      <c r="D1298" s="3"/>
      <c r="E1298" s="3" t="s">
        <v>462</v>
      </c>
      <c r="F1298" s="3"/>
      <c r="G1298" s="3"/>
      <c r="H1298" s="3"/>
      <c r="I1298" s="3"/>
      <c r="J1298" s="3"/>
      <c r="K1298" s="3"/>
      <c r="L1298" s="3" t="s">
        <v>88</v>
      </c>
      <c r="M1298" s="3">
        <v>60</v>
      </c>
      <c r="N1298" s="3" t="s">
        <v>267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87</v>
      </c>
      <c r="C1299" s="3" t="s">
        <v>462</v>
      </c>
      <c r="D1299" s="3"/>
      <c r="E1299" s="3" t="s">
        <v>462</v>
      </c>
      <c r="F1299" s="3"/>
      <c r="G1299" s="3"/>
      <c r="H1299" s="3"/>
      <c r="I1299" s="3"/>
      <c r="J1299" s="3"/>
      <c r="K1299" s="3"/>
      <c r="L1299" s="3" t="s">
        <v>88</v>
      </c>
      <c r="M1299" s="3">
        <v>70</v>
      </c>
      <c r="N1299" s="3" t="s">
        <v>109</v>
      </c>
      <c r="O1299" s="3"/>
      <c r="P1299" s="3"/>
      <c r="Q1299" s="3">
        <v>21.640999999999998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87</v>
      </c>
      <c r="C1300" s="3" t="s">
        <v>462</v>
      </c>
      <c r="D1300" s="3"/>
      <c r="E1300" s="3" t="s">
        <v>462</v>
      </c>
      <c r="F1300" s="3"/>
      <c r="G1300" s="3"/>
      <c r="H1300" s="3"/>
      <c r="I1300" s="3"/>
      <c r="J1300" s="3"/>
      <c r="K1300" s="3"/>
      <c r="L1300" s="3" t="s">
        <v>88</v>
      </c>
      <c r="M1300" s="3">
        <v>80</v>
      </c>
      <c r="N1300" s="3" t="s">
        <v>16</v>
      </c>
      <c r="O1300" s="3"/>
      <c r="P1300" s="3"/>
      <c r="Q1300" s="3">
        <v>134.02799999999999</v>
      </c>
      <c r="R1300" s="3" t="s">
        <v>14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87</v>
      </c>
      <c r="C1301" s="3" t="s">
        <v>462</v>
      </c>
      <c r="D1301" s="3"/>
      <c r="E1301" s="3" t="s">
        <v>462</v>
      </c>
      <c r="F1301" s="3"/>
      <c r="G1301" s="3"/>
      <c r="H1301" s="3"/>
      <c r="I1301" s="3"/>
      <c r="J1301" s="3"/>
      <c r="K1301" s="3"/>
      <c r="L1301" s="3" t="s">
        <v>88</v>
      </c>
      <c r="M1301" s="3">
        <v>90</v>
      </c>
      <c r="N1301" s="3" t="s">
        <v>265</v>
      </c>
      <c r="O1301" s="3"/>
      <c r="P1301" s="3"/>
      <c r="Q1301" s="3">
        <v>0.13700000000000001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87</v>
      </c>
      <c r="C1302" s="3" t="s">
        <v>462</v>
      </c>
      <c r="D1302" s="3"/>
      <c r="E1302" s="3" t="s">
        <v>462</v>
      </c>
      <c r="F1302" s="3"/>
      <c r="G1302" s="3"/>
      <c r="H1302" s="3"/>
      <c r="I1302" s="3"/>
      <c r="J1302" s="3"/>
      <c r="K1302" s="3"/>
      <c r="L1302" s="3" t="s">
        <v>88</v>
      </c>
      <c r="M1302" s="3">
        <v>100</v>
      </c>
      <c r="N1302" s="3" t="s">
        <v>269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87</v>
      </c>
      <c r="C1303" s="3" t="s">
        <v>462</v>
      </c>
      <c r="D1303" s="3"/>
      <c r="E1303" s="3" t="s">
        <v>462</v>
      </c>
      <c r="F1303" s="3"/>
      <c r="G1303" s="3"/>
      <c r="H1303" s="3"/>
      <c r="I1303" s="3"/>
      <c r="J1303" s="3"/>
      <c r="K1303" s="3"/>
      <c r="L1303" s="3" t="s">
        <v>88</v>
      </c>
      <c r="M1303" s="3">
        <v>110</v>
      </c>
      <c r="N1303" s="3" t="s">
        <v>20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87</v>
      </c>
      <c r="C1304" s="3" t="s">
        <v>462</v>
      </c>
      <c r="D1304" s="3"/>
      <c r="E1304" s="3" t="s">
        <v>462</v>
      </c>
      <c r="F1304" s="3"/>
      <c r="G1304" s="3"/>
      <c r="H1304" s="3"/>
      <c r="I1304" s="3"/>
      <c r="J1304" s="3"/>
      <c r="K1304" s="3"/>
      <c r="L1304" s="3" t="s">
        <v>88</v>
      </c>
      <c r="M1304" s="3">
        <v>120</v>
      </c>
      <c r="N1304" s="3" t="s">
        <v>21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87</v>
      </c>
      <c r="C1305" s="3" t="s">
        <v>462</v>
      </c>
      <c r="D1305" s="3"/>
      <c r="E1305" s="3" t="s">
        <v>462</v>
      </c>
      <c r="F1305" s="3"/>
      <c r="G1305" s="3"/>
      <c r="H1305" s="3"/>
      <c r="I1305" s="3"/>
      <c r="J1305" s="3"/>
      <c r="K1305" s="3"/>
      <c r="L1305" s="3" t="s">
        <v>88</v>
      </c>
      <c r="M1305" s="3">
        <v>130</v>
      </c>
      <c r="N1305" s="3" t="s">
        <v>110</v>
      </c>
      <c r="O1305" s="3"/>
      <c r="P1305" s="3"/>
      <c r="Q1305" s="3">
        <v>0.98599999999999999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87</v>
      </c>
      <c r="C1306" s="3" t="s">
        <v>462</v>
      </c>
      <c r="D1306" s="3"/>
      <c r="E1306" s="3" t="s">
        <v>462</v>
      </c>
      <c r="F1306" s="3"/>
      <c r="G1306" s="3"/>
      <c r="H1306" s="3"/>
      <c r="I1306" s="3"/>
      <c r="J1306" s="3"/>
      <c r="K1306" s="3"/>
      <c r="L1306" s="3" t="s">
        <v>88</v>
      </c>
      <c r="M1306" s="3">
        <v>140</v>
      </c>
      <c r="N1306" s="3" t="s">
        <v>465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87</v>
      </c>
      <c r="C1307" s="3" t="s">
        <v>466</v>
      </c>
      <c r="D1307" s="3"/>
      <c r="E1307" s="3" t="s">
        <v>466</v>
      </c>
      <c r="F1307" s="3"/>
      <c r="G1307" s="3"/>
      <c r="H1307" s="3"/>
      <c r="I1307" s="3"/>
      <c r="J1307" s="3"/>
      <c r="K1307" s="3"/>
      <c r="L1307" s="3" t="s">
        <v>88</v>
      </c>
      <c r="M1307" s="3">
        <v>10</v>
      </c>
      <c r="N1307" s="3" t="s">
        <v>116</v>
      </c>
      <c r="O1307" s="3"/>
      <c r="P1307" s="3"/>
      <c r="Q1307" s="3">
        <v>1.778</v>
      </c>
      <c r="R1307" s="3" t="s">
        <v>14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87</v>
      </c>
      <c r="C1308" s="3" t="s">
        <v>466</v>
      </c>
      <c r="D1308" s="3"/>
      <c r="E1308" s="3" t="s">
        <v>466</v>
      </c>
      <c r="F1308" s="3"/>
      <c r="G1308" s="3"/>
      <c r="H1308" s="3"/>
      <c r="I1308" s="3"/>
      <c r="J1308" s="3"/>
      <c r="K1308" s="3"/>
      <c r="L1308" s="3" t="s">
        <v>88</v>
      </c>
      <c r="M1308" s="3">
        <v>20</v>
      </c>
      <c r="N1308" s="3" t="s">
        <v>467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87</v>
      </c>
      <c r="C1309" s="3" t="s">
        <v>466</v>
      </c>
      <c r="D1309" s="3"/>
      <c r="E1309" s="3" t="s">
        <v>466</v>
      </c>
      <c r="F1309" s="3"/>
      <c r="G1309" s="3"/>
      <c r="H1309" s="3"/>
      <c r="I1309" s="3"/>
      <c r="J1309" s="3"/>
      <c r="K1309" s="3"/>
      <c r="L1309" s="3" t="s">
        <v>88</v>
      </c>
      <c r="M1309" s="3">
        <v>30</v>
      </c>
      <c r="N1309" s="3" t="s">
        <v>468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87</v>
      </c>
      <c r="C1310" s="3" t="s">
        <v>466</v>
      </c>
      <c r="D1310" s="3"/>
      <c r="E1310" s="3" t="s">
        <v>466</v>
      </c>
      <c r="F1310" s="3"/>
      <c r="G1310" s="3"/>
      <c r="H1310" s="3"/>
      <c r="I1310" s="3"/>
      <c r="J1310" s="3"/>
      <c r="K1310" s="3"/>
      <c r="L1310" s="3" t="s">
        <v>88</v>
      </c>
      <c r="M1310" s="3">
        <v>40</v>
      </c>
      <c r="N1310" s="3" t="s">
        <v>266</v>
      </c>
      <c r="O1310" s="3"/>
      <c r="P1310" s="3"/>
      <c r="Q1310" s="3">
        <v>1.778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87</v>
      </c>
      <c r="C1311" s="3" t="s">
        <v>466</v>
      </c>
      <c r="D1311" s="3"/>
      <c r="E1311" s="3" t="s">
        <v>466</v>
      </c>
      <c r="F1311" s="3"/>
      <c r="G1311" s="3"/>
      <c r="H1311" s="3"/>
      <c r="I1311" s="3"/>
      <c r="J1311" s="3"/>
      <c r="K1311" s="3"/>
      <c r="L1311" s="3" t="s">
        <v>88</v>
      </c>
      <c r="M1311" s="3">
        <v>50</v>
      </c>
      <c r="N1311" s="3" t="s">
        <v>107</v>
      </c>
      <c r="O1311" s="3"/>
      <c r="P1311" s="3"/>
      <c r="Q1311" s="3">
        <v>1.0900000000000001</v>
      </c>
      <c r="R1311" s="3" t="s">
        <v>108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87</v>
      </c>
      <c r="C1312" s="3" t="s">
        <v>466</v>
      </c>
      <c r="D1312" s="3"/>
      <c r="E1312" s="3" t="s">
        <v>466</v>
      </c>
      <c r="F1312" s="3"/>
      <c r="G1312" s="3"/>
      <c r="H1312" s="3"/>
      <c r="I1312" s="3"/>
      <c r="J1312" s="3"/>
      <c r="K1312" s="3"/>
      <c r="L1312" s="3" t="s">
        <v>88</v>
      </c>
      <c r="M1312" s="3">
        <v>60</v>
      </c>
      <c r="N1312" s="3" t="s">
        <v>267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87</v>
      </c>
      <c r="C1313" s="3" t="s">
        <v>466</v>
      </c>
      <c r="D1313" s="3"/>
      <c r="E1313" s="3" t="s">
        <v>466</v>
      </c>
      <c r="F1313" s="3"/>
      <c r="G1313" s="3"/>
      <c r="H1313" s="3"/>
      <c r="I1313" s="3"/>
      <c r="J1313" s="3"/>
      <c r="K1313" s="3"/>
      <c r="L1313" s="3" t="s">
        <v>88</v>
      </c>
      <c r="M1313" s="3">
        <v>70</v>
      </c>
      <c r="N1313" s="3" t="s">
        <v>109</v>
      </c>
      <c r="O1313" s="3"/>
      <c r="P1313" s="3"/>
      <c r="Q1313" s="3">
        <v>22.555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87</v>
      </c>
      <c r="C1314" s="3" t="s">
        <v>466</v>
      </c>
      <c r="D1314" s="3"/>
      <c r="E1314" s="3" t="s">
        <v>466</v>
      </c>
      <c r="F1314" s="3"/>
      <c r="G1314" s="3"/>
      <c r="H1314" s="3"/>
      <c r="I1314" s="3"/>
      <c r="J1314" s="3"/>
      <c r="K1314" s="3"/>
      <c r="L1314" s="3" t="s">
        <v>88</v>
      </c>
      <c r="M1314" s="3">
        <v>80</v>
      </c>
      <c r="N1314" s="3" t="s">
        <v>16</v>
      </c>
      <c r="O1314" s="3"/>
      <c r="P1314" s="3"/>
      <c r="Q1314" s="3">
        <v>139.65199999999999</v>
      </c>
      <c r="R1314" s="3" t="s">
        <v>14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87</v>
      </c>
      <c r="C1315" s="3" t="s">
        <v>466</v>
      </c>
      <c r="D1315" s="3"/>
      <c r="E1315" s="3" t="s">
        <v>466</v>
      </c>
      <c r="F1315" s="3"/>
      <c r="G1315" s="3"/>
      <c r="H1315" s="3"/>
      <c r="I1315" s="3"/>
      <c r="J1315" s="3"/>
      <c r="K1315" s="3"/>
      <c r="L1315" s="3" t="s">
        <v>88</v>
      </c>
      <c r="M1315" s="3">
        <v>90</v>
      </c>
      <c r="N1315" s="3" t="s">
        <v>265</v>
      </c>
      <c r="O1315" s="3"/>
      <c r="P1315" s="3"/>
      <c r="Q1315" s="3">
        <v>0.14799999999999999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87</v>
      </c>
      <c r="C1316" s="3" t="s">
        <v>466</v>
      </c>
      <c r="D1316" s="3"/>
      <c r="E1316" s="3" t="s">
        <v>466</v>
      </c>
      <c r="F1316" s="3"/>
      <c r="G1316" s="3"/>
      <c r="H1316" s="3"/>
      <c r="I1316" s="3"/>
      <c r="J1316" s="3"/>
      <c r="K1316" s="3"/>
      <c r="L1316" s="3" t="s">
        <v>88</v>
      </c>
      <c r="M1316" s="3">
        <v>100</v>
      </c>
      <c r="N1316" s="3" t="s">
        <v>269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87</v>
      </c>
      <c r="C1317" s="3" t="s">
        <v>466</v>
      </c>
      <c r="D1317" s="3"/>
      <c r="E1317" s="3" t="s">
        <v>466</v>
      </c>
      <c r="F1317" s="3"/>
      <c r="G1317" s="3"/>
      <c r="H1317" s="3"/>
      <c r="I1317" s="3"/>
      <c r="J1317" s="3"/>
      <c r="K1317" s="3"/>
      <c r="L1317" s="3" t="s">
        <v>88</v>
      </c>
      <c r="M1317" s="3">
        <v>110</v>
      </c>
      <c r="N1317" s="3" t="s">
        <v>20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87</v>
      </c>
      <c r="C1318" s="3" t="s">
        <v>466</v>
      </c>
      <c r="D1318" s="3"/>
      <c r="E1318" s="3" t="s">
        <v>466</v>
      </c>
      <c r="F1318" s="3"/>
      <c r="G1318" s="3"/>
      <c r="H1318" s="3"/>
      <c r="I1318" s="3"/>
      <c r="J1318" s="3"/>
      <c r="K1318" s="3"/>
      <c r="L1318" s="3" t="s">
        <v>88</v>
      </c>
      <c r="M1318" s="3">
        <v>120</v>
      </c>
      <c r="N1318" s="3" t="s">
        <v>21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87</v>
      </c>
      <c r="C1319" s="3" t="s">
        <v>466</v>
      </c>
      <c r="D1319" s="3"/>
      <c r="E1319" s="3" t="s">
        <v>466</v>
      </c>
      <c r="F1319" s="3"/>
      <c r="G1319" s="3"/>
      <c r="H1319" s="3"/>
      <c r="I1319" s="3"/>
      <c r="J1319" s="3"/>
      <c r="K1319" s="3"/>
      <c r="L1319" s="3" t="s">
        <v>88</v>
      </c>
      <c r="M1319" s="3">
        <v>130</v>
      </c>
      <c r="N1319" s="3" t="s">
        <v>110</v>
      </c>
      <c r="O1319" s="3"/>
      <c r="P1319" s="3"/>
      <c r="Q1319" s="3">
        <v>1.0669999999999999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87</v>
      </c>
      <c r="C1320" s="3" t="s">
        <v>466</v>
      </c>
      <c r="D1320" s="3"/>
      <c r="E1320" s="3" t="s">
        <v>466</v>
      </c>
      <c r="F1320" s="3"/>
      <c r="G1320" s="3"/>
      <c r="H1320" s="3"/>
      <c r="I1320" s="3"/>
      <c r="J1320" s="3"/>
      <c r="K1320" s="3"/>
      <c r="L1320" s="3" t="s">
        <v>88</v>
      </c>
      <c r="M1320" s="3">
        <v>140</v>
      </c>
      <c r="N1320" s="3" t="s">
        <v>469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87</v>
      </c>
      <c r="C1321" s="3" t="s">
        <v>470</v>
      </c>
      <c r="D1321" s="3"/>
      <c r="E1321" s="3" t="s">
        <v>470</v>
      </c>
      <c r="F1321" s="3"/>
      <c r="G1321" s="3"/>
      <c r="H1321" s="3"/>
      <c r="I1321" s="3"/>
      <c r="J1321" s="3"/>
      <c r="K1321" s="3"/>
      <c r="L1321" s="3" t="s">
        <v>88</v>
      </c>
      <c r="M1321" s="3">
        <v>10</v>
      </c>
      <c r="N1321" s="3" t="s">
        <v>116</v>
      </c>
      <c r="O1321" s="3"/>
      <c r="P1321" s="3"/>
      <c r="Q1321" s="3">
        <v>0.86399999999999999</v>
      </c>
      <c r="R1321" s="3" t="s">
        <v>14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87</v>
      </c>
      <c r="C1322" s="3" t="s">
        <v>470</v>
      </c>
      <c r="D1322" s="3"/>
      <c r="E1322" s="3" t="s">
        <v>470</v>
      </c>
      <c r="F1322" s="3"/>
      <c r="G1322" s="3"/>
      <c r="H1322" s="3"/>
      <c r="I1322" s="3"/>
      <c r="J1322" s="3"/>
      <c r="K1322" s="3"/>
      <c r="L1322" s="3" t="s">
        <v>88</v>
      </c>
      <c r="M1322" s="3">
        <v>20</v>
      </c>
      <c r="N1322" s="3" t="s">
        <v>471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87</v>
      </c>
      <c r="C1323" s="3" t="s">
        <v>470</v>
      </c>
      <c r="D1323" s="3"/>
      <c r="E1323" s="3" t="s">
        <v>470</v>
      </c>
      <c r="F1323" s="3"/>
      <c r="G1323" s="3"/>
      <c r="H1323" s="3"/>
      <c r="I1323" s="3"/>
      <c r="J1323" s="3"/>
      <c r="K1323" s="3"/>
      <c r="L1323" s="3" t="s">
        <v>88</v>
      </c>
      <c r="M1323" s="3">
        <v>30</v>
      </c>
      <c r="N1323" s="3" t="s">
        <v>472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87</v>
      </c>
      <c r="C1324" s="3" t="s">
        <v>470</v>
      </c>
      <c r="D1324" s="3"/>
      <c r="E1324" s="3" t="s">
        <v>470</v>
      </c>
      <c r="F1324" s="3"/>
      <c r="G1324" s="3"/>
      <c r="H1324" s="3"/>
      <c r="I1324" s="3"/>
      <c r="J1324" s="3"/>
      <c r="K1324" s="3"/>
      <c r="L1324" s="3" t="s">
        <v>88</v>
      </c>
      <c r="M1324" s="3">
        <v>40</v>
      </c>
      <c r="N1324" s="3" t="s">
        <v>266</v>
      </c>
      <c r="O1324" s="3"/>
      <c r="P1324" s="3"/>
      <c r="Q1324" s="3">
        <v>0.86399999999999999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87</v>
      </c>
      <c r="C1325" s="3" t="s">
        <v>470</v>
      </c>
      <c r="D1325" s="3"/>
      <c r="E1325" s="3" t="s">
        <v>470</v>
      </c>
      <c r="F1325" s="3"/>
      <c r="G1325" s="3"/>
      <c r="H1325" s="3"/>
      <c r="I1325" s="3"/>
      <c r="J1325" s="3"/>
      <c r="K1325" s="3"/>
      <c r="L1325" s="3" t="s">
        <v>88</v>
      </c>
      <c r="M1325" s="3">
        <v>50</v>
      </c>
      <c r="N1325" s="3" t="s">
        <v>107</v>
      </c>
      <c r="O1325" s="3"/>
      <c r="P1325" s="3"/>
      <c r="Q1325" s="3">
        <v>0.53500000000000003</v>
      </c>
      <c r="R1325" s="3" t="s">
        <v>108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87</v>
      </c>
      <c r="C1326" s="3" t="s">
        <v>470</v>
      </c>
      <c r="D1326" s="3"/>
      <c r="E1326" s="3" t="s">
        <v>470</v>
      </c>
      <c r="F1326" s="3"/>
      <c r="G1326" s="3"/>
      <c r="H1326" s="3"/>
      <c r="I1326" s="3"/>
      <c r="J1326" s="3"/>
      <c r="K1326" s="3"/>
      <c r="L1326" s="3" t="s">
        <v>88</v>
      </c>
      <c r="M1326" s="3">
        <v>60</v>
      </c>
      <c r="N1326" s="3" t="s">
        <v>267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87</v>
      </c>
      <c r="C1327" s="3" t="s">
        <v>470</v>
      </c>
      <c r="D1327" s="3"/>
      <c r="E1327" s="3" t="s">
        <v>470</v>
      </c>
      <c r="F1327" s="3"/>
      <c r="G1327" s="3"/>
      <c r="H1327" s="3"/>
      <c r="I1327" s="3"/>
      <c r="J1327" s="3"/>
      <c r="K1327" s="3"/>
      <c r="L1327" s="3" t="s">
        <v>88</v>
      </c>
      <c r="M1327" s="3">
        <v>70</v>
      </c>
      <c r="N1327" s="3" t="s">
        <v>109</v>
      </c>
      <c r="O1327" s="3"/>
      <c r="P1327" s="3"/>
      <c r="Q1327" s="3">
        <v>17.373999999999999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87</v>
      </c>
      <c r="C1328" s="3" t="s">
        <v>470</v>
      </c>
      <c r="D1328" s="3"/>
      <c r="E1328" s="3" t="s">
        <v>470</v>
      </c>
      <c r="F1328" s="3"/>
      <c r="G1328" s="3"/>
      <c r="H1328" s="3"/>
      <c r="I1328" s="3"/>
      <c r="J1328" s="3"/>
      <c r="K1328" s="3"/>
      <c r="L1328" s="3" t="s">
        <v>88</v>
      </c>
      <c r="M1328" s="3">
        <v>80</v>
      </c>
      <c r="N1328" s="3" t="s">
        <v>16</v>
      </c>
      <c r="O1328" s="3"/>
      <c r="P1328" s="3"/>
      <c r="Q1328" s="3">
        <v>107.785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87</v>
      </c>
      <c r="C1329" s="3" t="s">
        <v>470</v>
      </c>
      <c r="D1329" s="3"/>
      <c r="E1329" s="3" t="s">
        <v>470</v>
      </c>
      <c r="F1329" s="3"/>
      <c r="G1329" s="3"/>
      <c r="H1329" s="3"/>
      <c r="I1329" s="3"/>
      <c r="J1329" s="3"/>
      <c r="K1329" s="3"/>
      <c r="L1329" s="3" t="s">
        <v>88</v>
      </c>
      <c r="M1329" s="3">
        <v>90</v>
      </c>
      <c r="N1329" s="3" t="s">
        <v>265</v>
      </c>
      <c r="O1329" s="3"/>
      <c r="P1329" s="3"/>
      <c r="Q1329" s="3">
        <v>8.4000000000000005E-2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87</v>
      </c>
      <c r="C1330" s="3" t="s">
        <v>470</v>
      </c>
      <c r="D1330" s="3"/>
      <c r="E1330" s="3" t="s">
        <v>470</v>
      </c>
      <c r="F1330" s="3"/>
      <c r="G1330" s="3"/>
      <c r="H1330" s="3"/>
      <c r="I1330" s="3"/>
      <c r="J1330" s="3"/>
      <c r="K1330" s="3"/>
      <c r="L1330" s="3" t="s">
        <v>88</v>
      </c>
      <c r="M1330" s="3">
        <v>100</v>
      </c>
      <c r="N1330" s="3" t="s">
        <v>269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87</v>
      </c>
      <c r="C1331" s="3" t="s">
        <v>470</v>
      </c>
      <c r="D1331" s="3"/>
      <c r="E1331" s="3" t="s">
        <v>470</v>
      </c>
      <c r="F1331" s="3"/>
      <c r="G1331" s="3"/>
      <c r="H1331" s="3"/>
      <c r="I1331" s="3"/>
      <c r="J1331" s="3"/>
      <c r="K1331" s="3"/>
      <c r="L1331" s="3" t="s">
        <v>88</v>
      </c>
      <c r="M1331" s="3">
        <v>110</v>
      </c>
      <c r="N1331" s="3" t="s">
        <v>20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87</v>
      </c>
      <c r="C1332" s="3" t="s">
        <v>470</v>
      </c>
      <c r="D1332" s="3"/>
      <c r="E1332" s="3" t="s">
        <v>470</v>
      </c>
      <c r="F1332" s="3"/>
      <c r="G1332" s="3"/>
      <c r="H1332" s="3"/>
      <c r="I1332" s="3"/>
      <c r="J1332" s="3"/>
      <c r="K1332" s="3"/>
      <c r="L1332" s="3" t="s">
        <v>88</v>
      </c>
      <c r="M1332" s="3">
        <v>120</v>
      </c>
      <c r="N1332" s="3" t="s">
        <v>21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87</v>
      </c>
      <c r="C1333" s="3" t="s">
        <v>470</v>
      </c>
      <c r="D1333" s="3"/>
      <c r="E1333" s="3" t="s">
        <v>470</v>
      </c>
      <c r="F1333" s="3"/>
      <c r="G1333" s="3"/>
      <c r="H1333" s="3"/>
      <c r="I1333" s="3"/>
      <c r="J1333" s="3"/>
      <c r="K1333" s="3"/>
      <c r="L1333" s="3" t="s">
        <v>88</v>
      </c>
      <c r="M1333" s="3">
        <v>130</v>
      </c>
      <c r="N1333" s="3" t="s">
        <v>110</v>
      </c>
      <c r="O1333" s="3"/>
      <c r="P1333" s="3"/>
      <c r="Q1333" s="3">
        <v>1.216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87</v>
      </c>
      <c r="C1334" s="3" t="s">
        <v>470</v>
      </c>
      <c r="D1334" s="3"/>
      <c r="E1334" s="3" t="s">
        <v>470</v>
      </c>
      <c r="F1334" s="3"/>
      <c r="G1334" s="3"/>
      <c r="H1334" s="3"/>
      <c r="I1334" s="3"/>
      <c r="J1334" s="3"/>
      <c r="K1334" s="3"/>
      <c r="L1334" s="3" t="s">
        <v>88</v>
      </c>
      <c r="M1334" s="3">
        <v>140</v>
      </c>
      <c r="N1334" s="3" t="s">
        <v>473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87</v>
      </c>
      <c r="C1335" s="3" t="s">
        <v>474</v>
      </c>
      <c r="D1335" s="3"/>
      <c r="E1335" s="3" t="s">
        <v>474</v>
      </c>
      <c r="F1335" s="3"/>
      <c r="G1335" s="3"/>
      <c r="H1335" s="3"/>
      <c r="I1335" s="3"/>
      <c r="J1335" s="3"/>
      <c r="K1335" s="3"/>
      <c r="L1335" s="3" t="s">
        <v>88</v>
      </c>
      <c r="M1335" s="3">
        <v>10</v>
      </c>
      <c r="N1335" s="3" t="s">
        <v>116</v>
      </c>
      <c r="O1335" s="3"/>
      <c r="P1335" s="3"/>
      <c r="Q1335" s="3">
        <v>1.016</v>
      </c>
      <c r="R1335" s="3" t="s">
        <v>14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87</v>
      </c>
      <c r="C1336" s="3" t="s">
        <v>474</v>
      </c>
      <c r="D1336" s="3"/>
      <c r="E1336" s="3" t="s">
        <v>474</v>
      </c>
      <c r="F1336" s="3"/>
      <c r="G1336" s="3"/>
      <c r="H1336" s="3"/>
      <c r="I1336" s="3"/>
      <c r="J1336" s="3"/>
      <c r="K1336" s="3"/>
      <c r="L1336" s="3" t="s">
        <v>88</v>
      </c>
      <c r="M1336" s="3">
        <v>20</v>
      </c>
      <c r="N1336" s="3" t="s">
        <v>475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87</v>
      </c>
      <c r="C1337" s="3" t="s">
        <v>474</v>
      </c>
      <c r="D1337" s="3"/>
      <c r="E1337" s="3" t="s">
        <v>474</v>
      </c>
      <c r="F1337" s="3"/>
      <c r="G1337" s="3"/>
      <c r="H1337" s="3"/>
      <c r="I1337" s="3"/>
      <c r="J1337" s="3"/>
      <c r="K1337" s="3"/>
      <c r="L1337" s="3" t="s">
        <v>88</v>
      </c>
      <c r="M1337" s="3">
        <v>30</v>
      </c>
      <c r="N1337" s="3" t="s">
        <v>476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87</v>
      </c>
      <c r="C1338" s="3" t="s">
        <v>474</v>
      </c>
      <c r="D1338" s="3"/>
      <c r="E1338" s="3" t="s">
        <v>474</v>
      </c>
      <c r="F1338" s="3"/>
      <c r="G1338" s="3"/>
      <c r="H1338" s="3"/>
      <c r="I1338" s="3"/>
      <c r="J1338" s="3"/>
      <c r="K1338" s="3"/>
      <c r="L1338" s="3" t="s">
        <v>88</v>
      </c>
      <c r="M1338" s="3">
        <v>40</v>
      </c>
      <c r="N1338" s="3" t="s">
        <v>266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87</v>
      </c>
      <c r="C1339" s="3" t="s">
        <v>474</v>
      </c>
      <c r="D1339" s="3"/>
      <c r="E1339" s="3" t="s">
        <v>474</v>
      </c>
      <c r="F1339" s="3"/>
      <c r="G1339" s="3"/>
      <c r="H1339" s="3"/>
      <c r="I1339" s="3"/>
      <c r="J1339" s="3"/>
      <c r="K1339" s="3"/>
      <c r="L1339" s="3" t="s">
        <v>88</v>
      </c>
      <c r="M1339" s="3">
        <v>50</v>
      </c>
      <c r="N1339" s="3" t="s">
        <v>107</v>
      </c>
      <c r="O1339" s="3"/>
      <c r="P1339" s="3"/>
      <c r="Q1339" s="3">
        <v>0.63200000000000001</v>
      </c>
      <c r="R1339" s="3" t="s">
        <v>108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87</v>
      </c>
      <c r="C1340" s="3" t="s">
        <v>474</v>
      </c>
      <c r="D1340" s="3"/>
      <c r="E1340" s="3" t="s">
        <v>474</v>
      </c>
      <c r="F1340" s="3"/>
      <c r="G1340" s="3"/>
      <c r="H1340" s="3"/>
      <c r="I1340" s="3"/>
      <c r="J1340" s="3"/>
      <c r="K1340" s="3"/>
      <c r="L1340" s="3" t="s">
        <v>88</v>
      </c>
      <c r="M1340" s="3">
        <v>60</v>
      </c>
      <c r="N1340" s="3" t="s">
        <v>267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87</v>
      </c>
      <c r="C1341" s="3" t="s">
        <v>474</v>
      </c>
      <c r="D1341" s="3"/>
      <c r="E1341" s="3" t="s">
        <v>474</v>
      </c>
      <c r="F1341" s="3"/>
      <c r="G1341" s="3"/>
      <c r="H1341" s="3"/>
      <c r="I1341" s="3"/>
      <c r="J1341" s="3"/>
      <c r="K1341" s="3"/>
      <c r="L1341" s="3" t="s">
        <v>88</v>
      </c>
      <c r="M1341" s="3">
        <v>70</v>
      </c>
      <c r="N1341" s="3" t="s">
        <v>109</v>
      </c>
      <c r="O1341" s="3"/>
      <c r="P1341" s="3"/>
      <c r="Q1341" s="3">
        <v>18.288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87</v>
      </c>
      <c r="C1342" s="3" t="s">
        <v>474</v>
      </c>
      <c r="D1342" s="3"/>
      <c r="E1342" s="3" t="s">
        <v>474</v>
      </c>
      <c r="F1342" s="3"/>
      <c r="G1342" s="3"/>
      <c r="H1342" s="3"/>
      <c r="I1342" s="3"/>
      <c r="J1342" s="3"/>
      <c r="K1342" s="3"/>
      <c r="L1342" s="3" t="s">
        <v>88</v>
      </c>
      <c r="M1342" s="3">
        <v>80</v>
      </c>
      <c r="N1342" s="3" t="s">
        <v>16</v>
      </c>
      <c r="O1342" s="3"/>
      <c r="P1342" s="3"/>
      <c r="Q1342" s="3">
        <v>113.408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87</v>
      </c>
      <c r="C1343" s="3" t="s">
        <v>474</v>
      </c>
      <c r="D1343" s="3"/>
      <c r="E1343" s="3" t="s">
        <v>474</v>
      </c>
      <c r="F1343" s="3"/>
      <c r="G1343" s="3"/>
      <c r="H1343" s="3"/>
      <c r="I1343" s="3"/>
      <c r="J1343" s="3"/>
      <c r="K1343" s="3"/>
      <c r="L1343" s="3" t="s">
        <v>88</v>
      </c>
      <c r="M1343" s="3">
        <v>90</v>
      </c>
      <c r="N1343" s="3" t="s">
        <v>265</v>
      </c>
      <c r="O1343" s="3"/>
      <c r="P1343" s="3"/>
      <c r="Q1343" s="3">
        <v>9.4E-2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87</v>
      </c>
      <c r="C1344" s="3" t="s">
        <v>474</v>
      </c>
      <c r="D1344" s="3"/>
      <c r="E1344" s="3" t="s">
        <v>474</v>
      </c>
      <c r="F1344" s="3"/>
      <c r="G1344" s="3"/>
      <c r="H1344" s="3"/>
      <c r="I1344" s="3"/>
      <c r="J1344" s="3"/>
      <c r="K1344" s="3"/>
      <c r="L1344" s="3" t="s">
        <v>88</v>
      </c>
      <c r="M1344" s="3">
        <v>100</v>
      </c>
      <c r="N1344" s="3" t="s">
        <v>269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87</v>
      </c>
      <c r="C1345" s="3" t="s">
        <v>474</v>
      </c>
      <c r="D1345" s="3"/>
      <c r="E1345" s="3" t="s">
        <v>474</v>
      </c>
      <c r="F1345" s="3"/>
      <c r="G1345" s="3"/>
      <c r="H1345" s="3"/>
      <c r="I1345" s="3"/>
      <c r="J1345" s="3"/>
      <c r="K1345" s="3"/>
      <c r="L1345" s="3" t="s">
        <v>88</v>
      </c>
      <c r="M1345" s="3">
        <v>110</v>
      </c>
      <c r="N1345" s="3" t="s">
        <v>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87</v>
      </c>
      <c r="C1346" s="3" t="s">
        <v>474</v>
      </c>
      <c r="D1346" s="3"/>
      <c r="E1346" s="3" t="s">
        <v>474</v>
      </c>
      <c r="F1346" s="3"/>
      <c r="G1346" s="3"/>
      <c r="H1346" s="3"/>
      <c r="I1346" s="3"/>
      <c r="J1346" s="3"/>
      <c r="K1346" s="3"/>
      <c r="L1346" s="3" t="s">
        <v>88</v>
      </c>
      <c r="M1346" s="3">
        <v>120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87</v>
      </c>
      <c r="C1347" s="3" t="s">
        <v>474</v>
      </c>
      <c r="D1347" s="3"/>
      <c r="E1347" s="3" t="s">
        <v>474</v>
      </c>
      <c r="F1347" s="3"/>
      <c r="G1347" s="3"/>
      <c r="H1347" s="3"/>
      <c r="I1347" s="3"/>
      <c r="J1347" s="3"/>
      <c r="K1347" s="3"/>
      <c r="L1347" s="3" t="s">
        <v>88</v>
      </c>
      <c r="M1347" s="3">
        <v>130</v>
      </c>
      <c r="N1347" s="3" t="s">
        <v>110</v>
      </c>
      <c r="O1347" s="3"/>
      <c r="P1347" s="3"/>
      <c r="Q1347" s="3">
        <v>1.216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87</v>
      </c>
      <c r="C1348" s="3" t="s">
        <v>474</v>
      </c>
      <c r="D1348" s="3"/>
      <c r="E1348" s="3" t="s">
        <v>474</v>
      </c>
      <c r="F1348" s="3"/>
      <c r="G1348" s="3"/>
      <c r="H1348" s="3"/>
      <c r="I1348" s="3"/>
      <c r="J1348" s="3"/>
      <c r="K1348" s="3"/>
      <c r="L1348" s="3" t="s">
        <v>88</v>
      </c>
      <c r="M1348" s="3">
        <v>140</v>
      </c>
      <c r="N1348" s="3" t="s">
        <v>477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87</v>
      </c>
      <c r="C1349" s="3" t="s">
        <v>478</v>
      </c>
      <c r="D1349" s="3"/>
      <c r="E1349" s="3" t="s">
        <v>478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116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87</v>
      </c>
      <c r="C1350" s="3" t="s">
        <v>478</v>
      </c>
      <c r="D1350" s="3"/>
      <c r="E1350" s="3" t="s">
        <v>478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479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87</v>
      </c>
      <c r="C1351" s="3" t="s">
        <v>478</v>
      </c>
      <c r="D1351" s="3"/>
      <c r="E1351" s="3" t="s">
        <v>478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480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87</v>
      </c>
      <c r="C1352" s="3" t="s">
        <v>478</v>
      </c>
      <c r="D1352" s="3"/>
      <c r="E1352" s="3" t="s">
        <v>478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266</v>
      </c>
      <c r="O1352" s="3"/>
      <c r="P1352" s="3"/>
      <c r="Q1352" s="3">
        <v>1.1679999999999999</v>
      </c>
      <c r="R1352" s="3" t="s">
        <v>14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87</v>
      </c>
      <c r="C1353" s="3" t="s">
        <v>478</v>
      </c>
      <c r="D1353" s="3"/>
      <c r="E1353" s="3" t="s">
        <v>478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107</v>
      </c>
      <c r="O1353" s="3"/>
      <c r="P1353" s="3"/>
      <c r="Q1353" s="3">
        <v>0.72899999999999998</v>
      </c>
      <c r="R1353" s="3" t="s">
        <v>108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87</v>
      </c>
      <c r="C1354" s="3" t="s">
        <v>478</v>
      </c>
      <c r="D1354" s="3"/>
      <c r="E1354" s="3" t="s">
        <v>478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267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87</v>
      </c>
      <c r="C1355" s="3" t="s">
        <v>478</v>
      </c>
      <c r="D1355" s="3"/>
      <c r="E1355" s="3" t="s">
        <v>478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109</v>
      </c>
      <c r="O1355" s="3"/>
      <c r="P1355" s="3"/>
      <c r="Q1355" s="3">
        <v>19.202000000000002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87</v>
      </c>
      <c r="C1356" s="3" t="s">
        <v>478</v>
      </c>
      <c r="D1356" s="3"/>
      <c r="E1356" s="3" t="s">
        <v>478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16</v>
      </c>
      <c r="O1356" s="3"/>
      <c r="P1356" s="3"/>
      <c r="Q1356" s="3">
        <v>119.032</v>
      </c>
      <c r="R1356" s="3" t="s">
        <v>14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87</v>
      </c>
      <c r="C1357" s="3" t="s">
        <v>478</v>
      </c>
      <c r="D1357" s="3"/>
      <c r="E1357" s="3" t="s">
        <v>478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265</v>
      </c>
      <c r="O1357" s="3"/>
      <c r="P1357" s="3"/>
      <c r="Q1357" s="3">
        <v>0.105</v>
      </c>
      <c r="R1357" s="3" t="s">
        <v>12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87</v>
      </c>
      <c r="C1358" s="3" t="s">
        <v>478</v>
      </c>
      <c r="D1358" s="3"/>
      <c r="E1358" s="3" t="s">
        <v>478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269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87</v>
      </c>
      <c r="C1359" s="3" t="s">
        <v>478</v>
      </c>
      <c r="D1359" s="3"/>
      <c r="E1359" s="3" t="s">
        <v>478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20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87</v>
      </c>
      <c r="C1360" s="3" t="s">
        <v>478</v>
      </c>
      <c r="D1360" s="3"/>
      <c r="E1360" s="3" t="s">
        <v>478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21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87</v>
      </c>
      <c r="C1361" s="3" t="s">
        <v>478</v>
      </c>
      <c r="D1361" s="3"/>
      <c r="E1361" s="3" t="s">
        <v>478</v>
      </c>
      <c r="F1361" s="3"/>
      <c r="G1361" s="3"/>
      <c r="H1361" s="3"/>
      <c r="I1361" s="3"/>
      <c r="J1361" s="3"/>
      <c r="K1361" s="3"/>
      <c r="L1361" s="3" t="s">
        <v>88</v>
      </c>
      <c r="M1361" s="3">
        <v>130</v>
      </c>
      <c r="N1361" s="3" t="s">
        <v>110</v>
      </c>
      <c r="O1361" s="3"/>
      <c r="P1361" s="3"/>
      <c r="Q1361" s="3">
        <v>1.216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87</v>
      </c>
      <c r="C1362" s="3" t="s">
        <v>478</v>
      </c>
      <c r="D1362" s="3"/>
      <c r="E1362" s="3" t="s">
        <v>478</v>
      </c>
      <c r="F1362" s="3"/>
      <c r="G1362" s="3"/>
      <c r="H1362" s="3"/>
      <c r="I1362" s="3"/>
      <c r="J1362" s="3"/>
      <c r="K1362" s="3"/>
      <c r="L1362" s="3" t="s">
        <v>88</v>
      </c>
      <c r="M1362" s="3">
        <v>140</v>
      </c>
      <c r="N1362" s="3" t="s">
        <v>481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87</v>
      </c>
      <c r="C1363" s="3" t="s">
        <v>482</v>
      </c>
      <c r="D1363" s="3"/>
      <c r="E1363" s="3" t="s">
        <v>482</v>
      </c>
      <c r="F1363" s="3"/>
      <c r="G1363" s="3"/>
      <c r="H1363" s="3"/>
      <c r="I1363" s="3"/>
      <c r="J1363" s="3"/>
      <c r="K1363" s="3"/>
      <c r="L1363" s="3" t="s">
        <v>88</v>
      </c>
      <c r="M1363" s="3">
        <v>10</v>
      </c>
      <c r="N1363" s="3" t="s">
        <v>116</v>
      </c>
      <c r="O1363" s="3"/>
      <c r="P1363" s="3"/>
      <c r="Q1363" s="3">
        <v>1.321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87</v>
      </c>
      <c r="C1364" s="3" t="s">
        <v>482</v>
      </c>
      <c r="D1364" s="3"/>
      <c r="E1364" s="3" t="s">
        <v>482</v>
      </c>
      <c r="F1364" s="3"/>
      <c r="G1364" s="3"/>
      <c r="H1364" s="3"/>
      <c r="I1364" s="3"/>
      <c r="J1364" s="3"/>
      <c r="K1364" s="3"/>
      <c r="L1364" s="3" t="s">
        <v>88</v>
      </c>
      <c r="M1364" s="3">
        <v>20</v>
      </c>
      <c r="N1364" s="3" t="s">
        <v>483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87</v>
      </c>
      <c r="C1365" s="3" t="s">
        <v>482</v>
      </c>
      <c r="D1365" s="3"/>
      <c r="E1365" s="3" t="s">
        <v>482</v>
      </c>
      <c r="F1365" s="3"/>
      <c r="G1365" s="3"/>
      <c r="H1365" s="3"/>
      <c r="I1365" s="3"/>
      <c r="J1365" s="3"/>
      <c r="K1365" s="3"/>
      <c r="L1365" s="3" t="s">
        <v>88</v>
      </c>
      <c r="M1365" s="3">
        <v>30</v>
      </c>
      <c r="N1365" s="3" t="s">
        <v>484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87</v>
      </c>
      <c r="C1366" s="3" t="s">
        <v>482</v>
      </c>
      <c r="D1366" s="3"/>
      <c r="E1366" s="3" t="s">
        <v>482</v>
      </c>
      <c r="F1366" s="3"/>
      <c r="G1366" s="3"/>
      <c r="H1366" s="3"/>
      <c r="I1366" s="3"/>
      <c r="J1366" s="3"/>
      <c r="K1366" s="3"/>
      <c r="L1366" s="3" t="s">
        <v>88</v>
      </c>
      <c r="M1366" s="3">
        <v>40</v>
      </c>
      <c r="N1366" s="3" t="s">
        <v>266</v>
      </c>
      <c r="O1366" s="3"/>
      <c r="P1366" s="3"/>
      <c r="Q1366" s="3">
        <v>1.321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87</v>
      </c>
      <c r="C1367" s="3" t="s">
        <v>482</v>
      </c>
      <c r="D1367" s="3"/>
      <c r="E1367" s="3" t="s">
        <v>482</v>
      </c>
      <c r="F1367" s="3"/>
      <c r="G1367" s="3"/>
      <c r="H1367" s="3"/>
      <c r="I1367" s="3"/>
      <c r="J1367" s="3"/>
      <c r="K1367" s="3"/>
      <c r="L1367" s="3" t="s">
        <v>88</v>
      </c>
      <c r="M1367" s="3">
        <v>50</v>
      </c>
      <c r="N1367" s="3" t="s">
        <v>107</v>
      </c>
      <c r="O1367" s="3"/>
      <c r="P1367" s="3"/>
      <c r="Q1367" s="3">
        <v>0.82599999999999996</v>
      </c>
      <c r="R1367" s="3" t="s">
        <v>108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87</v>
      </c>
      <c r="C1368" s="3" t="s">
        <v>482</v>
      </c>
      <c r="D1368" s="3"/>
      <c r="E1368" s="3" t="s">
        <v>482</v>
      </c>
      <c r="F1368" s="3"/>
      <c r="G1368" s="3"/>
      <c r="H1368" s="3"/>
      <c r="I1368" s="3"/>
      <c r="J1368" s="3"/>
      <c r="K1368" s="3"/>
      <c r="L1368" s="3" t="s">
        <v>88</v>
      </c>
      <c r="M1368" s="3">
        <v>60</v>
      </c>
      <c r="N1368" s="3" t="s">
        <v>267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87</v>
      </c>
      <c r="C1369" s="3" t="s">
        <v>482</v>
      </c>
      <c r="D1369" s="3"/>
      <c r="E1369" s="3" t="s">
        <v>482</v>
      </c>
      <c r="F1369" s="3"/>
      <c r="G1369" s="3"/>
      <c r="H1369" s="3"/>
      <c r="I1369" s="3"/>
      <c r="J1369" s="3"/>
      <c r="K1369" s="3"/>
      <c r="L1369" s="3" t="s">
        <v>88</v>
      </c>
      <c r="M1369" s="3">
        <v>70</v>
      </c>
      <c r="N1369" s="3" t="s">
        <v>109</v>
      </c>
      <c r="O1369" s="3"/>
      <c r="P1369" s="3"/>
      <c r="Q1369" s="3">
        <v>20.117000000000001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87</v>
      </c>
      <c r="C1370" s="3" t="s">
        <v>482</v>
      </c>
      <c r="D1370" s="3"/>
      <c r="E1370" s="3" t="s">
        <v>482</v>
      </c>
      <c r="F1370" s="3"/>
      <c r="G1370" s="3"/>
      <c r="H1370" s="3"/>
      <c r="I1370" s="3"/>
      <c r="J1370" s="3"/>
      <c r="K1370" s="3"/>
      <c r="L1370" s="3" t="s">
        <v>88</v>
      </c>
      <c r="M1370" s="3">
        <v>80</v>
      </c>
      <c r="N1370" s="3" t="s">
        <v>16</v>
      </c>
      <c r="O1370" s="3"/>
      <c r="P1370" s="3"/>
      <c r="Q1370" s="3">
        <v>124.65600000000001</v>
      </c>
      <c r="R1370" s="3" t="s">
        <v>14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87</v>
      </c>
      <c r="C1371" s="3" t="s">
        <v>482</v>
      </c>
      <c r="D1371" s="3"/>
      <c r="E1371" s="3" t="s">
        <v>482</v>
      </c>
      <c r="F1371" s="3"/>
      <c r="G1371" s="3"/>
      <c r="H1371" s="3"/>
      <c r="I1371" s="3"/>
      <c r="J1371" s="3"/>
      <c r="K1371" s="3"/>
      <c r="L1371" s="3" t="s">
        <v>88</v>
      </c>
      <c r="M1371" s="3">
        <v>90</v>
      </c>
      <c r="N1371" s="3" t="s">
        <v>265</v>
      </c>
      <c r="O1371" s="3"/>
      <c r="P1371" s="3"/>
      <c r="Q1371" s="3">
        <v>0.11600000000000001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87</v>
      </c>
      <c r="C1372" s="3" t="s">
        <v>482</v>
      </c>
      <c r="D1372" s="3"/>
      <c r="E1372" s="3" t="s">
        <v>482</v>
      </c>
      <c r="F1372" s="3"/>
      <c r="G1372" s="3"/>
      <c r="H1372" s="3"/>
      <c r="I1372" s="3"/>
      <c r="J1372" s="3"/>
      <c r="K1372" s="3"/>
      <c r="L1372" s="3" t="s">
        <v>88</v>
      </c>
      <c r="M1372" s="3">
        <v>100</v>
      </c>
      <c r="N1372" s="3" t="s">
        <v>269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87</v>
      </c>
      <c r="C1373" s="3" t="s">
        <v>482</v>
      </c>
      <c r="D1373" s="3"/>
      <c r="E1373" s="3" t="s">
        <v>482</v>
      </c>
      <c r="F1373" s="3"/>
      <c r="G1373" s="3"/>
      <c r="H1373" s="3"/>
      <c r="I1373" s="3"/>
      <c r="J1373" s="3"/>
      <c r="K1373" s="3"/>
      <c r="L1373" s="3" t="s">
        <v>88</v>
      </c>
      <c r="M1373" s="3">
        <v>110</v>
      </c>
      <c r="N1373" s="3" t="s">
        <v>20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87</v>
      </c>
      <c r="C1374" s="3" t="s">
        <v>482</v>
      </c>
      <c r="D1374" s="3"/>
      <c r="E1374" s="3" t="s">
        <v>482</v>
      </c>
      <c r="F1374" s="3"/>
      <c r="G1374" s="3"/>
      <c r="H1374" s="3"/>
      <c r="I1374" s="3"/>
      <c r="J1374" s="3"/>
      <c r="K1374" s="3"/>
      <c r="L1374" s="3" t="s">
        <v>88</v>
      </c>
      <c r="M1374" s="3">
        <v>120</v>
      </c>
      <c r="N1374" s="3" t="s">
        <v>21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87</v>
      </c>
      <c r="C1375" s="3" t="s">
        <v>482</v>
      </c>
      <c r="D1375" s="3"/>
      <c r="E1375" s="3" t="s">
        <v>482</v>
      </c>
      <c r="F1375" s="3"/>
      <c r="G1375" s="3"/>
      <c r="H1375" s="3"/>
      <c r="I1375" s="3"/>
      <c r="J1375" s="3"/>
      <c r="K1375" s="3"/>
      <c r="L1375" s="3" t="s">
        <v>88</v>
      </c>
      <c r="M1375" s="3">
        <v>130</v>
      </c>
      <c r="N1375" s="3" t="s">
        <v>110</v>
      </c>
      <c r="O1375" s="3"/>
      <c r="P1375" s="3"/>
      <c r="Q1375" s="3">
        <v>1.216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87</v>
      </c>
      <c r="C1376" s="3" t="s">
        <v>482</v>
      </c>
      <c r="D1376" s="3"/>
      <c r="E1376" s="3" t="s">
        <v>482</v>
      </c>
      <c r="F1376" s="3"/>
      <c r="G1376" s="3"/>
      <c r="H1376" s="3"/>
      <c r="I1376" s="3"/>
      <c r="J1376" s="3"/>
      <c r="K1376" s="3"/>
      <c r="L1376" s="3" t="s">
        <v>88</v>
      </c>
      <c r="M1376" s="3">
        <v>140</v>
      </c>
      <c r="N1376" s="3" t="s">
        <v>485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87</v>
      </c>
      <c r="C1377" s="3" t="s">
        <v>486</v>
      </c>
      <c r="D1377" s="3"/>
      <c r="E1377" s="3" t="s">
        <v>486</v>
      </c>
      <c r="F1377" s="3"/>
      <c r="G1377" s="3"/>
      <c r="H1377" s="3"/>
      <c r="I1377" s="3"/>
      <c r="J1377" s="3"/>
      <c r="K1377" s="3"/>
      <c r="L1377" s="3" t="s">
        <v>88</v>
      </c>
      <c r="M1377" s="3">
        <v>10</v>
      </c>
      <c r="N1377" s="3" t="s">
        <v>116</v>
      </c>
      <c r="O1377" s="3"/>
      <c r="P1377" s="3"/>
      <c r="Q1377" s="3">
        <v>1.397</v>
      </c>
      <c r="R1377" s="3" t="s">
        <v>14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87</v>
      </c>
      <c r="C1378" s="3" t="s">
        <v>486</v>
      </c>
      <c r="D1378" s="3"/>
      <c r="E1378" s="3" t="s">
        <v>486</v>
      </c>
      <c r="F1378" s="3"/>
      <c r="G1378" s="3"/>
      <c r="H1378" s="3"/>
      <c r="I1378" s="3"/>
      <c r="J1378" s="3"/>
      <c r="K1378" s="3"/>
      <c r="L1378" s="3" t="s">
        <v>88</v>
      </c>
      <c r="M1378" s="3">
        <v>20</v>
      </c>
      <c r="N1378" s="3" t="s">
        <v>487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87</v>
      </c>
      <c r="C1379" s="3" t="s">
        <v>486</v>
      </c>
      <c r="D1379" s="3"/>
      <c r="E1379" s="3" t="s">
        <v>486</v>
      </c>
      <c r="F1379" s="3"/>
      <c r="G1379" s="3"/>
      <c r="H1379" s="3"/>
      <c r="I1379" s="3"/>
      <c r="J1379" s="3"/>
      <c r="K1379" s="3"/>
      <c r="L1379" s="3" t="s">
        <v>88</v>
      </c>
      <c r="M1379" s="3">
        <v>30</v>
      </c>
      <c r="N1379" s="3" t="s">
        <v>488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87</v>
      </c>
      <c r="C1380" s="3" t="s">
        <v>486</v>
      </c>
      <c r="D1380" s="3"/>
      <c r="E1380" s="3" t="s">
        <v>486</v>
      </c>
      <c r="F1380" s="3"/>
      <c r="G1380" s="3"/>
      <c r="H1380" s="3"/>
      <c r="I1380" s="3"/>
      <c r="J1380" s="3"/>
      <c r="K1380" s="3"/>
      <c r="L1380" s="3" t="s">
        <v>88</v>
      </c>
      <c r="M1380" s="3">
        <v>40</v>
      </c>
      <c r="N1380" s="3" t="s">
        <v>266</v>
      </c>
      <c r="O1380" s="3"/>
      <c r="P1380" s="3"/>
      <c r="Q1380" s="3">
        <v>1.397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87</v>
      </c>
      <c r="C1381" s="3" t="s">
        <v>486</v>
      </c>
      <c r="D1381" s="3"/>
      <c r="E1381" s="3" t="s">
        <v>486</v>
      </c>
      <c r="F1381" s="3"/>
      <c r="G1381" s="3"/>
      <c r="H1381" s="3"/>
      <c r="I1381" s="3"/>
      <c r="J1381" s="3"/>
      <c r="K1381" s="3"/>
      <c r="L1381" s="3" t="s">
        <v>88</v>
      </c>
      <c r="M1381" s="3">
        <v>50</v>
      </c>
      <c r="N1381" s="3" t="s">
        <v>107</v>
      </c>
      <c r="O1381" s="3"/>
      <c r="P1381" s="3"/>
      <c r="Q1381" s="3">
        <v>0.875</v>
      </c>
      <c r="R1381" s="3" t="s">
        <v>108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87</v>
      </c>
      <c r="C1382" s="3" t="s">
        <v>486</v>
      </c>
      <c r="D1382" s="3"/>
      <c r="E1382" s="3" t="s">
        <v>486</v>
      </c>
      <c r="F1382" s="3"/>
      <c r="G1382" s="3"/>
      <c r="H1382" s="3"/>
      <c r="I1382" s="3"/>
      <c r="J1382" s="3"/>
      <c r="K1382" s="3"/>
      <c r="L1382" s="3" t="s">
        <v>88</v>
      </c>
      <c r="M1382" s="3">
        <v>60</v>
      </c>
      <c r="N1382" s="3" t="s">
        <v>267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87</v>
      </c>
      <c r="C1383" s="3" t="s">
        <v>486</v>
      </c>
      <c r="D1383" s="3"/>
      <c r="E1383" s="3" t="s">
        <v>486</v>
      </c>
      <c r="F1383" s="3"/>
      <c r="G1383" s="3"/>
      <c r="H1383" s="3"/>
      <c r="I1383" s="3"/>
      <c r="J1383" s="3"/>
      <c r="K1383" s="3"/>
      <c r="L1383" s="3" t="s">
        <v>88</v>
      </c>
      <c r="M1383" s="3">
        <v>70</v>
      </c>
      <c r="N1383" s="3" t="s">
        <v>109</v>
      </c>
      <c r="O1383" s="3"/>
      <c r="P1383" s="3"/>
      <c r="Q1383" s="3">
        <v>20.574000000000002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87</v>
      </c>
      <c r="C1384" s="3" t="s">
        <v>486</v>
      </c>
      <c r="D1384" s="3"/>
      <c r="E1384" s="3" t="s">
        <v>486</v>
      </c>
      <c r="F1384" s="3"/>
      <c r="G1384" s="3"/>
      <c r="H1384" s="3"/>
      <c r="I1384" s="3"/>
      <c r="J1384" s="3"/>
      <c r="K1384" s="3"/>
      <c r="L1384" s="3" t="s">
        <v>88</v>
      </c>
      <c r="M1384" s="3">
        <v>80</v>
      </c>
      <c r="N1384" s="3" t="s">
        <v>16</v>
      </c>
      <c r="O1384" s="3"/>
      <c r="P1384" s="3"/>
      <c r="Q1384" s="3">
        <v>127.467</v>
      </c>
      <c r="R1384" s="3" t="s">
        <v>14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87</v>
      </c>
      <c r="C1385" s="3" t="s">
        <v>486</v>
      </c>
      <c r="D1385" s="3"/>
      <c r="E1385" s="3" t="s">
        <v>486</v>
      </c>
      <c r="F1385" s="3"/>
      <c r="G1385" s="3"/>
      <c r="H1385" s="3"/>
      <c r="I1385" s="3"/>
      <c r="J1385" s="3"/>
      <c r="K1385" s="3"/>
      <c r="L1385" s="3" t="s">
        <v>88</v>
      </c>
      <c r="M1385" s="3">
        <v>90</v>
      </c>
      <c r="N1385" s="3" t="s">
        <v>265</v>
      </c>
      <c r="O1385" s="3"/>
      <c r="P1385" s="3"/>
      <c r="Q1385" s="3">
        <v>0.121</v>
      </c>
      <c r="R1385" s="3" t="s">
        <v>12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87</v>
      </c>
      <c r="C1386" s="3" t="s">
        <v>486</v>
      </c>
      <c r="D1386" s="3"/>
      <c r="E1386" s="3" t="s">
        <v>486</v>
      </c>
      <c r="F1386" s="3"/>
      <c r="G1386" s="3"/>
      <c r="H1386" s="3"/>
      <c r="I1386" s="3"/>
      <c r="J1386" s="3"/>
      <c r="K1386" s="3"/>
      <c r="L1386" s="3" t="s">
        <v>88</v>
      </c>
      <c r="M1386" s="3">
        <v>100</v>
      </c>
      <c r="N1386" s="3" t="s">
        <v>269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87</v>
      </c>
      <c r="C1387" s="3" t="s">
        <v>486</v>
      </c>
      <c r="D1387" s="3"/>
      <c r="E1387" s="3" t="s">
        <v>486</v>
      </c>
      <c r="F1387" s="3"/>
      <c r="G1387" s="3"/>
      <c r="H1387" s="3"/>
      <c r="I1387" s="3"/>
      <c r="J1387" s="3"/>
      <c r="K1387" s="3"/>
      <c r="L1387" s="3" t="s">
        <v>88</v>
      </c>
      <c r="M1387" s="3">
        <v>110</v>
      </c>
      <c r="N1387" s="3" t="s">
        <v>20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87</v>
      </c>
      <c r="C1388" s="3" t="s">
        <v>486</v>
      </c>
      <c r="D1388" s="3"/>
      <c r="E1388" s="3" t="s">
        <v>486</v>
      </c>
      <c r="F1388" s="3"/>
      <c r="G1388" s="3"/>
      <c r="H1388" s="3"/>
      <c r="I1388" s="3"/>
      <c r="J1388" s="3"/>
      <c r="K1388" s="3"/>
      <c r="L1388" s="3" t="s">
        <v>88</v>
      </c>
      <c r="M1388" s="3">
        <v>120</v>
      </c>
      <c r="N1388" s="3" t="s">
        <v>21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87</v>
      </c>
      <c r="C1389" s="3" t="s">
        <v>486</v>
      </c>
      <c r="D1389" s="3"/>
      <c r="E1389" s="3" t="s">
        <v>486</v>
      </c>
      <c r="F1389" s="3"/>
      <c r="G1389" s="3"/>
      <c r="H1389" s="3"/>
      <c r="I1389" s="3"/>
      <c r="J1389" s="3"/>
      <c r="K1389" s="3"/>
      <c r="L1389" s="3" t="s">
        <v>88</v>
      </c>
      <c r="M1389" s="3">
        <v>130</v>
      </c>
      <c r="N1389" s="3" t="s">
        <v>110</v>
      </c>
      <c r="O1389" s="3"/>
      <c r="P1389" s="3"/>
      <c r="Q1389" s="3">
        <v>1.216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87</v>
      </c>
      <c r="C1390" s="3" t="s">
        <v>486</v>
      </c>
      <c r="D1390" s="3"/>
      <c r="E1390" s="3" t="s">
        <v>486</v>
      </c>
      <c r="F1390" s="3"/>
      <c r="G1390" s="3"/>
      <c r="H1390" s="3"/>
      <c r="I1390" s="3"/>
      <c r="J1390" s="3"/>
      <c r="K1390" s="3"/>
      <c r="L1390" s="3" t="s">
        <v>88</v>
      </c>
      <c r="M1390" s="3">
        <v>140</v>
      </c>
      <c r="N1390" s="3" t="s">
        <v>489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87</v>
      </c>
      <c r="C1391" s="3" t="s">
        <v>490</v>
      </c>
      <c r="D1391" s="3"/>
      <c r="E1391" s="3" t="s">
        <v>490</v>
      </c>
      <c r="F1391" s="3"/>
      <c r="G1391" s="3"/>
      <c r="H1391" s="3"/>
      <c r="I1391" s="3"/>
      <c r="J1391" s="3"/>
      <c r="K1391" s="3"/>
      <c r="L1391" s="3" t="s">
        <v>88</v>
      </c>
      <c r="M1391" s="3">
        <v>10</v>
      </c>
      <c r="N1391" s="3" t="s">
        <v>116</v>
      </c>
      <c r="O1391" s="3"/>
      <c r="P1391" s="3"/>
      <c r="Q1391" s="3">
        <v>1.4730000000000001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87</v>
      </c>
      <c r="C1392" s="3" t="s">
        <v>490</v>
      </c>
      <c r="D1392" s="3"/>
      <c r="E1392" s="3" t="s">
        <v>490</v>
      </c>
      <c r="F1392" s="3"/>
      <c r="G1392" s="3"/>
      <c r="H1392" s="3"/>
      <c r="I1392" s="3"/>
      <c r="J1392" s="3"/>
      <c r="K1392" s="3"/>
      <c r="L1392" s="3" t="s">
        <v>88</v>
      </c>
      <c r="M1392" s="3">
        <v>20</v>
      </c>
      <c r="N1392" s="3" t="s">
        <v>491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87</v>
      </c>
      <c r="C1393" s="3" t="s">
        <v>490</v>
      </c>
      <c r="D1393" s="3"/>
      <c r="E1393" s="3" t="s">
        <v>490</v>
      </c>
      <c r="F1393" s="3"/>
      <c r="G1393" s="3"/>
      <c r="H1393" s="3"/>
      <c r="I1393" s="3"/>
      <c r="J1393" s="3"/>
      <c r="K1393" s="3"/>
      <c r="L1393" s="3" t="s">
        <v>88</v>
      </c>
      <c r="M1393" s="3">
        <v>30</v>
      </c>
      <c r="N1393" s="3" t="s">
        <v>492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87</v>
      </c>
      <c r="C1394" s="3" t="s">
        <v>490</v>
      </c>
      <c r="D1394" s="3"/>
      <c r="E1394" s="3" t="s">
        <v>490</v>
      </c>
      <c r="F1394" s="3"/>
      <c r="G1394" s="3"/>
      <c r="H1394" s="3"/>
      <c r="I1394" s="3"/>
      <c r="J1394" s="3"/>
      <c r="K1394" s="3"/>
      <c r="L1394" s="3" t="s">
        <v>88</v>
      </c>
      <c r="M1394" s="3">
        <v>40</v>
      </c>
      <c r="N1394" s="3" t="s">
        <v>266</v>
      </c>
      <c r="O1394" s="3"/>
      <c r="P1394" s="3"/>
      <c r="Q1394" s="3">
        <v>1.4730000000000001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87</v>
      </c>
      <c r="C1395" s="3" t="s">
        <v>490</v>
      </c>
      <c r="D1395" s="3"/>
      <c r="E1395" s="3" t="s">
        <v>490</v>
      </c>
      <c r="F1395" s="3"/>
      <c r="G1395" s="3"/>
      <c r="H1395" s="3"/>
      <c r="I1395" s="3"/>
      <c r="J1395" s="3"/>
      <c r="K1395" s="3"/>
      <c r="L1395" s="3" t="s">
        <v>88</v>
      </c>
      <c r="M1395" s="3">
        <v>50</v>
      </c>
      <c r="N1395" s="3" t="s">
        <v>107</v>
      </c>
      <c r="O1395" s="3"/>
      <c r="P1395" s="3"/>
      <c r="Q1395" s="3">
        <v>0.92300000000000004</v>
      </c>
      <c r="R1395" s="3" t="s">
        <v>108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87</v>
      </c>
      <c r="C1396" s="3" t="s">
        <v>490</v>
      </c>
      <c r="D1396" s="3"/>
      <c r="E1396" s="3" t="s">
        <v>490</v>
      </c>
      <c r="F1396" s="3"/>
      <c r="G1396" s="3"/>
      <c r="H1396" s="3"/>
      <c r="I1396" s="3"/>
      <c r="J1396" s="3"/>
      <c r="K1396" s="3"/>
      <c r="L1396" s="3" t="s">
        <v>88</v>
      </c>
      <c r="M1396" s="3">
        <v>60</v>
      </c>
      <c r="N1396" s="3" t="s">
        <v>267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87</v>
      </c>
      <c r="C1397" s="3" t="s">
        <v>490</v>
      </c>
      <c r="D1397" s="3"/>
      <c r="E1397" s="3" t="s">
        <v>490</v>
      </c>
      <c r="F1397" s="3"/>
      <c r="G1397" s="3"/>
      <c r="H1397" s="3"/>
      <c r="I1397" s="3"/>
      <c r="J1397" s="3"/>
      <c r="K1397" s="3"/>
      <c r="L1397" s="3" t="s">
        <v>88</v>
      </c>
      <c r="M1397" s="3">
        <v>70</v>
      </c>
      <c r="N1397" s="3" t="s">
        <v>109</v>
      </c>
      <c r="O1397" s="3"/>
      <c r="P1397" s="3"/>
      <c r="Q1397" s="3">
        <v>21.030999999999999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87</v>
      </c>
      <c r="C1398" s="3" t="s">
        <v>490</v>
      </c>
      <c r="D1398" s="3"/>
      <c r="E1398" s="3" t="s">
        <v>490</v>
      </c>
      <c r="F1398" s="3"/>
      <c r="G1398" s="3"/>
      <c r="H1398" s="3"/>
      <c r="I1398" s="3"/>
      <c r="J1398" s="3"/>
      <c r="K1398" s="3"/>
      <c r="L1398" s="3" t="s">
        <v>88</v>
      </c>
      <c r="M1398" s="3">
        <v>80</v>
      </c>
      <c r="N1398" s="3" t="s">
        <v>16</v>
      </c>
      <c r="O1398" s="3"/>
      <c r="P1398" s="3"/>
      <c r="Q1398" s="3">
        <v>130.279</v>
      </c>
      <c r="R1398" s="3" t="s">
        <v>14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87</v>
      </c>
      <c r="C1399" s="3" t="s">
        <v>490</v>
      </c>
      <c r="D1399" s="3"/>
      <c r="E1399" s="3" t="s">
        <v>490</v>
      </c>
      <c r="F1399" s="3"/>
      <c r="G1399" s="3"/>
      <c r="H1399" s="3"/>
      <c r="I1399" s="3"/>
      <c r="J1399" s="3"/>
      <c r="K1399" s="3"/>
      <c r="L1399" s="3" t="s">
        <v>88</v>
      </c>
      <c r="M1399" s="3">
        <v>90</v>
      </c>
      <c r="N1399" s="3" t="s">
        <v>265</v>
      </c>
      <c r="O1399" s="3"/>
      <c r="P1399" s="3"/>
      <c r="Q1399" s="3">
        <v>0.126</v>
      </c>
      <c r="R1399" s="3" t="s">
        <v>12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87</v>
      </c>
      <c r="C1400" s="3" t="s">
        <v>490</v>
      </c>
      <c r="D1400" s="3"/>
      <c r="E1400" s="3" t="s">
        <v>490</v>
      </c>
      <c r="F1400" s="3"/>
      <c r="G1400" s="3"/>
      <c r="H1400" s="3"/>
      <c r="I1400" s="3"/>
      <c r="J1400" s="3"/>
      <c r="K1400" s="3"/>
      <c r="L1400" s="3" t="s">
        <v>88</v>
      </c>
      <c r="M1400" s="3">
        <v>100</v>
      </c>
      <c r="N1400" s="3" t="s">
        <v>269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87</v>
      </c>
      <c r="C1401" s="3" t="s">
        <v>490</v>
      </c>
      <c r="D1401" s="3"/>
      <c r="E1401" s="3" t="s">
        <v>490</v>
      </c>
      <c r="F1401" s="3"/>
      <c r="G1401" s="3"/>
      <c r="H1401" s="3"/>
      <c r="I1401" s="3"/>
      <c r="J1401" s="3"/>
      <c r="K1401" s="3"/>
      <c r="L1401" s="3" t="s">
        <v>88</v>
      </c>
      <c r="M1401" s="3">
        <v>110</v>
      </c>
      <c r="N1401" s="3" t="s">
        <v>20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87</v>
      </c>
      <c r="C1402" s="3" t="s">
        <v>490</v>
      </c>
      <c r="D1402" s="3"/>
      <c r="E1402" s="3" t="s">
        <v>490</v>
      </c>
      <c r="F1402" s="3"/>
      <c r="G1402" s="3"/>
      <c r="H1402" s="3"/>
      <c r="I1402" s="3"/>
      <c r="J1402" s="3"/>
      <c r="K1402" s="3"/>
      <c r="L1402" s="3" t="s">
        <v>88</v>
      </c>
      <c r="M1402" s="3">
        <v>120</v>
      </c>
      <c r="N1402" s="3" t="s">
        <v>21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87</v>
      </c>
      <c r="C1403" s="3" t="s">
        <v>490</v>
      </c>
      <c r="D1403" s="3"/>
      <c r="E1403" s="3" t="s">
        <v>490</v>
      </c>
      <c r="F1403" s="3"/>
      <c r="G1403" s="3"/>
      <c r="H1403" s="3"/>
      <c r="I1403" s="3"/>
      <c r="J1403" s="3"/>
      <c r="K1403" s="3"/>
      <c r="L1403" s="3" t="s">
        <v>88</v>
      </c>
      <c r="M1403" s="3">
        <v>130</v>
      </c>
      <c r="N1403" s="3" t="s">
        <v>110</v>
      </c>
      <c r="O1403" s="3"/>
      <c r="P1403" s="3"/>
      <c r="Q1403" s="3">
        <v>1.216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87</v>
      </c>
      <c r="C1404" s="3" t="s">
        <v>490</v>
      </c>
      <c r="D1404" s="3"/>
      <c r="E1404" s="3" t="s">
        <v>490</v>
      </c>
      <c r="F1404" s="3"/>
      <c r="G1404" s="3"/>
      <c r="H1404" s="3"/>
      <c r="I1404" s="3"/>
      <c r="J1404" s="3"/>
      <c r="K1404" s="3"/>
      <c r="L1404" s="3" t="s">
        <v>88</v>
      </c>
      <c r="M1404" s="3">
        <v>140</v>
      </c>
      <c r="N1404" s="3" t="s">
        <v>493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87</v>
      </c>
      <c r="C1405" s="3" t="s">
        <v>494</v>
      </c>
      <c r="D1405" s="3"/>
      <c r="E1405" s="3" t="s">
        <v>494</v>
      </c>
      <c r="F1405" s="3"/>
      <c r="G1405" s="3"/>
      <c r="H1405" s="3"/>
      <c r="I1405" s="3"/>
      <c r="J1405" s="3"/>
      <c r="K1405" s="3"/>
      <c r="L1405" s="3" t="s">
        <v>88</v>
      </c>
      <c r="M1405" s="3">
        <v>10</v>
      </c>
      <c r="N1405" s="3" t="s">
        <v>116</v>
      </c>
      <c r="O1405" s="3"/>
      <c r="P1405" s="3"/>
      <c r="Q1405" s="3">
        <v>1.6259999999999999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87</v>
      </c>
      <c r="C1406" s="3" t="s">
        <v>494</v>
      </c>
      <c r="D1406" s="3"/>
      <c r="E1406" s="3" t="s">
        <v>494</v>
      </c>
      <c r="F1406" s="3"/>
      <c r="G1406" s="3"/>
      <c r="H1406" s="3"/>
      <c r="I1406" s="3"/>
      <c r="J1406" s="3"/>
      <c r="K1406" s="3"/>
      <c r="L1406" s="3" t="s">
        <v>88</v>
      </c>
      <c r="M1406" s="3">
        <v>20</v>
      </c>
      <c r="N1406" s="3" t="s">
        <v>495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87</v>
      </c>
      <c r="C1407" s="3" t="s">
        <v>494</v>
      </c>
      <c r="D1407" s="3"/>
      <c r="E1407" s="3" t="s">
        <v>494</v>
      </c>
      <c r="F1407" s="3"/>
      <c r="G1407" s="3"/>
      <c r="H1407" s="3"/>
      <c r="I1407" s="3"/>
      <c r="J1407" s="3"/>
      <c r="K1407" s="3"/>
      <c r="L1407" s="3" t="s">
        <v>88</v>
      </c>
      <c r="M1407" s="3">
        <v>30</v>
      </c>
      <c r="N1407" s="3" t="s">
        <v>496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87</v>
      </c>
      <c r="C1408" s="3" t="s">
        <v>494</v>
      </c>
      <c r="D1408" s="3"/>
      <c r="E1408" s="3" t="s">
        <v>494</v>
      </c>
      <c r="F1408" s="3"/>
      <c r="G1408" s="3"/>
      <c r="H1408" s="3"/>
      <c r="I1408" s="3"/>
      <c r="J1408" s="3"/>
      <c r="K1408" s="3"/>
      <c r="L1408" s="3" t="s">
        <v>88</v>
      </c>
      <c r="M1408" s="3">
        <v>40</v>
      </c>
      <c r="N1408" s="3" t="s">
        <v>266</v>
      </c>
      <c r="O1408" s="3"/>
      <c r="P1408" s="3"/>
      <c r="Q1408" s="3">
        <v>1.6259999999999999</v>
      </c>
      <c r="R1408" s="3" t="s">
        <v>14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87</v>
      </c>
      <c r="C1409" s="3" t="s">
        <v>494</v>
      </c>
      <c r="D1409" s="3"/>
      <c r="E1409" s="3" t="s">
        <v>494</v>
      </c>
      <c r="F1409" s="3"/>
      <c r="G1409" s="3"/>
      <c r="H1409" s="3"/>
      <c r="I1409" s="3"/>
      <c r="J1409" s="3"/>
      <c r="K1409" s="3"/>
      <c r="L1409" s="3" t="s">
        <v>88</v>
      </c>
      <c r="M1409" s="3">
        <v>50</v>
      </c>
      <c r="N1409" s="3" t="s">
        <v>107</v>
      </c>
      <c r="O1409" s="3"/>
      <c r="P1409" s="3"/>
      <c r="Q1409" s="3">
        <v>1.0209999999999999</v>
      </c>
      <c r="R1409" s="3" t="s">
        <v>108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87</v>
      </c>
      <c r="C1410" s="3" t="s">
        <v>494</v>
      </c>
      <c r="D1410" s="3"/>
      <c r="E1410" s="3" t="s">
        <v>494</v>
      </c>
      <c r="F1410" s="3"/>
      <c r="G1410" s="3"/>
      <c r="H1410" s="3"/>
      <c r="I1410" s="3"/>
      <c r="J1410" s="3"/>
      <c r="K1410" s="3"/>
      <c r="L1410" s="3" t="s">
        <v>88</v>
      </c>
      <c r="M1410" s="3">
        <v>60</v>
      </c>
      <c r="N1410" s="3" t="s">
        <v>267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87</v>
      </c>
      <c r="C1411" s="3" t="s">
        <v>494</v>
      </c>
      <c r="D1411" s="3"/>
      <c r="E1411" s="3" t="s">
        <v>494</v>
      </c>
      <c r="F1411" s="3"/>
      <c r="G1411" s="3"/>
      <c r="H1411" s="3"/>
      <c r="I1411" s="3"/>
      <c r="J1411" s="3"/>
      <c r="K1411" s="3"/>
      <c r="L1411" s="3" t="s">
        <v>88</v>
      </c>
      <c r="M1411" s="3">
        <v>70</v>
      </c>
      <c r="N1411" s="3" t="s">
        <v>109</v>
      </c>
      <c r="O1411" s="3"/>
      <c r="P1411" s="3"/>
      <c r="Q1411" s="3">
        <v>21.946000000000002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87</v>
      </c>
      <c r="C1412" s="3" t="s">
        <v>494</v>
      </c>
      <c r="D1412" s="3"/>
      <c r="E1412" s="3" t="s">
        <v>494</v>
      </c>
      <c r="F1412" s="3"/>
      <c r="G1412" s="3"/>
      <c r="H1412" s="3"/>
      <c r="I1412" s="3"/>
      <c r="J1412" s="3"/>
      <c r="K1412" s="3"/>
      <c r="L1412" s="3" t="s">
        <v>88</v>
      </c>
      <c r="M1412" s="3">
        <v>80</v>
      </c>
      <c r="N1412" s="3" t="s">
        <v>16</v>
      </c>
      <c r="O1412" s="3"/>
      <c r="P1412" s="3"/>
      <c r="Q1412" s="3">
        <v>135.90299999999999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87</v>
      </c>
      <c r="C1413" s="3" t="s">
        <v>494</v>
      </c>
      <c r="D1413" s="3"/>
      <c r="E1413" s="3" t="s">
        <v>494</v>
      </c>
      <c r="F1413" s="3"/>
      <c r="G1413" s="3"/>
      <c r="H1413" s="3"/>
      <c r="I1413" s="3"/>
      <c r="J1413" s="3"/>
      <c r="K1413" s="3"/>
      <c r="L1413" s="3" t="s">
        <v>88</v>
      </c>
      <c r="M1413" s="3">
        <v>90</v>
      </c>
      <c r="N1413" s="3" t="s">
        <v>265</v>
      </c>
      <c r="O1413" s="3"/>
      <c r="P1413" s="3"/>
      <c r="Q1413" s="3">
        <v>0.13700000000000001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87</v>
      </c>
      <c r="C1414" s="3" t="s">
        <v>494</v>
      </c>
      <c r="D1414" s="3"/>
      <c r="E1414" s="3" t="s">
        <v>494</v>
      </c>
      <c r="F1414" s="3"/>
      <c r="G1414" s="3"/>
      <c r="H1414" s="3"/>
      <c r="I1414" s="3"/>
      <c r="J1414" s="3"/>
      <c r="K1414" s="3"/>
      <c r="L1414" s="3" t="s">
        <v>88</v>
      </c>
      <c r="M1414" s="3">
        <v>100</v>
      </c>
      <c r="N1414" s="3" t="s">
        <v>269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87</v>
      </c>
      <c r="C1415" s="3" t="s">
        <v>494</v>
      </c>
      <c r="D1415" s="3"/>
      <c r="E1415" s="3" t="s">
        <v>494</v>
      </c>
      <c r="F1415" s="3"/>
      <c r="G1415" s="3"/>
      <c r="H1415" s="3"/>
      <c r="I1415" s="3"/>
      <c r="J1415" s="3"/>
      <c r="K1415" s="3"/>
      <c r="L1415" s="3" t="s">
        <v>88</v>
      </c>
      <c r="M1415" s="3">
        <v>110</v>
      </c>
      <c r="N1415" s="3" t="s">
        <v>20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87</v>
      </c>
      <c r="C1416" s="3" t="s">
        <v>494</v>
      </c>
      <c r="D1416" s="3"/>
      <c r="E1416" s="3" t="s">
        <v>494</v>
      </c>
      <c r="F1416" s="3"/>
      <c r="G1416" s="3"/>
      <c r="H1416" s="3"/>
      <c r="I1416" s="3"/>
      <c r="J1416" s="3"/>
      <c r="K1416" s="3"/>
      <c r="L1416" s="3" t="s">
        <v>88</v>
      </c>
      <c r="M1416" s="3">
        <v>120</v>
      </c>
      <c r="N1416" s="3" t="s">
        <v>21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87</v>
      </c>
      <c r="C1417" s="3" t="s">
        <v>494</v>
      </c>
      <c r="D1417" s="3"/>
      <c r="E1417" s="3" t="s">
        <v>494</v>
      </c>
      <c r="F1417" s="3"/>
      <c r="G1417" s="3"/>
      <c r="H1417" s="3"/>
      <c r="I1417" s="3"/>
      <c r="J1417" s="3"/>
      <c r="K1417" s="3"/>
      <c r="L1417" s="3" t="s">
        <v>88</v>
      </c>
      <c r="M1417" s="3">
        <v>130</v>
      </c>
      <c r="N1417" s="3" t="s">
        <v>110</v>
      </c>
      <c r="O1417" s="3"/>
      <c r="P1417" s="3"/>
      <c r="Q1417" s="3">
        <v>1.216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87</v>
      </c>
      <c r="C1418" s="3" t="s">
        <v>494</v>
      </c>
      <c r="D1418" s="3"/>
      <c r="E1418" s="3" t="s">
        <v>494</v>
      </c>
      <c r="F1418" s="3"/>
      <c r="G1418" s="3"/>
      <c r="H1418" s="3"/>
      <c r="I1418" s="3"/>
      <c r="J1418" s="3"/>
      <c r="K1418" s="3"/>
      <c r="L1418" s="3" t="s">
        <v>88</v>
      </c>
      <c r="M1418" s="3">
        <v>140</v>
      </c>
      <c r="N1418" s="3" t="s">
        <v>497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87</v>
      </c>
      <c r="C1419" s="3" t="s">
        <v>498</v>
      </c>
      <c r="D1419" s="3"/>
      <c r="E1419" s="3" t="s">
        <v>498</v>
      </c>
      <c r="F1419" s="3"/>
      <c r="G1419" s="3"/>
      <c r="H1419" s="3"/>
      <c r="I1419" s="3"/>
      <c r="J1419" s="3"/>
      <c r="K1419" s="3"/>
      <c r="L1419" s="3" t="s">
        <v>88</v>
      </c>
      <c r="M1419" s="3">
        <v>10</v>
      </c>
      <c r="N1419" s="3" t="s">
        <v>116</v>
      </c>
      <c r="O1419" s="3"/>
      <c r="P1419" s="3"/>
      <c r="Q1419" s="3">
        <v>1.778</v>
      </c>
      <c r="R1419" s="3" t="s">
        <v>14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87</v>
      </c>
      <c r="C1420" s="3" t="s">
        <v>498</v>
      </c>
      <c r="D1420" s="3"/>
      <c r="E1420" s="3" t="s">
        <v>498</v>
      </c>
      <c r="F1420" s="3"/>
      <c r="G1420" s="3"/>
      <c r="H1420" s="3"/>
      <c r="I1420" s="3"/>
      <c r="J1420" s="3"/>
      <c r="K1420" s="3"/>
      <c r="L1420" s="3" t="s">
        <v>88</v>
      </c>
      <c r="M1420" s="3">
        <v>20</v>
      </c>
      <c r="N1420" s="3" t="s">
        <v>499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87</v>
      </c>
      <c r="C1421" s="3" t="s">
        <v>498</v>
      </c>
      <c r="D1421" s="3"/>
      <c r="E1421" s="3" t="s">
        <v>498</v>
      </c>
      <c r="F1421" s="3"/>
      <c r="G1421" s="3"/>
      <c r="H1421" s="3"/>
      <c r="I1421" s="3"/>
      <c r="J1421" s="3"/>
      <c r="K1421" s="3"/>
      <c r="L1421" s="3" t="s">
        <v>88</v>
      </c>
      <c r="M1421" s="3">
        <v>30</v>
      </c>
      <c r="N1421" s="3" t="s">
        <v>500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87</v>
      </c>
      <c r="C1422" s="3" t="s">
        <v>498</v>
      </c>
      <c r="D1422" s="3"/>
      <c r="E1422" s="3" t="s">
        <v>498</v>
      </c>
      <c r="F1422" s="3"/>
      <c r="G1422" s="3"/>
      <c r="H1422" s="3"/>
      <c r="I1422" s="3"/>
      <c r="J1422" s="3"/>
      <c r="K1422" s="3"/>
      <c r="L1422" s="3" t="s">
        <v>88</v>
      </c>
      <c r="M1422" s="3">
        <v>40</v>
      </c>
      <c r="N1422" s="3" t="s">
        <v>266</v>
      </c>
      <c r="O1422" s="3"/>
      <c r="P1422" s="3"/>
      <c r="Q1422" s="3">
        <v>1.778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87</v>
      </c>
      <c r="C1423" s="3" t="s">
        <v>498</v>
      </c>
      <c r="D1423" s="3"/>
      <c r="E1423" s="3" t="s">
        <v>498</v>
      </c>
      <c r="F1423" s="3"/>
      <c r="G1423" s="3"/>
      <c r="H1423" s="3"/>
      <c r="I1423" s="3"/>
      <c r="J1423" s="3"/>
      <c r="K1423" s="3"/>
      <c r="L1423" s="3" t="s">
        <v>88</v>
      </c>
      <c r="M1423" s="3">
        <v>50</v>
      </c>
      <c r="N1423" s="3" t="s">
        <v>107</v>
      </c>
      <c r="O1423" s="3"/>
      <c r="P1423" s="3"/>
      <c r="Q1423" s="3">
        <v>1.1180000000000001</v>
      </c>
      <c r="R1423" s="3" t="s">
        <v>108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87</v>
      </c>
      <c r="C1424" s="3" t="s">
        <v>498</v>
      </c>
      <c r="D1424" s="3"/>
      <c r="E1424" s="3" t="s">
        <v>498</v>
      </c>
      <c r="F1424" s="3"/>
      <c r="G1424" s="3"/>
      <c r="H1424" s="3"/>
      <c r="I1424" s="3"/>
      <c r="J1424" s="3"/>
      <c r="K1424" s="3"/>
      <c r="L1424" s="3" t="s">
        <v>88</v>
      </c>
      <c r="M1424" s="3">
        <v>60</v>
      </c>
      <c r="N1424" s="3" t="s">
        <v>267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87</v>
      </c>
      <c r="C1425" s="3" t="s">
        <v>498</v>
      </c>
      <c r="D1425" s="3"/>
      <c r="E1425" s="3" t="s">
        <v>498</v>
      </c>
      <c r="F1425" s="3"/>
      <c r="G1425" s="3"/>
      <c r="H1425" s="3"/>
      <c r="I1425" s="3"/>
      <c r="J1425" s="3"/>
      <c r="K1425" s="3"/>
      <c r="L1425" s="3" t="s">
        <v>88</v>
      </c>
      <c r="M1425" s="3">
        <v>70</v>
      </c>
      <c r="N1425" s="3" t="s">
        <v>109</v>
      </c>
      <c r="O1425" s="3"/>
      <c r="P1425" s="3"/>
      <c r="Q1425" s="3">
        <v>22.86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87</v>
      </c>
      <c r="C1426" s="3" t="s">
        <v>498</v>
      </c>
      <c r="D1426" s="3"/>
      <c r="E1426" s="3" t="s">
        <v>498</v>
      </c>
      <c r="F1426" s="3"/>
      <c r="G1426" s="3"/>
      <c r="H1426" s="3"/>
      <c r="I1426" s="3"/>
      <c r="J1426" s="3"/>
      <c r="K1426" s="3"/>
      <c r="L1426" s="3" t="s">
        <v>88</v>
      </c>
      <c r="M1426" s="3">
        <v>80</v>
      </c>
      <c r="N1426" s="3" t="s">
        <v>16</v>
      </c>
      <c r="O1426" s="3"/>
      <c r="P1426" s="3"/>
      <c r="Q1426" s="3">
        <v>141.52600000000001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87</v>
      </c>
      <c r="C1427" s="3" t="s">
        <v>498</v>
      </c>
      <c r="D1427" s="3"/>
      <c r="E1427" s="3" t="s">
        <v>498</v>
      </c>
      <c r="F1427" s="3"/>
      <c r="G1427" s="3"/>
      <c r="H1427" s="3"/>
      <c r="I1427" s="3"/>
      <c r="J1427" s="3"/>
      <c r="K1427" s="3"/>
      <c r="L1427" s="3" t="s">
        <v>88</v>
      </c>
      <c r="M1427" s="3">
        <v>90</v>
      </c>
      <c r="N1427" s="3" t="s">
        <v>265</v>
      </c>
      <c r="O1427" s="3"/>
      <c r="P1427" s="3"/>
      <c r="Q1427" s="3">
        <v>0.14799999999999999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87</v>
      </c>
      <c r="C1428" s="3" t="s">
        <v>498</v>
      </c>
      <c r="D1428" s="3"/>
      <c r="E1428" s="3" t="s">
        <v>498</v>
      </c>
      <c r="F1428" s="3"/>
      <c r="G1428" s="3"/>
      <c r="H1428" s="3"/>
      <c r="I1428" s="3"/>
      <c r="J1428" s="3"/>
      <c r="K1428" s="3"/>
      <c r="L1428" s="3" t="s">
        <v>88</v>
      </c>
      <c r="M1428" s="3">
        <v>100</v>
      </c>
      <c r="N1428" s="3" t="s">
        <v>269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87</v>
      </c>
      <c r="C1429" s="3" t="s">
        <v>498</v>
      </c>
      <c r="D1429" s="3"/>
      <c r="E1429" s="3" t="s">
        <v>498</v>
      </c>
      <c r="F1429" s="3"/>
      <c r="G1429" s="3"/>
      <c r="H1429" s="3"/>
      <c r="I1429" s="3"/>
      <c r="J1429" s="3"/>
      <c r="K1429" s="3"/>
      <c r="L1429" s="3" t="s">
        <v>88</v>
      </c>
      <c r="M1429" s="3">
        <v>110</v>
      </c>
      <c r="N1429" s="3" t="s">
        <v>20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87</v>
      </c>
      <c r="C1430" s="3" t="s">
        <v>498</v>
      </c>
      <c r="D1430" s="3"/>
      <c r="E1430" s="3" t="s">
        <v>498</v>
      </c>
      <c r="F1430" s="3"/>
      <c r="G1430" s="3"/>
      <c r="H1430" s="3"/>
      <c r="I1430" s="3"/>
      <c r="J1430" s="3"/>
      <c r="K1430" s="3"/>
      <c r="L1430" s="3" t="s">
        <v>88</v>
      </c>
      <c r="M1430" s="3">
        <v>120</v>
      </c>
      <c r="N1430" s="3" t="s">
        <v>21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87</v>
      </c>
      <c r="C1431" s="3" t="s">
        <v>498</v>
      </c>
      <c r="D1431" s="3"/>
      <c r="E1431" s="3" t="s">
        <v>498</v>
      </c>
      <c r="F1431" s="3"/>
      <c r="G1431" s="3"/>
      <c r="H1431" s="3"/>
      <c r="I1431" s="3"/>
      <c r="J1431" s="3"/>
      <c r="K1431" s="3"/>
      <c r="L1431" s="3" t="s">
        <v>88</v>
      </c>
      <c r="M1431" s="3">
        <v>130</v>
      </c>
      <c r="N1431" s="3" t="s">
        <v>110</v>
      </c>
      <c r="O1431" s="3"/>
      <c r="P1431" s="3"/>
      <c r="Q1431" s="3">
        <v>1.216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87</v>
      </c>
      <c r="C1432" s="3" t="s">
        <v>498</v>
      </c>
      <c r="D1432" s="3"/>
      <c r="E1432" s="3" t="s">
        <v>498</v>
      </c>
      <c r="F1432" s="3"/>
      <c r="G1432" s="3"/>
      <c r="H1432" s="3"/>
      <c r="I1432" s="3"/>
      <c r="J1432" s="3"/>
      <c r="K1432" s="3"/>
      <c r="L1432" s="3" t="s">
        <v>88</v>
      </c>
      <c r="M1432" s="3">
        <v>140</v>
      </c>
      <c r="N1432" s="3" t="s">
        <v>501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87</v>
      </c>
      <c r="C1433" s="3" t="s">
        <v>502</v>
      </c>
      <c r="D1433" s="3"/>
      <c r="E1433" s="3" t="s">
        <v>502</v>
      </c>
      <c r="F1433" s="3"/>
      <c r="G1433" s="3"/>
      <c r="H1433" s="3"/>
      <c r="I1433" s="3"/>
      <c r="J1433" s="3"/>
      <c r="K1433" s="3"/>
      <c r="L1433" s="3" t="s">
        <v>88</v>
      </c>
      <c r="M1433" s="3">
        <v>10</v>
      </c>
      <c r="N1433" s="3" t="s">
        <v>116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87</v>
      </c>
      <c r="C1434" s="3" t="s">
        <v>502</v>
      </c>
      <c r="D1434" s="3"/>
      <c r="E1434" s="3" t="s">
        <v>502</v>
      </c>
      <c r="F1434" s="3"/>
      <c r="G1434" s="3"/>
      <c r="H1434" s="3"/>
      <c r="I1434" s="3"/>
      <c r="J1434" s="3"/>
      <c r="K1434" s="3"/>
      <c r="L1434" s="3" t="s">
        <v>88</v>
      </c>
      <c r="M1434" s="3">
        <v>20</v>
      </c>
      <c r="N1434" s="3" t="s">
        <v>503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87</v>
      </c>
      <c r="C1435" s="3" t="s">
        <v>502</v>
      </c>
      <c r="D1435" s="3"/>
      <c r="E1435" s="3" t="s">
        <v>502</v>
      </c>
      <c r="F1435" s="3"/>
      <c r="G1435" s="3"/>
      <c r="H1435" s="3"/>
      <c r="I1435" s="3"/>
      <c r="J1435" s="3"/>
      <c r="K1435" s="3"/>
      <c r="L1435" s="3" t="s">
        <v>88</v>
      </c>
      <c r="M1435" s="3">
        <v>30</v>
      </c>
      <c r="N1435" s="3" t="s">
        <v>504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87</v>
      </c>
      <c r="C1436" s="3" t="s">
        <v>502</v>
      </c>
      <c r="D1436" s="3"/>
      <c r="E1436" s="3" t="s">
        <v>502</v>
      </c>
      <c r="F1436" s="3"/>
      <c r="G1436" s="3"/>
      <c r="H1436" s="3"/>
      <c r="I1436" s="3"/>
      <c r="J1436" s="3"/>
      <c r="K1436" s="3"/>
      <c r="L1436" s="3" t="s">
        <v>88</v>
      </c>
      <c r="M1436" s="3">
        <v>40</v>
      </c>
      <c r="N1436" s="3" t="s">
        <v>266</v>
      </c>
      <c r="O1436" s="3"/>
      <c r="P1436" s="3"/>
      <c r="Q1436" s="3">
        <v>2.1589999999999998</v>
      </c>
      <c r="R1436" s="3" t="s">
        <v>14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87</v>
      </c>
      <c r="C1437" s="3" t="s">
        <v>502</v>
      </c>
      <c r="D1437" s="3"/>
      <c r="E1437" s="3" t="s">
        <v>502</v>
      </c>
      <c r="F1437" s="3"/>
      <c r="G1437" s="3"/>
      <c r="H1437" s="3"/>
      <c r="I1437" s="3"/>
      <c r="J1437" s="3"/>
      <c r="K1437" s="3"/>
      <c r="L1437" s="3" t="s">
        <v>88</v>
      </c>
      <c r="M1437" s="3">
        <v>50</v>
      </c>
      <c r="N1437" s="3" t="s">
        <v>107</v>
      </c>
      <c r="O1437" s="3"/>
      <c r="P1437" s="3"/>
      <c r="Q1437" s="3">
        <v>0.56100000000000005</v>
      </c>
      <c r="R1437" s="3" t="s">
        <v>108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87</v>
      </c>
      <c r="C1438" s="3" t="s">
        <v>502</v>
      </c>
      <c r="D1438" s="3"/>
      <c r="E1438" s="3" t="s">
        <v>502</v>
      </c>
      <c r="F1438" s="3"/>
      <c r="G1438" s="3"/>
      <c r="H1438" s="3"/>
      <c r="I1438" s="3"/>
      <c r="J1438" s="3"/>
      <c r="K1438" s="3"/>
      <c r="L1438" s="3" t="s">
        <v>88</v>
      </c>
      <c r="M1438" s="3">
        <v>60</v>
      </c>
      <c r="N1438" s="3" t="s">
        <v>267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87</v>
      </c>
      <c r="C1439" s="3" t="s">
        <v>502</v>
      </c>
      <c r="D1439" s="3"/>
      <c r="E1439" s="3" t="s">
        <v>502</v>
      </c>
      <c r="F1439" s="3"/>
      <c r="G1439" s="3"/>
      <c r="H1439" s="3"/>
      <c r="I1439" s="3"/>
      <c r="J1439" s="3"/>
      <c r="K1439" s="3"/>
      <c r="L1439" s="3" t="s">
        <v>88</v>
      </c>
      <c r="M1439" s="3">
        <v>70</v>
      </c>
      <c r="N1439" s="3" t="s">
        <v>109</v>
      </c>
      <c r="O1439" s="3"/>
      <c r="P1439" s="3"/>
      <c r="Q1439" s="3">
        <v>17.983000000000001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87</v>
      </c>
      <c r="C1440" s="3" t="s">
        <v>502</v>
      </c>
      <c r="D1440" s="3"/>
      <c r="E1440" s="3" t="s">
        <v>502</v>
      </c>
      <c r="F1440" s="3"/>
      <c r="G1440" s="3"/>
      <c r="H1440" s="3"/>
      <c r="I1440" s="3"/>
      <c r="J1440" s="3"/>
      <c r="K1440" s="3"/>
      <c r="L1440" s="3" t="s">
        <v>88</v>
      </c>
      <c r="M1440" s="3">
        <v>80</v>
      </c>
      <c r="N1440" s="3" t="s">
        <v>16</v>
      </c>
      <c r="O1440" s="3"/>
      <c r="P1440" s="3"/>
      <c r="Q1440" s="3">
        <v>111.53400000000001</v>
      </c>
      <c r="R1440" s="3" t="s">
        <v>14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87</v>
      </c>
      <c r="C1441" s="3" t="s">
        <v>502</v>
      </c>
      <c r="D1441" s="3"/>
      <c r="E1441" s="3" t="s">
        <v>502</v>
      </c>
      <c r="F1441" s="3"/>
      <c r="G1441" s="3"/>
      <c r="H1441" s="3"/>
      <c r="I1441" s="3"/>
      <c r="J1441" s="3"/>
      <c r="K1441" s="3"/>
      <c r="L1441" s="3" t="s">
        <v>88</v>
      </c>
      <c r="M1441" s="3">
        <v>90</v>
      </c>
      <c r="N1441" s="3" t="s">
        <v>265</v>
      </c>
      <c r="O1441" s="3"/>
      <c r="P1441" s="3"/>
      <c r="Q1441" s="3">
        <v>8.4000000000000005E-2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87</v>
      </c>
      <c r="C1442" s="3" t="s">
        <v>502</v>
      </c>
      <c r="D1442" s="3"/>
      <c r="E1442" s="3" t="s">
        <v>502</v>
      </c>
      <c r="F1442" s="3"/>
      <c r="G1442" s="3"/>
      <c r="H1442" s="3"/>
      <c r="I1442" s="3"/>
      <c r="J1442" s="3"/>
      <c r="K1442" s="3"/>
      <c r="L1442" s="3" t="s">
        <v>88</v>
      </c>
      <c r="M1442" s="3">
        <v>100</v>
      </c>
      <c r="N1442" s="3" t="s">
        <v>269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87</v>
      </c>
      <c r="C1443" s="3" t="s">
        <v>502</v>
      </c>
      <c r="D1443" s="3"/>
      <c r="E1443" s="3" t="s">
        <v>502</v>
      </c>
      <c r="F1443" s="3"/>
      <c r="G1443" s="3"/>
      <c r="H1443" s="3"/>
      <c r="I1443" s="3"/>
      <c r="J1443" s="3"/>
      <c r="K1443" s="3"/>
      <c r="L1443" s="3" t="s">
        <v>88</v>
      </c>
      <c r="M1443" s="3">
        <v>110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87</v>
      </c>
      <c r="C1444" s="3" t="s">
        <v>502</v>
      </c>
      <c r="D1444" s="3"/>
      <c r="E1444" s="3" t="s">
        <v>502</v>
      </c>
      <c r="F1444" s="3"/>
      <c r="G1444" s="3"/>
      <c r="H1444" s="3"/>
      <c r="I1444" s="3"/>
      <c r="J1444" s="3"/>
      <c r="K1444" s="3"/>
      <c r="L1444" s="3" t="s">
        <v>88</v>
      </c>
      <c r="M1444" s="3">
        <v>120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87</v>
      </c>
      <c r="C1445" s="3" t="s">
        <v>502</v>
      </c>
      <c r="D1445" s="3"/>
      <c r="E1445" s="3" t="s">
        <v>502</v>
      </c>
      <c r="F1445" s="3"/>
      <c r="G1445" s="3"/>
      <c r="H1445" s="3"/>
      <c r="I1445" s="3"/>
      <c r="J1445" s="3"/>
      <c r="K1445" s="3"/>
      <c r="L1445" s="3" t="s">
        <v>88</v>
      </c>
      <c r="M1445" s="3">
        <v>130</v>
      </c>
      <c r="N1445" s="3" t="s">
        <v>110</v>
      </c>
      <c r="O1445" s="3"/>
      <c r="P1445" s="3"/>
      <c r="Q1445" s="3">
        <v>1.27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87</v>
      </c>
      <c r="C1446" s="3" t="s">
        <v>502</v>
      </c>
      <c r="D1446" s="3"/>
      <c r="E1446" s="3" t="s">
        <v>502</v>
      </c>
      <c r="F1446" s="3"/>
      <c r="G1446" s="3"/>
      <c r="H1446" s="3"/>
      <c r="I1446" s="3"/>
      <c r="J1446" s="3"/>
      <c r="K1446" s="3"/>
      <c r="L1446" s="3" t="s">
        <v>88</v>
      </c>
      <c r="M1446" s="3">
        <v>140</v>
      </c>
      <c r="N1446" s="3" t="s">
        <v>505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87</v>
      </c>
      <c r="C1447" s="3" t="s">
        <v>506</v>
      </c>
      <c r="D1447" s="3"/>
      <c r="E1447" s="3" t="s">
        <v>506</v>
      </c>
      <c r="F1447" s="3"/>
      <c r="G1447" s="3"/>
      <c r="H1447" s="3"/>
      <c r="I1447" s="3"/>
      <c r="J1447" s="3"/>
      <c r="K1447" s="3"/>
      <c r="L1447" s="3" t="s">
        <v>88</v>
      </c>
      <c r="M1447" s="3">
        <v>10</v>
      </c>
      <c r="N1447" s="3" t="s">
        <v>116</v>
      </c>
      <c r="O1447" s="3"/>
      <c r="P1447" s="3"/>
      <c r="Q1447" s="3">
        <v>2.1589999999999998</v>
      </c>
      <c r="R1447" s="3" t="s">
        <v>14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87</v>
      </c>
      <c r="C1448" s="3" t="s">
        <v>506</v>
      </c>
      <c r="D1448" s="3"/>
      <c r="E1448" s="3" t="s">
        <v>506</v>
      </c>
      <c r="F1448" s="3"/>
      <c r="G1448" s="3"/>
      <c r="H1448" s="3"/>
      <c r="I1448" s="3"/>
      <c r="J1448" s="3"/>
      <c r="K1448" s="3"/>
      <c r="L1448" s="3" t="s">
        <v>88</v>
      </c>
      <c r="M1448" s="3">
        <v>20</v>
      </c>
      <c r="N1448" s="3" t="s">
        <v>507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87</v>
      </c>
      <c r="C1449" s="3" t="s">
        <v>506</v>
      </c>
      <c r="D1449" s="3"/>
      <c r="E1449" s="3" t="s">
        <v>506</v>
      </c>
      <c r="F1449" s="3"/>
      <c r="G1449" s="3"/>
      <c r="H1449" s="3"/>
      <c r="I1449" s="3"/>
      <c r="J1449" s="3"/>
      <c r="K1449" s="3"/>
      <c r="L1449" s="3" t="s">
        <v>88</v>
      </c>
      <c r="M1449" s="3">
        <v>30</v>
      </c>
      <c r="N1449" s="3" t="s">
        <v>508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87</v>
      </c>
      <c r="C1450" s="3" t="s">
        <v>506</v>
      </c>
      <c r="D1450" s="3"/>
      <c r="E1450" s="3" t="s">
        <v>506</v>
      </c>
      <c r="F1450" s="3"/>
      <c r="G1450" s="3"/>
      <c r="H1450" s="3"/>
      <c r="I1450" s="3"/>
      <c r="J1450" s="3"/>
      <c r="K1450" s="3"/>
      <c r="L1450" s="3" t="s">
        <v>88</v>
      </c>
      <c r="M1450" s="3">
        <v>40</v>
      </c>
      <c r="N1450" s="3" t="s">
        <v>266</v>
      </c>
      <c r="O1450" s="3"/>
      <c r="P1450" s="3"/>
      <c r="Q1450" s="3">
        <v>2.1589999999999998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87</v>
      </c>
      <c r="C1451" s="3" t="s">
        <v>506</v>
      </c>
      <c r="D1451" s="3"/>
      <c r="E1451" s="3" t="s">
        <v>506</v>
      </c>
      <c r="F1451" s="3"/>
      <c r="G1451" s="3"/>
      <c r="H1451" s="3"/>
      <c r="I1451" s="3"/>
      <c r="J1451" s="3"/>
      <c r="K1451" s="3"/>
      <c r="L1451" s="3" t="s">
        <v>88</v>
      </c>
      <c r="M1451" s="3">
        <v>50</v>
      </c>
      <c r="N1451" s="3" t="s">
        <v>107</v>
      </c>
      <c r="O1451" s="3"/>
      <c r="P1451" s="3"/>
      <c r="Q1451" s="3">
        <v>0.66300000000000003</v>
      </c>
      <c r="R1451" s="3" t="s">
        <v>108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87</v>
      </c>
      <c r="C1452" s="3" t="s">
        <v>506</v>
      </c>
      <c r="D1452" s="3"/>
      <c r="E1452" s="3" t="s">
        <v>506</v>
      </c>
      <c r="F1452" s="3"/>
      <c r="G1452" s="3"/>
      <c r="H1452" s="3"/>
      <c r="I1452" s="3"/>
      <c r="J1452" s="3"/>
      <c r="K1452" s="3"/>
      <c r="L1452" s="3" t="s">
        <v>88</v>
      </c>
      <c r="M1452" s="3">
        <v>60</v>
      </c>
      <c r="N1452" s="3" t="s">
        <v>267</v>
      </c>
      <c r="O1452" s="3"/>
      <c r="P1452" s="3"/>
      <c r="Q1452" s="3">
        <v>1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87</v>
      </c>
      <c r="C1453" s="3" t="s">
        <v>506</v>
      </c>
      <c r="D1453" s="3"/>
      <c r="E1453" s="3" t="s">
        <v>506</v>
      </c>
      <c r="F1453" s="3"/>
      <c r="G1453" s="3"/>
      <c r="H1453" s="3"/>
      <c r="I1453" s="3"/>
      <c r="J1453" s="3"/>
      <c r="K1453" s="3"/>
      <c r="L1453" s="3" t="s">
        <v>88</v>
      </c>
      <c r="M1453" s="3">
        <v>70</v>
      </c>
      <c r="N1453" s="3" t="s">
        <v>109</v>
      </c>
      <c r="O1453" s="3"/>
      <c r="P1453" s="3"/>
      <c r="Q1453" s="3">
        <v>18.898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87</v>
      </c>
      <c r="C1454" s="3" t="s">
        <v>506</v>
      </c>
      <c r="D1454" s="3"/>
      <c r="E1454" s="3" t="s">
        <v>506</v>
      </c>
      <c r="F1454" s="3"/>
      <c r="G1454" s="3"/>
      <c r="H1454" s="3"/>
      <c r="I1454" s="3"/>
      <c r="J1454" s="3"/>
      <c r="K1454" s="3"/>
      <c r="L1454" s="3" t="s">
        <v>88</v>
      </c>
      <c r="M1454" s="3">
        <v>80</v>
      </c>
      <c r="N1454" s="3" t="s">
        <v>16</v>
      </c>
      <c r="O1454" s="3"/>
      <c r="P1454" s="3"/>
      <c r="Q1454" s="3">
        <v>117.158</v>
      </c>
      <c r="R1454" s="3" t="s">
        <v>14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87</v>
      </c>
      <c r="C1455" s="3" t="s">
        <v>506</v>
      </c>
      <c r="D1455" s="3"/>
      <c r="E1455" s="3" t="s">
        <v>506</v>
      </c>
      <c r="F1455" s="3"/>
      <c r="G1455" s="3"/>
      <c r="H1455" s="3"/>
      <c r="I1455" s="3"/>
      <c r="J1455" s="3"/>
      <c r="K1455" s="3"/>
      <c r="L1455" s="3" t="s">
        <v>88</v>
      </c>
      <c r="M1455" s="3">
        <v>90</v>
      </c>
      <c r="N1455" s="3" t="s">
        <v>265</v>
      </c>
      <c r="O1455" s="3"/>
      <c r="P1455" s="3"/>
      <c r="Q1455" s="3">
        <v>9.4E-2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87</v>
      </c>
      <c r="C1456" s="3" t="s">
        <v>506</v>
      </c>
      <c r="D1456" s="3"/>
      <c r="E1456" s="3" t="s">
        <v>506</v>
      </c>
      <c r="F1456" s="3"/>
      <c r="G1456" s="3"/>
      <c r="H1456" s="3"/>
      <c r="I1456" s="3"/>
      <c r="J1456" s="3"/>
      <c r="K1456" s="3"/>
      <c r="L1456" s="3" t="s">
        <v>88</v>
      </c>
      <c r="M1456" s="3">
        <v>100</v>
      </c>
      <c r="N1456" s="3" t="s">
        <v>269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87</v>
      </c>
      <c r="C1457" s="3" t="s">
        <v>506</v>
      </c>
      <c r="D1457" s="3"/>
      <c r="E1457" s="3" t="s">
        <v>506</v>
      </c>
      <c r="F1457" s="3"/>
      <c r="G1457" s="3"/>
      <c r="H1457" s="3"/>
      <c r="I1457" s="3"/>
      <c r="J1457" s="3"/>
      <c r="K1457" s="3"/>
      <c r="L1457" s="3" t="s">
        <v>88</v>
      </c>
      <c r="M1457" s="3">
        <v>110</v>
      </c>
      <c r="N1457" s="3" t="s">
        <v>20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87</v>
      </c>
      <c r="C1458" s="3" t="s">
        <v>506</v>
      </c>
      <c r="D1458" s="3"/>
      <c r="E1458" s="3" t="s">
        <v>506</v>
      </c>
      <c r="F1458" s="3"/>
      <c r="G1458" s="3"/>
      <c r="H1458" s="3"/>
      <c r="I1458" s="3"/>
      <c r="J1458" s="3"/>
      <c r="K1458" s="3"/>
      <c r="L1458" s="3" t="s">
        <v>88</v>
      </c>
      <c r="M1458" s="3">
        <v>120</v>
      </c>
      <c r="N1458" s="3" t="s">
        <v>21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87</v>
      </c>
      <c r="C1459" s="3" t="s">
        <v>506</v>
      </c>
      <c r="D1459" s="3"/>
      <c r="E1459" s="3" t="s">
        <v>506</v>
      </c>
      <c r="F1459" s="3"/>
      <c r="G1459" s="3"/>
      <c r="H1459" s="3"/>
      <c r="I1459" s="3"/>
      <c r="J1459" s="3"/>
      <c r="K1459" s="3"/>
      <c r="L1459" s="3" t="s">
        <v>88</v>
      </c>
      <c r="M1459" s="3">
        <v>130</v>
      </c>
      <c r="N1459" s="3" t="s">
        <v>110</v>
      </c>
      <c r="O1459" s="3"/>
      <c r="P1459" s="3"/>
      <c r="Q1459" s="3">
        <v>1.27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87</v>
      </c>
      <c r="C1460" s="3" t="s">
        <v>506</v>
      </c>
      <c r="D1460" s="3"/>
      <c r="E1460" s="3" t="s">
        <v>506</v>
      </c>
      <c r="F1460" s="3"/>
      <c r="G1460" s="3"/>
      <c r="H1460" s="3"/>
      <c r="I1460" s="3"/>
      <c r="J1460" s="3"/>
      <c r="K1460" s="3"/>
      <c r="L1460" s="3" t="s">
        <v>88</v>
      </c>
      <c r="M1460" s="3">
        <v>140</v>
      </c>
      <c r="N1460" s="3" t="s">
        <v>509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87</v>
      </c>
      <c r="C1461" s="3" t="s">
        <v>510</v>
      </c>
      <c r="D1461" s="3"/>
      <c r="E1461" s="3" t="s">
        <v>510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116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87</v>
      </c>
      <c r="C1462" s="3" t="s">
        <v>510</v>
      </c>
      <c r="D1462" s="3"/>
      <c r="E1462" s="3" t="s">
        <v>510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511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87</v>
      </c>
      <c r="C1463" s="3" t="s">
        <v>510</v>
      </c>
      <c r="D1463" s="3"/>
      <c r="E1463" s="3" t="s">
        <v>510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512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87</v>
      </c>
      <c r="C1464" s="3" t="s">
        <v>510</v>
      </c>
      <c r="D1464" s="3"/>
      <c r="E1464" s="3" t="s">
        <v>510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266</v>
      </c>
      <c r="O1464" s="3"/>
      <c r="P1464" s="3"/>
      <c r="Q1464" s="3">
        <v>2.1589999999999998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87</v>
      </c>
      <c r="C1465" s="3" t="s">
        <v>510</v>
      </c>
      <c r="D1465" s="3"/>
      <c r="E1465" s="3" t="s">
        <v>510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107</v>
      </c>
      <c r="O1465" s="3"/>
      <c r="P1465" s="3"/>
      <c r="Q1465" s="3">
        <v>0.76500000000000001</v>
      </c>
      <c r="R1465" s="3" t="s">
        <v>108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87</v>
      </c>
      <c r="C1466" s="3" t="s">
        <v>510</v>
      </c>
      <c r="D1466" s="3"/>
      <c r="E1466" s="3" t="s">
        <v>510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267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87</v>
      </c>
      <c r="C1467" s="3" t="s">
        <v>510</v>
      </c>
      <c r="D1467" s="3"/>
      <c r="E1467" s="3" t="s">
        <v>510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109</v>
      </c>
      <c r="O1467" s="3"/>
      <c r="P1467" s="3"/>
      <c r="Q1467" s="3">
        <v>19.812000000000001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87</v>
      </c>
      <c r="C1468" s="3" t="s">
        <v>510</v>
      </c>
      <c r="D1468" s="3"/>
      <c r="E1468" s="3" t="s">
        <v>510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16</v>
      </c>
      <c r="O1468" s="3"/>
      <c r="P1468" s="3"/>
      <c r="Q1468" s="3">
        <v>122.78100000000001</v>
      </c>
      <c r="R1468" s="3" t="s">
        <v>14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87</v>
      </c>
      <c r="C1469" s="3" t="s">
        <v>510</v>
      </c>
      <c r="D1469" s="3"/>
      <c r="E1469" s="3" t="s">
        <v>510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265</v>
      </c>
      <c r="O1469" s="3"/>
      <c r="P1469" s="3"/>
      <c r="Q1469" s="3">
        <v>0.105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87</v>
      </c>
      <c r="C1470" s="3" t="s">
        <v>510</v>
      </c>
      <c r="D1470" s="3"/>
      <c r="E1470" s="3" t="s">
        <v>510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269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87</v>
      </c>
      <c r="C1471" s="3" t="s">
        <v>510</v>
      </c>
      <c r="D1471" s="3"/>
      <c r="E1471" s="3" t="s">
        <v>510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87</v>
      </c>
      <c r="C1472" s="3" t="s">
        <v>510</v>
      </c>
      <c r="D1472" s="3"/>
      <c r="E1472" s="3" t="s">
        <v>510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87</v>
      </c>
      <c r="C1473" s="3" t="s">
        <v>510</v>
      </c>
      <c r="D1473" s="3"/>
      <c r="E1473" s="3" t="s">
        <v>510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110</v>
      </c>
      <c r="O1473" s="3"/>
      <c r="P1473" s="3"/>
      <c r="Q1473" s="3">
        <v>1.27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87</v>
      </c>
      <c r="C1474" s="3" t="s">
        <v>510</v>
      </c>
      <c r="D1474" s="3"/>
      <c r="E1474" s="3" t="s">
        <v>510</v>
      </c>
      <c r="F1474" s="3"/>
      <c r="G1474" s="3"/>
      <c r="H1474" s="3"/>
      <c r="I1474" s="3"/>
      <c r="J1474" s="3"/>
      <c r="K1474" s="3"/>
      <c r="L1474" s="3" t="s">
        <v>88</v>
      </c>
      <c r="M1474" s="3">
        <v>140</v>
      </c>
      <c r="N1474" s="3" t="s">
        <v>513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87</v>
      </c>
      <c r="C1475" s="3" t="s">
        <v>514</v>
      </c>
      <c r="D1475" s="3"/>
      <c r="E1475" s="3" t="s">
        <v>514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116</v>
      </c>
      <c r="O1475" s="3"/>
      <c r="P1475" s="3"/>
      <c r="Q1475" s="3">
        <v>2.1589999999999998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87</v>
      </c>
      <c r="C1476" s="3" t="s">
        <v>514</v>
      </c>
      <c r="D1476" s="3"/>
      <c r="E1476" s="3" t="s">
        <v>514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515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87</v>
      </c>
      <c r="C1477" s="3" t="s">
        <v>514</v>
      </c>
      <c r="D1477" s="3"/>
      <c r="E1477" s="3" t="s">
        <v>514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516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87</v>
      </c>
      <c r="C1478" s="3" t="s">
        <v>514</v>
      </c>
      <c r="D1478" s="3"/>
      <c r="E1478" s="3" t="s">
        <v>514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266</v>
      </c>
      <c r="O1478" s="3"/>
      <c r="P1478" s="3"/>
      <c r="Q1478" s="3">
        <v>2.1589999999999998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87</v>
      </c>
      <c r="C1479" s="3" t="s">
        <v>514</v>
      </c>
      <c r="D1479" s="3"/>
      <c r="E1479" s="3" t="s">
        <v>514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107</v>
      </c>
      <c r="O1479" s="3"/>
      <c r="P1479" s="3"/>
      <c r="Q1479" s="3">
        <v>0.86799999999999999</v>
      </c>
      <c r="R1479" s="3" t="s">
        <v>108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87</v>
      </c>
      <c r="C1480" s="3" t="s">
        <v>514</v>
      </c>
      <c r="D1480" s="3"/>
      <c r="E1480" s="3" t="s">
        <v>514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267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87</v>
      </c>
      <c r="C1481" s="3" t="s">
        <v>514</v>
      </c>
      <c r="D1481" s="3"/>
      <c r="E1481" s="3" t="s">
        <v>514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109</v>
      </c>
      <c r="O1481" s="3"/>
      <c r="P1481" s="3"/>
      <c r="Q1481" s="3">
        <v>20.725999999999999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87</v>
      </c>
      <c r="C1482" s="3" t="s">
        <v>514</v>
      </c>
      <c r="D1482" s="3"/>
      <c r="E1482" s="3" t="s">
        <v>514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16</v>
      </c>
      <c r="O1482" s="3"/>
      <c r="P1482" s="3"/>
      <c r="Q1482" s="3">
        <v>128.405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87</v>
      </c>
      <c r="C1483" s="3" t="s">
        <v>514</v>
      </c>
      <c r="D1483" s="3"/>
      <c r="E1483" s="3" t="s">
        <v>514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265</v>
      </c>
      <c r="O1483" s="3"/>
      <c r="P1483" s="3"/>
      <c r="Q1483" s="3">
        <v>0.11600000000000001</v>
      </c>
      <c r="R1483" s="3" t="s">
        <v>12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87</v>
      </c>
      <c r="C1484" s="3" t="s">
        <v>514</v>
      </c>
      <c r="D1484" s="3"/>
      <c r="E1484" s="3" t="s">
        <v>514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269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87</v>
      </c>
      <c r="C1485" s="3" t="s">
        <v>514</v>
      </c>
      <c r="D1485" s="3"/>
      <c r="E1485" s="3" t="s">
        <v>514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20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87</v>
      </c>
      <c r="C1486" s="3" t="s">
        <v>514</v>
      </c>
      <c r="D1486" s="3"/>
      <c r="E1486" s="3" t="s">
        <v>514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87</v>
      </c>
      <c r="C1487" s="3" t="s">
        <v>514</v>
      </c>
      <c r="D1487" s="3"/>
      <c r="E1487" s="3" t="s">
        <v>514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110</v>
      </c>
      <c r="O1487" s="3"/>
      <c r="P1487" s="3"/>
      <c r="Q1487" s="3">
        <v>1.27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87</v>
      </c>
      <c r="C1488" s="3" t="s">
        <v>514</v>
      </c>
      <c r="D1488" s="3"/>
      <c r="E1488" s="3" t="s">
        <v>514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517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87</v>
      </c>
      <c r="C1489" s="3" t="s">
        <v>518</v>
      </c>
      <c r="D1489" s="3"/>
      <c r="E1489" s="3" t="s">
        <v>518</v>
      </c>
      <c r="F1489" s="3"/>
      <c r="G1489" s="3"/>
      <c r="H1489" s="3"/>
      <c r="I1489" s="3"/>
      <c r="J1489" s="3"/>
      <c r="K1489" s="3"/>
      <c r="L1489" s="3" t="s">
        <v>88</v>
      </c>
      <c r="M1489" s="3">
        <v>10</v>
      </c>
      <c r="N1489" s="3" t="s">
        <v>116</v>
      </c>
      <c r="O1489" s="3"/>
      <c r="P1489" s="3"/>
      <c r="Q1489" s="3">
        <v>2.1589999999999998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87</v>
      </c>
      <c r="C1490" s="3" t="s">
        <v>518</v>
      </c>
      <c r="D1490" s="3"/>
      <c r="E1490" s="3" t="s">
        <v>518</v>
      </c>
      <c r="F1490" s="3"/>
      <c r="G1490" s="3"/>
      <c r="H1490" s="3"/>
      <c r="I1490" s="3"/>
      <c r="J1490" s="3"/>
      <c r="K1490" s="3"/>
      <c r="L1490" s="3" t="s">
        <v>88</v>
      </c>
      <c r="M1490" s="3">
        <v>20</v>
      </c>
      <c r="N1490" s="3" t="s">
        <v>519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87</v>
      </c>
      <c r="C1491" s="3" t="s">
        <v>518</v>
      </c>
      <c r="D1491" s="3"/>
      <c r="E1491" s="3" t="s">
        <v>518</v>
      </c>
      <c r="F1491" s="3"/>
      <c r="G1491" s="3"/>
      <c r="H1491" s="3"/>
      <c r="I1491" s="3"/>
      <c r="J1491" s="3"/>
      <c r="K1491" s="3"/>
      <c r="L1491" s="3" t="s">
        <v>88</v>
      </c>
      <c r="M1491" s="3">
        <v>30</v>
      </c>
      <c r="N1491" s="3" t="s">
        <v>520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87</v>
      </c>
      <c r="C1492" s="3" t="s">
        <v>518</v>
      </c>
      <c r="D1492" s="3"/>
      <c r="E1492" s="3" t="s">
        <v>518</v>
      </c>
      <c r="F1492" s="3"/>
      <c r="G1492" s="3"/>
      <c r="H1492" s="3"/>
      <c r="I1492" s="3"/>
      <c r="J1492" s="3"/>
      <c r="K1492" s="3"/>
      <c r="L1492" s="3" t="s">
        <v>88</v>
      </c>
      <c r="M1492" s="3">
        <v>40</v>
      </c>
      <c r="N1492" s="3" t="s">
        <v>266</v>
      </c>
      <c r="O1492" s="3"/>
      <c r="P1492" s="3"/>
      <c r="Q1492" s="3">
        <v>2.1589999999999998</v>
      </c>
      <c r="R1492" s="3" t="s">
        <v>14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87</v>
      </c>
      <c r="C1493" s="3" t="s">
        <v>518</v>
      </c>
      <c r="D1493" s="3"/>
      <c r="E1493" s="3" t="s">
        <v>518</v>
      </c>
      <c r="F1493" s="3"/>
      <c r="G1493" s="3"/>
      <c r="H1493" s="3"/>
      <c r="I1493" s="3"/>
      <c r="J1493" s="3"/>
      <c r="K1493" s="3"/>
      <c r="L1493" s="3" t="s">
        <v>88</v>
      </c>
      <c r="M1493" s="3">
        <v>50</v>
      </c>
      <c r="N1493" s="3" t="s">
        <v>107</v>
      </c>
      <c r="O1493" s="3"/>
      <c r="P1493" s="3"/>
      <c r="Q1493" s="3">
        <v>0.91900000000000004</v>
      </c>
      <c r="R1493" s="3" t="s">
        <v>108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87</v>
      </c>
      <c r="C1494" s="3" t="s">
        <v>518</v>
      </c>
      <c r="D1494" s="3"/>
      <c r="E1494" s="3" t="s">
        <v>518</v>
      </c>
      <c r="F1494" s="3"/>
      <c r="G1494" s="3"/>
      <c r="H1494" s="3"/>
      <c r="I1494" s="3"/>
      <c r="J1494" s="3"/>
      <c r="K1494" s="3"/>
      <c r="L1494" s="3" t="s">
        <v>88</v>
      </c>
      <c r="M1494" s="3">
        <v>60</v>
      </c>
      <c r="N1494" s="3" t="s">
        <v>267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87</v>
      </c>
      <c r="C1495" s="3" t="s">
        <v>518</v>
      </c>
      <c r="D1495" s="3"/>
      <c r="E1495" s="3" t="s">
        <v>518</v>
      </c>
      <c r="F1495" s="3"/>
      <c r="G1495" s="3"/>
      <c r="H1495" s="3"/>
      <c r="I1495" s="3"/>
      <c r="J1495" s="3"/>
      <c r="K1495" s="3"/>
      <c r="L1495" s="3" t="s">
        <v>88</v>
      </c>
      <c r="M1495" s="3">
        <v>70</v>
      </c>
      <c r="N1495" s="3" t="s">
        <v>109</v>
      </c>
      <c r="O1495" s="3"/>
      <c r="P1495" s="3"/>
      <c r="Q1495" s="3">
        <v>21.184000000000001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87</v>
      </c>
      <c r="C1496" s="3" t="s">
        <v>518</v>
      </c>
      <c r="D1496" s="3"/>
      <c r="E1496" s="3" t="s">
        <v>518</v>
      </c>
      <c r="F1496" s="3"/>
      <c r="G1496" s="3"/>
      <c r="H1496" s="3"/>
      <c r="I1496" s="3"/>
      <c r="J1496" s="3"/>
      <c r="K1496" s="3"/>
      <c r="L1496" s="3" t="s">
        <v>88</v>
      </c>
      <c r="M1496" s="3">
        <v>80</v>
      </c>
      <c r="N1496" s="3" t="s">
        <v>16</v>
      </c>
      <c r="O1496" s="3"/>
      <c r="P1496" s="3"/>
      <c r="Q1496" s="3">
        <v>131.21600000000001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87</v>
      </c>
      <c r="C1497" s="3" t="s">
        <v>518</v>
      </c>
      <c r="D1497" s="3"/>
      <c r="E1497" s="3" t="s">
        <v>518</v>
      </c>
      <c r="F1497" s="3"/>
      <c r="G1497" s="3"/>
      <c r="H1497" s="3"/>
      <c r="I1497" s="3"/>
      <c r="J1497" s="3"/>
      <c r="K1497" s="3"/>
      <c r="L1497" s="3" t="s">
        <v>88</v>
      </c>
      <c r="M1497" s="3">
        <v>90</v>
      </c>
      <c r="N1497" s="3" t="s">
        <v>265</v>
      </c>
      <c r="O1497" s="3"/>
      <c r="P1497" s="3"/>
      <c r="Q1497" s="3">
        <v>0.121</v>
      </c>
      <c r="R1497" s="3" t="s">
        <v>12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87</v>
      </c>
      <c r="C1498" s="3" t="s">
        <v>518</v>
      </c>
      <c r="D1498" s="3"/>
      <c r="E1498" s="3" t="s">
        <v>518</v>
      </c>
      <c r="F1498" s="3"/>
      <c r="G1498" s="3"/>
      <c r="H1498" s="3"/>
      <c r="I1498" s="3"/>
      <c r="J1498" s="3"/>
      <c r="K1498" s="3"/>
      <c r="L1498" s="3" t="s">
        <v>88</v>
      </c>
      <c r="M1498" s="3">
        <v>100</v>
      </c>
      <c r="N1498" s="3" t="s">
        <v>269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87</v>
      </c>
      <c r="C1499" s="3" t="s">
        <v>518</v>
      </c>
      <c r="D1499" s="3"/>
      <c r="E1499" s="3" t="s">
        <v>518</v>
      </c>
      <c r="F1499" s="3"/>
      <c r="G1499" s="3"/>
      <c r="H1499" s="3"/>
      <c r="I1499" s="3"/>
      <c r="J1499" s="3"/>
      <c r="K1499" s="3"/>
      <c r="L1499" s="3" t="s">
        <v>88</v>
      </c>
      <c r="M1499" s="3">
        <v>110</v>
      </c>
      <c r="N1499" s="3" t="s">
        <v>20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87</v>
      </c>
      <c r="C1500" s="3" t="s">
        <v>518</v>
      </c>
      <c r="D1500" s="3"/>
      <c r="E1500" s="3" t="s">
        <v>518</v>
      </c>
      <c r="F1500" s="3"/>
      <c r="G1500" s="3"/>
      <c r="H1500" s="3"/>
      <c r="I1500" s="3"/>
      <c r="J1500" s="3"/>
      <c r="K1500" s="3"/>
      <c r="L1500" s="3" t="s">
        <v>88</v>
      </c>
      <c r="M1500" s="3">
        <v>120</v>
      </c>
      <c r="N1500" s="3" t="s">
        <v>21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87</v>
      </c>
      <c r="C1501" s="3" t="s">
        <v>518</v>
      </c>
      <c r="D1501" s="3"/>
      <c r="E1501" s="3" t="s">
        <v>518</v>
      </c>
      <c r="F1501" s="3"/>
      <c r="G1501" s="3"/>
      <c r="H1501" s="3"/>
      <c r="I1501" s="3"/>
      <c r="J1501" s="3"/>
      <c r="K1501" s="3"/>
      <c r="L1501" s="3" t="s">
        <v>88</v>
      </c>
      <c r="M1501" s="3">
        <v>130</v>
      </c>
      <c r="N1501" s="3" t="s">
        <v>110</v>
      </c>
      <c r="O1501" s="3"/>
      <c r="P1501" s="3"/>
      <c r="Q1501" s="3">
        <v>1.27</v>
      </c>
      <c r="R1501" s="3" t="s">
        <v>12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87</v>
      </c>
      <c r="C1502" s="3" t="s">
        <v>518</v>
      </c>
      <c r="D1502" s="3"/>
      <c r="E1502" s="3" t="s">
        <v>518</v>
      </c>
      <c r="F1502" s="3"/>
      <c r="G1502" s="3"/>
      <c r="H1502" s="3"/>
      <c r="I1502" s="3"/>
      <c r="J1502" s="3"/>
      <c r="K1502" s="3"/>
      <c r="L1502" s="3" t="s">
        <v>88</v>
      </c>
      <c r="M1502" s="3">
        <v>140</v>
      </c>
      <c r="N1502" s="3" t="s">
        <v>521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87</v>
      </c>
      <c r="C1503" s="3" t="s">
        <v>522</v>
      </c>
      <c r="D1503" s="3"/>
      <c r="E1503" s="3" t="s">
        <v>522</v>
      </c>
      <c r="F1503" s="3"/>
      <c r="G1503" s="3"/>
      <c r="H1503" s="3"/>
      <c r="I1503" s="3"/>
      <c r="J1503" s="3"/>
      <c r="K1503" s="3"/>
      <c r="L1503" s="3" t="s">
        <v>88</v>
      </c>
      <c r="M1503" s="3">
        <v>10</v>
      </c>
      <c r="N1503" s="3" t="s">
        <v>116</v>
      </c>
      <c r="O1503" s="3"/>
      <c r="P1503" s="3"/>
      <c r="Q1503" s="3">
        <v>2.1589999999999998</v>
      </c>
      <c r="R1503" s="3" t="s">
        <v>14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87</v>
      </c>
      <c r="C1504" s="3" t="s">
        <v>522</v>
      </c>
      <c r="D1504" s="3"/>
      <c r="E1504" s="3" t="s">
        <v>522</v>
      </c>
      <c r="F1504" s="3"/>
      <c r="G1504" s="3"/>
      <c r="H1504" s="3"/>
      <c r="I1504" s="3"/>
      <c r="J1504" s="3"/>
      <c r="K1504" s="3"/>
      <c r="L1504" s="3" t="s">
        <v>88</v>
      </c>
      <c r="M1504" s="3">
        <v>20</v>
      </c>
      <c r="N1504" s="3" t="s">
        <v>523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87</v>
      </c>
      <c r="C1505" s="3" t="s">
        <v>522</v>
      </c>
      <c r="D1505" s="3"/>
      <c r="E1505" s="3" t="s">
        <v>522</v>
      </c>
      <c r="F1505" s="3"/>
      <c r="G1505" s="3"/>
      <c r="H1505" s="3"/>
      <c r="I1505" s="3"/>
      <c r="J1505" s="3"/>
      <c r="K1505" s="3"/>
      <c r="L1505" s="3" t="s">
        <v>88</v>
      </c>
      <c r="M1505" s="3">
        <v>30</v>
      </c>
      <c r="N1505" s="3" t="s">
        <v>524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87</v>
      </c>
      <c r="C1506" s="3" t="s">
        <v>522</v>
      </c>
      <c r="D1506" s="3"/>
      <c r="E1506" s="3" t="s">
        <v>522</v>
      </c>
      <c r="F1506" s="3"/>
      <c r="G1506" s="3"/>
      <c r="H1506" s="3"/>
      <c r="I1506" s="3"/>
      <c r="J1506" s="3"/>
      <c r="K1506" s="3"/>
      <c r="L1506" s="3" t="s">
        <v>88</v>
      </c>
      <c r="M1506" s="3">
        <v>40</v>
      </c>
      <c r="N1506" s="3" t="s">
        <v>266</v>
      </c>
      <c r="O1506" s="3"/>
      <c r="P1506" s="3"/>
      <c r="Q1506" s="3">
        <v>2.1589999999999998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87</v>
      </c>
      <c r="C1507" s="3" t="s">
        <v>522</v>
      </c>
      <c r="D1507" s="3"/>
      <c r="E1507" s="3" t="s">
        <v>522</v>
      </c>
      <c r="F1507" s="3"/>
      <c r="G1507" s="3"/>
      <c r="H1507" s="3"/>
      <c r="I1507" s="3"/>
      <c r="J1507" s="3"/>
      <c r="K1507" s="3"/>
      <c r="L1507" s="3" t="s">
        <v>88</v>
      </c>
      <c r="M1507" s="3">
        <v>50</v>
      </c>
      <c r="N1507" s="3" t="s">
        <v>107</v>
      </c>
      <c r="O1507" s="3"/>
      <c r="P1507" s="3"/>
      <c r="Q1507" s="3">
        <v>0.97</v>
      </c>
      <c r="R1507" s="3" t="s">
        <v>108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87</v>
      </c>
      <c r="C1508" s="3" t="s">
        <v>522</v>
      </c>
      <c r="D1508" s="3"/>
      <c r="E1508" s="3" t="s">
        <v>522</v>
      </c>
      <c r="F1508" s="3"/>
      <c r="G1508" s="3"/>
      <c r="H1508" s="3"/>
      <c r="I1508" s="3"/>
      <c r="J1508" s="3"/>
      <c r="K1508" s="3"/>
      <c r="L1508" s="3" t="s">
        <v>88</v>
      </c>
      <c r="M1508" s="3">
        <v>60</v>
      </c>
      <c r="N1508" s="3" t="s">
        <v>267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87</v>
      </c>
      <c r="C1509" s="3" t="s">
        <v>522</v>
      </c>
      <c r="D1509" s="3"/>
      <c r="E1509" s="3" t="s">
        <v>522</v>
      </c>
      <c r="F1509" s="3"/>
      <c r="G1509" s="3"/>
      <c r="H1509" s="3"/>
      <c r="I1509" s="3"/>
      <c r="J1509" s="3"/>
      <c r="K1509" s="3"/>
      <c r="L1509" s="3" t="s">
        <v>88</v>
      </c>
      <c r="M1509" s="3">
        <v>70</v>
      </c>
      <c r="N1509" s="3" t="s">
        <v>109</v>
      </c>
      <c r="O1509" s="3"/>
      <c r="P1509" s="3"/>
      <c r="Q1509" s="3">
        <v>21.640999999999998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87</v>
      </c>
      <c r="C1510" s="3" t="s">
        <v>522</v>
      </c>
      <c r="D1510" s="3"/>
      <c r="E1510" s="3" t="s">
        <v>522</v>
      </c>
      <c r="F1510" s="3"/>
      <c r="G1510" s="3"/>
      <c r="H1510" s="3"/>
      <c r="I1510" s="3"/>
      <c r="J1510" s="3"/>
      <c r="K1510" s="3"/>
      <c r="L1510" s="3" t="s">
        <v>88</v>
      </c>
      <c r="M1510" s="3">
        <v>80</v>
      </c>
      <c r="N1510" s="3" t="s">
        <v>16</v>
      </c>
      <c r="O1510" s="3"/>
      <c r="P1510" s="3"/>
      <c r="Q1510" s="3">
        <v>134.02799999999999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87</v>
      </c>
      <c r="C1511" s="3" t="s">
        <v>522</v>
      </c>
      <c r="D1511" s="3"/>
      <c r="E1511" s="3" t="s">
        <v>522</v>
      </c>
      <c r="F1511" s="3"/>
      <c r="G1511" s="3"/>
      <c r="H1511" s="3"/>
      <c r="I1511" s="3"/>
      <c r="J1511" s="3"/>
      <c r="K1511" s="3"/>
      <c r="L1511" s="3" t="s">
        <v>88</v>
      </c>
      <c r="M1511" s="3">
        <v>90</v>
      </c>
      <c r="N1511" s="3" t="s">
        <v>265</v>
      </c>
      <c r="O1511" s="3"/>
      <c r="P1511" s="3"/>
      <c r="Q1511" s="3">
        <v>0.126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87</v>
      </c>
      <c r="C1512" s="3" t="s">
        <v>522</v>
      </c>
      <c r="D1512" s="3"/>
      <c r="E1512" s="3" t="s">
        <v>522</v>
      </c>
      <c r="F1512" s="3"/>
      <c r="G1512" s="3"/>
      <c r="H1512" s="3"/>
      <c r="I1512" s="3"/>
      <c r="J1512" s="3"/>
      <c r="K1512" s="3"/>
      <c r="L1512" s="3" t="s">
        <v>88</v>
      </c>
      <c r="M1512" s="3">
        <v>100</v>
      </c>
      <c r="N1512" s="3" t="s">
        <v>269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87</v>
      </c>
      <c r="C1513" s="3" t="s">
        <v>522</v>
      </c>
      <c r="D1513" s="3"/>
      <c r="E1513" s="3" t="s">
        <v>522</v>
      </c>
      <c r="F1513" s="3"/>
      <c r="G1513" s="3"/>
      <c r="H1513" s="3"/>
      <c r="I1513" s="3"/>
      <c r="J1513" s="3"/>
      <c r="K1513" s="3"/>
      <c r="L1513" s="3" t="s">
        <v>88</v>
      </c>
      <c r="M1513" s="3">
        <v>110</v>
      </c>
      <c r="N1513" s="3" t="s">
        <v>20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87</v>
      </c>
      <c r="C1514" s="3" t="s">
        <v>522</v>
      </c>
      <c r="D1514" s="3"/>
      <c r="E1514" s="3" t="s">
        <v>522</v>
      </c>
      <c r="F1514" s="3"/>
      <c r="G1514" s="3"/>
      <c r="H1514" s="3"/>
      <c r="I1514" s="3"/>
      <c r="J1514" s="3"/>
      <c r="K1514" s="3"/>
      <c r="L1514" s="3" t="s">
        <v>88</v>
      </c>
      <c r="M1514" s="3">
        <v>120</v>
      </c>
      <c r="N1514" s="3" t="s">
        <v>21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87</v>
      </c>
      <c r="C1515" s="3" t="s">
        <v>522</v>
      </c>
      <c r="D1515" s="3"/>
      <c r="E1515" s="3" t="s">
        <v>522</v>
      </c>
      <c r="F1515" s="3"/>
      <c r="G1515" s="3"/>
      <c r="H1515" s="3"/>
      <c r="I1515" s="3"/>
      <c r="J1515" s="3"/>
      <c r="K1515" s="3"/>
      <c r="L1515" s="3" t="s">
        <v>88</v>
      </c>
      <c r="M1515" s="3">
        <v>130</v>
      </c>
      <c r="N1515" s="3" t="s">
        <v>110</v>
      </c>
      <c r="O1515" s="3"/>
      <c r="P1515" s="3"/>
      <c r="Q1515" s="3">
        <v>1.27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87</v>
      </c>
      <c r="C1516" s="3" t="s">
        <v>522</v>
      </c>
      <c r="D1516" s="3"/>
      <c r="E1516" s="3" t="s">
        <v>522</v>
      </c>
      <c r="F1516" s="3"/>
      <c r="G1516" s="3"/>
      <c r="H1516" s="3"/>
      <c r="I1516" s="3"/>
      <c r="J1516" s="3"/>
      <c r="K1516" s="3"/>
      <c r="L1516" s="3" t="s">
        <v>88</v>
      </c>
      <c r="M1516" s="3">
        <v>140</v>
      </c>
      <c r="N1516" s="3" t="s">
        <v>525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87</v>
      </c>
      <c r="C1517" s="3" t="s">
        <v>526</v>
      </c>
      <c r="D1517" s="3"/>
      <c r="E1517" s="3" t="s">
        <v>526</v>
      </c>
      <c r="F1517" s="3"/>
      <c r="G1517" s="3"/>
      <c r="H1517" s="3"/>
      <c r="I1517" s="3"/>
      <c r="J1517" s="3"/>
      <c r="K1517" s="3"/>
      <c r="L1517" s="3" t="s">
        <v>88</v>
      </c>
      <c r="M1517" s="3">
        <v>10</v>
      </c>
      <c r="N1517" s="3" t="s">
        <v>116</v>
      </c>
      <c r="O1517" s="3"/>
      <c r="P1517" s="3"/>
      <c r="Q1517" s="3">
        <v>2.1589999999999998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87</v>
      </c>
      <c r="C1518" s="3" t="s">
        <v>526</v>
      </c>
      <c r="D1518" s="3"/>
      <c r="E1518" s="3" t="s">
        <v>526</v>
      </c>
      <c r="F1518" s="3"/>
      <c r="G1518" s="3"/>
      <c r="H1518" s="3"/>
      <c r="I1518" s="3"/>
      <c r="J1518" s="3"/>
      <c r="K1518" s="3"/>
      <c r="L1518" s="3" t="s">
        <v>88</v>
      </c>
      <c r="M1518" s="3">
        <v>20</v>
      </c>
      <c r="N1518" s="3" t="s">
        <v>527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87</v>
      </c>
      <c r="C1519" s="3" t="s">
        <v>526</v>
      </c>
      <c r="D1519" s="3"/>
      <c r="E1519" s="3" t="s">
        <v>526</v>
      </c>
      <c r="F1519" s="3"/>
      <c r="G1519" s="3"/>
      <c r="H1519" s="3"/>
      <c r="I1519" s="3"/>
      <c r="J1519" s="3"/>
      <c r="K1519" s="3"/>
      <c r="L1519" s="3" t="s">
        <v>88</v>
      </c>
      <c r="M1519" s="3">
        <v>30</v>
      </c>
      <c r="N1519" s="3" t="s">
        <v>528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87</v>
      </c>
      <c r="C1520" s="3" t="s">
        <v>526</v>
      </c>
      <c r="D1520" s="3"/>
      <c r="E1520" s="3" t="s">
        <v>526</v>
      </c>
      <c r="F1520" s="3"/>
      <c r="G1520" s="3"/>
      <c r="H1520" s="3"/>
      <c r="I1520" s="3"/>
      <c r="J1520" s="3"/>
      <c r="K1520" s="3"/>
      <c r="L1520" s="3" t="s">
        <v>88</v>
      </c>
      <c r="M1520" s="3">
        <v>40</v>
      </c>
      <c r="N1520" s="3" t="s">
        <v>266</v>
      </c>
      <c r="O1520" s="3"/>
      <c r="P1520" s="3"/>
      <c r="Q1520" s="3">
        <v>2.1589999999999998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87</v>
      </c>
      <c r="C1521" s="3" t="s">
        <v>526</v>
      </c>
      <c r="D1521" s="3"/>
      <c r="E1521" s="3" t="s">
        <v>526</v>
      </c>
      <c r="F1521" s="3"/>
      <c r="G1521" s="3"/>
      <c r="H1521" s="3"/>
      <c r="I1521" s="3"/>
      <c r="J1521" s="3"/>
      <c r="K1521" s="3"/>
      <c r="L1521" s="3" t="s">
        <v>88</v>
      </c>
      <c r="M1521" s="3">
        <v>50</v>
      </c>
      <c r="N1521" s="3" t="s">
        <v>107</v>
      </c>
      <c r="O1521" s="3"/>
      <c r="P1521" s="3"/>
      <c r="Q1521" s="3">
        <v>1.0720000000000001</v>
      </c>
      <c r="R1521" s="3" t="s">
        <v>108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87</v>
      </c>
      <c r="C1522" s="3" t="s">
        <v>526</v>
      </c>
      <c r="D1522" s="3"/>
      <c r="E1522" s="3" t="s">
        <v>526</v>
      </c>
      <c r="F1522" s="3"/>
      <c r="G1522" s="3"/>
      <c r="H1522" s="3"/>
      <c r="I1522" s="3"/>
      <c r="J1522" s="3"/>
      <c r="K1522" s="3"/>
      <c r="L1522" s="3" t="s">
        <v>88</v>
      </c>
      <c r="M1522" s="3">
        <v>60</v>
      </c>
      <c r="N1522" s="3" t="s">
        <v>267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87</v>
      </c>
      <c r="C1523" s="3" t="s">
        <v>526</v>
      </c>
      <c r="D1523" s="3"/>
      <c r="E1523" s="3" t="s">
        <v>526</v>
      </c>
      <c r="F1523" s="3"/>
      <c r="G1523" s="3"/>
      <c r="H1523" s="3"/>
      <c r="I1523" s="3"/>
      <c r="J1523" s="3"/>
      <c r="K1523" s="3"/>
      <c r="L1523" s="3" t="s">
        <v>88</v>
      </c>
      <c r="M1523" s="3">
        <v>70</v>
      </c>
      <c r="N1523" s="3" t="s">
        <v>109</v>
      </c>
      <c r="O1523" s="3"/>
      <c r="P1523" s="3"/>
      <c r="Q1523" s="3">
        <v>22.555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87</v>
      </c>
      <c r="C1524" s="3" t="s">
        <v>526</v>
      </c>
      <c r="D1524" s="3"/>
      <c r="E1524" s="3" t="s">
        <v>526</v>
      </c>
      <c r="F1524" s="3"/>
      <c r="G1524" s="3"/>
      <c r="H1524" s="3"/>
      <c r="I1524" s="3"/>
      <c r="J1524" s="3"/>
      <c r="K1524" s="3"/>
      <c r="L1524" s="3" t="s">
        <v>88</v>
      </c>
      <c r="M1524" s="3">
        <v>80</v>
      </c>
      <c r="N1524" s="3" t="s">
        <v>16</v>
      </c>
      <c r="O1524" s="3"/>
      <c r="P1524" s="3"/>
      <c r="Q1524" s="3">
        <v>139.65199999999999</v>
      </c>
      <c r="R1524" s="3" t="s">
        <v>14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87</v>
      </c>
      <c r="C1525" s="3" t="s">
        <v>526</v>
      </c>
      <c r="D1525" s="3"/>
      <c r="E1525" s="3" t="s">
        <v>526</v>
      </c>
      <c r="F1525" s="3"/>
      <c r="G1525" s="3"/>
      <c r="H1525" s="3"/>
      <c r="I1525" s="3"/>
      <c r="J1525" s="3"/>
      <c r="K1525" s="3"/>
      <c r="L1525" s="3" t="s">
        <v>88</v>
      </c>
      <c r="M1525" s="3">
        <v>90</v>
      </c>
      <c r="N1525" s="3" t="s">
        <v>265</v>
      </c>
      <c r="O1525" s="3"/>
      <c r="P1525" s="3"/>
      <c r="Q1525" s="3">
        <v>0.13700000000000001</v>
      </c>
      <c r="R1525" s="3" t="s">
        <v>12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87</v>
      </c>
      <c r="C1526" s="3" t="s">
        <v>526</v>
      </c>
      <c r="D1526" s="3"/>
      <c r="E1526" s="3" t="s">
        <v>526</v>
      </c>
      <c r="F1526" s="3"/>
      <c r="G1526" s="3"/>
      <c r="H1526" s="3"/>
      <c r="I1526" s="3"/>
      <c r="J1526" s="3"/>
      <c r="K1526" s="3"/>
      <c r="L1526" s="3" t="s">
        <v>88</v>
      </c>
      <c r="M1526" s="3">
        <v>100</v>
      </c>
      <c r="N1526" s="3" t="s">
        <v>269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87</v>
      </c>
      <c r="C1527" s="3" t="s">
        <v>526</v>
      </c>
      <c r="D1527" s="3"/>
      <c r="E1527" s="3" t="s">
        <v>526</v>
      </c>
      <c r="F1527" s="3"/>
      <c r="G1527" s="3"/>
      <c r="H1527" s="3"/>
      <c r="I1527" s="3"/>
      <c r="J1527" s="3"/>
      <c r="K1527" s="3"/>
      <c r="L1527" s="3" t="s">
        <v>88</v>
      </c>
      <c r="M1527" s="3">
        <v>110</v>
      </c>
      <c r="N1527" s="3" t="s">
        <v>20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87</v>
      </c>
      <c r="C1528" s="3" t="s">
        <v>526</v>
      </c>
      <c r="D1528" s="3"/>
      <c r="E1528" s="3" t="s">
        <v>526</v>
      </c>
      <c r="F1528" s="3"/>
      <c r="G1528" s="3"/>
      <c r="H1528" s="3"/>
      <c r="I1528" s="3"/>
      <c r="J1528" s="3"/>
      <c r="K1528" s="3"/>
      <c r="L1528" s="3" t="s">
        <v>88</v>
      </c>
      <c r="M1528" s="3">
        <v>120</v>
      </c>
      <c r="N1528" s="3" t="s">
        <v>21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87</v>
      </c>
      <c r="C1529" s="3" t="s">
        <v>526</v>
      </c>
      <c r="D1529" s="3"/>
      <c r="E1529" s="3" t="s">
        <v>526</v>
      </c>
      <c r="F1529" s="3"/>
      <c r="G1529" s="3"/>
      <c r="H1529" s="3"/>
      <c r="I1529" s="3"/>
      <c r="J1529" s="3"/>
      <c r="K1529" s="3"/>
      <c r="L1529" s="3" t="s">
        <v>88</v>
      </c>
      <c r="M1529" s="3">
        <v>130</v>
      </c>
      <c r="N1529" s="3" t="s">
        <v>110</v>
      </c>
      <c r="O1529" s="3"/>
      <c r="P1529" s="3"/>
      <c r="Q1529" s="3">
        <v>1.27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87</v>
      </c>
      <c r="C1530" s="3" t="s">
        <v>526</v>
      </c>
      <c r="D1530" s="3"/>
      <c r="E1530" s="3" t="s">
        <v>526</v>
      </c>
      <c r="F1530" s="3"/>
      <c r="G1530" s="3"/>
      <c r="H1530" s="3"/>
      <c r="I1530" s="3"/>
      <c r="J1530" s="3"/>
      <c r="K1530" s="3"/>
      <c r="L1530" s="3" t="s">
        <v>88</v>
      </c>
      <c r="M1530" s="3">
        <v>140</v>
      </c>
      <c r="N1530" s="3" t="s">
        <v>529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87</v>
      </c>
      <c r="C1531" s="3" t="s">
        <v>530</v>
      </c>
      <c r="D1531" s="3"/>
      <c r="E1531" s="3" t="s">
        <v>530</v>
      </c>
      <c r="F1531" s="3"/>
      <c r="G1531" s="3"/>
      <c r="H1531" s="3"/>
      <c r="I1531" s="3"/>
      <c r="J1531" s="3"/>
      <c r="K1531" s="3"/>
      <c r="L1531" s="3" t="s">
        <v>88</v>
      </c>
      <c r="M1531" s="3">
        <v>10</v>
      </c>
      <c r="N1531" s="3" t="s">
        <v>116</v>
      </c>
      <c r="O1531" s="3"/>
      <c r="P1531" s="3"/>
      <c r="Q1531" s="3">
        <v>2.1589999999999998</v>
      </c>
      <c r="R1531" s="3" t="s">
        <v>14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87</v>
      </c>
      <c r="C1532" s="3" t="s">
        <v>530</v>
      </c>
      <c r="D1532" s="3"/>
      <c r="E1532" s="3" t="s">
        <v>530</v>
      </c>
      <c r="F1532" s="3"/>
      <c r="G1532" s="3"/>
      <c r="H1532" s="3"/>
      <c r="I1532" s="3"/>
      <c r="J1532" s="3"/>
      <c r="K1532" s="3"/>
      <c r="L1532" s="3" t="s">
        <v>88</v>
      </c>
      <c r="M1532" s="3">
        <v>20</v>
      </c>
      <c r="N1532" s="3" t="s">
        <v>531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87</v>
      </c>
      <c r="C1533" s="3" t="s">
        <v>530</v>
      </c>
      <c r="D1533" s="3"/>
      <c r="E1533" s="3" t="s">
        <v>530</v>
      </c>
      <c r="F1533" s="3"/>
      <c r="G1533" s="3"/>
      <c r="H1533" s="3"/>
      <c r="I1533" s="3"/>
      <c r="J1533" s="3"/>
      <c r="K1533" s="3"/>
      <c r="L1533" s="3" t="s">
        <v>88</v>
      </c>
      <c r="M1533" s="3">
        <v>30</v>
      </c>
      <c r="N1533" s="3" t="s">
        <v>532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87</v>
      </c>
      <c r="C1534" s="3" t="s">
        <v>530</v>
      </c>
      <c r="D1534" s="3"/>
      <c r="E1534" s="3" t="s">
        <v>530</v>
      </c>
      <c r="F1534" s="3"/>
      <c r="G1534" s="3"/>
      <c r="H1534" s="3"/>
      <c r="I1534" s="3"/>
      <c r="J1534" s="3"/>
      <c r="K1534" s="3"/>
      <c r="L1534" s="3" t="s">
        <v>88</v>
      </c>
      <c r="M1534" s="3">
        <v>40</v>
      </c>
      <c r="N1534" s="3" t="s">
        <v>266</v>
      </c>
      <c r="O1534" s="3"/>
      <c r="P1534" s="3"/>
      <c r="Q1534" s="3">
        <v>2.1589999999999998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87</v>
      </c>
      <c r="C1535" s="3" t="s">
        <v>530</v>
      </c>
      <c r="D1535" s="3"/>
      <c r="E1535" s="3" t="s">
        <v>530</v>
      </c>
      <c r="F1535" s="3"/>
      <c r="G1535" s="3"/>
      <c r="H1535" s="3"/>
      <c r="I1535" s="3"/>
      <c r="J1535" s="3"/>
      <c r="K1535" s="3"/>
      <c r="L1535" s="3" t="s">
        <v>88</v>
      </c>
      <c r="M1535" s="3">
        <v>50</v>
      </c>
      <c r="N1535" s="3" t="s">
        <v>107</v>
      </c>
      <c r="O1535" s="3"/>
      <c r="P1535" s="3"/>
      <c r="Q1535" s="3">
        <v>1.1739999999999999</v>
      </c>
      <c r="R1535" s="3" t="s">
        <v>108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87</v>
      </c>
      <c r="C1536" s="3" t="s">
        <v>530</v>
      </c>
      <c r="D1536" s="3"/>
      <c r="E1536" s="3" t="s">
        <v>530</v>
      </c>
      <c r="F1536" s="3"/>
      <c r="G1536" s="3"/>
      <c r="H1536" s="3"/>
      <c r="I1536" s="3"/>
      <c r="J1536" s="3"/>
      <c r="K1536" s="3"/>
      <c r="L1536" s="3" t="s">
        <v>88</v>
      </c>
      <c r="M1536" s="3">
        <v>60</v>
      </c>
      <c r="N1536" s="3" t="s">
        <v>267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87</v>
      </c>
      <c r="C1537" s="3" t="s">
        <v>530</v>
      </c>
      <c r="D1537" s="3"/>
      <c r="E1537" s="3" t="s">
        <v>530</v>
      </c>
      <c r="F1537" s="3"/>
      <c r="G1537" s="3"/>
      <c r="H1537" s="3"/>
      <c r="I1537" s="3"/>
      <c r="J1537" s="3"/>
      <c r="K1537" s="3"/>
      <c r="L1537" s="3" t="s">
        <v>88</v>
      </c>
      <c r="M1537" s="3">
        <v>70</v>
      </c>
      <c r="N1537" s="3" t="s">
        <v>109</v>
      </c>
      <c r="O1537" s="3"/>
      <c r="P1537" s="3"/>
      <c r="Q1537" s="3">
        <v>23.47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87</v>
      </c>
      <c r="C1538" s="3" t="s">
        <v>530</v>
      </c>
      <c r="D1538" s="3"/>
      <c r="E1538" s="3" t="s">
        <v>530</v>
      </c>
      <c r="F1538" s="3"/>
      <c r="G1538" s="3"/>
      <c r="H1538" s="3"/>
      <c r="I1538" s="3"/>
      <c r="J1538" s="3"/>
      <c r="K1538" s="3"/>
      <c r="L1538" s="3" t="s">
        <v>88</v>
      </c>
      <c r="M1538" s="3">
        <v>80</v>
      </c>
      <c r="N1538" s="3" t="s">
        <v>16</v>
      </c>
      <c r="O1538" s="3"/>
      <c r="P1538" s="3"/>
      <c r="Q1538" s="3">
        <v>145.27500000000001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87</v>
      </c>
      <c r="C1539" s="3" t="s">
        <v>530</v>
      </c>
      <c r="D1539" s="3"/>
      <c r="E1539" s="3" t="s">
        <v>530</v>
      </c>
      <c r="F1539" s="3"/>
      <c r="G1539" s="3"/>
      <c r="H1539" s="3"/>
      <c r="I1539" s="3"/>
      <c r="J1539" s="3"/>
      <c r="K1539" s="3"/>
      <c r="L1539" s="3" t="s">
        <v>88</v>
      </c>
      <c r="M1539" s="3">
        <v>90</v>
      </c>
      <c r="N1539" s="3" t="s">
        <v>265</v>
      </c>
      <c r="O1539" s="3"/>
      <c r="P1539" s="3"/>
      <c r="Q1539" s="3">
        <v>0.14799999999999999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87</v>
      </c>
      <c r="C1540" s="3" t="s">
        <v>530</v>
      </c>
      <c r="D1540" s="3"/>
      <c r="E1540" s="3" t="s">
        <v>530</v>
      </c>
      <c r="F1540" s="3"/>
      <c r="G1540" s="3"/>
      <c r="H1540" s="3"/>
      <c r="I1540" s="3"/>
      <c r="J1540" s="3"/>
      <c r="K1540" s="3"/>
      <c r="L1540" s="3" t="s">
        <v>88</v>
      </c>
      <c r="M1540" s="3">
        <v>100</v>
      </c>
      <c r="N1540" s="3" t="s">
        <v>269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87</v>
      </c>
      <c r="C1541" s="3" t="s">
        <v>530</v>
      </c>
      <c r="D1541" s="3"/>
      <c r="E1541" s="3" t="s">
        <v>530</v>
      </c>
      <c r="F1541" s="3"/>
      <c r="G1541" s="3"/>
      <c r="H1541" s="3"/>
      <c r="I1541" s="3"/>
      <c r="J1541" s="3"/>
      <c r="K1541" s="3"/>
      <c r="L1541" s="3" t="s">
        <v>88</v>
      </c>
      <c r="M1541" s="3">
        <v>110</v>
      </c>
      <c r="N1541" s="3" t="s">
        <v>20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87</v>
      </c>
      <c r="C1542" s="3" t="s">
        <v>530</v>
      </c>
      <c r="D1542" s="3"/>
      <c r="E1542" s="3" t="s">
        <v>530</v>
      </c>
      <c r="F1542" s="3"/>
      <c r="G1542" s="3"/>
      <c r="H1542" s="3"/>
      <c r="I1542" s="3"/>
      <c r="J1542" s="3"/>
      <c r="K1542" s="3"/>
      <c r="L1542" s="3" t="s">
        <v>88</v>
      </c>
      <c r="M1542" s="3">
        <v>120</v>
      </c>
      <c r="N1542" s="3" t="s">
        <v>21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87</v>
      </c>
      <c r="C1543" s="3" t="s">
        <v>530</v>
      </c>
      <c r="D1543" s="3"/>
      <c r="E1543" s="3" t="s">
        <v>530</v>
      </c>
      <c r="F1543" s="3"/>
      <c r="G1543" s="3"/>
      <c r="H1543" s="3"/>
      <c r="I1543" s="3"/>
      <c r="J1543" s="3"/>
      <c r="K1543" s="3"/>
      <c r="L1543" s="3" t="s">
        <v>88</v>
      </c>
      <c r="M1543" s="3">
        <v>130</v>
      </c>
      <c r="N1543" s="3" t="s">
        <v>110</v>
      </c>
      <c r="O1543" s="3"/>
      <c r="P1543" s="3"/>
      <c r="Q1543" s="3">
        <v>1.27</v>
      </c>
      <c r="R1543" s="3" t="s">
        <v>12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87</v>
      </c>
      <c r="C1544" s="3" t="s">
        <v>530</v>
      </c>
      <c r="D1544" s="3"/>
      <c r="E1544" s="3" t="s">
        <v>530</v>
      </c>
      <c r="F1544" s="3"/>
      <c r="G1544" s="3"/>
      <c r="H1544" s="3"/>
      <c r="I1544" s="3"/>
      <c r="J1544" s="3"/>
      <c r="K1544" s="3"/>
      <c r="L1544" s="3" t="s">
        <v>88</v>
      </c>
      <c r="M1544" s="3">
        <v>140</v>
      </c>
      <c r="N1544" s="3" t="s">
        <v>533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87</v>
      </c>
      <c r="C1545" s="3" t="s">
        <v>534</v>
      </c>
      <c r="D1545" s="3"/>
      <c r="E1545" s="3" t="s">
        <v>534</v>
      </c>
      <c r="F1545" s="3"/>
      <c r="G1545" s="3"/>
      <c r="H1545" s="3"/>
      <c r="I1545" s="3"/>
      <c r="J1545" s="3"/>
      <c r="K1545" s="3"/>
      <c r="L1545" s="3" t="s">
        <v>88</v>
      </c>
      <c r="M1545" s="3">
        <v>10</v>
      </c>
      <c r="N1545" s="3" t="s">
        <v>187</v>
      </c>
      <c r="O1545" s="3"/>
      <c r="P1545" s="3"/>
      <c r="Q1545" s="3">
        <v>0.86399999999999999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87</v>
      </c>
      <c r="C1546" s="3" t="s">
        <v>534</v>
      </c>
      <c r="D1546" s="3"/>
      <c r="E1546" s="3" t="s">
        <v>534</v>
      </c>
      <c r="F1546" s="3"/>
      <c r="G1546" s="3"/>
      <c r="H1546" s="3"/>
      <c r="I1546" s="3"/>
      <c r="J1546" s="3"/>
      <c r="K1546" s="3"/>
      <c r="L1546" s="3" t="s">
        <v>88</v>
      </c>
      <c r="M1546" s="3">
        <v>20</v>
      </c>
      <c r="N1546" s="3" t="s">
        <v>535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87</v>
      </c>
      <c r="C1547" s="3" t="s">
        <v>534</v>
      </c>
      <c r="D1547" s="3"/>
      <c r="E1547" s="3" t="s">
        <v>534</v>
      </c>
      <c r="F1547" s="3"/>
      <c r="G1547" s="3"/>
      <c r="H1547" s="3"/>
      <c r="I1547" s="3"/>
      <c r="J1547" s="3"/>
      <c r="K1547" s="3"/>
      <c r="L1547" s="3" t="s">
        <v>88</v>
      </c>
      <c r="M1547" s="3">
        <v>30</v>
      </c>
      <c r="N1547" s="3" t="s">
        <v>536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87</v>
      </c>
      <c r="C1548" s="3" t="s">
        <v>534</v>
      </c>
      <c r="D1548" s="3"/>
      <c r="E1548" s="3" t="s">
        <v>534</v>
      </c>
      <c r="F1548" s="3"/>
      <c r="G1548" s="3"/>
      <c r="H1548" s="3"/>
      <c r="I1548" s="3"/>
      <c r="J1548" s="3"/>
      <c r="K1548" s="3"/>
      <c r="L1548" s="3" t="s">
        <v>88</v>
      </c>
      <c r="M1548" s="3">
        <v>40</v>
      </c>
      <c r="N1548" s="3" t="s">
        <v>266</v>
      </c>
      <c r="O1548" s="3"/>
      <c r="P1548" s="3"/>
      <c r="Q1548" s="3">
        <v>0.86399999999999999</v>
      </c>
      <c r="R1548" s="3" t="s">
        <v>14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87</v>
      </c>
      <c r="C1549" s="3" t="s">
        <v>534</v>
      </c>
      <c r="D1549" s="3"/>
      <c r="E1549" s="3" t="s">
        <v>534</v>
      </c>
      <c r="F1549" s="3"/>
      <c r="G1549" s="3"/>
      <c r="H1549" s="3"/>
      <c r="I1549" s="3"/>
      <c r="J1549" s="3"/>
      <c r="K1549" s="3"/>
      <c r="L1549" s="3" t="s">
        <v>88</v>
      </c>
      <c r="M1549" s="3">
        <v>50</v>
      </c>
      <c r="N1549" s="3" t="s">
        <v>107</v>
      </c>
      <c r="O1549" s="3"/>
      <c r="P1549" s="3"/>
      <c r="Q1549" s="3">
        <v>0.48099999999999998</v>
      </c>
      <c r="R1549" s="3" t="s">
        <v>108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87</v>
      </c>
      <c r="C1550" s="3" t="s">
        <v>534</v>
      </c>
      <c r="D1550" s="3"/>
      <c r="E1550" s="3" t="s">
        <v>534</v>
      </c>
      <c r="F1550" s="3"/>
      <c r="G1550" s="3"/>
      <c r="H1550" s="3"/>
      <c r="I1550" s="3"/>
      <c r="J1550" s="3"/>
      <c r="K1550" s="3"/>
      <c r="L1550" s="3" t="s">
        <v>88</v>
      </c>
      <c r="M1550" s="3">
        <v>60</v>
      </c>
      <c r="N1550" s="3" t="s">
        <v>267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87</v>
      </c>
      <c r="C1551" s="3" t="s">
        <v>534</v>
      </c>
      <c r="D1551" s="3"/>
      <c r="E1551" s="3" t="s">
        <v>534</v>
      </c>
      <c r="F1551" s="3"/>
      <c r="G1551" s="3"/>
      <c r="H1551" s="3"/>
      <c r="I1551" s="3"/>
      <c r="J1551" s="3"/>
      <c r="K1551" s="3"/>
      <c r="L1551" s="3" t="s">
        <v>88</v>
      </c>
      <c r="M1551" s="3">
        <v>70</v>
      </c>
      <c r="N1551" s="3" t="s">
        <v>109</v>
      </c>
      <c r="O1551" s="3"/>
      <c r="P1551" s="3"/>
      <c r="Q1551" s="3">
        <v>16.154</v>
      </c>
      <c r="R1551" s="3" t="s">
        <v>14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87</v>
      </c>
      <c r="C1552" s="3" t="s">
        <v>534</v>
      </c>
      <c r="D1552" s="3"/>
      <c r="E1552" s="3" t="s">
        <v>534</v>
      </c>
      <c r="F1552" s="3"/>
      <c r="G1552" s="3"/>
      <c r="H1552" s="3"/>
      <c r="I1552" s="3"/>
      <c r="J1552" s="3"/>
      <c r="K1552" s="3"/>
      <c r="L1552" s="3" t="s">
        <v>88</v>
      </c>
      <c r="M1552" s="3">
        <v>80</v>
      </c>
      <c r="N1552" s="3" t="s">
        <v>16</v>
      </c>
      <c r="O1552" s="3"/>
      <c r="P1552" s="3"/>
      <c r="Q1552" s="3">
        <v>100.28700000000001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87</v>
      </c>
      <c r="C1553" s="3" t="s">
        <v>534</v>
      </c>
      <c r="D1553" s="3"/>
      <c r="E1553" s="3" t="s">
        <v>534</v>
      </c>
      <c r="F1553" s="3"/>
      <c r="G1553" s="3"/>
      <c r="H1553" s="3"/>
      <c r="I1553" s="3"/>
      <c r="J1553" s="3"/>
      <c r="K1553" s="3"/>
      <c r="L1553" s="3" t="s">
        <v>88</v>
      </c>
      <c r="M1553" s="3">
        <v>90</v>
      </c>
      <c r="N1553" s="3" t="s">
        <v>265</v>
      </c>
      <c r="O1553" s="3"/>
      <c r="P1553" s="3"/>
      <c r="Q1553" s="3">
        <v>8.4000000000000005E-2</v>
      </c>
      <c r="R1553" s="3" t="s">
        <v>12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87</v>
      </c>
      <c r="C1554" s="3" t="s">
        <v>534</v>
      </c>
      <c r="D1554" s="3"/>
      <c r="E1554" s="3" t="s">
        <v>534</v>
      </c>
      <c r="F1554" s="3"/>
      <c r="G1554" s="3"/>
      <c r="H1554" s="3"/>
      <c r="I1554" s="3"/>
      <c r="J1554" s="3"/>
      <c r="K1554" s="3"/>
      <c r="L1554" s="3" t="s">
        <v>88</v>
      </c>
      <c r="M1554" s="3">
        <v>100</v>
      </c>
      <c r="N1554" s="3" t="s">
        <v>269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87</v>
      </c>
      <c r="C1555" s="3" t="s">
        <v>534</v>
      </c>
      <c r="D1555" s="3"/>
      <c r="E1555" s="3" t="s">
        <v>534</v>
      </c>
      <c r="F1555" s="3"/>
      <c r="G1555" s="3"/>
      <c r="H1555" s="3"/>
      <c r="I1555" s="3"/>
      <c r="J1555" s="3"/>
      <c r="K1555" s="3"/>
      <c r="L1555" s="3" t="s">
        <v>88</v>
      </c>
      <c r="M1555" s="3">
        <v>110</v>
      </c>
      <c r="N1555" s="3" t="s">
        <v>20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87</v>
      </c>
      <c r="C1556" s="3" t="s">
        <v>534</v>
      </c>
      <c r="D1556" s="3"/>
      <c r="E1556" s="3" t="s">
        <v>534</v>
      </c>
      <c r="F1556" s="3"/>
      <c r="G1556" s="3"/>
      <c r="H1556" s="3"/>
      <c r="I1556" s="3"/>
      <c r="J1556" s="3"/>
      <c r="K1556" s="3"/>
      <c r="L1556" s="3" t="s">
        <v>88</v>
      </c>
      <c r="M1556" s="3">
        <v>120</v>
      </c>
      <c r="N1556" s="3" t="s">
        <v>21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87</v>
      </c>
      <c r="C1557" s="3" t="s">
        <v>534</v>
      </c>
      <c r="D1557" s="3"/>
      <c r="E1557" s="3" t="s">
        <v>534</v>
      </c>
      <c r="F1557" s="3"/>
      <c r="G1557" s="3"/>
      <c r="H1557" s="3"/>
      <c r="I1557" s="3"/>
      <c r="J1557" s="3"/>
      <c r="K1557" s="3"/>
      <c r="L1557" s="3" t="s">
        <v>88</v>
      </c>
      <c r="M1557" s="3">
        <v>130</v>
      </c>
      <c r="N1557" s="3" t="s">
        <v>110</v>
      </c>
      <c r="O1557" s="3"/>
      <c r="P1557" s="3"/>
      <c r="Q1557" s="3">
        <v>0.58099999999999996</v>
      </c>
      <c r="R1557" s="3" t="s">
        <v>12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87</v>
      </c>
      <c r="C1558" s="3" t="s">
        <v>534</v>
      </c>
      <c r="D1558" s="3"/>
      <c r="E1558" s="3" t="s">
        <v>534</v>
      </c>
      <c r="F1558" s="3"/>
      <c r="G1558" s="3"/>
      <c r="H1558" s="3"/>
      <c r="I1558" s="3"/>
      <c r="J1558" s="3"/>
      <c r="K1558" s="3"/>
      <c r="L1558" s="3" t="s">
        <v>88</v>
      </c>
      <c r="M1558" s="3">
        <v>140</v>
      </c>
      <c r="N1558" s="3" t="s">
        <v>377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87</v>
      </c>
      <c r="C1559" s="3" t="s">
        <v>537</v>
      </c>
      <c r="D1559" s="3"/>
      <c r="E1559" s="3" t="s">
        <v>537</v>
      </c>
      <c r="F1559" s="3"/>
      <c r="G1559" s="3"/>
      <c r="H1559" s="3"/>
      <c r="I1559" s="3"/>
      <c r="J1559" s="3"/>
      <c r="K1559" s="3"/>
      <c r="L1559" s="3" t="s">
        <v>88</v>
      </c>
      <c r="M1559" s="3">
        <v>10</v>
      </c>
      <c r="N1559" s="3" t="s">
        <v>187</v>
      </c>
      <c r="O1559" s="3"/>
      <c r="P1559" s="3"/>
      <c r="Q1559" s="3">
        <v>1.016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87</v>
      </c>
      <c r="C1560" s="3" t="s">
        <v>537</v>
      </c>
      <c r="D1560" s="3"/>
      <c r="E1560" s="3" t="s">
        <v>537</v>
      </c>
      <c r="F1560" s="3"/>
      <c r="G1560" s="3"/>
      <c r="H1560" s="3"/>
      <c r="I1560" s="3"/>
      <c r="J1560" s="3"/>
      <c r="K1560" s="3"/>
      <c r="L1560" s="3" t="s">
        <v>88</v>
      </c>
      <c r="M1560" s="3">
        <v>20</v>
      </c>
      <c r="N1560" s="3" t="s">
        <v>538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87</v>
      </c>
      <c r="C1561" s="3" t="s">
        <v>537</v>
      </c>
      <c r="D1561" s="3"/>
      <c r="E1561" s="3" t="s">
        <v>537</v>
      </c>
      <c r="F1561" s="3"/>
      <c r="G1561" s="3"/>
      <c r="H1561" s="3"/>
      <c r="I1561" s="3"/>
      <c r="J1561" s="3"/>
      <c r="K1561" s="3"/>
      <c r="L1561" s="3" t="s">
        <v>88</v>
      </c>
      <c r="M1561" s="3">
        <v>30</v>
      </c>
      <c r="N1561" s="3" t="s">
        <v>539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87</v>
      </c>
      <c r="C1562" s="3" t="s">
        <v>537</v>
      </c>
      <c r="D1562" s="3"/>
      <c r="E1562" s="3" t="s">
        <v>537</v>
      </c>
      <c r="F1562" s="3"/>
      <c r="G1562" s="3"/>
      <c r="H1562" s="3"/>
      <c r="I1562" s="3"/>
      <c r="J1562" s="3"/>
      <c r="K1562" s="3"/>
      <c r="L1562" s="3" t="s">
        <v>88</v>
      </c>
      <c r="M1562" s="3">
        <v>40</v>
      </c>
      <c r="N1562" s="3" t="s">
        <v>266</v>
      </c>
      <c r="O1562" s="3"/>
      <c r="P1562" s="3"/>
      <c r="Q1562" s="3">
        <v>1.016</v>
      </c>
      <c r="R1562" s="3" t="s">
        <v>14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87</v>
      </c>
      <c r="C1563" s="3" t="s">
        <v>537</v>
      </c>
      <c r="D1563" s="3"/>
      <c r="E1563" s="3" t="s">
        <v>537</v>
      </c>
      <c r="F1563" s="3"/>
      <c r="G1563" s="3"/>
      <c r="H1563" s="3"/>
      <c r="I1563" s="3"/>
      <c r="J1563" s="3"/>
      <c r="K1563" s="3"/>
      <c r="L1563" s="3" t="s">
        <v>88</v>
      </c>
      <c r="M1563" s="3">
        <v>50</v>
      </c>
      <c r="N1563" s="3" t="s">
        <v>107</v>
      </c>
      <c r="O1563" s="3"/>
      <c r="P1563" s="3"/>
      <c r="Q1563" s="3">
        <v>0.56899999999999995</v>
      </c>
      <c r="R1563" s="3" t="s">
        <v>108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87</v>
      </c>
      <c r="C1564" s="3" t="s">
        <v>537</v>
      </c>
      <c r="D1564" s="3"/>
      <c r="E1564" s="3" t="s">
        <v>537</v>
      </c>
      <c r="F1564" s="3"/>
      <c r="G1564" s="3"/>
      <c r="H1564" s="3"/>
      <c r="I1564" s="3"/>
      <c r="J1564" s="3"/>
      <c r="K1564" s="3"/>
      <c r="L1564" s="3" t="s">
        <v>88</v>
      </c>
      <c r="M1564" s="3">
        <v>60</v>
      </c>
      <c r="N1564" s="3" t="s">
        <v>267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87</v>
      </c>
      <c r="C1565" s="3" t="s">
        <v>537</v>
      </c>
      <c r="D1565" s="3"/>
      <c r="E1565" s="3" t="s">
        <v>537</v>
      </c>
      <c r="F1565" s="3"/>
      <c r="G1565" s="3"/>
      <c r="H1565" s="3"/>
      <c r="I1565" s="3"/>
      <c r="J1565" s="3"/>
      <c r="K1565" s="3"/>
      <c r="L1565" s="3" t="s">
        <v>88</v>
      </c>
      <c r="M1565" s="3">
        <v>70</v>
      </c>
      <c r="N1565" s="3" t="s">
        <v>109</v>
      </c>
      <c r="O1565" s="3"/>
      <c r="P1565" s="3"/>
      <c r="Q1565" s="3">
        <v>17.068999999999999</v>
      </c>
      <c r="R1565" s="3" t="s">
        <v>14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87</v>
      </c>
      <c r="C1566" s="3" t="s">
        <v>537</v>
      </c>
      <c r="D1566" s="3"/>
      <c r="E1566" s="3" t="s">
        <v>537</v>
      </c>
      <c r="F1566" s="3"/>
      <c r="G1566" s="3"/>
      <c r="H1566" s="3"/>
      <c r="I1566" s="3"/>
      <c r="J1566" s="3"/>
      <c r="K1566" s="3"/>
      <c r="L1566" s="3" t="s">
        <v>88</v>
      </c>
      <c r="M1566" s="3">
        <v>80</v>
      </c>
      <c r="N1566" s="3" t="s">
        <v>16</v>
      </c>
      <c r="O1566" s="3"/>
      <c r="P1566" s="3"/>
      <c r="Q1566" s="3">
        <v>105.91</v>
      </c>
      <c r="R1566" s="3" t="s">
        <v>14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87</v>
      </c>
      <c r="C1567" s="3" t="s">
        <v>537</v>
      </c>
      <c r="D1567" s="3"/>
      <c r="E1567" s="3" t="s">
        <v>537</v>
      </c>
      <c r="F1567" s="3"/>
      <c r="G1567" s="3"/>
      <c r="H1567" s="3"/>
      <c r="I1567" s="3"/>
      <c r="J1567" s="3"/>
      <c r="K1567" s="3"/>
      <c r="L1567" s="3" t="s">
        <v>88</v>
      </c>
      <c r="M1567" s="3">
        <v>90</v>
      </c>
      <c r="N1567" s="3" t="s">
        <v>265</v>
      </c>
      <c r="O1567" s="3"/>
      <c r="P1567" s="3"/>
      <c r="Q1567" s="3">
        <v>9.4E-2</v>
      </c>
      <c r="R1567" s="3" t="s">
        <v>12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87</v>
      </c>
      <c r="C1568" s="3" t="s">
        <v>537</v>
      </c>
      <c r="D1568" s="3"/>
      <c r="E1568" s="3" t="s">
        <v>537</v>
      </c>
      <c r="F1568" s="3"/>
      <c r="G1568" s="3"/>
      <c r="H1568" s="3"/>
      <c r="I1568" s="3"/>
      <c r="J1568" s="3"/>
      <c r="K1568" s="3"/>
      <c r="L1568" s="3" t="s">
        <v>88</v>
      </c>
      <c r="M1568" s="3">
        <v>100</v>
      </c>
      <c r="N1568" s="3" t="s">
        <v>269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87</v>
      </c>
      <c r="C1569" s="3" t="s">
        <v>537</v>
      </c>
      <c r="D1569" s="3"/>
      <c r="E1569" s="3" t="s">
        <v>537</v>
      </c>
      <c r="F1569" s="3"/>
      <c r="G1569" s="3"/>
      <c r="H1569" s="3"/>
      <c r="I1569" s="3"/>
      <c r="J1569" s="3"/>
      <c r="K1569" s="3"/>
      <c r="L1569" s="3" t="s">
        <v>88</v>
      </c>
      <c r="M1569" s="3">
        <v>110</v>
      </c>
      <c r="N1569" s="3" t="s">
        <v>20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87</v>
      </c>
      <c r="C1570" s="3" t="s">
        <v>537</v>
      </c>
      <c r="D1570" s="3"/>
      <c r="E1570" s="3" t="s">
        <v>537</v>
      </c>
      <c r="F1570" s="3"/>
      <c r="G1570" s="3"/>
      <c r="H1570" s="3"/>
      <c r="I1570" s="3"/>
      <c r="J1570" s="3"/>
      <c r="K1570" s="3"/>
      <c r="L1570" s="3" t="s">
        <v>88</v>
      </c>
      <c r="M1570" s="3">
        <v>120</v>
      </c>
      <c r="N1570" s="3" t="s">
        <v>21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87</v>
      </c>
      <c r="C1571" s="3" t="s">
        <v>537</v>
      </c>
      <c r="D1571" s="3"/>
      <c r="E1571" s="3" t="s">
        <v>537</v>
      </c>
      <c r="F1571" s="3"/>
      <c r="G1571" s="3"/>
      <c r="H1571" s="3"/>
      <c r="I1571" s="3"/>
      <c r="J1571" s="3"/>
      <c r="K1571" s="3"/>
      <c r="L1571" s="3" t="s">
        <v>88</v>
      </c>
      <c r="M1571" s="3">
        <v>130</v>
      </c>
      <c r="N1571" s="3" t="s">
        <v>110</v>
      </c>
      <c r="O1571" s="3"/>
      <c r="P1571" s="3"/>
      <c r="Q1571" s="3">
        <v>0.66200000000000003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87</v>
      </c>
      <c r="C1572" s="3" t="s">
        <v>537</v>
      </c>
      <c r="D1572" s="3"/>
      <c r="E1572" s="3" t="s">
        <v>537</v>
      </c>
      <c r="F1572" s="3"/>
      <c r="G1572" s="3"/>
      <c r="H1572" s="3"/>
      <c r="I1572" s="3"/>
      <c r="J1572" s="3"/>
      <c r="K1572" s="3"/>
      <c r="L1572" s="3" t="s">
        <v>88</v>
      </c>
      <c r="M1572" s="3">
        <v>140</v>
      </c>
      <c r="N1572" s="3" t="s">
        <v>381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87</v>
      </c>
      <c r="C1573" s="3" t="s">
        <v>540</v>
      </c>
      <c r="D1573" s="3"/>
      <c r="E1573" s="3" t="s">
        <v>540</v>
      </c>
      <c r="F1573" s="3"/>
      <c r="G1573" s="3"/>
      <c r="H1573" s="3"/>
      <c r="I1573" s="3"/>
      <c r="J1573" s="3"/>
      <c r="K1573" s="3"/>
      <c r="L1573" s="3" t="s">
        <v>88</v>
      </c>
      <c r="M1573" s="3">
        <v>10</v>
      </c>
      <c r="N1573" s="3" t="s">
        <v>187</v>
      </c>
      <c r="O1573" s="3"/>
      <c r="P1573" s="3"/>
      <c r="Q1573" s="3">
        <v>1.1679999999999999</v>
      </c>
      <c r="R1573" s="3" t="s">
        <v>14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87</v>
      </c>
      <c r="C1574" s="3" t="s">
        <v>540</v>
      </c>
      <c r="D1574" s="3"/>
      <c r="E1574" s="3" t="s">
        <v>540</v>
      </c>
      <c r="F1574" s="3"/>
      <c r="G1574" s="3"/>
      <c r="H1574" s="3"/>
      <c r="I1574" s="3"/>
      <c r="J1574" s="3"/>
      <c r="K1574" s="3"/>
      <c r="L1574" s="3" t="s">
        <v>88</v>
      </c>
      <c r="M1574" s="3">
        <v>20</v>
      </c>
      <c r="N1574" s="3" t="s">
        <v>541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87</v>
      </c>
      <c r="C1575" s="3" t="s">
        <v>540</v>
      </c>
      <c r="D1575" s="3"/>
      <c r="E1575" s="3" t="s">
        <v>540</v>
      </c>
      <c r="F1575" s="3"/>
      <c r="G1575" s="3"/>
      <c r="H1575" s="3"/>
      <c r="I1575" s="3"/>
      <c r="J1575" s="3"/>
      <c r="K1575" s="3"/>
      <c r="L1575" s="3" t="s">
        <v>88</v>
      </c>
      <c r="M1575" s="3">
        <v>30</v>
      </c>
      <c r="N1575" s="3" t="s">
        <v>542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87</v>
      </c>
      <c r="C1576" s="3" t="s">
        <v>540</v>
      </c>
      <c r="D1576" s="3"/>
      <c r="E1576" s="3" t="s">
        <v>540</v>
      </c>
      <c r="F1576" s="3"/>
      <c r="G1576" s="3"/>
      <c r="H1576" s="3"/>
      <c r="I1576" s="3"/>
      <c r="J1576" s="3"/>
      <c r="K1576" s="3"/>
      <c r="L1576" s="3" t="s">
        <v>88</v>
      </c>
      <c r="M1576" s="3">
        <v>40</v>
      </c>
      <c r="N1576" s="3" t="s">
        <v>266</v>
      </c>
      <c r="O1576" s="3"/>
      <c r="P1576" s="3"/>
      <c r="Q1576" s="3">
        <v>1.1679999999999999</v>
      </c>
      <c r="R1576" s="3" t="s">
        <v>14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87</v>
      </c>
      <c r="C1577" s="3" t="s">
        <v>540</v>
      </c>
      <c r="D1577" s="3"/>
      <c r="E1577" s="3" t="s">
        <v>540</v>
      </c>
      <c r="F1577" s="3"/>
      <c r="G1577" s="3"/>
      <c r="H1577" s="3"/>
      <c r="I1577" s="3"/>
      <c r="J1577" s="3"/>
      <c r="K1577" s="3"/>
      <c r="L1577" s="3" t="s">
        <v>88</v>
      </c>
      <c r="M1577" s="3">
        <v>50</v>
      </c>
      <c r="N1577" s="3" t="s">
        <v>107</v>
      </c>
      <c r="O1577" s="3"/>
      <c r="P1577" s="3"/>
      <c r="Q1577" s="3">
        <v>0.65600000000000003</v>
      </c>
      <c r="R1577" s="3" t="s">
        <v>108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87</v>
      </c>
      <c r="C1578" s="3" t="s">
        <v>540</v>
      </c>
      <c r="D1578" s="3"/>
      <c r="E1578" s="3" t="s">
        <v>540</v>
      </c>
      <c r="F1578" s="3"/>
      <c r="G1578" s="3"/>
      <c r="H1578" s="3"/>
      <c r="I1578" s="3"/>
      <c r="J1578" s="3"/>
      <c r="K1578" s="3"/>
      <c r="L1578" s="3" t="s">
        <v>88</v>
      </c>
      <c r="M1578" s="3">
        <v>60</v>
      </c>
      <c r="N1578" s="3" t="s">
        <v>267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87</v>
      </c>
      <c r="C1579" s="3" t="s">
        <v>540</v>
      </c>
      <c r="D1579" s="3"/>
      <c r="E1579" s="3" t="s">
        <v>540</v>
      </c>
      <c r="F1579" s="3"/>
      <c r="G1579" s="3"/>
      <c r="H1579" s="3"/>
      <c r="I1579" s="3"/>
      <c r="J1579" s="3"/>
      <c r="K1579" s="3"/>
      <c r="L1579" s="3" t="s">
        <v>88</v>
      </c>
      <c r="M1579" s="3">
        <v>70</v>
      </c>
      <c r="N1579" s="3" t="s">
        <v>109</v>
      </c>
      <c r="O1579" s="3"/>
      <c r="P1579" s="3"/>
      <c r="Q1579" s="3">
        <v>17.983000000000001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87</v>
      </c>
      <c r="C1580" s="3" t="s">
        <v>540</v>
      </c>
      <c r="D1580" s="3"/>
      <c r="E1580" s="3" t="s">
        <v>540</v>
      </c>
      <c r="F1580" s="3"/>
      <c r="G1580" s="3"/>
      <c r="H1580" s="3"/>
      <c r="I1580" s="3"/>
      <c r="J1580" s="3"/>
      <c r="K1580" s="3"/>
      <c r="L1580" s="3" t="s">
        <v>88</v>
      </c>
      <c r="M1580" s="3">
        <v>80</v>
      </c>
      <c r="N1580" s="3" t="s">
        <v>16</v>
      </c>
      <c r="O1580" s="3"/>
      <c r="P1580" s="3"/>
      <c r="Q1580" s="3">
        <v>111.53400000000001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87</v>
      </c>
      <c r="C1581" s="3" t="s">
        <v>540</v>
      </c>
      <c r="D1581" s="3"/>
      <c r="E1581" s="3" t="s">
        <v>540</v>
      </c>
      <c r="F1581" s="3"/>
      <c r="G1581" s="3"/>
      <c r="H1581" s="3"/>
      <c r="I1581" s="3"/>
      <c r="J1581" s="3"/>
      <c r="K1581" s="3"/>
      <c r="L1581" s="3" t="s">
        <v>88</v>
      </c>
      <c r="M1581" s="3">
        <v>90</v>
      </c>
      <c r="N1581" s="3" t="s">
        <v>265</v>
      </c>
      <c r="O1581" s="3"/>
      <c r="P1581" s="3"/>
      <c r="Q1581" s="3">
        <v>0.105</v>
      </c>
      <c r="R1581" s="3" t="s">
        <v>12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87</v>
      </c>
      <c r="C1582" s="3" t="s">
        <v>540</v>
      </c>
      <c r="D1582" s="3"/>
      <c r="E1582" s="3" t="s">
        <v>540</v>
      </c>
      <c r="F1582" s="3"/>
      <c r="G1582" s="3"/>
      <c r="H1582" s="3"/>
      <c r="I1582" s="3"/>
      <c r="J1582" s="3"/>
      <c r="K1582" s="3"/>
      <c r="L1582" s="3" t="s">
        <v>88</v>
      </c>
      <c r="M1582" s="3">
        <v>100</v>
      </c>
      <c r="N1582" s="3" t="s">
        <v>269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87</v>
      </c>
      <c r="C1583" s="3" t="s">
        <v>540</v>
      </c>
      <c r="D1583" s="3"/>
      <c r="E1583" s="3" t="s">
        <v>540</v>
      </c>
      <c r="F1583" s="3"/>
      <c r="G1583" s="3"/>
      <c r="H1583" s="3"/>
      <c r="I1583" s="3"/>
      <c r="J1583" s="3"/>
      <c r="K1583" s="3"/>
      <c r="L1583" s="3" t="s">
        <v>88</v>
      </c>
      <c r="M1583" s="3">
        <v>110</v>
      </c>
      <c r="N1583" s="3" t="s">
        <v>20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87</v>
      </c>
      <c r="C1584" s="3" t="s">
        <v>540</v>
      </c>
      <c r="D1584" s="3"/>
      <c r="E1584" s="3" t="s">
        <v>540</v>
      </c>
      <c r="F1584" s="3"/>
      <c r="G1584" s="3"/>
      <c r="H1584" s="3"/>
      <c r="I1584" s="3"/>
      <c r="J1584" s="3"/>
      <c r="K1584" s="3"/>
      <c r="L1584" s="3" t="s">
        <v>88</v>
      </c>
      <c r="M1584" s="3">
        <v>120</v>
      </c>
      <c r="N1584" s="3" t="s">
        <v>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87</v>
      </c>
      <c r="C1585" s="3" t="s">
        <v>540</v>
      </c>
      <c r="D1585" s="3"/>
      <c r="E1585" s="3" t="s">
        <v>540</v>
      </c>
      <c r="F1585" s="3"/>
      <c r="G1585" s="3"/>
      <c r="H1585" s="3"/>
      <c r="I1585" s="3"/>
      <c r="J1585" s="3"/>
      <c r="K1585" s="3"/>
      <c r="L1585" s="3" t="s">
        <v>88</v>
      </c>
      <c r="M1585" s="3">
        <v>130</v>
      </c>
      <c r="N1585" s="3" t="s">
        <v>110</v>
      </c>
      <c r="O1585" s="3"/>
      <c r="P1585" s="3"/>
      <c r="Q1585" s="3">
        <v>0.74299999999999999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87</v>
      </c>
      <c r="C1586" s="3" t="s">
        <v>540</v>
      </c>
      <c r="D1586" s="3"/>
      <c r="E1586" s="3" t="s">
        <v>540</v>
      </c>
      <c r="F1586" s="3"/>
      <c r="G1586" s="3"/>
      <c r="H1586" s="3"/>
      <c r="I1586" s="3"/>
      <c r="J1586" s="3"/>
      <c r="K1586" s="3"/>
      <c r="L1586" s="3" t="s">
        <v>88</v>
      </c>
      <c r="M1586" s="3">
        <v>140</v>
      </c>
      <c r="N1586" s="3" t="s">
        <v>385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87</v>
      </c>
      <c r="C1587" s="3" t="s">
        <v>543</v>
      </c>
      <c r="D1587" s="3"/>
      <c r="E1587" s="3" t="s">
        <v>543</v>
      </c>
      <c r="F1587" s="3"/>
      <c r="G1587" s="3"/>
      <c r="H1587" s="3"/>
      <c r="I1587" s="3"/>
      <c r="J1587" s="3"/>
      <c r="K1587" s="3"/>
      <c r="L1587" s="3" t="s">
        <v>88</v>
      </c>
      <c r="M1587" s="3">
        <v>10</v>
      </c>
      <c r="N1587" s="3" t="s">
        <v>187</v>
      </c>
      <c r="O1587" s="3"/>
      <c r="P1587" s="3"/>
      <c r="Q1587" s="3">
        <v>1.321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87</v>
      </c>
      <c r="C1588" s="3" t="s">
        <v>543</v>
      </c>
      <c r="D1588" s="3"/>
      <c r="E1588" s="3" t="s">
        <v>543</v>
      </c>
      <c r="F1588" s="3"/>
      <c r="G1588" s="3"/>
      <c r="H1588" s="3"/>
      <c r="I1588" s="3"/>
      <c r="J1588" s="3"/>
      <c r="K1588" s="3"/>
      <c r="L1588" s="3" t="s">
        <v>88</v>
      </c>
      <c r="M1588" s="3">
        <v>20</v>
      </c>
      <c r="N1588" s="3" t="s">
        <v>544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87</v>
      </c>
      <c r="C1589" s="3" t="s">
        <v>543</v>
      </c>
      <c r="D1589" s="3"/>
      <c r="E1589" s="3" t="s">
        <v>543</v>
      </c>
      <c r="F1589" s="3"/>
      <c r="G1589" s="3"/>
      <c r="H1589" s="3"/>
      <c r="I1589" s="3"/>
      <c r="J1589" s="3"/>
      <c r="K1589" s="3"/>
      <c r="L1589" s="3" t="s">
        <v>88</v>
      </c>
      <c r="M1589" s="3">
        <v>30</v>
      </c>
      <c r="N1589" s="3" t="s">
        <v>545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87</v>
      </c>
      <c r="C1590" s="3" t="s">
        <v>543</v>
      </c>
      <c r="D1590" s="3"/>
      <c r="E1590" s="3" t="s">
        <v>543</v>
      </c>
      <c r="F1590" s="3"/>
      <c r="G1590" s="3"/>
      <c r="H1590" s="3"/>
      <c r="I1590" s="3"/>
      <c r="J1590" s="3"/>
      <c r="K1590" s="3"/>
      <c r="L1590" s="3" t="s">
        <v>88</v>
      </c>
      <c r="M1590" s="3">
        <v>40</v>
      </c>
      <c r="N1590" s="3" t="s">
        <v>266</v>
      </c>
      <c r="O1590" s="3"/>
      <c r="P1590" s="3"/>
      <c r="Q1590" s="3">
        <v>1.321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87</v>
      </c>
      <c r="C1591" s="3" t="s">
        <v>543</v>
      </c>
      <c r="D1591" s="3"/>
      <c r="E1591" s="3" t="s">
        <v>543</v>
      </c>
      <c r="F1591" s="3"/>
      <c r="G1591" s="3"/>
      <c r="H1591" s="3"/>
      <c r="I1591" s="3"/>
      <c r="J1591" s="3"/>
      <c r="K1591" s="3"/>
      <c r="L1591" s="3" t="s">
        <v>88</v>
      </c>
      <c r="M1591" s="3">
        <v>50</v>
      </c>
      <c r="N1591" s="3" t="s">
        <v>107</v>
      </c>
      <c r="O1591" s="3"/>
      <c r="P1591" s="3"/>
      <c r="Q1591" s="3">
        <v>0.74399999999999999</v>
      </c>
      <c r="R1591" s="3" t="s">
        <v>108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87</v>
      </c>
      <c r="C1592" s="3" t="s">
        <v>543</v>
      </c>
      <c r="D1592" s="3"/>
      <c r="E1592" s="3" t="s">
        <v>543</v>
      </c>
      <c r="F1592" s="3"/>
      <c r="G1592" s="3"/>
      <c r="H1592" s="3"/>
      <c r="I1592" s="3"/>
      <c r="J1592" s="3"/>
      <c r="K1592" s="3"/>
      <c r="L1592" s="3" t="s">
        <v>88</v>
      </c>
      <c r="M1592" s="3">
        <v>60</v>
      </c>
      <c r="N1592" s="3" t="s">
        <v>267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87</v>
      </c>
      <c r="C1593" s="3" t="s">
        <v>543</v>
      </c>
      <c r="D1593" s="3"/>
      <c r="E1593" s="3" t="s">
        <v>543</v>
      </c>
      <c r="F1593" s="3"/>
      <c r="G1593" s="3"/>
      <c r="H1593" s="3"/>
      <c r="I1593" s="3"/>
      <c r="J1593" s="3"/>
      <c r="K1593" s="3"/>
      <c r="L1593" s="3" t="s">
        <v>88</v>
      </c>
      <c r="M1593" s="3">
        <v>70</v>
      </c>
      <c r="N1593" s="3" t="s">
        <v>109</v>
      </c>
      <c r="O1593" s="3"/>
      <c r="P1593" s="3"/>
      <c r="Q1593" s="3">
        <v>18.898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87</v>
      </c>
      <c r="C1594" s="3" t="s">
        <v>543</v>
      </c>
      <c r="D1594" s="3"/>
      <c r="E1594" s="3" t="s">
        <v>543</v>
      </c>
      <c r="F1594" s="3"/>
      <c r="G1594" s="3"/>
      <c r="H1594" s="3"/>
      <c r="I1594" s="3"/>
      <c r="J1594" s="3"/>
      <c r="K1594" s="3"/>
      <c r="L1594" s="3" t="s">
        <v>88</v>
      </c>
      <c r="M1594" s="3">
        <v>80</v>
      </c>
      <c r="N1594" s="3" t="s">
        <v>16</v>
      </c>
      <c r="O1594" s="3"/>
      <c r="P1594" s="3"/>
      <c r="Q1594" s="3">
        <v>117.158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87</v>
      </c>
      <c r="C1595" s="3" t="s">
        <v>543</v>
      </c>
      <c r="D1595" s="3"/>
      <c r="E1595" s="3" t="s">
        <v>543</v>
      </c>
      <c r="F1595" s="3"/>
      <c r="G1595" s="3"/>
      <c r="H1595" s="3"/>
      <c r="I1595" s="3"/>
      <c r="J1595" s="3"/>
      <c r="K1595" s="3"/>
      <c r="L1595" s="3" t="s">
        <v>88</v>
      </c>
      <c r="M1595" s="3">
        <v>90</v>
      </c>
      <c r="N1595" s="3" t="s">
        <v>265</v>
      </c>
      <c r="O1595" s="3"/>
      <c r="P1595" s="3"/>
      <c r="Q1595" s="3">
        <v>0.11600000000000001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87</v>
      </c>
      <c r="C1596" s="3" t="s">
        <v>543</v>
      </c>
      <c r="D1596" s="3"/>
      <c r="E1596" s="3" t="s">
        <v>543</v>
      </c>
      <c r="F1596" s="3"/>
      <c r="G1596" s="3"/>
      <c r="H1596" s="3"/>
      <c r="I1596" s="3"/>
      <c r="J1596" s="3"/>
      <c r="K1596" s="3"/>
      <c r="L1596" s="3" t="s">
        <v>88</v>
      </c>
      <c r="M1596" s="3">
        <v>100</v>
      </c>
      <c r="N1596" s="3" t="s">
        <v>269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87</v>
      </c>
      <c r="C1597" s="3" t="s">
        <v>543</v>
      </c>
      <c r="D1597" s="3"/>
      <c r="E1597" s="3" t="s">
        <v>543</v>
      </c>
      <c r="F1597" s="3"/>
      <c r="G1597" s="3"/>
      <c r="H1597" s="3"/>
      <c r="I1597" s="3"/>
      <c r="J1597" s="3"/>
      <c r="K1597" s="3"/>
      <c r="L1597" s="3" t="s">
        <v>88</v>
      </c>
      <c r="M1597" s="3">
        <v>110</v>
      </c>
      <c r="N1597" s="3" t="s">
        <v>20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87</v>
      </c>
      <c r="C1598" s="3" t="s">
        <v>543</v>
      </c>
      <c r="D1598" s="3"/>
      <c r="E1598" s="3" t="s">
        <v>543</v>
      </c>
      <c r="F1598" s="3"/>
      <c r="G1598" s="3"/>
      <c r="H1598" s="3"/>
      <c r="I1598" s="3"/>
      <c r="J1598" s="3"/>
      <c r="K1598" s="3"/>
      <c r="L1598" s="3" t="s">
        <v>88</v>
      </c>
      <c r="M1598" s="3">
        <v>120</v>
      </c>
      <c r="N1598" s="3" t="s">
        <v>21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87</v>
      </c>
      <c r="C1599" s="3" t="s">
        <v>543</v>
      </c>
      <c r="D1599" s="3"/>
      <c r="E1599" s="3" t="s">
        <v>543</v>
      </c>
      <c r="F1599" s="3"/>
      <c r="G1599" s="3"/>
      <c r="H1599" s="3"/>
      <c r="I1599" s="3"/>
      <c r="J1599" s="3"/>
      <c r="K1599" s="3"/>
      <c r="L1599" s="3" t="s">
        <v>88</v>
      </c>
      <c r="M1599" s="3">
        <v>130</v>
      </c>
      <c r="N1599" s="3" t="s">
        <v>110</v>
      </c>
      <c r="O1599" s="3"/>
      <c r="P1599" s="3"/>
      <c r="Q1599" s="3">
        <v>0.82399999999999995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87</v>
      </c>
      <c r="C1600" s="3" t="s">
        <v>543</v>
      </c>
      <c r="D1600" s="3"/>
      <c r="E1600" s="3" t="s">
        <v>543</v>
      </c>
      <c r="F1600" s="3"/>
      <c r="G1600" s="3"/>
      <c r="H1600" s="3"/>
      <c r="I1600" s="3"/>
      <c r="J1600" s="3"/>
      <c r="K1600" s="3"/>
      <c r="L1600" s="3" t="s">
        <v>88</v>
      </c>
      <c r="M1600" s="3">
        <v>140</v>
      </c>
      <c r="N1600" s="3" t="s">
        <v>389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87</v>
      </c>
      <c r="C1601" s="3" t="s">
        <v>546</v>
      </c>
      <c r="D1601" s="3"/>
      <c r="E1601" s="3" t="s">
        <v>546</v>
      </c>
      <c r="F1601" s="3"/>
      <c r="G1601" s="3"/>
      <c r="H1601" s="3"/>
      <c r="I1601" s="3"/>
      <c r="J1601" s="3"/>
      <c r="K1601" s="3"/>
      <c r="L1601" s="3" t="s">
        <v>88</v>
      </c>
      <c r="M1601" s="3">
        <v>10</v>
      </c>
      <c r="N1601" s="3" t="s">
        <v>187</v>
      </c>
      <c r="O1601" s="3"/>
      <c r="P1601" s="3"/>
      <c r="Q1601" s="3">
        <v>1.397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87</v>
      </c>
      <c r="C1602" s="3" t="s">
        <v>546</v>
      </c>
      <c r="D1602" s="3"/>
      <c r="E1602" s="3" t="s">
        <v>546</v>
      </c>
      <c r="F1602" s="3"/>
      <c r="G1602" s="3"/>
      <c r="H1602" s="3"/>
      <c r="I1602" s="3"/>
      <c r="J1602" s="3"/>
      <c r="K1602" s="3"/>
      <c r="L1602" s="3" t="s">
        <v>88</v>
      </c>
      <c r="M1602" s="3">
        <v>20</v>
      </c>
      <c r="N1602" s="3" t="s">
        <v>547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87</v>
      </c>
      <c r="C1603" s="3" t="s">
        <v>546</v>
      </c>
      <c r="D1603" s="3"/>
      <c r="E1603" s="3" t="s">
        <v>546</v>
      </c>
      <c r="F1603" s="3"/>
      <c r="G1603" s="3"/>
      <c r="H1603" s="3"/>
      <c r="I1603" s="3"/>
      <c r="J1603" s="3"/>
      <c r="K1603" s="3"/>
      <c r="L1603" s="3" t="s">
        <v>88</v>
      </c>
      <c r="M1603" s="3">
        <v>30</v>
      </c>
      <c r="N1603" s="3" t="s">
        <v>548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87</v>
      </c>
      <c r="C1604" s="3" t="s">
        <v>546</v>
      </c>
      <c r="D1604" s="3"/>
      <c r="E1604" s="3" t="s">
        <v>546</v>
      </c>
      <c r="F1604" s="3"/>
      <c r="G1604" s="3"/>
      <c r="H1604" s="3"/>
      <c r="I1604" s="3"/>
      <c r="J1604" s="3"/>
      <c r="K1604" s="3"/>
      <c r="L1604" s="3" t="s">
        <v>88</v>
      </c>
      <c r="M1604" s="3">
        <v>40</v>
      </c>
      <c r="N1604" s="3" t="s">
        <v>266</v>
      </c>
      <c r="O1604" s="3"/>
      <c r="P1604" s="3"/>
      <c r="Q1604" s="3">
        <v>1.397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87</v>
      </c>
      <c r="C1605" s="3" t="s">
        <v>546</v>
      </c>
      <c r="D1605" s="3"/>
      <c r="E1605" s="3" t="s">
        <v>546</v>
      </c>
      <c r="F1605" s="3"/>
      <c r="G1605" s="3"/>
      <c r="H1605" s="3"/>
      <c r="I1605" s="3"/>
      <c r="J1605" s="3"/>
      <c r="K1605" s="3"/>
      <c r="L1605" s="3" t="s">
        <v>88</v>
      </c>
      <c r="M1605" s="3">
        <v>50</v>
      </c>
      <c r="N1605" s="3" t="s">
        <v>107</v>
      </c>
      <c r="O1605" s="3"/>
      <c r="P1605" s="3"/>
      <c r="Q1605" s="3">
        <v>0.78700000000000003</v>
      </c>
      <c r="R1605" s="3" t="s">
        <v>108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87</v>
      </c>
      <c r="C1606" s="3" t="s">
        <v>546</v>
      </c>
      <c r="D1606" s="3"/>
      <c r="E1606" s="3" t="s">
        <v>546</v>
      </c>
      <c r="F1606" s="3"/>
      <c r="G1606" s="3"/>
      <c r="H1606" s="3"/>
      <c r="I1606" s="3"/>
      <c r="J1606" s="3"/>
      <c r="K1606" s="3"/>
      <c r="L1606" s="3" t="s">
        <v>88</v>
      </c>
      <c r="M1606" s="3">
        <v>60</v>
      </c>
      <c r="N1606" s="3" t="s">
        <v>267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87</v>
      </c>
      <c r="C1607" s="3" t="s">
        <v>546</v>
      </c>
      <c r="D1607" s="3"/>
      <c r="E1607" s="3" t="s">
        <v>546</v>
      </c>
      <c r="F1607" s="3"/>
      <c r="G1607" s="3"/>
      <c r="H1607" s="3"/>
      <c r="I1607" s="3"/>
      <c r="J1607" s="3"/>
      <c r="K1607" s="3"/>
      <c r="L1607" s="3" t="s">
        <v>88</v>
      </c>
      <c r="M1607" s="3">
        <v>70</v>
      </c>
      <c r="N1607" s="3" t="s">
        <v>109</v>
      </c>
      <c r="O1607" s="3"/>
      <c r="P1607" s="3"/>
      <c r="Q1607" s="3">
        <v>19.355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87</v>
      </c>
      <c r="C1608" s="3" t="s">
        <v>546</v>
      </c>
      <c r="D1608" s="3"/>
      <c r="E1608" s="3" t="s">
        <v>546</v>
      </c>
      <c r="F1608" s="3"/>
      <c r="G1608" s="3"/>
      <c r="H1608" s="3"/>
      <c r="I1608" s="3"/>
      <c r="J1608" s="3"/>
      <c r="K1608" s="3"/>
      <c r="L1608" s="3" t="s">
        <v>88</v>
      </c>
      <c r="M1608" s="3">
        <v>80</v>
      </c>
      <c r="N1608" s="3" t="s">
        <v>16</v>
      </c>
      <c r="O1608" s="3"/>
      <c r="P1608" s="3"/>
      <c r="Q1608" s="3">
        <v>119.96899999999999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87</v>
      </c>
      <c r="C1609" s="3" t="s">
        <v>546</v>
      </c>
      <c r="D1609" s="3"/>
      <c r="E1609" s="3" t="s">
        <v>546</v>
      </c>
      <c r="F1609" s="3"/>
      <c r="G1609" s="3"/>
      <c r="H1609" s="3"/>
      <c r="I1609" s="3"/>
      <c r="J1609" s="3"/>
      <c r="K1609" s="3"/>
      <c r="L1609" s="3" t="s">
        <v>88</v>
      </c>
      <c r="M1609" s="3">
        <v>90</v>
      </c>
      <c r="N1609" s="3" t="s">
        <v>265</v>
      </c>
      <c r="O1609" s="3"/>
      <c r="P1609" s="3"/>
      <c r="Q1609" s="3">
        <v>0.121</v>
      </c>
      <c r="R1609" s="3" t="s">
        <v>12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87</v>
      </c>
      <c r="C1610" s="3" t="s">
        <v>546</v>
      </c>
      <c r="D1610" s="3"/>
      <c r="E1610" s="3" t="s">
        <v>546</v>
      </c>
      <c r="F1610" s="3"/>
      <c r="G1610" s="3"/>
      <c r="H1610" s="3"/>
      <c r="I1610" s="3"/>
      <c r="J1610" s="3"/>
      <c r="K1610" s="3"/>
      <c r="L1610" s="3" t="s">
        <v>88</v>
      </c>
      <c r="M1610" s="3">
        <v>100</v>
      </c>
      <c r="N1610" s="3" t="s">
        <v>269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87</v>
      </c>
      <c r="C1611" s="3" t="s">
        <v>546</v>
      </c>
      <c r="D1611" s="3"/>
      <c r="E1611" s="3" t="s">
        <v>546</v>
      </c>
      <c r="F1611" s="3"/>
      <c r="G1611" s="3"/>
      <c r="H1611" s="3"/>
      <c r="I1611" s="3"/>
      <c r="J1611" s="3"/>
      <c r="K1611" s="3"/>
      <c r="L1611" s="3" t="s">
        <v>88</v>
      </c>
      <c r="M1611" s="3">
        <v>110</v>
      </c>
      <c r="N1611" s="3" t="s">
        <v>20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87</v>
      </c>
      <c r="C1612" s="3" t="s">
        <v>546</v>
      </c>
      <c r="D1612" s="3"/>
      <c r="E1612" s="3" t="s">
        <v>546</v>
      </c>
      <c r="F1612" s="3"/>
      <c r="G1612" s="3"/>
      <c r="H1612" s="3"/>
      <c r="I1612" s="3"/>
      <c r="J1612" s="3"/>
      <c r="K1612" s="3"/>
      <c r="L1612" s="3" t="s">
        <v>88</v>
      </c>
      <c r="M1612" s="3">
        <v>120</v>
      </c>
      <c r="N1612" s="3" t="s">
        <v>21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87</v>
      </c>
      <c r="C1613" s="3" t="s">
        <v>546</v>
      </c>
      <c r="D1613" s="3"/>
      <c r="E1613" s="3" t="s">
        <v>546</v>
      </c>
      <c r="F1613" s="3"/>
      <c r="G1613" s="3"/>
      <c r="H1613" s="3"/>
      <c r="I1613" s="3"/>
      <c r="J1613" s="3"/>
      <c r="K1613" s="3"/>
      <c r="L1613" s="3" t="s">
        <v>88</v>
      </c>
      <c r="M1613" s="3">
        <v>130</v>
      </c>
      <c r="N1613" s="3" t="s">
        <v>110</v>
      </c>
      <c r="O1613" s="3"/>
      <c r="P1613" s="3"/>
      <c r="Q1613" s="3">
        <v>0.86499999999999999</v>
      </c>
      <c r="R1613" s="3" t="s">
        <v>12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87</v>
      </c>
      <c r="C1614" s="3" t="s">
        <v>546</v>
      </c>
      <c r="D1614" s="3"/>
      <c r="E1614" s="3" t="s">
        <v>546</v>
      </c>
      <c r="F1614" s="3"/>
      <c r="G1614" s="3"/>
      <c r="H1614" s="3"/>
      <c r="I1614" s="3"/>
      <c r="J1614" s="3"/>
      <c r="K1614" s="3"/>
      <c r="L1614" s="3" t="s">
        <v>88</v>
      </c>
      <c r="M1614" s="3">
        <v>140</v>
      </c>
      <c r="N1614" s="3" t="s">
        <v>393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87</v>
      </c>
      <c r="C1615" s="3" t="s">
        <v>549</v>
      </c>
      <c r="D1615" s="3"/>
      <c r="E1615" s="3" t="s">
        <v>549</v>
      </c>
      <c r="F1615" s="3"/>
      <c r="G1615" s="3"/>
      <c r="H1615" s="3"/>
      <c r="I1615" s="3"/>
      <c r="J1615" s="3"/>
      <c r="K1615" s="3"/>
      <c r="L1615" s="3" t="s">
        <v>88</v>
      </c>
      <c r="M1615" s="3">
        <v>10</v>
      </c>
      <c r="N1615" s="3" t="s">
        <v>187</v>
      </c>
      <c r="O1615" s="3"/>
      <c r="P1615" s="3"/>
      <c r="Q1615" s="3">
        <v>1.4730000000000001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87</v>
      </c>
      <c r="C1616" s="3" t="s">
        <v>549</v>
      </c>
      <c r="D1616" s="3"/>
      <c r="E1616" s="3" t="s">
        <v>549</v>
      </c>
      <c r="F1616" s="3"/>
      <c r="G1616" s="3"/>
      <c r="H1616" s="3"/>
      <c r="I1616" s="3"/>
      <c r="J1616" s="3"/>
      <c r="K1616" s="3"/>
      <c r="L1616" s="3" t="s">
        <v>88</v>
      </c>
      <c r="M1616" s="3">
        <v>20</v>
      </c>
      <c r="N1616" s="3" t="s">
        <v>550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87</v>
      </c>
      <c r="C1617" s="3" t="s">
        <v>549</v>
      </c>
      <c r="D1617" s="3"/>
      <c r="E1617" s="3" t="s">
        <v>549</v>
      </c>
      <c r="F1617" s="3"/>
      <c r="G1617" s="3"/>
      <c r="H1617" s="3"/>
      <c r="I1617" s="3"/>
      <c r="J1617" s="3"/>
      <c r="K1617" s="3"/>
      <c r="L1617" s="3" t="s">
        <v>88</v>
      </c>
      <c r="M1617" s="3">
        <v>30</v>
      </c>
      <c r="N1617" s="3" t="s">
        <v>551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87</v>
      </c>
      <c r="C1618" s="3" t="s">
        <v>549</v>
      </c>
      <c r="D1618" s="3"/>
      <c r="E1618" s="3" t="s">
        <v>549</v>
      </c>
      <c r="F1618" s="3"/>
      <c r="G1618" s="3"/>
      <c r="H1618" s="3"/>
      <c r="I1618" s="3"/>
      <c r="J1618" s="3"/>
      <c r="K1618" s="3"/>
      <c r="L1618" s="3" t="s">
        <v>88</v>
      </c>
      <c r="M1618" s="3">
        <v>40</v>
      </c>
      <c r="N1618" s="3" t="s">
        <v>266</v>
      </c>
      <c r="O1618" s="3"/>
      <c r="P1618" s="3"/>
      <c r="Q1618" s="3">
        <v>1.4730000000000001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87</v>
      </c>
      <c r="C1619" s="3" t="s">
        <v>549</v>
      </c>
      <c r="D1619" s="3"/>
      <c r="E1619" s="3" t="s">
        <v>549</v>
      </c>
      <c r="F1619" s="3"/>
      <c r="G1619" s="3"/>
      <c r="H1619" s="3"/>
      <c r="I1619" s="3"/>
      <c r="J1619" s="3"/>
      <c r="K1619" s="3"/>
      <c r="L1619" s="3" t="s">
        <v>88</v>
      </c>
      <c r="M1619" s="3">
        <v>50</v>
      </c>
      <c r="N1619" s="3" t="s">
        <v>107</v>
      </c>
      <c r="O1619" s="3"/>
      <c r="P1619" s="3"/>
      <c r="Q1619" s="3">
        <v>0.83099999999999996</v>
      </c>
      <c r="R1619" s="3" t="s">
        <v>108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87</v>
      </c>
      <c r="C1620" s="3" t="s">
        <v>549</v>
      </c>
      <c r="D1620" s="3"/>
      <c r="E1620" s="3" t="s">
        <v>549</v>
      </c>
      <c r="F1620" s="3"/>
      <c r="G1620" s="3"/>
      <c r="H1620" s="3"/>
      <c r="I1620" s="3"/>
      <c r="J1620" s="3"/>
      <c r="K1620" s="3"/>
      <c r="L1620" s="3" t="s">
        <v>88</v>
      </c>
      <c r="M1620" s="3">
        <v>60</v>
      </c>
      <c r="N1620" s="3" t="s">
        <v>267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87</v>
      </c>
      <c r="C1621" s="3" t="s">
        <v>549</v>
      </c>
      <c r="D1621" s="3"/>
      <c r="E1621" s="3" t="s">
        <v>549</v>
      </c>
      <c r="F1621" s="3"/>
      <c r="G1621" s="3"/>
      <c r="H1621" s="3"/>
      <c r="I1621" s="3"/>
      <c r="J1621" s="3"/>
      <c r="K1621" s="3"/>
      <c r="L1621" s="3" t="s">
        <v>88</v>
      </c>
      <c r="M1621" s="3">
        <v>70</v>
      </c>
      <c r="N1621" s="3" t="s">
        <v>109</v>
      </c>
      <c r="O1621" s="3"/>
      <c r="P1621" s="3"/>
      <c r="Q1621" s="3">
        <v>19.812000000000001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87</v>
      </c>
      <c r="C1622" s="3" t="s">
        <v>549</v>
      </c>
      <c r="D1622" s="3"/>
      <c r="E1622" s="3" t="s">
        <v>549</v>
      </c>
      <c r="F1622" s="3"/>
      <c r="G1622" s="3"/>
      <c r="H1622" s="3"/>
      <c r="I1622" s="3"/>
      <c r="J1622" s="3"/>
      <c r="K1622" s="3"/>
      <c r="L1622" s="3" t="s">
        <v>88</v>
      </c>
      <c r="M1622" s="3">
        <v>80</v>
      </c>
      <c r="N1622" s="3" t="s">
        <v>16</v>
      </c>
      <c r="O1622" s="3"/>
      <c r="P1622" s="3"/>
      <c r="Q1622" s="3">
        <v>122.78100000000001</v>
      </c>
      <c r="R1622" s="3" t="s">
        <v>14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87</v>
      </c>
      <c r="C1623" s="3" t="s">
        <v>549</v>
      </c>
      <c r="D1623" s="3"/>
      <c r="E1623" s="3" t="s">
        <v>549</v>
      </c>
      <c r="F1623" s="3"/>
      <c r="G1623" s="3"/>
      <c r="H1623" s="3"/>
      <c r="I1623" s="3"/>
      <c r="J1623" s="3"/>
      <c r="K1623" s="3"/>
      <c r="L1623" s="3" t="s">
        <v>88</v>
      </c>
      <c r="M1623" s="3">
        <v>90</v>
      </c>
      <c r="N1623" s="3" t="s">
        <v>265</v>
      </c>
      <c r="O1623" s="3"/>
      <c r="P1623" s="3"/>
      <c r="Q1623" s="3">
        <v>0.126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87</v>
      </c>
      <c r="C1624" s="3" t="s">
        <v>549</v>
      </c>
      <c r="D1624" s="3"/>
      <c r="E1624" s="3" t="s">
        <v>549</v>
      </c>
      <c r="F1624" s="3"/>
      <c r="G1624" s="3"/>
      <c r="H1624" s="3"/>
      <c r="I1624" s="3"/>
      <c r="J1624" s="3"/>
      <c r="K1624" s="3"/>
      <c r="L1624" s="3" t="s">
        <v>88</v>
      </c>
      <c r="M1624" s="3">
        <v>100</v>
      </c>
      <c r="N1624" s="3" t="s">
        <v>269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87</v>
      </c>
      <c r="C1625" s="3" t="s">
        <v>549</v>
      </c>
      <c r="D1625" s="3"/>
      <c r="E1625" s="3" t="s">
        <v>549</v>
      </c>
      <c r="F1625" s="3"/>
      <c r="G1625" s="3"/>
      <c r="H1625" s="3"/>
      <c r="I1625" s="3"/>
      <c r="J1625" s="3"/>
      <c r="K1625" s="3"/>
      <c r="L1625" s="3" t="s">
        <v>88</v>
      </c>
      <c r="M1625" s="3">
        <v>110</v>
      </c>
      <c r="N1625" s="3" t="s">
        <v>20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87</v>
      </c>
      <c r="C1626" s="3" t="s">
        <v>549</v>
      </c>
      <c r="D1626" s="3"/>
      <c r="E1626" s="3" t="s">
        <v>549</v>
      </c>
      <c r="F1626" s="3"/>
      <c r="G1626" s="3"/>
      <c r="H1626" s="3"/>
      <c r="I1626" s="3"/>
      <c r="J1626" s="3"/>
      <c r="K1626" s="3"/>
      <c r="L1626" s="3" t="s">
        <v>88</v>
      </c>
      <c r="M1626" s="3">
        <v>120</v>
      </c>
      <c r="N1626" s="3" t="s">
        <v>21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87</v>
      </c>
      <c r="C1627" s="3" t="s">
        <v>549</v>
      </c>
      <c r="D1627" s="3"/>
      <c r="E1627" s="3" t="s">
        <v>549</v>
      </c>
      <c r="F1627" s="3"/>
      <c r="G1627" s="3"/>
      <c r="H1627" s="3"/>
      <c r="I1627" s="3"/>
      <c r="J1627" s="3"/>
      <c r="K1627" s="3"/>
      <c r="L1627" s="3" t="s">
        <v>88</v>
      </c>
      <c r="M1627" s="3">
        <v>130</v>
      </c>
      <c r="N1627" s="3" t="s">
        <v>110</v>
      </c>
      <c r="O1627" s="3"/>
      <c r="P1627" s="3"/>
      <c r="Q1627" s="3">
        <v>0.90500000000000003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87</v>
      </c>
      <c r="C1628" s="3" t="s">
        <v>549</v>
      </c>
      <c r="D1628" s="3"/>
      <c r="E1628" s="3" t="s">
        <v>549</v>
      </c>
      <c r="F1628" s="3"/>
      <c r="G1628" s="3"/>
      <c r="H1628" s="3"/>
      <c r="I1628" s="3"/>
      <c r="J1628" s="3"/>
      <c r="K1628" s="3"/>
      <c r="L1628" s="3" t="s">
        <v>88</v>
      </c>
      <c r="M1628" s="3">
        <v>140</v>
      </c>
      <c r="N1628" s="3" t="s">
        <v>397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87</v>
      </c>
      <c r="C1629" s="3" t="s">
        <v>552</v>
      </c>
      <c r="D1629" s="3"/>
      <c r="E1629" s="3" t="s">
        <v>552</v>
      </c>
      <c r="F1629" s="3"/>
      <c r="G1629" s="3"/>
      <c r="H1629" s="3"/>
      <c r="I1629" s="3"/>
      <c r="J1629" s="3"/>
      <c r="K1629" s="3"/>
      <c r="L1629" s="3" t="s">
        <v>88</v>
      </c>
      <c r="M1629" s="3">
        <v>10</v>
      </c>
      <c r="N1629" s="3" t="s">
        <v>187</v>
      </c>
      <c r="O1629" s="3"/>
      <c r="P1629" s="3"/>
      <c r="Q1629" s="3">
        <v>1.6259999999999999</v>
      </c>
      <c r="R1629" s="3" t="s">
        <v>14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87</v>
      </c>
      <c r="C1630" s="3" t="s">
        <v>552</v>
      </c>
      <c r="D1630" s="3"/>
      <c r="E1630" s="3" t="s">
        <v>552</v>
      </c>
      <c r="F1630" s="3"/>
      <c r="G1630" s="3"/>
      <c r="H1630" s="3"/>
      <c r="I1630" s="3"/>
      <c r="J1630" s="3"/>
      <c r="K1630" s="3"/>
      <c r="L1630" s="3" t="s">
        <v>88</v>
      </c>
      <c r="M1630" s="3">
        <v>20</v>
      </c>
      <c r="N1630" s="3" t="s">
        <v>553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87</v>
      </c>
      <c r="C1631" s="3" t="s">
        <v>552</v>
      </c>
      <c r="D1631" s="3"/>
      <c r="E1631" s="3" t="s">
        <v>552</v>
      </c>
      <c r="F1631" s="3"/>
      <c r="G1631" s="3"/>
      <c r="H1631" s="3"/>
      <c r="I1631" s="3"/>
      <c r="J1631" s="3"/>
      <c r="K1631" s="3"/>
      <c r="L1631" s="3" t="s">
        <v>88</v>
      </c>
      <c r="M1631" s="3">
        <v>30</v>
      </c>
      <c r="N1631" s="3" t="s">
        <v>554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87</v>
      </c>
      <c r="C1632" s="3" t="s">
        <v>552</v>
      </c>
      <c r="D1632" s="3"/>
      <c r="E1632" s="3" t="s">
        <v>552</v>
      </c>
      <c r="F1632" s="3"/>
      <c r="G1632" s="3"/>
      <c r="H1632" s="3"/>
      <c r="I1632" s="3"/>
      <c r="J1632" s="3"/>
      <c r="K1632" s="3"/>
      <c r="L1632" s="3" t="s">
        <v>88</v>
      </c>
      <c r="M1632" s="3">
        <v>40</v>
      </c>
      <c r="N1632" s="3" t="s">
        <v>266</v>
      </c>
      <c r="O1632" s="3"/>
      <c r="P1632" s="3"/>
      <c r="Q1632" s="3">
        <v>1.6259999999999999</v>
      </c>
      <c r="R1632" s="3" t="s">
        <v>14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87</v>
      </c>
      <c r="C1633" s="3" t="s">
        <v>552</v>
      </c>
      <c r="D1633" s="3"/>
      <c r="E1633" s="3" t="s">
        <v>552</v>
      </c>
      <c r="F1633" s="3"/>
      <c r="G1633" s="3"/>
      <c r="H1633" s="3"/>
      <c r="I1633" s="3"/>
      <c r="J1633" s="3"/>
      <c r="K1633" s="3"/>
      <c r="L1633" s="3" t="s">
        <v>88</v>
      </c>
      <c r="M1633" s="3">
        <v>50</v>
      </c>
      <c r="N1633" s="3" t="s">
        <v>107</v>
      </c>
      <c r="O1633" s="3"/>
      <c r="P1633" s="3"/>
      <c r="Q1633" s="3">
        <v>0.91900000000000004</v>
      </c>
      <c r="R1633" s="3" t="s">
        <v>108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87</v>
      </c>
      <c r="C1634" s="3" t="s">
        <v>552</v>
      </c>
      <c r="D1634" s="3"/>
      <c r="E1634" s="3" t="s">
        <v>552</v>
      </c>
      <c r="F1634" s="3"/>
      <c r="G1634" s="3"/>
      <c r="H1634" s="3"/>
      <c r="I1634" s="3"/>
      <c r="J1634" s="3"/>
      <c r="K1634" s="3"/>
      <c r="L1634" s="3" t="s">
        <v>88</v>
      </c>
      <c r="M1634" s="3">
        <v>60</v>
      </c>
      <c r="N1634" s="3" t="s">
        <v>267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87</v>
      </c>
      <c r="C1635" s="3" t="s">
        <v>552</v>
      </c>
      <c r="D1635" s="3"/>
      <c r="E1635" s="3" t="s">
        <v>552</v>
      </c>
      <c r="F1635" s="3"/>
      <c r="G1635" s="3"/>
      <c r="H1635" s="3"/>
      <c r="I1635" s="3"/>
      <c r="J1635" s="3"/>
      <c r="K1635" s="3"/>
      <c r="L1635" s="3" t="s">
        <v>88</v>
      </c>
      <c r="M1635" s="3">
        <v>70</v>
      </c>
      <c r="N1635" s="3" t="s">
        <v>109</v>
      </c>
      <c r="O1635" s="3"/>
      <c r="P1635" s="3"/>
      <c r="Q1635" s="3">
        <v>20.725999999999999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87</v>
      </c>
      <c r="C1636" s="3" t="s">
        <v>552</v>
      </c>
      <c r="D1636" s="3"/>
      <c r="E1636" s="3" t="s">
        <v>552</v>
      </c>
      <c r="F1636" s="3"/>
      <c r="G1636" s="3"/>
      <c r="H1636" s="3"/>
      <c r="I1636" s="3"/>
      <c r="J1636" s="3"/>
      <c r="K1636" s="3"/>
      <c r="L1636" s="3" t="s">
        <v>88</v>
      </c>
      <c r="M1636" s="3">
        <v>80</v>
      </c>
      <c r="N1636" s="3" t="s">
        <v>16</v>
      </c>
      <c r="O1636" s="3"/>
      <c r="P1636" s="3"/>
      <c r="Q1636" s="3">
        <v>128.405</v>
      </c>
      <c r="R1636" s="3" t="s">
        <v>14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87</v>
      </c>
      <c r="C1637" s="3" t="s">
        <v>552</v>
      </c>
      <c r="D1637" s="3"/>
      <c r="E1637" s="3" t="s">
        <v>552</v>
      </c>
      <c r="F1637" s="3"/>
      <c r="G1637" s="3"/>
      <c r="H1637" s="3"/>
      <c r="I1637" s="3"/>
      <c r="J1637" s="3"/>
      <c r="K1637" s="3"/>
      <c r="L1637" s="3" t="s">
        <v>88</v>
      </c>
      <c r="M1637" s="3">
        <v>90</v>
      </c>
      <c r="N1637" s="3" t="s">
        <v>265</v>
      </c>
      <c r="O1637" s="3"/>
      <c r="P1637" s="3"/>
      <c r="Q1637" s="3">
        <v>0.13700000000000001</v>
      </c>
      <c r="R1637" s="3" t="s">
        <v>12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87</v>
      </c>
      <c r="C1638" s="3" t="s">
        <v>552</v>
      </c>
      <c r="D1638" s="3"/>
      <c r="E1638" s="3" t="s">
        <v>552</v>
      </c>
      <c r="F1638" s="3"/>
      <c r="G1638" s="3"/>
      <c r="H1638" s="3"/>
      <c r="I1638" s="3"/>
      <c r="J1638" s="3"/>
      <c r="K1638" s="3"/>
      <c r="L1638" s="3" t="s">
        <v>88</v>
      </c>
      <c r="M1638" s="3">
        <v>100</v>
      </c>
      <c r="N1638" s="3" t="s">
        <v>269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87</v>
      </c>
      <c r="C1639" s="3" t="s">
        <v>552</v>
      </c>
      <c r="D1639" s="3"/>
      <c r="E1639" s="3" t="s">
        <v>552</v>
      </c>
      <c r="F1639" s="3"/>
      <c r="G1639" s="3"/>
      <c r="H1639" s="3"/>
      <c r="I1639" s="3"/>
      <c r="J1639" s="3"/>
      <c r="K1639" s="3"/>
      <c r="L1639" s="3" t="s">
        <v>88</v>
      </c>
      <c r="M1639" s="3">
        <v>110</v>
      </c>
      <c r="N1639" s="3" t="s">
        <v>20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87</v>
      </c>
      <c r="C1640" s="3" t="s">
        <v>552</v>
      </c>
      <c r="D1640" s="3"/>
      <c r="E1640" s="3" t="s">
        <v>552</v>
      </c>
      <c r="F1640" s="3"/>
      <c r="G1640" s="3"/>
      <c r="H1640" s="3"/>
      <c r="I1640" s="3"/>
      <c r="J1640" s="3"/>
      <c r="K1640" s="3"/>
      <c r="L1640" s="3" t="s">
        <v>88</v>
      </c>
      <c r="M1640" s="3">
        <v>120</v>
      </c>
      <c r="N1640" s="3" t="s">
        <v>21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87</v>
      </c>
      <c r="C1641" s="3" t="s">
        <v>552</v>
      </c>
      <c r="D1641" s="3"/>
      <c r="E1641" s="3" t="s">
        <v>552</v>
      </c>
      <c r="F1641" s="3"/>
      <c r="G1641" s="3"/>
      <c r="H1641" s="3"/>
      <c r="I1641" s="3"/>
      <c r="J1641" s="3"/>
      <c r="K1641" s="3"/>
      <c r="L1641" s="3" t="s">
        <v>88</v>
      </c>
      <c r="M1641" s="3">
        <v>130</v>
      </c>
      <c r="N1641" s="3" t="s">
        <v>110</v>
      </c>
      <c r="O1641" s="3"/>
      <c r="P1641" s="3"/>
      <c r="Q1641" s="3">
        <v>0.98599999999999999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87</v>
      </c>
      <c r="C1642" s="3" t="s">
        <v>552</v>
      </c>
      <c r="D1642" s="3"/>
      <c r="E1642" s="3" t="s">
        <v>552</v>
      </c>
      <c r="F1642" s="3"/>
      <c r="G1642" s="3"/>
      <c r="H1642" s="3"/>
      <c r="I1642" s="3"/>
      <c r="J1642" s="3"/>
      <c r="K1642" s="3"/>
      <c r="L1642" s="3" t="s">
        <v>88</v>
      </c>
      <c r="M1642" s="3">
        <v>140</v>
      </c>
      <c r="N1642" s="3" t="s">
        <v>401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87</v>
      </c>
      <c r="C1643" s="3" t="s">
        <v>555</v>
      </c>
      <c r="D1643" s="3"/>
      <c r="E1643" s="3" t="s">
        <v>555</v>
      </c>
      <c r="F1643" s="3"/>
      <c r="G1643" s="3"/>
      <c r="H1643" s="3"/>
      <c r="I1643" s="3"/>
      <c r="J1643" s="3"/>
      <c r="K1643" s="3"/>
      <c r="L1643" s="3" t="s">
        <v>88</v>
      </c>
      <c r="M1643" s="3">
        <v>10</v>
      </c>
      <c r="N1643" s="3" t="s">
        <v>187</v>
      </c>
      <c r="O1643" s="3"/>
      <c r="P1643" s="3"/>
      <c r="Q1643" s="3">
        <v>1.778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87</v>
      </c>
      <c r="C1644" s="3" t="s">
        <v>555</v>
      </c>
      <c r="D1644" s="3"/>
      <c r="E1644" s="3" t="s">
        <v>555</v>
      </c>
      <c r="F1644" s="3"/>
      <c r="G1644" s="3"/>
      <c r="H1644" s="3"/>
      <c r="I1644" s="3"/>
      <c r="J1644" s="3"/>
      <c r="K1644" s="3"/>
      <c r="L1644" s="3" t="s">
        <v>88</v>
      </c>
      <c r="M1644" s="3">
        <v>20</v>
      </c>
      <c r="N1644" s="3" t="s">
        <v>556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87</v>
      </c>
      <c r="C1645" s="3" t="s">
        <v>555</v>
      </c>
      <c r="D1645" s="3"/>
      <c r="E1645" s="3" t="s">
        <v>555</v>
      </c>
      <c r="F1645" s="3"/>
      <c r="G1645" s="3"/>
      <c r="H1645" s="3"/>
      <c r="I1645" s="3"/>
      <c r="J1645" s="3"/>
      <c r="K1645" s="3"/>
      <c r="L1645" s="3" t="s">
        <v>88</v>
      </c>
      <c r="M1645" s="3">
        <v>30</v>
      </c>
      <c r="N1645" s="3" t="s">
        <v>557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87</v>
      </c>
      <c r="C1646" s="3" t="s">
        <v>555</v>
      </c>
      <c r="D1646" s="3"/>
      <c r="E1646" s="3" t="s">
        <v>555</v>
      </c>
      <c r="F1646" s="3"/>
      <c r="G1646" s="3"/>
      <c r="H1646" s="3"/>
      <c r="I1646" s="3"/>
      <c r="J1646" s="3"/>
      <c r="K1646" s="3"/>
      <c r="L1646" s="3" t="s">
        <v>88</v>
      </c>
      <c r="M1646" s="3">
        <v>40</v>
      </c>
      <c r="N1646" s="3" t="s">
        <v>266</v>
      </c>
      <c r="O1646" s="3"/>
      <c r="P1646" s="3"/>
      <c r="Q1646" s="3">
        <v>1.778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87</v>
      </c>
      <c r="C1647" s="3" t="s">
        <v>555</v>
      </c>
      <c r="D1647" s="3"/>
      <c r="E1647" s="3" t="s">
        <v>555</v>
      </c>
      <c r="F1647" s="3"/>
      <c r="G1647" s="3"/>
      <c r="H1647" s="3"/>
      <c r="I1647" s="3"/>
      <c r="J1647" s="3"/>
      <c r="K1647" s="3"/>
      <c r="L1647" s="3" t="s">
        <v>88</v>
      </c>
      <c r="M1647" s="3">
        <v>50</v>
      </c>
      <c r="N1647" s="3" t="s">
        <v>107</v>
      </c>
      <c r="O1647" s="3"/>
      <c r="P1647" s="3"/>
      <c r="Q1647" s="3">
        <v>1.006</v>
      </c>
      <c r="R1647" s="3" t="s">
        <v>108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87</v>
      </c>
      <c r="C1648" s="3" t="s">
        <v>555</v>
      </c>
      <c r="D1648" s="3"/>
      <c r="E1648" s="3" t="s">
        <v>555</v>
      </c>
      <c r="F1648" s="3"/>
      <c r="G1648" s="3"/>
      <c r="H1648" s="3"/>
      <c r="I1648" s="3"/>
      <c r="J1648" s="3"/>
      <c r="K1648" s="3"/>
      <c r="L1648" s="3" t="s">
        <v>88</v>
      </c>
      <c r="M1648" s="3">
        <v>60</v>
      </c>
      <c r="N1648" s="3" t="s">
        <v>267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87</v>
      </c>
      <c r="C1649" s="3" t="s">
        <v>555</v>
      </c>
      <c r="D1649" s="3"/>
      <c r="E1649" s="3" t="s">
        <v>555</v>
      </c>
      <c r="F1649" s="3"/>
      <c r="G1649" s="3"/>
      <c r="H1649" s="3"/>
      <c r="I1649" s="3"/>
      <c r="J1649" s="3"/>
      <c r="K1649" s="3"/>
      <c r="L1649" s="3" t="s">
        <v>88</v>
      </c>
      <c r="M1649" s="3">
        <v>70</v>
      </c>
      <c r="N1649" s="3" t="s">
        <v>109</v>
      </c>
      <c r="O1649" s="3"/>
      <c r="P1649" s="3"/>
      <c r="Q1649" s="3">
        <v>21.640999999999998</v>
      </c>
      <c r="R1649" s="3" t="s">
        <v>14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87</v>
      </c>
      <c r="C1650" s="3" t="s">
        <v>555</v>
      </c>
      <c r="D1650" s="3"/>
      <c r="E1650" s="3" t="s">
        <v>555</v>
      </c>
      <c r="F1650" s="3"/>
      <c r="G1650" s="3"/>
      <c r="H1650" s="3"/>
      <c r="I1650" s="3"/>
      <c r="J1650" s="3"/>
      <c r="K1650" s="3"/>
      <c r="L1650" s="3" t="s">
        <v>88</v>
      </c>
      <c r="M1650" s="3">
        <v>80</v>
      </c>
      <c r="N1650" s="3" t="s">
        <v>16</v>
      </c>
      <c r="O1650" s="3"/>
      <c r="P1650" s="3"/>
      <c r="Q1650" s="3">
        <v>134.02799999999999</v>
      </c>
      <c r="R1650" s="3" t="s">
        <v>14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87</v>
      </c>
      <c r="C1651" s="3" t="s">
        <v>555</v>
      </c>
      <c r="D1651" s="3"/>
      <c r="E1651" s="3" t="s">
        <v>555</v>
      </c>
      <c r="F1651" s="3"/>
      <c r="G1651" s="3"/>
      <c r="H1651" s="3"/>
      <c r="I1651" s="3"/>
      <c r="J1651" s="3"/>
      <c r="K1651" s="3"/>
      <c r="L1651" s="3" t="s">
        <v>88</v>
      </c>
      <c r="M1651" s="3">
        <v>90</v>
      </c>
      <c r="N1651" s="3" t="s">
        <v>265</v>
      </c>
      <c r="O1651" s="3"/>
      <c r="P1651" s="3"/>
      <c r="Q1651" s="3">
        <v>0.14799999999999999</v>
      </c>
      <c r="R1651" s="3" t="s">
        <v>12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87</v>
      </c>
      <c r="C1652" s="3" t="s">
        <v>555</v>
      </c>
      <c r="D1652" s="3"/>
      <c r="E1652" s="3" t="s">
        <v>555</v>
      </c>
      <c r="F1652" s="3"/>
      <c r="G1652" s="3"/>
      <c r="H1652" s="3"/>
      <c r="I1652" s="3"/>
      <c r="J1652" s="3"/>
      <c r="K1652" s="3"/>
      <c r="L1652" s="3" t="s">
        <v>88</v>
      </c>
      <c r="M1652" s="3">
        <v>100</v>
      </c>
      <c r="N1652" s="3" t="s">
        <v>269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87</v>
      </c>
      <c r="C1653" s="3" t="s">
        <v>555</v>
      </c>
      <c r="D1653" s="3"/>
      <c r="E1653" s="3" t="s">
        <v>555</v>
      </c>
      <c r="F1653" s="3"/>
      <c r="G1653" s="3"/>
      <c r="H1653" s="3"/>
      <c r="I1653" s="3"/>
      <c r="J1653" s="3"/>
      <c r="K1653" s="3"/>
      <c r="L1653" s="3" t="s">
        <v>88</v>
      </c>
      <c r="M1653" s="3">
        <v>110</v>
      </c>
      <c r="N1653" s="3" t="s">
        <v>20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87</v>
      </c>
      <c r="C1654" s="3" t="s">
        <v>555</v>
      </c>
      <c r="D1654" s="3"/>
      <c r="E1654" s="3" t="s">
        <v>555</v>
      </c>
      <c r="F1654" s="3"/>
      <c r="G1654" s="3"/>
      <c r="H1654" s="3"/>
      <c r="I1654" s="3"/>
      <c r="J1654" s="3"/>
      <c r="K1654" s="3"/>
      <c r="L1654" s="3" t="s">
        <v>88</v>
      </c>
      <c r="M1654" s="3">
        <v>120</v>
      </c>
      <c r="N1654" s="3" t="s">
        <v>21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87</v>
      </c>
      <c r="C1655" s="3" t="s">
        <v>555</v>
      </c>
      <c r="D1655" s="3"/>
      <c r="E1655" s="3" t="s">
        <v>555</v>
      </c>
      <c r="F1655" s="3"/>
      <c r="G1655" s="3"/>
      <c r="H1655" s="3"/>
      <c r="I1655" s="3"/>
      <c r="J1655" s="3"/>
      <c r="K1655" s="3"/>
      <c r="L1655" s="3" t="s">
        <v>88</v>
      </c>
      <c r="M1655" s="3">
        <v>130</v>
      </c>
      <c r="N1655" s="3" t="s">
        <v>110</v>
      </c>
      <c r="O1655" s="3"/>
      <c r="P1655" s="3"/>
      <c r="Q1655" s="3">
        <v>1.0669999999999999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87</v>
      </c>
      <c r="C1656" s="3" t="s">
        <v>555</v>
      </c>
      <c r="D1656" s="3"/>
      <c r="E1656" s="3" t="s">
        <v>555</v>
      </c>
      <c r="F1656" s="3"/>
      <c r="G1656" s="3"/>
      <c r="H1656" s="3"/>
      <c r="I1656" s="3"/>
      <c r="J1656" s="3"/>
      <c r="K1656" s="3"/>
      <c r="L1656" s="3" t="s">
        <v>88</v>
      </c>
      <c r="M1656" s="3">
        <v>140</v>
      </c>
      <c r="N1656" s="3" t="s">
        <v>405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87</v>
      </c>
      <c r="C1657" s="3" t="s">
        <v>558</v>
      </c>
      <c r="D1657" s="3"/>
      <c r="E1657" s="3" t="s">
        <v>558</v>
      </c>
      <c r="F1657" s="3"/>
      <c r="G1657" s="3"/>
      <c r="H1657" s="3"/>
      <c r="I1657" s="3"/>
      <c r="J1657" s="3"/>
      <c r="K1657" s="3"/>
      <c r="L1657" s="3" t="s">
        <v>88</v>
      </c>
      <c r="M1657" s="3">
        <v>10</v>
      </c>
      <c r="N1657" s="3" t="s">
        <v>187</v>
      </c>
      <c r="O1657" s="3"/>
      <c r="P1657" s="3"/>
      <c r="Q1657" s="3">
        <v>0.86399999999999999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87</v>
      </c>
      <c r="C1658" s="3" t="s">
        <v>558</v>
      </c>
      <c r="D1658" s="3"/>
      <c r="E1658" s="3" t="s">
        <v>558</v>
      </c>
      <c r="F1658" s="3"/>
      <c r="G1658" s="3"/>
      <c r="H1658" s="3"/>
      <c r="I1658" s="3"/>
      <c r="J1658" s="3"/>
      <c r="K1658" s="3"/>
      <c r="L1658" s="3" t="s">
        <v>88</v>
      </c>
      <c r="M1658" s="3">
        <v>20</v>
      </c>
      <c r="N1658" s="3" t="s">
        <v>559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87</v>
      </c>
      <c r="C1659" s="3" t="s">
        <v>558</v>
      </c>
      <c r="D1659" s="3"/>
      <c r="E1659" s="3" t="s">
        <v>558</v>
      </c>
      <c r="F1659" s="3"/>
      <c r="G1659" s="3"/>
      <c r="H1659" s="3"/>
      <c r="I1659" s="3"/>
      <c r="J1659" s="3"/>
      <c r="K1659" s="3"/>
      <c r="L1659" s="3" t="s">
        <v>88</v>
      </c>
      <c r="M1659" s="3">
        <v>30</v>
      </c>
      <c r="N1659" s="3" t="s">
        <v>560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87</v>
      </c>
      <c r="C1660" s="3" t="s">
        <v>558</v>
      </c>
      <c r="D1660" s="3"/>
      <c r="E1660" s="3" t="s">
        <v>558</v>
      </c>
      <c r="F1660" s="3"/>
      <c r="G1660" s="3"/>
      <c r="H1660" s="3"/>
      <c r="I1660" s="3"/>
      <c r="J1660" s="3"/>
      <c r="K1660" s="3"/>
      <c r="L1660" s="3" t="s">
        <v>88</v>
      </c>
      <c r="M1660" s="3">
        <v>40</v>
      </c>
      <c r="N1660" s="3" t="s">
        <v>266</v>
      </c>
      <c r="O1660" s="3"/>
      <c r="P1660" s="3"/>
      <c r="Q1660" s="3">
        <v>0.86399999999999999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87</v>
      </c>
      <c r="C1661" s="3" t="s">
        <v>558</v>
      </c>
      <c r="D1661" s="3"/>
      <c r="E1661" s="3" t="s">
        <v>558</v>
      </c>
      <c r="F1661" s="3"/>
      <c r="G1661" s="3"/>
      <c r="H1661" s="3"/>
      <c r="I1661" s="3"/>
      <c r="J1661" s="3"/>
      <c r="K1661" s="3"/>
      <c r="L1661" s="3" t="s">
        <v>88</v>
      </c>
      <c r="M1661" s="3">
        <v>50</v>
      </c>
      <c r="N1661" s="3" t="s">
        <v>107</v>
      </c>
      <c r="O1661" s="3"/>
      <c r="P1661" s="3"/>
      <c r="Q1661" s="3">
        <v>0.501</v>
      </c>
      <c r="R1661" s="3" t="s">
        <v>108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87</v>
      </c>
      <c r="C1662" s="3" t="s">
        <v>558</v>
      </c>
      <c r="D1662" s="3"/>
      <c r="E1662" s="3" t="s">
        <v>558</v>
      </c>
      <c r="F1662" s="3"/>
      <c r="G1662" s="3"/>
      <c r="H1662" s="3"/>
      <c r="I1662" s="3"/>
      <c r="J1662" s="3"/>
      <c r="K1662" s="3"/>
      <c r="L1662" s="3" t="s">
        <v>88</v>
      </c>
      <c r="M1662" s="3">
        <v>60</v>
      </c>
      <c r="N1662" s="3" t="s">
        <v>267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87</v>
      </c>
      <c r="C1663" s="3" t="s">
        <v>558</v>
      </c>
      <c r="D1663" s="3"/>
      <c r="E1663" s="3" t="s">
        <v>558</v>
      </c>
      <c r="F1663" s="3"/>
      <c r="G1663" s="3"/>
      <c r="H1663" s="3"/>
      <c r="I1663" s="3"/>
      <c r="J1663" s="3"/>
      <c r="K1663" s="3"/>
      <c r="L1663" s="3" t="s">
        <v>88</v>
      </c>
      <c r="M1663" s="3">
        <v>70</v>
      </c>
      <c r="N1663" s="3" t="s">
        <v>109</v>
      </c>
      <c r="O1663" s="3"/>
      <c r="P1663" s="3"/>
      <c r="Q1663" s="3">
        <v>16.611999999999998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87</v>
      </c>
      <c r="C1664" s="3" t="s">
        <v>558</v>
      </c>
      <c r="D1664" s="3"/>
      <c r="E1664" s="3" t="s">
        <v>558</v>
      </c>
      <c r="F1664" s="3"/>
      <c r="G1664" s="3"/>
      <c r="H1664" s="3"/>
      <c r="I1664" s="3"/>
      <c r="J1664" s="3"/>
      <c r="K1664" s="3"/>
      <c r="L1664" s="3" t="s">
        <v>88</v>
      </c>
      <c r="M1664" s="3">
        <v>80</v>
      </c>
      <c r="N1664" s="3" t="s">
        <v>16</v>
      </c>
      <c r="O1664" s="3"/>
      <c r="P1664" s="3"/>
      <c r="Q1664" s="3">
        <v>103.099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87</v>
      </c>
      <c r="C1665" s="3" t="s">
        <v>558</v>
      </c>
      <c r="D1665" s="3"/>
      <c r="E1665" s="3" t="s">
        <v>558</v>
      </c>
      <c r="F1665" s="3"/>
      <c r="G1665" s="3"/>
      <c r="H1665" s="3"/>
      <c r="I1665" s="3"/>
      <c r="J1665" s="3"/>
      <c r="K1665" s="3"/>
      <c r="L1665" s="3" t="s">
        <v>88</v>
      </c>
      <c r="M1665" s="3">
        <v>90</v>
      </c>
      <c r="N1665" s="3" t="s">
        <v>265</v>
      </c>
      <c r="O1665" s="3"/>
      <c r="P1665" s="3"/>
      <c r="Q1665" s="3">
        <v>8.4000000000000005E-2</v>
      </c>
      <c r="R1665" s="3" t="s">
        <v>12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87</v>
      </c>
      <c r="C1666" s="3" t="s">
        <v>558</v>
      </c>
      <c r="D1666" s="3"/>
      <c r="E1666" s="3" t="s">
        <v>558</v>
      </c>
      <c r="F1666" s="3"/>
      <c r="G1666" s="3"/>
      <c r="H1666" s="3"/>
      <c r="I1666" s="3"/>
      <c r="J1666" s="3"/>
      <c r="K1666" s="3"/>
      <c r="L1666" s="3" t="s">
        <v>88</v>
      </c>
      <c r="M1666" s="3">
        <v>100</v>
      </c>
      <c r="N1666" s="3" t="s">
        <v>269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87</v>
      </c>
      <c r="C1667" s="3" t="s">
        <v>558</v>
      </c>
      <c r="D1667" s="3"/>
      <c r="E1667" s="3" t="s">
        <v>558</v>
      </c>
      <c r="F1667" s="3"/>
      <c r="G1667" s="3"/>
      <c r="H1667" s="3"/>
      <c r="I1667" s="3"/>
      <c r="J1667" s="3"/>
      <c r="K1667" s="3"/>
      <c r="L1667" s="3" t="s">
        <v>88</v>
      </c>
      <c r="M1667" s="3">
        <v>110</v>
      </c>
      <c r="N1667" s="3" t="s">
        <v>20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87</v>
      </c>
      <c r="C1668" s="3" t="s">
        <v>558</v>
      </c>
      <c r="D1668" s="3"/>
      <c r="E1668" s="3" t="s">
        <v>558</v>
      </c>
      <c r="F1668" s="3"/>
      <c r="G1668" s="3"/>
      <c r="H1668" s="3"/>
      <c r="I1668" s="3"/>
      <c r="J1668" s="3"/>
      <c r="K1668" s="3"/>
      <c r="L1668" s="3" t="s">
        <v>88</v>
      </c>
      <c r="M1668" s="3">
        <v>120</v>
      </c>
      <c r="N1668" s="3" t="s">
        <v>21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87</v>
      </c>
      <c r="C1669" s="3" t="s">
        <v>558</v>
      </c>
      <c r="D1669" s="3"/>
      <c r="E1669" s="3" t="s">
        <v>558</v>
      </c>
      <c r="F1669" s="3"/>
      <c r="G1669" s="3"/>
      <c r="H1669" s="3"/>
      <c r="I1669" s="3"/>
      <c r="J1669" s="3"/>
      <c r="K1669" s="3"/>
      <c r="L1669" s="3" t="s">
        <v>88</v>
      </c>
      <c r="M1669" s="3">
        <v>130</v>
      </c>
      <c r="N1669" s="3" t="s">
        <v>110</v>
      </c>
      <c r="O1669" s="3"/>
      <c r="P1669" s="3"/>
      <c r="Q1669" s="3">
        <v>0.58099999999999996</v>
      </c>
      <c r="R1669" s="3" t="s">
        <v>12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87</v>
      </c>
      <c r="C1670" s="3" t="s">
        <v>558</v>
      </c>
      <c r="D1670" s="3"/>
      <c r="E1670" s="3" t="s">
        <v>558</v>
      </c>
      <c r="F1670" s="3"/>
      <c r="G1670" s="3"/>
      <c r="H1670" s="3"/>
      <c r="I1670" s="3"/>
      <c r="J1670" s="3"/>
      <c r="K1670" s="3"/>
      <c r="L1670" s="3" t="s">
        <v>88</v>
      </c>
      <c r="M1670" s="3">
        <v>140</v>
      </c>
      <c r="N1670" s="3" t="s">
        <v>409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87</v>
      </c>
      <c r="C1671" s="3" t="s">
        <v>561</v>
      </c>
      <c r="D1671" s="3"/>
      <c r="E1671" s="3" t="s">
        <v>561</v>
      </c>
      <c r="F1671" s="3"/>
      <c r="G1671" s="3"/>
      <c r="H1671" s="3"/>
      <c r="I1671" s="3"/>
      <c r="J1671" s="3"/>
      <c r="K1671" s="3"/>
      <c r="L1671" s="3" t="s">
        <v>88</v>
      </c>
      <c r="M1671" s="3">
        <v>10</v>
      </c>
      <c r="N1671" s="3" t="s">
        <v>187</v>
      </c>
      <c r="O1671" s="3"/>
      <c r="P1671" s="3"/>
      <c r="Q1671" s="3">
        <v>1.016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87</v>
      </c>
      <c r="C1672" s="3" t="s">
        <v>561</v>
      </c>
      <c r="D1672" s="3"/>
      <c r="E1672" s="3" t="s">
        <v>561</v>
      </c>
      <c r="F1672" s="3"/>
      <c r="G1672" s="3"/>
      <c r="H1672" s="3"/>
      <c r="I1672" s="3"/>
      <c r="J1672" s="3"/>
      <c r="K1672" s="3"/>
      <c r="L1672" s="3" t="s">
        <v>88</v>
      </c>
      <c r="M1672" s="3">
        <v>20</v>
      </c>
      <c r="N1672" s="3" t="s">
        <v>562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87</v>
      </c>
      <c r="C1673" s="3" t="s">
        <v>561</v>
      </c>
      <c r="D1673" s="3"/>
      <c r="E1673" s="3" t="s">
        <v>561</v>
      </c>
      <c r="F1673" s="3"/>
      <c r="G1673" s="3"/>
      <c r="H1673" s="3"/>
      <c r="I1673" s="3"/>
      <c r="J1673" s="3"/>
      <c r="K1673" s="3"/>
      <c r="L1673" s="3" t="s">
        <v>88</v>
      </c>
      <c r="M1673" s="3">
        <v>30</v>
      </c>
      <c r="N1673" s="3" t="s">
        <v>563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87</v>
      </c>
      <c r="C1674" s="3" t="s">
        <v>561</v>
      </c>
      <c r="D1674" s="3"/>
      <c r="E1674" s="3" t="s">
        <v>561</v>
      </c>
      <c r="F1674" s="3"/>
      <c r="G1674" s="3"/>
      <c r="H1674" s="3"/>
      <c r="I1674" s="3"/>
      <c r="J1674" s="3"/>
      <c r="K1674" s="3"/>
      <c r="L1674" s="3" t="s">
        <v>88</v>
      </c>
      <c r="M1674" s="3">
        <v>40</v>
      </c>
      <c r="N1674" s="3" t="s">
        <v>266</v>
      </c>
      <c r="O1674" s="3"/>
      <c r="P1674" s="3"/>
      <c r="Q1674" s="3">
        <v>1.016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87</v>
      </c>
      <c r="C1675" s="3" t="s">
        <v>561</v>
      </c>
      <c r="D1675" s="3"/>
      <c r="E1675" s="3" t="s">
        <v>561</v>
      </c>
      <c r="F1675" s="3"/>
      <c r="G1675" s="3"/>
      <c r="H1675" s="3"/>
      <c r="I1675" s="3"/>
      <c r="J1675" s="3"/>
      <c r="K1675" s="3"/>
      <c r="L1675" s="3" t="s">
        <v>88</v>
      </c>
      <c r="M1675" s="3">
        <v>50</v>
      </c>
      <c r="N1675" s="3" t="s">
        <v>107</v>
      </c>
      <c r="O1675" s="3"/>
      <c r="P1675" s="3"/>
      <c r="Q1675" s="3">
        <v>0.59199999999999997</v>
      </c>
      <c r="R1675" s="3" t="s">
        <v>108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87</v>
      </c>
      <c r="C1676" s="3" t="s">
        <v>561</v>
      </c>
      <c r="D1676" s="3"/>
      <c r="E1676" s="3" t="s">
        <v>561</v>
      </c>
      <c r="F1676" s="3"/>
      <c r="G1676" s="3"/>
      <c r="H1676" s="3"/>
      <c r="I1676" s="3"/>
      <c r="J1676" s="3"/>
      <c r="K1676" s="3"/>
      <c r="L1676" s="3" t="s">
        <v>88</v>
      </c>
      <c r="M1676" s="3">
        <v>60</v>
      </c>
      <c r="N1676" s="3" t="s">
        <v>267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87</v>
      </c>
      <c r="C1677" s="3" t="s">
        <v>561</v>
      </c>
      <c r="D1677" s="3"/>
      <c r="E1677" s="3" t="s">
        <v>561</v>
      </c>
      <c r="F1677" s="3"/>
      <c r="G1677" s="3"/>
      <c r="H1677" s="3"/>
      <c r="I1677" s="3"/>
      <c r="J1677" s="3"/>
      <c r="K1677" s="3"/>
      <c r="L1677" s="3" t="s">
        <v>88</v>
      </c>
      <c r="M1677" s="3">
        <v>70</v>
      </c>
      <c r="N1677" s="3" t="s">
        <v>109</v>
      </c>
      <c r="O1677" s="3"/>
      <c r="P1677" s="3"/>
      <c r="Q1677" s="3">
        <v>17.526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87</v>
      </c>
      <c r="C1678" s="3" t="s">
        <v>561</v>
      </c>
      <c r="D1678" s="3"/>
      <c r="E1678" s="3" t="s">
        <v>561</v>
      </c>
      <c r="F1678" s="3"/>
      <c r="G1678" s="3"/>
      <c r="H1678" s="3"/>
      <c r="I1678" s="3"/>
      <c r="J1678" s="3"/>
      <c r="K1678" s="3"/>
      <c r="L1678" s="3" t="s">
        <v>88</v>
      </c>
      <c r="M1678" s="3">
        <v>80</v>
      </c>
      <c r="N1678" s="3" t="s">
        <v>16</v>
      </c>
      <c r="O1678" s="3"/>
      <c r="P1678" s="3"/>
      <c r="Q1678" s="3">
        <v>108.72199999999999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87</v>
      </c>
      <c r="C1679" s="3" t="s">
        <v>561</v>
      </c>
      <c r="D1679" s="3"/>
      <c r="E1679" s="3" t="s">
        <v>561</v>
      </c>
      <c r="F1679" s="3"/>
      <c r="G1679" s="3"/>
      <c r="H1679" s="3"/>
      <c r="I1679" s="3"/>
      <c r="J1679" s="3"/>
      <c r="K1679" s="3"/>
      <c r="L1679" s="3" t="s">
        <v>88</v>
      </c>
      <c r="M1679" s="3">
        <v>90</v>
      </c>
      <c r="N1679" s="3" t="s">
        <v>265</v>
      </c>
      <c r="O1679" s="3"/>
      <c r="P1679" s="3"/>
      <c r="Q1679" s="3">
        <v>9.4E-2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87</v>
      </c>
      <c r="C1680" s="3" t="s">
        <v>561</v>
      </c>
      <c r="D1680" s="3"/>
      <c r="E1680" s="3" t="s">
        <v>561</v>
      </c>
      <c r="F1680" s="3"/>
      <c r="G1680" s="3"/>
      <c r="H1680" s="3"/>
      <c r="I1680" s="3"/>
      <c r="J1680" s="3"/>
      <c r="K1680" s="3"/>
      <c r="L1680" s="3" t="s">
        <v>88</v>
      </c>
      <c r="M1680" s="3">
        <v>100</v>
      </c>
      <c r="N1680" s="3" t="s">
        <v>269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87</v>
      </c>
      <c r="C1681" s="3" t="s">
        <v>561</v>
      </c>
      <c r="D1681" s="3"/>
      <c r="E1681" s="3" t="s">
        <v>561</v>
      </c>
      <c r="F1681" s="3"/>
      <c r="G1681" s="3"/>
      <c r="H1681" s="3"/>
      <c r="I1681" s="3"/>
      <c r="J1681" s="3"/>
      <c r="K1681" s="3"/>
      <c r="L1681" s="3" t="s">
        <v>88</v>
      </c>
      <c r="M1681" s="3">
        <v>110</v>
      </c>
      <c r="N1681" s="3" t="s">
        <v>20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87</v>
      </c>
      <c r="C1682" s="3" t="s">
        <v>561</v>
      </c>
      <c r="D1682" s="3"/>
      <c r="E1682" s="3" t="s">
        <v>561</v>
      </c>
      <c r="F1682" s="3"/>
      <c r="G1682" s="3"/>
      <c r="H1682" s="3"/>
      <c r="I1682" s="3"/>
      <c r="J1682" s="3"/>
      <c r="K1682" s="3"/>
      <c r="L1682" s="3" t="s">
        <v>88</v>
      </c>
      <c r="M1682" s="3">
        <v>120</v>
      </c>
      <c r="N1682" s="3" t="s">
        <v>21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87</v>
      </c>
      <c r="C1683" s="3" t="s">
        <v>561</v>
      </c>
      <c r="D1683" s="3"/>
      <c r="E1683" s="3" t="s">
        <v>561</v>
      </c>
      <c r="F1683" s="3"/>
      <c r="G1683" s="3"/>
      <c r="H1683" s="3"/>
      <c r="I1683" s="3"/>
      <c r="J1683" s="3"/>
      <c r="K1683" s="3"/>
      <c r="L1683" s="3" t="s">
        <v>88</v>
      </c>
      <c r="M1683" s="3">
        <v>130</v>
      </c>
      <c r="N1683" s="3" t="s">
        <v>110</v>
      </c>
      <c r="O1683" s="3"/>
      <c r="P1683" s="3"/>
      <c r="Q1683" s="3">
        <v>0.66200000000000003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87</v>
      </c>
      <c r="C1684" s="3" t="s">
        <v>561</v>
      </c>
      <c r="D1684" s="3"/>
      <c r="E1684" s="3" t="s">
        <v>561</v>
      </c>
      <c r="F1684" s="3"/>
      <c r="G1684" s="3"/>
      <c r="H1684" s="3"/>
      <c r="I1684" s="3"/>
      <c r="J1684" s="3"/>
      <c r="K1684" s="3"/>
      <c r="L1684" s="3" t="s">
        <v>88</v>
      </c>
      <c r="M1684" s="3">
        <v>140</v>
      </c>
      <c r="N1684" s="3" t="s">
        <v>413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87</v>
      </c>
      <c r="C1685" s="3" t="s">
        <v>564</v>
      </c>
      <c r="D1685" s="3"/>
      <c r="E1685" s="3" t="s">
        <v>564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187</v>
      </c>
      <c r="O1685" s="3"/>
      <c r="P1685" s="3"/>
      <c r="Q1685" s="3">
        <v>1.1679999999999999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87</v>
      </c>
      <c r="C1686" s="3" t="s">
        <v>564</v>
      </c>
      <c r="D1686" s="3"/>
      <c r="E1686" s="3" t="s">
        <v>564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565</v>
      </c>
      <c r="O1686" s="3"/>
      <c r="P1686" s="3"/>
      <c r="Q1686" s="3">
        <v>1</v>
      </c>
      <c r="R1686" s="3" t="s">
        <v>11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87</v>
      </c>
      <c r="C1687" s="3" t="s">
        <v>564</v>
      </c>
      <c r="D1687" s="3"/>
      <c r="E1687" s="3" t="s">
        <v>564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566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87</v>
      </c>
      <c r="C1688" s="3" t="s">
        <v>564</v>
      </c>
      <c r="D1688" s="3"/>
      <c r="E1688" s="3" t="s">
        <v>564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266</v>
      </c>
      <c r="O1688" s="3"/>
      <c r="P1688" s="3"/>
      <c r="Q1688" s="3">
        <v>1.1679999999999999</v>
      </c>
      <c r="R1688" s="3" t="s">
        <v>14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87</v>
      </c>
      <c r="C1689" s="3" t="s">
        <v>564</v>
      </c>
      <c r="D1689" s="3"/>
      <c r="E1689" s="3" t="s">
        <v>564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107</v>
      </c>
      <c r="O1689" s="3"/>
      <c r="P1689" s="3"/>
      <c r="Q1689" s="3">
        <v>0.68300000000000005</v>
      </c>
      <c r="R1689" s="3" t="s">
        <v>108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87</v>
      </c>
      <c r="C1690" s="3" t="s">
        <v>564</v>
      </c>
      <c r="D1690" s="3"/>
      <c r="E1690" s="3" t="s">
        <v>564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267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87</v>
      </c>
      <c r="C1691" s="3" t="s">
        <v>564</v>
      </c>
      <c r="D1691" s="3"/>
      <c r="E1691" s="3" t="s">
        <v>564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109</v>
      </c>
      <c r="O1691" s="3"/>
      <c r="P1691" s="3"/>
      <c r="Q1691" s="3">
        <v>18.440000000000001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87</v>
      </c>
      <c r="C1692" s="3" t="s">
        <v>564</v>
      </c>
      <c r="D1692" s="3"/>
      <c r="E1692" s="3" t="s">
        <v>564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16</v>
      </c>
      <c r="O1692" s="3"/>
      <c r="P1692" s="3"/>
      <c r="Q1692" s="3">
        <v>114.346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87</v>
      </c>
      <c r="C1693" s="3" t="s">
        <v>564</v>
      </c>
      <c r="D1693" s="3"/>
      <c r="E1693" s="3" t="s">
        <v>564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265</v>
      </c>
      <c r="O1693" s="3"/>
      <c r="P1693" s="3"/>
      <c r="Q1693" s="3">
        <v>0.105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87</v>
      </c>
      <c r="C1694" s="3" t="s">
        <v>564</v>
      </c>
      <c r="D1694" s="3"/>
      <c r="E1694" s="3" t="s">
        <v>564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269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87</v>
      </c>
      <c r="C1695" s="3" t="s">
        <v>564</v>
      </c>
      <c r="D1695" s="3"/>
      <c r="E1695" s="3" t="s">
        <v>564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20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87</v>
      </c>
      <c r="C1696" s="3" t="s">
        <v>564</v>
      </c>
      <c r="D1696" s="3"/>
      <c r="E1696" s="3" t="s">
        <v>564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87</v>
      </c>
      <c r="C1697" s="3" t="s">
        <v>564</v>
      </c>
      <c r="D1697" s="3"/>
      <c r="E1697" s="3" t="s">
        <v>564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110</v>
      </c>
      <c r="O1697" s="3"/>
      <c r="P1697" s="3"/>
      <c r="Q1697" s="3">
        <v>0.74299999999999999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87</v>
      </c>
      <c r="C1698" s="3" t="s">
        <v>564</v>
      </c>
      <c r="D1698" s="3"/>
      <c r="E1698" s="3" t="s">
        <v>564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417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87</v>
      </c>
      <c r="C1699" s="3" t="s">
        <v>567</v>
      </c>
      <c r="D1699" s="3"/>
      <c r="E1699" s="3" t="s">
        <v>567</v>
      </c>
      <c r="F1699" s="3"/>
      <c r="G1699" s="3"/>
      <c r="H1699" s="3"/>
      <c r="I1699" s="3"/>
      <c r="J1699" s="3"/>
      <c r="K1699" s="3"/>
      <c r="L1699" s="3" t="s">
        <v>88</v>
      </c>
      <c r="M1699" s="3">
        <v>10</v>
      </c>
      <c r="N1699" s="3" t="s">
        <v>187</v>
      </c>
      <c r="O1699" s="3"/>
      <c r="P1699" s="3"/>
      <c r="Q1699" s="3">
        <v>1.321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87</v>
      </c>
      <c r="C1700" s="3" t="s">
        <v>567</v>
      </c>
      <c r="D1700" s="3"/>
      <c r="E1700" s="3" t="s">
        <v>567</v>
      </c>
      <c r="F1700" s="3"/>
      <c r="G1700" s="3"/>
      <c r="H1700" s="3"/>
      <c r="I1700" s="3"/>
      <c r="J1700" s="3"/>
      <c r="K1700" s="3"/>
      <c r="L1700" s="3" t="s">
        <v>88</v>
      </c>
      <c r="M1700" s="3">
        <v>20</v>
      </c>
      <c r="N1700" s="3" t="s">
        <v>568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87</v>
      </c>
      <c r="C1701" s="3" t="s">
        <v>567</v>
      </c>
      <c r="D1701" s="3"/>
      <c r="E1701" s="3" t="s">
        <v>567</v>
      </c>
      <c r="F1701" s="3"/>
      <c r="G1701" s="3"/>
      <c r="H1701" s="3"/>
      <c r="I1701" s="3"/>
      <c r="J1701" s="3"/>
      <c r="K1701" s="3"/>
      <c r="L1701" s="3" t="s">
        <v>88</v>
      </c>
      <c r="M1701" s="3">
        <v>30</v>
      </c>
      <c r="N1701" s="3" t="s">
        <v>569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87</v>
      </c>
      <c r="C1702" s="3" t="s">
        <v>567</v>
      </c>
      <c r="D1702" s="3"/>
      <c r="E1702" s="3" t="s">
        <v>567</v>
      </c>
      <c r="F1702" s="3"/>
      <c r="G1702" s="3"/>
      <c r="H1702" s="3"/>
      <c r="I1702" s="3"/>
      <c r="J1702" s="3"/>
      <c r="K1702" s="3"/>
      <c r="L1702" s="3" t="s">
        <v>88</v>
      </c>
      <c r="M1702" s="3">
        <v>40</v>
      </c>
      <c r="N1702" s="3" t="s">
        <v>266</v>
      </c>
      <c r="O1702" s="3"/>
      <c r="P1702" s="3"/>
      <c r="Q1702" s="3">
        <v>1.321</v>
      </c>
      <c r="R1702" s="3" t="s">
        <v>14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87</v>
      </c>
      <c r="C1703" s="3" t="s">
        <v>567</v>
      </c>
      <c r="D1703" s="3"/>
      <c r="E1703" s="3" t="s">
        <v>567</v>
      </c>
      <c r="F1703" s="3"/>
      <c r="G1703" s="3"/>
      <c r="H1703" s="3"/>
      <c r="I1703" s="3"/>
      <c r="J1703" s="3"/>
      <c r="K1703" s="3"/>
      <c r="L1703" s="3" t="s">
        <v>88</v>
      </c>
      <c r="M1703" s="3">
        <v>50</v>
      </c>
      <c r="N1703" s="3" t="s">
        <v>107</v>
      </c>
      <c r="O1703" s="3"/>
      <c r="P1703" s="3"/>
      <c r="Q1703" s="3">
        <v>0.77500000000000002</v>
      </c>
      <c r="R1703" s="3" t="s">
        <v>108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87</v>
      </c>
      <c r="C1704" s="3" t="s">
        <v>567</v>
      </c>
      <c r="D1704" s="3"/>
      <c r="E1704" s="3" t="s">
        <v>567</v>
      </c>
      <c r="F1704" s="3"/>
      <c r="G1704" s="3"/>
      <c r="H1704" s="3"/>
      <c r="I1704" s="3"/>
      <c r="J1704" s="3"/>
      <c r="K1704" s="3"/>
      <c r="L1704" s="3" t="s">
        <v>88</v>
      </c>
      <c r="M1704" s="3">
        <v>60</v>
      </c>
      <c r="N1704" s="3" t="s">
        <v>267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87</v>
      </c>
      <c r="C1705" s="3" t="s">
        <v>567</v>
      </c>
      <c r="D1705" s="3"/>
      <c r="E1705" s="3" t="s">
        <v>567</v>
      </c>
      <c r="F1705" s="3"/>
      <c r="G1705" s="3"/>
      <c r="H1705" s="3"/>
      <c r="I1705" s="3"/>
      <c r="J1705" s="3"/>
      <c r="K1705" s="3"/>
      <c r="L1705" s="3" t="s">
        <v>88</v>
      </c>
      <c r="M1705" s="3">
        <v>70</v>
      </c>
      <c r="N1705" s="3" t="s">
        <v>109</v>
      </c>
      <c r="O1705" s="3"/>
      <c r="P1705" s="3"/>
      <c r="Q1705" s="3">
        <v>19.355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87</v>
      </c>
      <c r="C1706" s="3" t="s">
        <v>567</v>
      </c>
      <c r="D1706" s="3"/>
      <c r="E1706" s="3" t="s">
        <v>567</v>
      </c>
      <c r="F1706" s="3"/>
      <c r="G1706" s="3"/>
      <c r="H1706" s="3"/>
      <c r="I1706" s="3"/>
      <c r="J1706" s="3"/>
      <c r="K1706" s="3"/>
      <c r="L1706" s="3" t="s">
        <v>88</v>
      </c>
      <c r="M1706" s="3">
        <v>80</v>
      </c>
      <c r="N1706" s="3" t="s">
        <v>16</v>
      </c>
      <c r="O1706" s="3"/>
      <c r="P1706" s="3"/>
      <c r="Q1706" s="3">
        <v>119.96899999999999</v>
      </c>
      <c r="R1706" s="3" t="s">
        <v>14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87</v>
      </c>
      <c r="C1707" s="3" t="s">
        <v>567</v>
      </c>
      <c r="D1707" s="3"/>
      <c r="E1707" s="3" t="s">
        <v>567</v>
      </c>
      <c r="F1707" s="3"/>
      <c r="G1707" s="3"/>
      <c r="H1707" s="3"/>
      <c r="I1707" s="3"/>
      <c r="J1707" s="3"/>
      <c r="K1707" s="3"/>
      <c r="L1707" s="3" t="s">
        <v>88</v>
      </c>
      <c r="M1707" s="3">
        <v>90</v>
      </c>
      <c r="N1707" s="3" t="s">
        <v>265</v>
      </c>
      <c r="O1707" s="3"/>
      <c r="P1707" s="3"/>
      <c r="Q1707" s="3">
        <v>0.11600000000000001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87</v>
      </c>
      <c r="C1708" s="3" t="s">
        <v>567</v>
      </c>
      <c r="D1708" s="3"/>
      <c r="E1708" s="3" t="s">
        <v>567</v>
      </c>
      <c r="F1708" s="3"/>
      <c r="G1708" s="3"/>
      <c r="H1708" s="3"/>
      <c r="I1708" s="3"/>
      <c r="J1708" s="3"/>
      <c r="K1708" s="3"/>
      <c r="L1708" s="3" t="s">
        <v>88</v>
      </c>
      <c r="M1708" s="3">
        <v>100</v>
      </c>
      <c r="N1708" s="3" t="s">
        <v>269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87</v>
      </c>
      <c r="C1709" s="3" t="s">
        <v>567</v>
      </c>
      <c r="D1709" s="3"/>
      <c r="E1709" s="3" t="s">
        <v>567</v>
      </c>
      <c r="F1709" s="3"/>
      <c r="G1709" s="3"/>
      <c r="H1709" s="3"/>
      <c r="I1709" s="3"/>
      <c r="J1709" s="3"/>
      <c r="K1709" s="3"/>
      <c r="L1709" s="3" t="s">
        <v>88</v>
      </c>
      <c r="M1709" s="3">
        <v>110</v>
      </c>
      <c r="N1709" s="3" t="s">
        <v>20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87</v>
      </c>
      <c r="C1710" s="3" t="s">
        <v>567</v>
      </c>
      <c r="D1710" s="3"/>
      <c r="E1710" s="3" t="s">
        <v>567</v>
      </c>
      <c r="F1710" s="3"/>
      <c r="G1710" s="3"/>
      <c r="H1710" s="3"/>
      <c r="I1710" s="3"/>
      <c r="J1710" s="3"/>
      <c r="K1710" s="3"/>
      <c r="L1710" s="3" t="s">
        <v>88</v>
      </c>
      <c r="M1710" s="3">
        <v>120</v>
      </c>
      <c r="N1710" s="3" t="s">
        <v>21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87</v>
      </c>
      <c r="C1711" s="3" t="s">
        <v>567</v>
      </c>
      <c r="D1711" s="3"/>
      <c r="E1711" s="3" t="s">
        <v>567</v>
      </c>
      <c r="F1711" s="3"/>
      <c r="G1711" s="3"/>
      <c r="H1711" s="3"/>
      <c r="I1711" s="3"/>
      <c r="J1711" s="3"/>
      <c r="K1711" s="3"/>
      <c r="L1711" s="3" t="s">
        <v>88</v>
      </c>
      <c r="M1711" s="3">
        <v>130</v>
      </c>
      <c r="N1711" s="3" t="s">
        <v>110</v>
      </c>
      <c r="O1711" s="3"/>
      <c r="P1711" s="3"/>
      <c r="Q1711" s="3">
        <v>0.82399999999999995</v>
      </c>
      <c r="R1711" s="3" t="s">
        <v>12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87</v>
      </c>
      <c r="C1712" s="3" t="s">
        <v>567</v>
      </c>
      <c r="D1712" s="3"/>
      <c r="E1712" s="3" t="s">
        <v>567</v>
      </c>
      <c r="F1712" s="3"/>
      <c r="G1712" s="3"/>
      <c r="H1712" s="3"/>
      <c r="I1712" s="3"/>
      <c r="J1712" s="3"/>
      <c r="K1712" s="3"/>
      <c r="L1712" s="3" t="s">
        <v>88</v>
      </c>
      <c r="M1712" s="3">
        <v>140</v>
      </c>
      <c r="N1712" s="3" t="s">
        <v>421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87</v>
      </c>
      <c r="C1713" s="3" t="s">
        <v>570</v>
      </c>
      <c r="D1713" s="3"/>
      <c r="E1713" s="3" t="s">
        <v>570</v>
      </c>
      <c r="F1713" s="3"/>
      <c r="G1713" s="3"/>
      <c r="H1713" s="3"/>
      <c r="I1713" s="3"/>
      <c r="J1713" s="3"/>
      <c r="K1713" s="3"/>
      <c r="L1713" s="3" t="s">
        <v>88</v>
      </c>
      <c r="M1713" s="3">
        <v>10</v>
      </c>
      <c r="N1713" s="3" t="s">
        <v>187</v>
      </c>
      <c r="O1713" s="3"/>
      <c r="P1713" s="3"/>
      <c r="Q1713" s="3">
        <v>1.397</v>
      </c>
      <c r="R1713" s="3" t="s">
        <v>14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87</v>
      </c>
      <c r="C1714" s="3" t="s">
        <v>570</v>
      </c>
      <c r="D1714" s="3"/>
      <c r="E1714" s="3" t="s">
        <v>570</v>
      </c>
      <c r="F1714" s="3"/>
      <c r="G1714" s="3"/>
      <c r="H1714" s="3"/>
      <c r="I1714" s="3"/>
      <c r="J1714" s="3"/>
      <c r="K1714" s="3"/>
      <c r="L1714" s="3" t="s">
        <v>88</v>
      </c>
      <c r="M1714" s="3">
        <v>20</v>
      </c>
      <c r="N1714" s="3" t="s">
        <v>571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87</v>
      </c>
      <c r="C1715" s="3" t="s">
        <v>570</v>
      </c>
      <c r="D1715" s="3"/>
      <c r="E1715" s="3" t="s">
        <v>570</v>
      </c>
      <c r="F1715" s="3"/>
      <c r="G1715" s="3"/>
      <c r="H1715" s="3"/>
      <c r="I1715" s="3"/>
      <c r="J1715" s="3"/>
      <c r="K1715" s="3"/>
      <c r="L1715" s="3" t="s">
        <v>88</v>
      </c>
      <c r="M1715" s="3">
        <v>30</v>
      </c>
      <c r="N1715" s="3" t="s">
        <v>572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87</v>
      </c>
      <c r="C1716" s="3" t="s">
        <v>570</v>
      </c>
      <c r="D1716" s="3"/>
      <c r="E1716" s="3" t="s">
        <v>570</v>
      </c>
      <c r="F1716" s="3"/>
      <c r="G1716" s="3"/>
      <c r="H1716" s="3"/>
      <c r="I1716" s="3"/>
      <c r="J1716" s="3"/>
      <c r="K1716" s="3"/>
      <c r="L1716" s="3" t="s">
        <v>88</v>
      </c>
      <c r="M1716" s="3">
        <v>40</v>
      </c>
      <c r="N1716" s="3" t="s">
        <v>266</v>
      </c>
      <c r="O1716" s="3"/>
      <c r="P1716" s="3"/>
      <c r="Q1716" s="3">
        <v>1.397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87</v>
      </c>
      <c r="C1717" s="3" t="s">
        <v>570</v>
      </c>
      <c r="D1717" s="3"/>
      <c r="E1717" s="3" t="s">
        <v>570</v>
      </c>
      <c r="F1717" s="3"/>
      <c r="G1717" s="3"/>
      <c r="H1717" s="3"/>
      <c r="I1717" s="3"/>
      <c r="J1717" s="3"/>
      <c r="K1717" s="3"/>
      <c r="L1717" s="3" t="s">
        <v>88</v>
      </c>
      <c r="M1717" s="3">
        <v>50</v>
      </c>
      <c r="N1717" s="3" t="s">
        <v>107</v>
      </c>
      <c r="O1717" s="3"/>
      <c r="P1717" s="3"/>
      <c r="Q1717" s="3">
        <v>0.82</v>
      </c>
      <c r="R1717" s="3" t="s">
        <v>108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87</v>
      </c>
      <c r="C1718" s="3" t="s">
        <v>570</v>
      </c>
      <c r="D1718" s="3"/>
      <c r="E1718" s="3" t="s">
        <v>570</v>
      </c>
      <c r="F1718" s="3"/>
      <c r="G1718" s="3"/>
      <c r="H1718" s="3"/>
      <c r="I1718" s="3"/>
      <c r="J1718" s="3"/>
      <c r="K1718" s="3"/>
      <c r="L1718" s="3" t="s">
        <v>88</v>
      </c>
      <c r="M1718" s="3">
        <v>60</v>
      </c>
      <c r="N1718" s="3" t="s">
        <v>267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87</v>
      </c>
      <c r="C1719" s="3" t="s">
        <v>570</v>
      </c>
      <c r="D1719" s="3"/>
      <c r="E1719" s="3" t="s">
        <v>570</v>
      </c>
      <c r="F1719" s="3"/>
      <c r="G1719" s="3"/>
      <c r="H1719" s="3"/>
      <c r="I1719" s="3"/>
      <c r="J1719" s="3"/>
      <c r="K1719" s="3"/>
      <c r="L1719" s="3" t="s">
        <v>88</v>
      </c>
      <c r="M1719" s="3">
        <v>70</v>
      </c>
      <c r="N1719" s="3" t="s">
        <v>109</v>
      </c>
      <c r="O1719" s="3"/>
      <c r="P1719" s="3"/>
      <c r="Q1719" s="3">
        <v>19.812000000000001</v>
      </c>
      <c r="R1719" s="3" t="s">
        <v>14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87</v>
      </c>
      <c r="C1720" s="3" t="s">
        <v>570</v>
      </c>
      <c r="D1720" s="3"/>
      <c r="E1720" s="3" t="s">
        <v>570</v>
      </c>
      <c r="F1720" s="3"/>
      <c r="G1720" s="3"/>
      <c r="H1720" s="3"/>
      <c r="I1720" s="3"/>
      <c r="J1720" s="3"/>
      <c r="K1720" s="3"/>
      <c r="L1720" s="3" t="s">
        <v>88</v>
      </c>
      <c r="M1720" s="3">
        <v>80</v>
      </c>
      <c r="N1720" s="3" t="s">
        <v>16</v>
      </c>
      <c r="O1720" s="3"/>
      <c r="P1720" s="3"/>
      <c r="Q1720" s="3">
        <v>122.78100000000001</v>
      </c>
      <c r="R1720" s="3" t="s">
        <v>14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87</v>
      </c>
      <c r="C1721" s="3" t="s">
        <v>570</v>
      </c>
      <c r="D1721" s="3"/>
      <c r="E1721" s="3" t="s">
        <v>570</v>
      </c>
      <c r="F1721" s="3"/>
      <c r="G1721" s="3"/>
      <c r="H1721" s="3"/>
      <c r="I1721" s="3"/>
      <c r="J1721" s="3"/>
      <c r="K1721" s="3"/>
      <c r="L1721" s="3" t="s">
        <v>88</v>
      </c>
      <c r="M1721" s="3">
        <v>90</v>
      </c>
      <c r="N1721" s="3" t="s">
        <v>265</v>
      </c>
      <c r="O1721" s="3"/>
      <c r="P1721" s="3"/>
      <c r="Q1721" s="3">
        <v>0.121</v>
      </c>
      <c r="R1721" s="3" t="s">
        <v>12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87</v>
      </c>
      <c r="C1722" s="3" t="s">
        <v>570</v>
      </c>
      <c r="D1722" s="3"/>
      <c r="E1722" s="3" t="s">
        <v>570</v>
      </c>
      <c r="F1722" s="3"/>
      <c r="G1722" s="3"/>
      <c r="H1722" s="3"/>
      <c r="I1722" s="3"/>
      <c r="J1722" s="3"/>
      <c r="K1722" s="3"/>
      <c r="L1722" s="3" t="s">
        <v>88</v>
      </c>
      <c r="M1722" s="3">
        <v>100</v>
      </c>
      <c r="N1722" s="3" t="s">
        <v>269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87</v>
      </c>
      <c r="C1723" s="3" t="s">
        <v>570</v>
      </c>
      <c r="D1723" s="3"/>
      <c r="E1723" s="3" t="s">
        <v>570</v>
      </c>
      <c r="F1723" s="3"/>
      <c r="G1723" s="3"/>
      <c r="H1723" s="3"/>
      <c r="I1723" s="3"/>
      <c r="J1723" s="3"/>
      <c r="K1723" s="3"/>
      <c r="L1723" s="3" t="s">
        <v>88</v>
      </c>
      <c r="M1723" s="3">
        <v>110</v>
      </c>
      <c r="N1723" s="3" t="s">
        <v>20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87</v>
      </c>
      <c r="C1724" s="3" t="s">
        <v>570</v>
      </c>
      <c r="D1724" s="3"/>
      <c r="E1724" s="3" t="s">
        <v>570</v>
      </c>
      <c r="F1724" s="3"/>
      <c r="G1724" s="3"/>
      <c r="H1724" s="3"/>
      <c r="I1724" s="3"/>
      <c r="J1724" s="3"/>
      <c r="K1724" s="3"/>
      <c r="L1724" s="3" t="s">
        <v>88</v>
      </c>
      <c r="M1724" s="3">
        <v>120</v>
      </c>
      <c r="N1724" s="3" t="s">
        <v>21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87</v>
      </c>
      <c r="C1725" s="3" t="s">
        <v>570</v>
      </c>
      <c r="D1725" s="3"/>
      <c r="E1725" s="3" t="s">
        <v>570</v>
      </c>
      <c r="F1725" s="3"/>
      <c r="G1725" s="3"/>
      <c r="H1725" s="3"/>
      <c r="I1725" s="3"/>
      <c r="J1725" s="3"/>
      <c r="K1725" s="3"/>
      <c r="L1725" s="3" t="s">
        <v>88</v>
      </c>
      <c r="M1725" s="3">
        <v>130</v>
      </c>
      <c r="N1725" s="3" t="s">
        <v>110</v>
      </c>
      <c r="O1725" s="3"/>
      <c r="P1725" s="3"/>
      <c r="Q1725" s="3">
        <v>0.86499999999999999</v>
      </c>
      <c r="R1725" s="3" t="s">
        <v>12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87</v>
      </c>
      <c r="C1726" s="3" t="s">
        <v>570</v>
      </c>
      <c r="D1726" s="3"/>
      <c r="E1726" s="3" t="s">
        <v>570</v>
      </c>
      <c r="F1726" s="3"/>
      <c r="G1726" s="3"/>
      <c r="H1726" s="3"/>
      <c r="I1726" s="3"/>
      <c r="J1726" s="3"/>
      <c r="K1726" s="3"/>
      <c r="L1726" s="3" t="s">
        <v>88</v>
      </c>
      <c r="M1726" s="3">
        <v>140</v>
      </c>
      <c r="N1726" s="3" t="s">
        <v>425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87</v>
      </c>
      <c r="C1727" s="3" t="s">
        <v>573</v>
      </c>
      <c r="D1727" s="3"/>
      <c r="E1727" s="3" t="s">
        <v>573</v>
      </c>
      <c r="F1727" s="3"/>
      <c r="G1727" s="3"/>
      <c r="H1727" s="3"/>
      <c r="I1727" s="3"/>
      <c r="J1727" s="3"/>
      <c r="K1727" s="3"/>
      <c r="L1727" s="3" t="s">
        <v>88</v>
      </c>
      <c r="M1727" s="3">
        <v>10</v>
      </c>
      <c r="N1727" s="3" t="s">
        <v>187</v>
      </c>
      <c r="O1727" s="3"/>
      <c r="P1727" s="3"/>
      <c r="Q1727" s="3">
        <v>1.4730000000000001</v>
      </c>
      <c r="R1727" s="3" t="s">
        <v>14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87</v>
      </c>
      <c r="C1728" s="3" t="s">
        <v>573</v>
      </c>
      <c r="D1728" s="3"/>
      <c r="E1728" s="3" t="s">
        <v>573</v>
      </c>
      <c r="F1728" s="3"/>
      <c r="G1728" s="3"/>
      <c r="H1728" s="3"/>
      <c r="I1728" s="3"/>
      <c r="J1728" s="3"/>
      <c r="K1728" s="3"/>
      <c r="L1728" s="3" t="s">
        <v>88</v>
      </c>
      <c r="M1728" s="3">
        <v>20</v>
      </c>
      <c r="N1728" s="3" t="s">
        <v>574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87</v>
      </c>
      <c r="C1729" s="3" t="s">
        <v>573</v>
      </c>
      <c r="D1729" s="3"/>
      <c r="E1729" s="3" t="s">
        <v>573</v>
      </c>
      <c r="F1729" s="3"/>
      <c r="G1729" s="3"/>
      <c r="H1729" s="3"/>
      <c r="I1729" s="3"/>
      <c r="J1729" s="3"/>
      <c r="K1729" s="3"/>
      <c r="L1729" s="3" t="s">
        <v>88</v>
      </c>
      <c r="M1729" s="3">
        <v>30</v>
      </c>
      <c r="N1729" s="3" t="s">
        <v>575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87</v>
      </c>
      <c r="C1730" s="3" t="s">
        <v>573</v>
      </c>
      <c r="D1730" s="3"/>
      <c r="E1730" s="3" t="s">
        <v>573</v>
      </c>
      <c r="F1730" s="3"/>
      <c r="G1730" s="3"/>
      <c r="H1730" s="3"/>
      <c r="I1730" s="3"/>
      <c r="J1730" s="3"/>
      <c r="K1730" s="3"/>
      <c r="L1730" s="3" t="s">
        <v>88</v>
      </c>
      <c r="M1730" s="3">
        <v>40</v>
      </c>
      <c r="N1730" s="3" t="s">
        <v>266</v>
      </c>
      <c r="O1730" s="3"/>
      <c r="P1730" s="3"/>
      <c r="Q1730" s="3">
        <v>1.4730000000000001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87</v>
      </c>
      <c r="C1731" s="3" t="s">
        <v>573</v>
      </c>
      <c r="D1731" s="3"/>
      <c r="E1731" s="3" t="s">
        <v>573</v>
      </c>
      <c r="F1731" s="3"/>
      <c r="G1731" s="3"/>
      <c r="H1731" s="3"/>
      <c r="I1731" s="3"/>
      <c r="J1731" s="3"/>
      <c r="K1731" s="3"/>
      <c r="L1731" s="3" t="s">
        <v>88</v>
      </c>
      <c r="M1731" s="3">
        <v>50</v>
      </c>
      <c r="N1731" s="3" t="s">
        <v>107</v>
      </c>
      <c r="O1731" s="3"/>
      <c r="P1731" s="3"/>
      <c r="Q1731" s="3">
        <v>0.86599999999999999</v>
      </c>
      <c r="R1731" s="3" t="s">
        <v>108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87</v>
      </c>
      <c r="C1732" s="3" t="s">
        <v>573</v>
      </c>
      <c r="D1732" s="3"/>
      <c r="E1732" s="3" t="s">
        <v>573</v>
      </c>
      <c r="F1732" s="3"/>
      <c r="G1732" s="3"/>
      <c r="H1732" s="3"/>
      <c r="I1732" s="3"/>
      <c r="J1732" s="3"/>
      <c r="K1732" s="3"/>
      <c r="L1732" s="3" t="s">
        <v>88</v>
      </c>
      <c r="M1732" s="3">
        <v>60</v>
      </c>
      <c r="N1732" s="3" t="s">
        <v>267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87</v>
      </c>
      <c r="C1733" s="3" t="s">
        <v>573</v>
      </c>
      <c r="D1733" s="3"/>
      <c r="E1733" s="3" t="s">
        <v>573</v>
      </c>
      <c r="F1733" s="3"/>
      <c r="G1733" s="3"/>
      <c r="H1733" s="3"/>
      <c r="I1733" s="3"/>
      <c r="J1733" s="3"/>
      <c r="K1733" s="3"/>
      <c r="L1733" s="3" t="s">
        <v>88</v>
      </c>
      <c r="M1733" s="3">
        <v>70</v>
      </c>
      <c r="N1733" s="3" t="s">
        <v>109</v>
      </c>
      <c r="O1733" s="3"/>
      <c r="P1733" s="3"/>
      <c r="Q1733" s="3">
        <v>20.268999999999998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87</v>
      </c>
      <c r="C1734" s="3" t="s">
        <v>573</v>
      </c>
      <c r="D1734" s="3"/>
      <c r="E1734" s="3" t="s">
        <v>573</v>
      </c>
      <c r="F1734" s="3"/>
      <c r="G1734" s="3"/>
      <c r="H1734" s="3"/>
      <c r="I1734" s="3"/>
      <c r="J1734" s="3"/>
      <c r="K1734" s="3"/>
      <c r="L1734" s="3" t="s">
        <v>88</v>
      </c>
      <c r="M1734" s="3">
        <v>80</v>
      </c>
      <c r="N1734" s="3" t="s">
        <v>16</v>
      </c>
      <c r="O1734" s="3"/>
      <c r="P1734" s="3"/>
      <c r="Q1734" s="3">
        <v>125.593</v>
      </c>
      <c r="R1734" s="3" t="s">
        <v>14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87</v>
      </c>
      <c r="C1735" s="3" t="s">
        <v>573</v>
      </c>
      <c r="D1735" s="3"/>
      <c r="E1735" s="3" t="s">
        <v>573</v>
      </c>
      <c r="F1735" s="3"/>
      <c r="G1735" s="3"/>
      <c r="H1735" s="3"/>
      <c r="I1735" s="3"/>
      <c r="J1735" s="3"/>
      <c r="K1735" s="3"/>
      <c r="L1735" s="3" t="s">
        <v>88</v>
      </c>
      <c r="M1735" s="3">
        <v>90</v>
      </c>
      <c r="N1735" s="3" t="s">
        <v>265</v>
      </c>
      <c r="O1735" s="3"/>
      <c r="P1735" s="3"/>
      <c r="Q1735" s="3">
        <v>0.126</v>
      </c>
      <c r="R1735" s="3" t="s">
        <v>12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87</v>
      </c>
      <c r="C1736" s="3" t="s">
        <v>573</v>
      </c>
      <c r="D1736" s="3"/>
      <c r="E1736" s="3" t="s">
        <v>573</v>
      </c>
      <c r="F1736" s="3"/>
      <c r="G1736" s="3"/>
      <c r="H1736" s="3"/>
      <c r="I1736" s="3"/>
      <c r="J1736" s="3"/>
      <c r="K1736" s="3"/>
      <c r="L1736" s="3" t="s">
        <v>88</v>
      </c>
      <c r="M1736" s="3">
        <v>100</v>
      </c>
      <c r="N1736" s="3" t="s">
        <v>269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87</v>
      </c>
      <c r="C1737" s="3" t="s">
        <v>573</v>
      </c>
      <c r="D1737" s="3"/>
      <c r="E1737" s="3" t="s">
        <v>573</v>
      </c>
      <c r="F1737" s="3"/>
      <c r="G1737" s="3"/>
      <c r="H1737" s="3"/>
      <c r="I1737" s="3"/>
      <c r="J1737" s="3"/>
      <c r="K1737" s="3"/>
      <c r="L1737" s="3" t="s">
        <v>88</v>
      </c>
      <c r="M1737" s="3">
        <v>110</v>
      </c>
      <c r="N1737" s="3" t="s">
        <v>20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87</v>
      </c>
      <c r="C1738" s="3" t="s">
        <v>573</v>
      </c>
      <c r="D1738" s="3"/>
      <c r="E1738" s="3" t="s">
        <v>573</v>
      </c>
      <c r="F1738" s="3"/>
      <c r="G1738" s="3"/>
      <c r="H1738" s="3"/>
      <c r="I1738" s="3"/>
      <c r="J1738" s="3"/>
      <c r="K1738" s="3"/>
      <c r="L1738" s="3" t="s">
        <v>88</v>
      </c>
      <c r="M1738" s="3">
        <v>120</v>
      </c>
      <c r="N1738" s="3" t="s">
        <v>21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87</v>
      </c>
      <c r="C1739" s="3" t="s">
        <v>573</v>
      </c>
      <c r="D1739" s="3"/>
      <c r="E1739" s="3" t="s">
        <v>573</v>
      </c>
      <c r="F1739" s="3"/>
      <c r="G1739" s="3"/>
      <c r="H1739" s="3"/>
      <c r="I1739" s="3"/>
      <c r="J1739" s="3"/>
      <c r="K1739" s="3"/>
      <c r="L1739" s="3" t="s">
        <v>88</v>
      </c>
      <c r="M1739" s="3">
        <v>130</v>
      </c>
      <c r="N1739" s="3" t="s">
        <v>110</v>
      </c>
      <c r="O1739" s="3"/>
      <c r="P1739" s="3"/>
      <c r="Q1739" s="3">
        <v>0.90500000000000003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87</v>
      </c>
      <c r="C1740" s="3" t="s">
        <v>573</v>
      </c>
      <c r="D1740" s="3"/>
      <c r="E1740" s="3" t="s">
        <v>573</v>
      </c>
      <c r="F1740" s="3"/>
      <c r="G1740" s="3"/>
      <c r="H1740" s="3"/>
      <c r="I1740" s="3"/>
      <c r="J1740" s="3"/>
      <c r="K1740" s="3"/>
      <c r="L1740" s="3" t="s">
        <v>88</v>
      </c>
      <c r="M1740" s="3">
        <v>140</v>
      </c>
      <c r="N1740" s="3" t="s">
        <v>429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87</v>
      </c>
      <c r="C1741" s="3" t="s">
        <v>576</v>
      </c>
      <c r="D1741" s="3"/>
      <c r="E1741" s="3" t="s">
        <v>576</v>
      </c>
      <c r="F1741" s="3"/>
      <c r="G1741" s="3"/>
      <c r="H1741" s="3"/>
      <c r="I1741" s="3"/>
      <c r="J1741" s="3"/>
      <c r="K1741" s="3"/>
      <c r="L1741" s="3" t="s">
        <v>88</v>
      </c>
      <c r="M1741" s="3">
        <v>10</v>
      </c>
      <c r="N1741" s="3" t="s">
        <v>187</v>
      </c>
      <c r="O1741" s="3"/>
      <c r="P1741" s="3"/>
      <c r="Q1741" s="3">
        <v>1.6259999999999999</v>
      </c>
      <c r="R1741" s="3" t="s">
        <v>14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87</v>
      </c>
      <c r="C1742" s="3" t="s">
        <v>576</v>
      </c>
      <c r="D1742" s="3"/>
      <c r="E1742" s="3" t="s">
        <v>576</v>
      </c>
      <c r="F1742" s="3"/>
      <c r="G1742" s="3"/>
      <c r="H1742" s="3"/>
      <c r="I1742" s="3"/>
      <c r="J1742" s="3"/>
      <c r="K1742" s="3"/>
      <c r="L1742" s="3" t="s">
        <v>88</v>
      </c>
      <c r="M1742" s="3">
        <v>20</v>
      </c>
      <c r="N1742" s="3" t="s">
        <v>577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87</v>
      </c>
      <c r="C1743" s="3" t="s">
        <v>576</v>
      </c>
      <c r="D1743" s="3"/>
      <c r="E1743" s="3" t="s">
        <v>576</v>
      </c>
      <c r="F1743" s="3"/>
      <c r="G1743" s="3"/>
      <c r="H1743" s="3"/>
      <c r="I1743" s="3"/>
      <c r="J1743" s="3"/>
      <c r="K1743" s="3"/>
      <c r="L1743" s="3" t="s">
        <v>88</v>
      </c>
      <c r="M1743" s="3">
        <v>30</v>
      </c>
      <c r="N1743" s="3" t="s">
        <v>578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87</v>
      </c>
      <c r="C1744" s="3" t="s">
        <v>576</v>
      </c>
      <c r="D1744" s="3"/>
      <c r="E1744" s="3" t="s">
        <v>576</v>
      </c>
      <c r="F1744" s="3"/>
      <c r="G1744" s="3"/>
      <c r="H1744" s="3"/>
      <c r="I1744" s="3"/>
      <c r="J1744" s="3"/>
      <c r="K1744" s="3"/>
      <c r="L1744" s="3" t="s">
        <v>88</v>
      </c>
      <c r="M1744" s="3">
        <v>40</v>
      </c>
      <c r="N1744" s="3" t="s">
        <v>266</v>
      </c>
      <c r="O1744" s="3"/>
      <c r="P1744" s="3"/>
      <c r="Q1744" s="3">
        <v>1.6259999999999999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87</v>
      </c>
      <c r="C1745" s="3" t="s">
        <v>576</v>
      </c>
      <c r="D1745" s="3"/>
      <c r="E1745" s="3" t="s">
        <v>576</v>
      </c>
      <c r="F1745" s="3"/>
      <c r="G1745" s="3"/>
      <c r="H1745" s="3"/>
      <c r="I1745" s="3"/>
      <c r="J1745" s="3"/>
      <c r="K1745" s="3"/>
      <c r="L1745" s="3" t="s">
        <v>88</v>
      </c>
      <c r="M1745" s="3">
        <v>50</v>
      </c>
      <c r="N1745" s="3" t="s">
        <v>107</v>
      </c>
      <c r="O1745" s="3"/>
      <c r="P1745" s="3"/>
      <c r="Q1745" s="3">
        <v>0.95699999999999996</v>
      </c>
      <c r="R1745" s="3" t="s">
        <v>108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87</v>
      </c>
      <c r="C1746" s="3" t="s">
        <v>576</v>
      </c>
      <c r="D1746" s="3"/>
      <c r="E1746" s="3" t="s">
        <v>576</v>
      </c>
      <c r="F1746" s="3"/>
      <c r="G1746" s="3"/>
      <c r="H1746" s="3"/>
      <c r="I1746" s="3"/>
      <c r="J1746" s="3"/>
      <c r="K1746" s="3"/>
      <c r="L1746" s="3" t="s">
        <v>88</v>
      </c>
      <c r="M1746" s="3">
        <v>60</v>
      </c>
      <c r="N1746" s="3" t="s">
        <v>267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87</v>
      </c>
      <c r="C1747" s="3" t="s">
        <v>576</v>
      </c>
      <c r="D1747" s="3"/>
      <c r="E1747" s="3" t="s">
        <v>576</v>
      </c>
      <c r="F1747" s="3"/>
      <c r="G1747" s="3"/>
      <c r="H1747" s="3"/>
      <c r="I1747" s="3"/>
      <c r="J1747" s="3"/>
      <c r="K1747" s="3"/>
      <c r="L1747" s="3" t="s">
        <v>88</v>
      </c>
      <c r="M1747" s="3">
        <v>70</v>
      </c>
      <c r="N1747" s="3" t="s">
        <v>109</v>
      </c>
      <c r="O1747" s="3"/>
      <c r="P1747" s="3"/>
      <c r="Q1747" s="3">
        <v>21.184000000000001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87</v>
      </c>
      <c r="C1748" s="3" t="s">
        <v>576</v>
      </c>
      <c r="D1748" s="3"/>
      <c r="E1748" s="3" t="s">
        <v>576</v>
      </c>
      <c r="F1748" s="3"/>
      <c r="G1748" s="3"/>
      <c r="H1748" s="3"/>
      <c r="I1748" s="3"/>
      <c r="J1748" s="3"/>
      <c r="K1748" s="3"/>
      <c r="L1748" s="3" t="s">
        <v>88</v>
      </c>
      <c r="M1748" s="3">
        <v>80</v>
      </c>
      <c r="N1748" s="3" t="s">
        <v>16</v>
      </c>
      <c r="O1748" s="3"/>
      <c r="P1748" s="3"/>
      <c r="Q1748" s="3">
        <v>131.21600000000001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87</v>
      </c>
      <c r="C1749" s="3" t="s">
        <v>576</v>
      </c>
      <c r="D1749" s="3"/>
      <c r="E1749" s="3" t="s">
        <v>576</v>
      </c>
      <c r="F1749" s="3"/>
      <c r="G1749" s="3"/>
      <c r="H1749" s="3"/>
      <c r="I1749" s="3"/>
      <c r="J1749" s="3"/>
      <c r="K1749" s="3"/>
      <c r="L1749" s="3" t="s">
        <v>88</v>
      </c>
      <c r="M1749" s="3">
        <v>90</v>
      </c>
      <c r="N1749" s="3" t="s">
        <v>265</v>
      </c>
      <c r="O1749" s="3"/>
      <c r="P1749" s="3"/>
      <c r="Q1749" s="3">
        <v>0.13700000000000001</v>
      </c>
      <c r="R1749" s="3" t="s">
        <v>12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87</v>
      </c>
      <c r="C1750" s="3" t="s">
        <v>576</v>
      </c>
      <c r="D1750" s="3"/>
      <c r="E1750" s="3" t="s">
        <v>576</v>
      </c>
      <c r="F1750" s="3"/>
      <c r="G1750" s="3"/>
      <c r="H1750" s="3"/>
      <c r="I1750" s="3"/>
      <c r="J1750" s="3"/>
      <c r="K1750" s="3"/>
      <c r="L1750" s="3" t="s">
        <v>88</v>
      </c>
      <c r="M1750" s="3">
        <v>100</v>
      </c>
      <c r="N1750" s="3" t="s">
        <v>269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87</v>
      </c>
      <c r="C1751" s="3" t="s">
        <v>576</v>
      </c>
      <c r="D1751" s="3"/>
      <c r="E1751" s="3" t="s">
        <v>576</v>
      </c>
      <c r="F1751" s="3"/>
      <c r="G1751" s="3"/>
      <c r="H1751" s="3"/>
      <c r="I1751" s="3"/>
      <c r="J1751" s="3"/>
      <c r="K1751" s="3"/>
      <c r="L1751" s="3" t="s">
        <v>88</v>
      </c>
      <c r="M1751" s="3">
        <v>110</v>
      </c>
      <c r="N1751" s="3" t="s">
        <v>20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87</v>
      </c>
      <c r="C1752" s="3" t="s">
        <v>576</v>
      </c>
      <c r="D1752" s="3"/>
      <c r="E1752" s="3" t="s">
        <v>576</v>
      </c>
      <c r="F1752" s="3"/>
      <c r="G1752" s="3"/>
      <c r="H1752" s="3"/>
      <c r="I1752" s="3"/>
      <c r="J1752" s="3"/>
      <c r="K1752" s="3"/>
      <c r="L1752" s="3" t="s">
        <v>88</v>
      </c>
      <c r="M1752" s="3">
        <v>120</v>
      </c>
      <c r="N1752" s="3" t="s">
        <v>21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87</v>
      </c>
      <c r="C1753" s="3" t="s">
        <v>576</v>
      </c>
      <c r="D1753" s="3"/>
      <c r="E1753" s="3" t="s">
        <v>576</v>
      </c>
      <c r="F1753" s="3"/>
      <c r="G1753" s="3"/>
      <c r="H1753" s="3"/>
      <c r="I1753" s="3"/>
      <c r="J1753" s="3"/>
      <c r="K1753" s="3"/>
      <c r="L1753" s="3" t="s">
        <v>88</v>
      </c>
      <c r="M1753" s="3">
        <v>130</v>
      </c>
      <c r="N1753" s="3" t="s">
        <v>110</v>
      </c>
      <c r="O1753" s="3"/>
      <c r="P1753" s="3"/>
      <c r="Q1753" s="3">
        <v>0.98599999999999999</v>
      </c>
      <c r="R1753" s="3" t="s">
        <v>12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87</v>
      </c>
      <c r="C1754" s="3" t="s">
        <v>576</v>
      </c>
      <c r="D1754" s="3"/>
      <c r="E1754" s="3" t="s">
        <v>576</v>
      </c>
      <c r="F1754" s="3"/>
      <c r="G1754" s="3"/>
      <c r="H1754" s="3"/>
      <c r="I1754" s="3"/>
      <c r="J1754" s="3"/>
      <c r="K1754" s="3"/>
      <c r="L1754" s="3" t="s">
        <v>88</v>
      </c>
      <c r="M1754" s="3">
        <v>140</v>
      </c>
      <c r="N1754" s="3" t="s">
        <v>433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87</v>
      </c>
      <c r="C1755" s="3" t="s">
        <v>579</v>
      </c>
      <c r="D1755" s="3"/>
      <c r="E1755" s="3" t="s">
        <v>579</v>
      </c>
      <c r="F1755" s="3"/>
      <c r="G1755" s="3"/>
      <c r="H1755" s="3"/>
      <c r="I1755" s="3"/>
      <c r="J1755" s="3"/>
      <c r="K1755" s="3"/>
      <c r="L1755" s="3" t="s">
        <v>88</v>
      </c>
      <c r="M1755" s="3">
        <v>10</v>
      </c>
      <c r="N1755" s="3" t="s">
        <v>187</v>
      </c>
      <c r="O1755" s="3"/>
      <c r="P1755" s="3"/>
      <c r="Q1755" s="3">
        <v>1.778</v>
      </c>
      <c r="R1755" s="3" t="s">
        <v>14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87</v>
      </c>
      <c r="C1756" s="3" t="s">
        <v>579</v>
      </c>
      <c r="D1756" s="3"/>
      <c r="E1756" s="3" t="s">
        <v>579</v>
      </c>
      <c r="F1756" s="3"/>
      <c r="G1756" s="3"/>
      <c r="H1756" s="3"/>
      <c r="I1756" s="3"/>
      <c r="J1756" s="3"/>
      <c r="K1756" s="3"/>
      <c r="L1756" s="3" t="s">
        <v>88</v>
      </c>
      <c r="M1756" s="3">
        <v>20</v>
      </c>
      <c r="N1756" s="3" t="s">
        <v>580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87</v>
      </c>
      <c r="C1757" s="3" t="s">
        <v>579</v>
      </c>
      <c r="D1757" s="3"/>
      <c r="E1757" s="3" t="s">
        <v>579</v>
      </c>
      <c r="F1757" s="3"/>
      <c r="G1757" s="3"/>
      <c r="H1757" s="3"/>
      <c r="I1757" s="3"/>
      <c r="J1757" s="3"/>
      <c r="K1757" s="3"/>
      <c r="L1757" s="3" t="s">
        <v>88</v>
      </c>
      <c r="M1757" s="3">
        <v>30</v>
      </c>
      <c r="N1757" s="3" t="s">
        <v>581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87</v>
      </c>
      <c r="C1758" s="3" t="s">
        <v>579</v>
      </c>
      <c r="D1758" s="3"/>
      <c r="E1758" s="3" t="s">
        <v>579</v>
      </c>
      <c r="F1758" s="3"/>
      <c r="G1758" s="3"/>
      <c r="H1758" s="3"/>
      <c r="I1758" s="3"/>
      <c r="J1758" s="3"/>
      <c r="K1758" s="3"/>
      <c r="L1758" s="3" t="s">
        <v>88</v>
      </c>
      <c r="M1758" s="3">
        <v>40</v>
      </c>
      <c r="N1758" s="3" t="s">
        <v>266</v>
      </c>
      <c r="O1758" s="3"/>
      <c r="P1758" s="3"/>
      <c r="Q1758" s="3">
        <v>1.778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87</v>
      </c>
      <c r="C1759" s="3" t="s">
        <v>579</v>
      </c>
      <c r="D1759" s="3"/>
      <c r="E1759" s="3" t="s">
        <v>579</v>
      </c>
      <c r="F1759" s="3"/>
      <c r="G1759" s="3"/>
      <c r="H1759" s="3"/>
      <c r="I1759" s="3"/>
      <c r="J1759" s="3"/>
      <c r="K1759" s="3"/>
      <c r="L1759" s="3" t="s">
        <v>88</v>
      </c>
      <c r="M1759" s="3">
        <v>50</v>
      </c>
      <c r="N1759" s="3" t="s">
        <v>107</v>
      </c>
      <c r="O1759" s="3"/>
      <c r="P1759" s="3"/>
      <c r="Q1759" s="3">
        <v>1.048</v>
      </c>
      <c r="R1759" s="3" t="s">
        <v>108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87</v>
      </c>
      <c r="C1760" s="3" t="s">
        <v>579</v>
      </c>
      <c r="D1760" s="3"/>
      <c r="E1760" s="3" t="s">
        <v>579</v>
      </c>
      <c r="F1760" s="3"/>
      <c r="G1760" s="3"/>
      <c r="H1760" s="3"/>
      <c r="I1760" s="3"/>
      <c r="J1760" s="3"/>
      <c r="K1760" s="3"/>
      <c r="L1760" s="3" t="s">
        <v>88</v>
      </c>
      <c r="M1760" s="3">
        <v>60</v>
      </c>
      <c r="N1760" s="3" t="s">
        <v>267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87</v>
      </c>
      <c r="C1761" s="3" t="s">
        <v>579</v>
      </c>
      <c r="D1761" s="3"/>
      <c r="E1761" s="3" t="s">
        <v>579</v>
      </c>
      <c r="F1761" s="3"/>
      <c r="G1761" s="3"/>
      <c r="H1761" s="3"/>
      <c r="I1761" s="3"/>
      <c r="J1761" s="3"/>
      <c r="K1761" s="3"/>
      <c r="L1761" s="3" t="s">
        <v>88</v>
      </c>
      <c r="M1761" s="3">
        <v>70</v>
      </c>
      <c r="N1761" s="3" t="s">
        <v>109</v>
      </c>
      <c r="O1761" s="3"/>
      <c r="P1761" s="3"/>
      <c r="Q1761" s="3">
        <v>22.097999999999999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87</v>
      </c>
      <c r="C1762" s="3" t="s">
        <v>579</v>
      </c>
      <c r="D1762" s="3"/>
      <c r="E1762" s="3" t="s">
        <v>579</v>
      </c>
      <c r="F1762" s="3"/>
      <c r="G1762" s="3"/>
      <c r="H1762" s="3"/>
      <c r="I1762" s="3"/>
      <c r="J1762" s="3"/>
      <c r="K1762" s="3"/>
      <c r="L1762" s="3" t="s">
        <v>88</v>
      </c>
      <c r="M1762" s="3">
        <v>80</v>
      </c>
      <c r="N1762" s="3" t="s">
        <v>16</v>
      </c>
      <c r="O1762" s="3"/>
      <c r="P1762" s="3"/>
      <c r="Q1762" s="3">
        <v>136.84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87</v>
      </c>
      <c r="C1763" s="3" t="s">
        <v>579</v>
      </c>
      <c r="D1763" s="3"/>
      <c r="E1763" s="3" t="s">
        <v>579</v>
      </c>
      <c r="F1763" s="3"/>
      <c r="G1763" s="3"/>
      <c r="H1763" s="3"/>
      <c r="I1763" s="3"/>
      <c r="J1763" s="3"/>
      <c r="K1763" s="3"/>
      <c r="L1763" s="3" t="s">
        <v>88</v>
      </c>
      <c r="M1763" s="3">
        <v>90</v>
      </c>
      <c r="N1763" s="3" t="s">
        <v>265</v>
      </c>
      <c r="O1763" s="3"/>
      <c r="P1763" s="3"/>
      <c r="Q1763" s="3">
        <v>0.14799999999999999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87</v>
      </c>
      <c r="C1764" s="3" t="s">
        <v>579</v>
      </c>
      <c r="D1764" s="3"/>
      <c r="E1764" s="3" t="s">
        <v>579</v>
      </c>
      <c r="F1764" s="3"/>
      <c r="G1764" s="3"/>
      <c r="H1764" s="3"/>
      <c r="I1764" s="3"/>
      <c r="J1764" s="3"/>
      <c r="K1764" s="3"/>
      <c r="L1764" s="3" t="s">
        <v>88</v>
      </c>
      <c r="M1764" s="3">
        <v>100</v>
      </c>
      <c r="N1764" s="3" t="s">
        <v>269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87</v>
      </c>
      <c r="C1765" s="3" t="s">
        <v>579</v>
      </c>
      <c r="D1765" s="3"/>
      <c r="E1765" s="3" t="s">
        <v>579</v>
      </c>
      <c r="F1765" s="3"/>
      <c r="G1765" s="3"/>
      <c r="H1765" s="3"/>
      <c r="I1765" s="3"/>
      <c r="J1765" s="3"/>
      <c r="K1765" s="3"/>
      <c r="L1765" s="3" t="s">
        <v>88</v>
      </c>
      <c r="M1765" s="3">
        <v>110</v>
      </c>
      <c r="N1765" s="3" t="s">
        <v>20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87</v>
      </c>
      <c r="C1766" s="3" t="s">
        <v>579</v>
      </c>
      <c r="D1766" s="3"/>
      <c r="E1766" s="3" t="s">
        <v>579</v>
      </c>
      <c r="F1766" s="3"/>
      <c r="G1766" s="3"/>
      <c r="H1766" s="3"/>
      <c r="I1766" s="3"/>
      <c r="J1766" s="3"/>
      <c r="K1766" s="3"/>
      <c r="L1766" s="3" t="s">
        <v>88</v>
      </c>
      <c r="M1766" s="3">
        <v>120</v>
      </c>
      <c r="N1766" s="3" t="s">
        <v>21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87</v>
      </c>
      <c r="C1767" s="3" t="s">
        <v>579</v>
      </c>
      <c r="D1767" s="3"/>
      <c r="E1767" s="3" t="s">
        <v>579</v>
      </c>
      <c r="F1767" s="3"/>
      <c r="G1767" s="3"/>
      <c r="H1767" s="3"/>
      <c r="I1767" s="3"/>
      <c r="J1767" s="3"/>
      <c r="K1767" s="3"/>
      <c r="L1767" s="3" t="s">
        <v>88</v>
      </c>
      <c r="M1767" s="3">
        <v>130</v>
      </c>
      <c r="N1767" s="3" t="s">
        <v>110</v>
      </c>
      <c r="O1767" s="3"/>
      <c r="P1767" s="3"/>
      <c r="Q1767" s="3">
        <v>1.0669999999999999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87</v>
      </c>
      <c r="C1768" s="3" t="s">
        <v>579</v>
      </c>
      <c r="D1768" s="3"/>
      <c r="E1768" s="3" t="s">
        <v>579</v>
      </c>
      <c r="F1768" s="3"/>
      <c r="G1768" s="3"/>
      <c r="H1768" s="3"/>
      <c r="I1768" s="3"/>
      <c r="J1768" s="3"/>
      <c r="K1768" s="3"/>
      <c r="L1768" s="3" t="s">
        <v>88</v>
      </c>
      <c r="M1768" s="3">
        <v>140</v>
      </c>
      <c r="N1768" s="3" t="s">
        <v>437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87</v>
      </c>
      <c r="C1769" s="3" t="s">
        <v>582</v>
      </c>
      <c r="D1769" s="3"/>
      <c r="E1769" s="3" t="s">
        <v>582</v>
      </c>
      <c r="F1769" s="3"/>
      <c r="G1769" s="3"/>
      <c r="H1769" s="3"/>
      <c r="I1769" s="3"/>
      <c r="J1769" s="3"/>
      <c r="K1769" s="3"/>
      <c r="L1769" s="3" t="s">
        <v>88</v>
      </c>
      <c r="M1769" s="3">
        <v>10</v>
      </c>
      <c r="N1769" s="3" t="s">
        <v>187</v>
      </c>
      <c r="O1769" s="3"/>
      <c r="P1769" s="3"/>
      <c r="Q1769" s="3">
        <v>0.86399999999999999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87</v>
      </c>
      <c r="C1770" s="3" t="s">
        <v>582</v>
      </c>
      <c r="D1770" s="3"/>
      <c r="E1770" s="3" t="s">
        <v>582</v>
      </c>
      <c r="F1770" s="3"/>
      <c r="G1770" s="3"/>
      <c r="H1770" s="3"/>
      <c r="I1770" s="3"/>
      <c r="J1770" s="3"/>
      <c r="K1770" s="3"/>
      <c r="L1770" s="3" t="s">
        <v>88</v>
      </c>
      <c r="M1770" s="3">
        <v>20</v>
      </c>
      <c r="N1770" s="3" t="s">
        <v>583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87</v>
      </c>
      <c r="C1771" s="3" t="s">
        <v>582</v>
      </c>
      <c r="D1771" s="3"/>
      <c r="E1771" s="3" t="s">
        <v>582</v>
      </c>
      <c r="F1771" s="3"/>
      <c r="G1771" s="3"/>
      <c r="H1771" s="3"/>
      <c r="I1771" s="3"/>
      <c r="J1771" s="3"/>
      <c r="K1771" s="3"/>
      <c r="L1771" s="3" t="s">
        <v>88</v>
      </c>
      <c r="M1771" s="3">
        <v>30</v>
      </c>
      <c r="N1771" s="3" t="s">
        <v>584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87</v>
      </c>
      <c r="C1772" s="3" t="s">
        <v>582</v>
      </c>
      <c r="D1772" s="3"/>
      <c r="E1772" s="3" t="s">
        <v>582</v>
      </c>
      <c r="F1772" s="3"/>
      <c r="G1772" s="3"/>
      <c r="H1772" s="3"/>
      <c r="I1772" s="3"/>
      <c r="J1772" s="3"/>
      <c r="K1772" s="3"/>
      <c r="L1772" s="3" t="s">
        <v>88</v>
      </c>
      <c r="M1772" s="3">
        <v>40</v>
      </c>
      <c r="N1772" s="3" t="s">
        <v>266</v>
      </c>
      <c r="O1772" s="3"/>
      <c r="P1772" s="3"/>
      <c r="Q1772" s="3">
        <v>0.86399999999999999</v>
      </c>
      <c r="R1772" s="3" t="s">
        <v>14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87</v>
      </c>
      <c r="C1773" s="3" t="s">
        <v>582</v>
      </c>
      <c r="D1773" s="3"/>
      <c r="E1773" s="3" t="s">
        <v>582</v>
      </c>
      <c r="F1773" s="3"/>
      <c r="G1773" s="3"/>
      <c r="H1773" s="3"/>
      <c r="I1773" s="3"/>
      <c r="J1773" s="3"/>
      <c r="K1773" s="3"/>
      <c r="L1773" s="3" t="s">
        <v>88</v>
      </c>
      <c r="M1773" s="3">
        <v>50</v>
      </c>
      <c r="N1773" s="3" t="s">
        <v>107</v>
      </c>
      <c r="O1773" s="3"/>
      <c r="P1773" s="3"/>
      <c r="Q1773" s="3">
        <v>0.52100000000000002</v>
      </c>
      <c r="R1773" s="3" t="s">
        <v>108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87</v>
      </c>
      <c r="C1774" s="3" t="s">
        <v>582</v>
      </c>
      <c r="D1774" s="3"/>
      <c r="E1774" s="3" t="s">
        <v>582</v>
      </c>
      <c r="F1774" s="3"/>
      <c r="G1774" s="3"/>
      <c r="H1774" s="3"/>
      <c r="I1774" s="3"/>
      <c r="J1774" s="3"/>
      <c r="K1774" s="3"/>
      <c r="L1774" s="3" t="s">
        <v>88</v>
      </c>
      <c r="M1774" s="3">
        <v>60</v>
      </c>
      <c r="N1774" s="3" t="s">
        <v>267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87</v>
      </c>
      <c r="C1775" s="3" t="s">
        <v>582</v>
      </c>
      <c r="D1775" s="3"/>
      <c r="E1775" s="3" t="s">
        <v>582</v>
      </c>
      <c r="F1775" s="3"/>
      <c r="G1775" s="3"/>
      <c r="H1775" s="3"/>
      <c r="I1775" s="3"/>
      <c r="J1775" s="3"/>
      <c r="K1775" s="3"/>
      <c r="L1775" s="3" t="s">
        <v>88</v>
      </c>
      <c r="M1775" s="3">
        <v>70</v>
      </c>
      <c r="N1775" s="3" t="s">
        <v>109</v>
      </c>
      <c r="O1775" s="3"/>
      <c r="P1775" s="3"/>
      <c r="Q1775" s="3">
        <v>17.068999999999999</v>
      </c>
      <c r="R1775" s="3" t="s">
        <v>14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87</v>
      </c>
      <c r="C1776" s="3" t="s">
        <v>582</v>
      </c>
      <c r="D1776" s="3"/>
      <c r="E1776" s="3" t="s">
        <v>582</v>
      </c>
      <c r="F1776" s="3"/>
      <c r="G1776" s="3"/>
      <c r="H1776" s="3"/>
      <c r="I1776" s="3"/>
      <c r="J1776" s="3"/>
      <c r="K1776" s="3"/>
      <c r="L1776" s="3" t="s">
        <v>88</v>
      </c>
      <c r="M1776" s="3">
        <v>80</v>
      </c>
      <c r="N1776" s="3" t="s">
        <v>16</v>
      </c>
      <c r="O1776" s="3"/>
      <c r="P1776" s="3"/>
      <c r="Q1776" s="3">
        <v>105.91</v>
      </c>
      <c r="R1776" s="3" t="s">
        <v>14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87</v>
      </c>
      <c r="C1777" s="3" t="s">
        <v>582</v>
      </c>
      <c r="D1777" s="3"/>
      <c r="E1777" s="3" t="s">
        <v>582</v>
      </c>
      <c r="F1777" s="3"/>
      <c r="G1777" s="3"/>
      <c r="H1777" s="3"/>
      <c r="I1777" s="3"/>
      <c r="J1777" s="3"/>
      <c r="K1777" s="3"/>
      <c r="L1777" s="3" t="s">
        <v>88</v>
      </c>
      <c r="M1777" s="3">
        <v>90</v>
      </c>
      <c r="N1777" s="3" t="s">
        <v>265</v>
      </c>
      <c r="O1777" s="3"/>
      <c r="P1777" s="3"/>
      <c r="Q1777" s="3">
        <v>8.4000000000000005E-2</v>
      </c>
      <c r="R1777" s="3" t="s">
        <v>12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87</v>
      </c>
      <c r="C1778" s="3" t="s">
        <v>582</v>
      </c>
      <c r="D1778" s="3"/>
      <c r="E1778" s="3" t="s">
        <v>582</v>
      </c>
      <c r="F1778" s="3"/>
      <c r="G1778" s="3"/>
      <c r="H1778" s="3"/>
      <c r="I1778" s="3"/>
      <c r="J1778" s="3"/>
      <c r="K1778" s="3"/>
      <c r="L1778" s="3" t="s">
        <v>88</v>
      </c>
      <c r="M1778" s="3">
        <v>100</v>
      </c>
      <c r="N1778" s="3" t="s">
        <v>269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87</v>
      </c>
      <c r="C1779" s="3" t="s">
        <v>582</v>
      </c>
      <c r="D1779" s="3"/>
      <c r="E1779" s="3" t="s">
        <v>582</v>
      </c>
      <c r="F1779" s="3"/>
      <c r="G1779" s="3"/>
      <c r="H1779" s="3"/>
      <c r="I1779" s="3"/>
      <c r="J1779" s="3"/>
      <c r="K1779" s="3"/>
      <c r="L1779" s="3" t="s">
        <v>88</v>
      </c>
      <c r="M1779" s="3">
        <v>110</v>
      </c>
      <c r="N1779" s="3" t="s">
        <v>20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87</v>
      </c>
      <c r="C1780" s="3" t="s">
        <v>582</v>
      </c>
      <c r="D1780" s="3"/>
      <c r="E1780" s="3" t="s">
        <v>582</v>
      </c>
      <c r="F1780" s="3"/>
      <c r="G1780" s="3"/>
      <c r="H1780" s="3"/>
      <c r="I1780" s="3"/>
      <c r="J1780" s="3"/>
      <c r="K1780" s="3"/>
      <c r="L1780" s="3" t="s">
        <v>88</v>
      </c>
      <c r="M1780" s="3">
        <v>120</v>
      </c>
      <c r="N1780" s="3" t="s">
        <v>21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87</v>
      </c>
      <c r="C1781" s="3" t="s">
        <v>582</v>
      </c>
      <c r="D1781" s="3"/>
      <c r="E1781" s="3" t="s">
        <v>582</v>
      </c>
      <c r="F1781" s="3"/>
      <c r="G1781" s="3"/>
      <c r="H1781" s="3"/>
      <c r="I1781" s="3"/>
      <c r="J1781" s="3"/>
      <c r="K1781" s="3"/>
      <c r="L1781" s="3" t="s">
        <v>88</v>
      </c>
      <c r="M1781" s="3">
        <v>130</v>
      </c>
      <c r="N1781" s="3" t="s">
        <v>110</v>
      </c>
      <c r="O1781" s="3"/>
      <c r="P1781" s="3"/>
      <c r="Q1781" s="3">
        <v>0.58099999999999996</v>
      </c>
      <c r="R1781" s="3" t="s">
        <v>12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87</v>
      </c>
      <c r="C1782" s="3" t="s">
        <v>582</v>
      </c>
      <c r="D1782" s="3"/>
      <c r="E1782" s="3" t="s">
        <v>582</v>
      </c>
      <c r="F1782" s="3"/>
      <c r="G1782" s="3"/>
      <c r="H1782" s="3"/>
      <c r="I1782" s="3"/>
      <c r="J1782" s="3"/>
      <c r="K1782" s="3"/>
      <c r="L1782" s="3" t="s">
        <v>88</v>
      </c>
      <c r="M1782" s="3">
        <v>140</v>
      </c>
      <c r="N1782" s="3" t="s">
        <v>441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87</v>
      </c>
      <c r="C1783" s="3" t="s">
        <v>585</v>
      </c>
      <c r="D1783" s="3"/>
      <c r="E1783" s="3" t="s">
        <v>585</v>
      </c>
      <c r="F1783" s="3"/>
      <c r="G1783" s="3"/>
      <c r="H1783" s="3"/>
      <c r="I1783" s="3"/>
      <c r="J1783" s="3"/>
      <c r="K1783" s="3"/>
      <c r="L1783" s="3" t="s">
        <v>88</v>
      </c>
      <c r="M1783" s="3">
        <v>10</v>
      </c>
      <c r="N1783" s="3" t="s">
        <v>187</v>
      </c>
      <c r="O1783" s="3"/>
      <c r="P1783" s="3"/>
      <c r="Q1783" s="3">
        <v>1.016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87</v>
      </c>
      <c r="C1784" s="3" t="s">
        <v>585</v>
      </c>
      <c r="D1784" s="3"/>
      <c r="E1784" s="3" t="s">
        <v>585</v>
      </c>
      <c r="F1784" s="3"/>
      <c r="G1784" s="3"/>
      <c r="H1784" s="3"/>
      <c r="I1784" s="3"/>
      <c r="J1784" s="3"/>
      <c r="K1784" s="3"/>
      <c r="L1784" s="3" t="s">
        <v>88</v>
      </c>
      <c r="M1784" s="3">
        <v>20</v>
      </c>
      <c r="N1784" s="3" t="s">
        <v>586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87</v>
      </c>
      <c r="C1785" s="3" t="s">
        <v>585</v>
      </c>
      <c r="D1785" s="3"/>
      <c r="E1785" s="3" t="s">
        <v>585</v>
      </c>
      <c r="F1785" s="3"/>
      <c r="G1785" s="3"/>
      <c r="H1785" s="3"/>
      <c r="I1785" s="3"/>
      <c r="J1785" s="3"/>
      <c r="K1785" s="3"/>
      <c r="L1785" s="3" t="s">
        <v>88</v>
      </c>
      <c r="M1785" s="3">
        <v>30</v>
      </c>
      <c r="N1785" s="3" t="s">
        <v>587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87</v>
      </c>
      <c r="C1786" s="3" t="s">
        <v>585</v>
      </c>
      <c r="D1786" s="3"/>
      <c r="E1786" s="3" t="s">
        <v>585</v>
      </c>
      <c r="F1786" s="3"/>
      <c r="G1786" s="3"/>
      <c r="H1786" s="3"/>
      <c r="I1786" s="3"/>
      <c r="J1786" s="3"/>
      <c r="K1786" s="3"/>
      <c r="L1786" s="3" t="s">
        <v>88</v>
      </c>
      <c r="M1786" s="3">
        <v>40</v>
      </c>
      <c r="N1786" s="3" t="s">
        <v>266</v>
      </c>
      <c r="O1786" s="3"/>
      <c r="P1786" s="3"/>
      <c r="Q1786" s="3">
        <v>1.016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87</v>
      </c>
      <c r="C1787" s="3" t="s">
        <v>585</v>
      </c>
      <c r="D1787" s="3"/>
      <c r="E1787" s="3" t="s">
        <v>585</v>
      </c>
      <c r="F1787" s="3"/>
      <c r="G1787" s="3"/>
      <c r="H1787" s="3"/>
      <c r="I1787" s="3"/>
      <c r="J1787" s="3"/>
      <c r="K1787" s="3"/>
      <c r="L1787" s="3" t="s">
        <v>88</v>
      </c>
      <c r="M1787" s="3">
        <v>50</v>
      </c>
      <c r="N1787" s="3" t="s">
        <v>107</v>
      </c>
      <c r="O1787" s="3"/>
      <c r="P1787" s="3"/>
      <c r="Q1787" s="3">
        <v>0.61599999999999999</v>
      </c>
      <c r="R1787" s="3" t="s">
        <v>108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87</v>
      </c>
      <c r="C1788" s="3" t="s">
        <v>585</v>
      </c>
      <c r="D1788" s="3"/>
      <c r="E1788" s="3" t="s">
        <v>585</v>
      </c>
      <c r="F1788" s="3"/>
      <c r="G1788" s="3"/>
      <c r="H1788" s="3"/>
      <c r="I1788" s="3"/>
      <c r="J1788" s="3"/>
      <c r="K1788" s="3"/>
      <c r="L1788" s="3" t="s">
        <v>88</v>
      </c>
      <c r="M1788" s="3">
        <v>60</v>
      </c>
      <c r="N1788" s="3" t="s">
        <v>267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87</v>
      </c>
      <c r="C1789" s="3" t="s">
        <v>585</v>
      </c>
      <c r="D1789" s="3"/>
      <c r="E1789" s="3" t="s">
        <v>585</v>
      </c>
      <c r="F1789" s="3"/>
      <c r="G1789" s="3"/>
      <c r="H1789" s="3"/>
      <c r="I1789" s="3"/>
      <c r="J1789" s="3"/>
      <c r="K1789" s="3"/>
      <c r="L1789" s="3" t="s">
        <v>88</v>
      </c>
      <c r="M1789" s="3">
        <v>70</v>
      </c>
      <c r="N1789" s="3" t="s">
        <v>109</v>
      </c>
      <c r="O1789" s="3"/>
      <c r="P1789" s="3"/>
      <c r="Q1789" s="3">
        <v>17.983000000000001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87</v>
      </c>
      <c r="C1790" s="3" t="s">
        <v>585</v>
      </c>
      <c r="D1790" s="3"/>
      <c r="E1790" s="3" t="s">
        <v>585</v>
      </c>
      <c r="F1790" s="3"/>
      <c r="G1790" s="3"/>
      <c r="H1790" s="3"/>
      <c r="I1790" s="3"/>
      <c r="J1790" s="3"/>
      <c r="K1790" s="3"/>
      <c r="L1790" s="3" t="s">
        <v>88</v>
      </c>
      <c r="M1790" s="3">
        <v>80</v>
      </c>
      <c r="N1790" s="3" t="s">
        <v>16</v>
      </c>
      <c r="O1790" s="3"/>
      <c r="P1790" s="3"/>
      <c r="Q1790" s="3">
        <v>111.53400000000001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87</v>
      </c>
      <c r="C1791" s="3" t="s">
        <v>585</v>
      </c>
      <c r="D1791" s="3"/>
      <c r="E1791" s="3" t="s">
        <v>585</v>
      </c>
      <c r="F1791" s="3"/>
      <c r="G1791" s="3"/>
      <c r="H1791" s="3"/>
      <c r="I1791" s="3"/>
      <c r="J1791" s="3"/>
      <c r="K1791" s="3"/>
      <c r="L1791" s="3" t="s">
        <v>88</v>
      </c>
      <c r="M1791" s="3">
        <v>90</v>
      </c>
      <c r="N1791" s="3" t="s">
        <v>265</v>
      </c>
      <c r="O1791" s="3"/>
      <c r="P1791" s="3"/>
      <c r="Q1791" s="3">
        <v>9.4E-2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87</v>
      </c>
      <c r="C1792" s="3" t="s">
        <v>585</v>
      </c>
      <c r="D1792" s="3"/>
      <c r="E1792" s="3" t="s">
        <v>585</v>
      </c>
      <c r="F1792" s="3"/>
      <c r="G1792" s="3"/>
      <c r="H1792" s="3"/>
      <c r="I1792" s="3"/>
      <c r="J1792" s="3"/>
      <c r="K1792" s="3"/>
      <c r="L1792" s="3" t="s">
        <v>88</v>
      </c>
      <c r="M1792" s="3">
        <v>100</v>
      </c>
      <c r="N1792" s="3" t="s">
        <v>269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87</v>
      </c>
      <c r="C1793" s="3" t="s">
        <v>585</v>
      </c>
      <c r="D1793" s="3"/>
      <c r="E1793" s="3" t="s">
        <v>585</v>
      </c>
      <c r="F1793" s="3"/>
      <c r="G1793" s="3"/>
      <c r="H1793" s="3"/>
      <c r="I1793" s="3"/>
      <c r="J1793" s="3"/>
      <c r="K1793" s="3"/>
      <c r="L1793" s="3" t="s">
        <v>88</v>
      </c>
      <c r="M1793" s="3">
        <v>110</v>
      </c>
      <c r="N1793" s="3" t="s">
        <v>20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87</v>
      </c>
      <c r="C1794" s="3" t="s">
        <v>585</v>
      </c>
      <c r="D1794" s="3"/>
      <c r="E1794" s="3" t="s">
        <v>585</v>
      </c>
      <c r="F1794" s="3"/>
      <c r="G1794" s="3"/>
      <c r="H1794" s="3"/>
      <c r="I1794" s="3"/>
      <c r="J1794" s="3"/>
      <c r="K1794" s="3"/>
      <c r="L1794" s="3" t="s">
        <v>88</v>
      </c>
      <c r="M1794" s="3">
        <v>120</v>
      </c>
      <c r="N1794" s="3" t="s">
        <v>21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87</v>
      </c>
      <c r="C1795" s="3" t="s">
        <v>585</v>
      </c>
      <c r="D1795" s="3"/>
      <c r="E1795" s="3" t="s">
        <v>585</v>
      </c>
      <c r="F1795" s="3"/>
      <c r="G1795" s="3"/>
      <c r="H1795" s="3"/>
      <c r="I1795" s="3"/>
      <c r="J1795" s="3"/>
      <c r="K1795" s="3"/>
      <c r="L1795" s="3" t="s">
        <v>88</v>
      </c>
      <c r="M1795" s="3">
        <v>130</v>
      </c>
      <c r="N1795" s="3" t="s">
        <v>110</v>
      </c>
      <c r="O1795" s="3"/>
      <c r="P1795" s="3"/>
      <c r="Q1795" s="3">
        <v>0.66200000000000003</v>
      </c>
      <c r="R1795" s="3" t="s">
        <v>12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87</v>
      </c>
      <c r="C1796" s="3" t="s">
        <v>585</v>
      </c>
      <c r="D1796" s="3"/>
      <c r="E1796" s="3" t="s">
        <v>585</v>
      </c>
      <c r="F1796" s="3"/>
      <c r="G1796" s="3"/>
      <c r="H1796" s="3"/>
      <c r="I1796" s="3"/>
      <c r="J1796" s="3"/>
      <c r="K1796" s="3"/>
      <c r="L1796" s="3" t="s">
        <v>88</v>
      </c>
      <c r="M1796" s="3">
        <v>140</v>
      </c>
      <c r="N1796" s="3" t="s">
        <v>445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87</v>
      </c>
      <c r="C1797" s="3" t="s">
        <v>588</v>
      </c>
      <c r="D1797" s="3"/>
      <c r="E1797" s="3" t="s">
        <v>588</v>
      </c>
      <c r="F1797" s="3"/>
      <c r="G1797" s="3"/>
      <c r="H1797" s="3"/>
      <c r="I1797" s="3"/>
      <c r="J1797" s="3"/>
      <c r="K1797" s="3"/>
      <c r="L1797" s="3" t="s">
        <v>88</v>
      </c>
      <c r="M1797" s="3">
        <v>10</v>
      </c>
      <c r="N1797" s="3" t="s">
        <v>187</v>
      </c>
      <c r="O1797" s="3"/>
      <c r="P1797" s="3"/>
      <c r="Q1797" s="3">
        <v>1.1679999999999999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87</v>
      </c>
      <c r="C1798" s="3" t="s">
        <v>588</v>
      </c>
      <c r="D1798" s="3"/>
      <c r="E1798" s="3" t="s">
        <v>588</v>
      </c>
      <c r="F1798" s="3"/>
      <c r="G1798" s="3"/>
      <c r="H1798" s="3"/>
      <c r="I1798" s="3"/>
      <c r="J1798" s="3"/>
      <c r="K1798" s="3"/>
      <c r="L1798" s="3" t="s">
        <v>88</v>
      </c>
      <c r="M1798" s="3">
        <v>20</v>
      </c>
      <c r="N1798" s="3" t="s">
        <v>589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87</v>
      </c>
      <c r="C1799" s="3" t="s">
        <v>588</v>
      </c>
      <c r="D1799" s="3"/>
      <c r="E1799" s="3" t="s">
        <v>588</v>
      </c>
      <c r="F1799" s="3"/>
      <c r="G1799" s="3"/>
      <c r="H1799" s="3"/>
      <c r="I1799" s="3"/>
      <c r="J1799" s="3"/>
      <c r="K1799" s="3"/>
      <c r="L1799" s="3" t="s">
        <v>88</v>
      </c>
      <c r="M1799" s="3">
        <v>30</v>
      </c>
      <c r="N1799" s="3" t="s">
        <v>590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87</v>
      </c>
      <c r="C1800" s="3" t="s">
        <v>588</v>
      </c>
      <c r="D1800" s="3"/>
      <c r="E1800" s="3" t="s">
        <v>588</v>
      </c>
      <c r="F1800" s="3"/>
      <c r="G1800" s="3"/>
      <c r="H1800" s="3"/>
      <c r="I1800" s="3"/>
      <c r="J1800" s="3"/>
      <c r="K1800" s="3"/>
      <c r="L1800" s="3" t="s">
        <v>88</v>
      </c>
      <c r="M1800" s="3">
        <v>40</v>
      </c>
      <c r="N1800" s="3" t="s">
        <v>266</v>
      </c>
      <c r="O1800" s="3"/>
      <c r="P1800" s="3"/>
      <c r="Q1800" s="3">
        <v>1.1679999999999999</v>
      </c>
      <c r="R1800" s="3" t="s">
        <v>14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87</v>
      </c>
      <c r="C1801" s="3" t="s">
        <v>588</v>
      </c>
      <c r="D1801" s="3"/>
      <c r="E1801" s="3" t="s">
        <v>588</v>
      </c>
      <c r="F1801" s="3"/>
      <c r="G1801" s="3"/>
      <c r="H1801" s="3"/>
      <c r="I1801" s="3"/>
      <c r="J1801" s="3"/>
      <c r="K1801" s="3"/>
      <c r="L1801" s="3" t="s">
        <v>88</v>
      </c>
      <c r="M1801" s="3">
        <v>50</v>
      </c>
      <c r="N1801" s="3" t="s">
        <v>107</v>
      </c>
      <c r="O1801" s="3"/>
      <c r="P1801" s="3"/>
      <c r="Q1801" s="3">
        <v>0.71099999999999997</v>
      </c>
      <c r="R1801" s="3" t="s">
        <v>108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87</v>
      </c>
      <c r="C1802" s="3" t="s">
        <v>588</v>
      </c>
      <c r="D1802" s="3"/>
      <c r="E1802" s="3" t="s">
        <v>588</v>
      </c>
      <c r="F1802" s="3"/>
      <c r="G1802" s="3"/>
      <c r="H1802" s="3"/>
      <c r="I1802" s="3"/>
      <c r="J1802" s="3"/>
      <c r="K1802" s="3"/>
      <c r="L1802" s="3" t="s">
        <v>88</v>
      </c>
      <c r="M1802" s="3">
        <v>60</v>
      </c>
      <c r="N1802" s="3" t="s">
        <v>267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87</v>
      </c>
      <c r="C1803" s="3" t="s">
        <v>588</v>
      </c>
      <c r="D1803" s="3"/>
      <c r="E1803" s="3" t="s">
        <v>588</v>
      </c>
      <c r="F1803" s="3"/>
      <c r="G1803" s="3"/>
      <c r="H1803" s="3"/>
      <c r="I1803" s="3"/>
      <c r="J1803" s="3"/>
      <c r="K1803" s="3"/>
      <c r="L1803" s="3" t="s">
        <v>88</v>
      </c>
      <c r="M1803" s="3">
        <v>70</v>
      </c>
      <c r="N1803" s="3" t="s">
        <v>109</v>
      </c>
      <c r="O1803" s="3"/>
      <c r="P1803" s="3"/>
      <c r="Q1803" s="3">
        <v>18.898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87</v>
      </c>
      <c r="C1804" s="3" t="s">
        <v>588</v>
      </c>
      <c r="D1804" s="3"/>
      <c r="E1804" s="3" t="s">
        <v>588</v>
      </c>
      <c r="F1804" s="3"/>
      <c r="G1804" s="3"/>
      <c r="H1804" s="3"/>
      <c r="I1804" s="3"/>
      <c r="J1804" s="3"/>
      <c r="K1804" s="3"/>
      <c r="L1804" s="3" t="s">
        <v>88</v>
      </c>
      <c r="M1804" s="3">
        <v>80</v>
      </c>
      <c r="N1804" s="3" t="s">
        <v>16</v>
      </c>
      <c r="O1804" s="3"/>
      <c r="P1804" s="3"/>
      <c r="Q1804" s="3">
        <v>117.158</v>
      </c>
      <c r="R1804" s="3" t="s">
        <v>14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87</v>
      </c>
      <c r="C1805" s="3" t="s">
        <v>588</v>
      </c>
      <c r="D1805" s="3"/>
      <c r="E1805" s="3" t="s">
        <v>588</v>
      </c>
      <c r="F1805" s="3"/>
      <c r="G1805" s="3"/>
      <c r="H1805" s="3"/>
      <c r="I1805" s="3"/>
      <c r="J1805" s="3"/>
      <c r="K1805" s="3"/>
      <c r="L1805" s="3" t="s">
        <v>88</v>
      </c>
      <c r="M1805" s="3">
        <v>90</v>
      </c>
      <c r="N1805" s="3" t="s">
        <v>265</v>
      </c>
      <c r="O1805" s="3"/>
      <c r="P1805" s="3"/>
      <c r="Q1805" s="3">
        <v>0.105</v>
      </c>
      <c r="R1805" s="3" t="s">
        <v>12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87</v>
      </c>
      <c r="C1806" s="3" t="s">
        <v>588</v>
      </c>
      <c r="D1806" s="3"/>
      <c r="E1806" s="3" t="s">
        <v>588</v>
      </c>
      <c r="F1806" s="3"/>
      <c r="G1806" s="3"/>
      <c r="H1806" s="3"/>
      <c r="I1806" s="3"/>
      <c r="J1806" s="3"/>
      <c r="K1806" s="3"/>
      <c r="L1806" s="3" t="s">
        <v>88</v>
      </c>
      <c r="M1806" s="3">
        <v>100</v>
      </c>
      <c r="N1806" s="3" t="s">
        <v>269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87</v>
      </c>
      <c r="C1807" s="3" t="s">
        <v>588</v>
      </c>
      <c r="D1807" s="3"/>
      <c r="E1807" s="3" t="s">
        <v>588</v>
      </c>
      <c r="F1807" s="3"/>
      <c r="G1807" s="3"/>
      <c r="H1807" s="3"/>
      <c r="I1807" s="3"/>
      <c r="J1807" s="3"/>
      <c r="K1807" s="3"/>
      <c r="L1807" s="3" t="s">
        <v>88</v>
      </c>
      <c r="M1807" s="3">
        <v>110</v>
      </c>
      <c r="N1807" s="3" t="s">
        <v>20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87</v>
      </c>
      <c r="C1808" s="3" t="s">
        <v>588</v>
      </c>
      <c r="D1808" s="3"/>
      <c r="E1808" s="3" t="s">
        <v>588</v>
      </c>
      <c r="F1808" s="3"/>
      <c r="G1808" s="3"/>
      <c r="H1808" s="3"/>
      <c r="I1808" s="3"/>
      <c r="J1808" s="3"/>
      <c r="K1808" s="3"/>
      <c r="L1808" s="3" t="s">
        <v>88</v>
      </c>
      <c r="M1808" s="3">
        <v>120</v>
      </c>
      <c r="N1808" s="3" t="s">
        <v>21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87</v>
      </c>
      <c r="C1809" s="3" t="s">
        <v>588</v>
      </c>
      <c r="D1809" s="3"/>
      <c r="E1809" s="3" t="s">
        <v>588</v>
      </c>
      <c r="F1809" s="3"/>
      <c r="G1809" s="3"/>
      <c r="H1809" s="3"/>
      <c r="I1809" s="3"/>
      <c r="J1809" s="3"/>
      <c r="K1809" s="3"/>
      <c r="L1809" s="3" t="s">
        <v>88</v>
      </c>
      <c r="M1809" s="3">
        <v>130</v>
      </c>
      <c r="N1809" s="3" t="s">
        <v>110</v>
      </c>
      <c r="O1809" s="3"/>
      <c r="P1809" s="3"/>
      <c r="Q1809" s="3">
        <v>0.74299999999999999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87</v>
      </c>
      <c r="C1810" s="3" t="s">
        <v>588</v>
      </c>
      <c r="D1810" s="3"/>
      <c r="E1810" s="3" t="s">
        <v>588</v>
      </c>
      <c r="F1810" s="3"/>
      <c r="G1810" s="3"/>
      <c r="H1810" s="3"/>
      <c r="I1810" s="3"/>
      <c r="J1810" s="3"/>
      <c r="K1810" s="3"/>
      <c r="L1810" s="3" t="s">
        <v>88</v>
      </c>
      <c r="M1810" s="3">
        <v>140</v>
      </c>
      <c r="N1810" s="3" t="s">
        <v>449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87</v>
      </c>
      <c r="C1811" s="3" t="s">
        <v>591</v>
      </c>
      <c r="D1811" s="3"/>
      <c r="E1811" s="3" t="s">
        <v>591</v>
      </c>
      <c r="F1811" s="3"/>
      <c r="G1811" s="3"/>
      <c r="H1811" s="3"/>
      <c r="I1811" s="3"/>
      <c r="J1811" s="3"/>
      <c r="K1811" s="3"/>
      <c r="L1811" s="3" t="s">
        <v>88</v>
      </c>
      <c r="M1811" s="3">
        <v>10</v>
      </c>
      <c r="N1811" s="3" t="s">
        <v>187</v>
      </c>
      <c r="O1811" s="3"/>
      <c r="P1811" s="3"/>
      <c r="Q1811" s="3">
        <v>1.321</v>
      </c>
      <c r="R1811" s="3" t="s">
        <v>14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87</v>
      </c>
      <c r="C1812" s="3" t="s">
        <v>591</v>
      </c>
      <c r="D1812" s="3"/>
      <c r="E1812" s="3" t="s">
        <v>591</v>
      </c>
      <c r="F1812" s="3"/>
      <c r="G1812" s="3"/>
      <c r="H1812" s="3"/>
      <c r="I1812" s="3"/>
      <c r="J1812" s="3"/>
      <c r="K1812" s="3"/>
      <c r="L1812" s="3" t="s">
        <v>88</v>
      </c>
      <c r="M1812" s="3">
        <v>20</v>
      </c>
      <c r="N1812" s="3" t="s">
        <v>592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87</v>
      </c>
      <c r="C1813" s="3" t="s">
        <v>591</v>
      </c>
      <c r="D1813" s="3"/>
      <c r="E1813" s="3" t="s">
        <v>591</v>
      </c>
      <c r="F1813" s="3"/>
      <c r="G1813" s="3"/>
      <c r="H1813" s="3"/>
      <c r="I1813" s="3"/>
      <c r="J1813" s="3"/>
      <c r="K1813" s="3"/>
      <c r="L1813" s="3" t="s">
        <v>88</v>
      </c>
      <c r="M1813" s="3">
        <v>30</v>
      </c>
      <c r="N1813" s="3" t="s">
        <v>593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87</v>
      </c>
      <c r="C1814" s="3" t="s">
        <v>591</v>
      </c>
      <c r="D1814" s="3"/>
      <c r="E1814" s="3" t="s">
        <v>591</v>
      </c>
      <c r="F1814" s="3"/>
      <c r="G1814" s="3"/>
      <c r="H1814" s="3"/>
      <c r="I1814" s="3"/>
      <c r="J1814" s="3"/>
      <c r="K1814" s="3"/>
      <c r="L1814" s="3" t="s">
        <v>88</v>
      </c>
      <c r="M1814" s="3">
        <v>40</v>
      </c>
      <c r="N1814" s="3" t="s">
        <v>266</v>
      </c>
      <c r="O1814" s="3"/>
      <c r="P1814" s="3"/>
      <c r="Q1814" s="3">
        <v>1.321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87</v>
      </c>
      <c r="C1815" s="3" t="s">
        <v>591</v>
      </c>
      <c r="D1815" s="3"/>
      <c r="E1815" s="3" t="s">
        <v>591</v>
      </c>
      <c r="F1815" s="3"/>
      <c r="G1815" s="3"/>
      <c r="H1815" s="3"/>
      <c r="I1815" s="3"/>
      <c r="J1815" s="3"/>
      <c r="K1815" s="3"/>
      <c r="L1815" s="3" t="s">
        <v>88</v>
      </c>
      <c r="M1815" s="3">
        <v>50</v>
      </c>
      <c r="N1815" s="3" t="s">
        <v>107</v>
      </c>
      <c r="O1815" s="3"/>
      <c r="P1815" s="3"/>
      <c r="Q1815" s="3">
        <v>0.80600000000000005</v>
      </c>
      <c r="R1815" s="3" t="s">
        <v>108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87</v>
      </c>
      <c r="C1816" s="3" t="s">
        <v>591</v>
      </c>
      <c r="D1816" s="3"/>
      <c r="E1816" s="3" t="s">
        <v>591</v>
      </c>
      <c r="F1816" s="3"/>
      <c r="G1816" s="3"/>
      <c r="H1816" s="3"/>
      <c r="I1816" s="3"/>
      <c r="J1816" s="3"/>
      <c r="K1816" s="3"/>
      <c r="L1816" s="3" t="s">
        <v>88</v>
      </c>
      <c r="M1816" s="3">
        <v>60</v>
      </c>
      <c r="N1816" s="3" t="s">
        <v>267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87</v>
      </c>
      <c r="C1817" s="3" t="s">
        <v>591</v>
      </c>
      <c r="D1817" s="3"/>
      <c r="E1817" s="3" t="s">
        <v>591</v>
      </c>
      <c r="F1817" s="3"/>
      <c r="G1817" s="3"/>
      <c r="H1817" s="3"/>
      <c r="I1817" s="3"/>
      <c r="J1817" s="3"/>
      <c r="K1817" s="3"/>
      <c r="L1817" s="3" t="s">
        <v>88</v>
      </c>
      <c r="M1817" s="3">
        <v>70</v>
      </c>
      <c r="N1817" s="3" t="s">
        <v>109</v>
      </c>
      <c r="O1817" s="3"/>
      <c r="P1817" s="3"/>
      <c r="Q1817" s="3">
        <v>19.812000000000001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87</v>
      </c>
      <c r="C1818" s="3" t="s">
        <v>591</v>
      </c>
      <c r="D1818" s="3"/>
      <c r="E1818" s="3" t="s">
        <v>591</v>
      </c>
      <c r="F1818" s="3"/>
      <c r="G1818" s="3"/>
      <c r="H1818" s="3"/>
      <c r="I1818" s="3"/>
      <c r="J1818" s="3"/>
      <c r="K1818" s="3"/>
      <c r="L1818" s="3" t="s">
        <v>88</v>
      </c>
      <c r="M1818" s="3">
        <v>80</v>
      </c>
      <c r="N1818" s="3" t="s">
        <v>16</v>
      </c>
      <c r="O1818" s="3"/>
      <c r="P1818" s="3"/>
      <c r="Q1818" s="3">
        <v>122.78100000000001</v>
      </c>
      <c r="R1818" s="3" t="s">
        <v>14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87</v>
      </c>
      <c r="C1819" s="3" t="s">
        <v>591</v>
      </c>
      <c r="D1819" s="3"/>
      <c r="E1819" s="3" t="s">
        <v>591</v>
      </c>
      <c r="F1819" s="3"/>
      <c r="G1819" s="3"/>
      <c r="H1819" s="3"/>
      <c r="I1819" s="3"/>
      <c r="J1819" s="3"/>
      <c r="K1819" s="3"/>
      <c r="L1819" s="3" t="s">
        <v>88</v>
      </c>
      <c r="M1819" s="3">
        <v>90</v>
      </c>
      <c r="N1819" s="3" t="s">
        <v>265</v>
      </c>
      <c r="O1819" s="3"/>
      <c r="P1819" s="3"/>
      <c r="Q1819" s="3">
        <v>0.11600000000000001</v>
      </c>
      <c r="R1819" s="3" t="s">
        <v>12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87</v>
      </c>
      <c r="C1820" s="3" t="s">
        <v>591</v>
      </c>
      <c r="D1820" s="3"/>
      <c r="E1820" s="3" t="s">
        <v>591</v>
      </c>
      <c r="F1820" s="3"/>
      <c r="G1820" s="3"/>
      <c r="H1820" s="3"/>
      <c r="I1820" s="3"/>
      <c r="J1820" s="3"/>
      <c r="K1820" s="3"/>
      <c r="L1820" s="3" t="s">
        <v>88</v>
      </c>
      <c r="M1820" s="3">
        <v>100</v>
      </c>
      <c r="N1820" s="3" t="s">
        <v>269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87</v>
      </c>
      <c r="C1821" s="3" t="s">
        <v>591</v>
      </c>
      <c r="D1821" s="3"/>
      <c r="E1821" s="3" t="s">
        <v>591</v>
      </c>
      <c r="F1821" s="3"/>
      <c r="G1821" s="3"/>
      <c r="H1821" s="3"/>
      <c r="I1821" s="3"/>
      <c r="J1821" s="3"/>
      <c r="K1821" s="3"/>
      <c r="L1821" s="3" t="s">
        <v>88</v>
      </c>
      <c r="M1821" s="3">
        <v>110</v>
      </c>
      <c r="N1821" s="3" t="s">
        <v>20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87</v>
      </c>
      <c r="C1822" s="3" t="s">
        <v>591</v>
      </c>
      <c r="D1822" s="3"/>
      <c r="E1822" s="3" t="s">
        <v>591</v>
      </c>
      <c r="F1822" s="3"/>
      <c r="G1822" s="3"/>
      <c r="H1822" s="3"/>
      <c r="I1822" s="3"/>
      <c r="J1822" s="3"/>
      <c r="K1822" s="3"/>
      <c r="L1822" s="3" t="s">
        <v>88</v>
      </c>
      <c r="M1822" s="3">
        <v>120</v>
      </c>
      <c r="N1822" s="3" t="s">
        <v>21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87</v>
      </c>
      <c r="C1823" s="3" t="s">
        <v>591</v>
      </c>
      <c r="D1823" s="3"/>
      <c r="E1823" s="3" t="s">
        <v>591</v>
      </c>
      <c r="F1823" s="3"/>
      <c r="G1823" s="3"/>
      <c r="H1823" s="3"/>
      <c r="I1823" s="3"/>
      <c r="J1823" s="3"/>
      <c r="K1823" s="3"/>
      <c r="L1823" s="3" t="s">
        <v>88</v>
      </c>
      <c r="M1823" s="3">
        <v>130</v>
      </c>
      <c r="N1823" s="3" t="s">
        <v>110</v>
      </c>
      <c r="O1823" s="3"/>
      <c r="P1823" s="3"/>
      <c r="Q1823" s="3">
        <v>0.82399999999999995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87</v>
      </c>
      <c r="C1824" s="3" t="s">
        <v>591</v>
      </c>
      <c r="D1824" s="3"/>
      <c r="E1824" s="3" t="s">
        <v>591</v>
      </c>
      <c r="F1824" s="3"/>
      <c r="G1824" s="3"/>
      <c r="H1824" s="3"/>
      <c r="I1824" s="3"/>
      <c r="J1824" s="3"/>
      <c r="K1824" s="3"/>
      <c r="L1824" s="3" t="s">
        <v>88</v>
      </c>
      <c r="M1824" s="3">
        <v>140</v>
      </c>
      <c r="N1824" s="3" t="s">
        <v>453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87</v>
      </c>
      <c r="C1825" s="3" t="s">
        <v>594</v>
      </c>
      <c r="D1825" s="3"/>
      <c r="E1825" s="3" t="s">
        <v>594</v>
      </c>
      <c r="F1825" s="3"/>
      <c r="G1825" s="3"/>
      <c r="H1825" s="3"/>
      <c r="I1825" s="3"/>
      <c r="J1825" s="3"/>
      <c r="K1825" s="3"/>
      <c r="L1825" s="3" t="s">
        <v>88</v>
      </c>
      <c r="M1825" s="3">
        <v>10</v>
      </c>
      <c r="N1825" s="3" t="s">
        <v>187</v>
      </c>
      <c r="O1825" s="3"/>
      <c r="P1825" s="3"/>
      <c r="Q1825" s="3">
        <v>1.397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87</v>
      </c>
      <c r="C1826" s="3" t="s">
        <v>594</v>
      </c>
      <c r="D1826" s="3"/>
      <c r="E1826" s="3" t="s">
        <v>594</v>
      </c>
      <c r="F1826" s="3"/>
      <c r="G1826" s="3"/>
      <c r="H1826" s="3"/>
      <c r="I1826" s="3"/>
      <c r="J1826" s="3"/>
      <c r="K1826" s="3"/>
      <c r="L1826" s="3" t="s">
        <v>88</v>
      </c>
      <c r="M1826" s="3">
        <v>20</v>
      </c>
      <c r="N1826" s="3" t="s">
        <v>595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87</v>
      </c>
      <c r="C1827" s="3" t="s">
        <v>594</v>
      </c>
      <c r="D1827" s="3"/>
      <c r="E1827" s="3" t="s">
        <v>594</v>
      </c>
      <c r="F1827" s="3"/>
      <c r="G1827" s="3"/>
      <c r="H1827" s="3"/>
      <c r="I1827" s="3"/>
      <c r="J1827" s="3"/>
      <c r="K1827" s="3"/>
      <c r="L1827" s="3" t="s">
        <v>88</v>
      </c>
      <c r="M1827" s="3">
        <v>30</v>
      </c>
      <c r="N1827" s="3" t="s">
        <v>596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87</v>
      </c>
      <c r="C1828" s="3" t="s">
        <v>594</v>
      </c>
      <c r="D1828" s="3"/>
      <c r="E1828" s="3" t="s">
        <v>594</v>
      </c>
      <c r="F1828" s="3"/>
      <c r="G1828" s="3"/>
      <c r="H1828" s="3"/>
      <c r="I1828" s="3"/>
      <c r="J1828" s="3"/>
      <c r="K1828" s="3"/>
      <c r="L1828" s="3" t="s">
        <v>88</v>
      </c>
      <c r="M1828" s="3">
        <v>40</v>
      </c>
      <c r="N1828" s="3" t="s">
        <v>266</v>
      </c>
      <c r="O1828" s="3"/>
      <c r="P1828" s="3"/>
      <c r="Q1828" s="3">
        <v>1.397</v>
      </c>
      <c r="R1828" s="3" t="s">
        <v>14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87</v>
      </c>
      <c r="C1829" s="3" t="s">
        <v>594</v>
      </c>
      <c r="D1829" s="3"/>
      <c r="E1829" s="3" t="s">
        <v>594</v>
      </c>
      <c r="F1829" s="3"/>
      <c r="G1829" s="3"/>
      <c r="H1829" s="3"/>
      <c r="I1829" s="3"/>
      <c r="J1829" s="3"/>
      <c r="K1829" s="3"/>
      <c r="L1829" s="3" t="s">
        <v>88</v>
      </c>
      <c r="M1829" s="3">
        <v>50</v>
      </c>
      <c r="N1829" s="3" t="s">
        <v>107</v>
      </c>
      <c r="O1829" s="3"/>
      <c r="P1829" s="3"/>
      <c r="Q1829" s="3">
        <v>0.85299999999999998</v>
      </c>
      <c r="R1829" s="3" t="s">
        <v>108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87</v>
      </c>
      <c r="C1830" s="3" t="s">
        <v>594</v>
      </c>
      <c r="D1830" s="3"/>
      <c r="E1830" s="3" t="s">
        <v>594</v>
      </c>
      <c r="F1830" s="3"/>
      <c r="G1830" s="3"/>
      <c r="H1830" s="3"/>
      <c r="I1830" s="3"/>
      <c r="J1830" s="3"/>
      <c r="K1830" s="3"/>
      <c r="L1830" s="3" t="s">
        <v>88</v>
      </c>
      <c r="M1830" s="3">
        <v>60</v>
      </c>
      <c r="N1830" s="3" t="s">
        <v>267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87</v>
      </c>
      <c r="C1831" s="3" t="s">
        <v>594</v>
      </c>
      <c r="D1831" s="3"/>
      <c r="E1831" s="3" t="s">
        <v>594</v>
      </c>
      <c r="F1831" s="3"/>
      <c r="G1831" s="3"/>
      <c r="H1831" s="3"/>
      <c r="I1831" s="3"/>
      <c r="J1831" s="3"/>
      <c r="K1831" s="3"/>
      <c r="L1831" s="3" t="s">
        <v>88</v>
      </c>
      <c r="M1831" s="3">
        <v>70</v>
      </c>
      <c r="N1831" s="3" t="s">
        <v>109</v>
      </c>
      <c r="O1831" s="3"/>
      <c r="P1831" s="3"/>
      <c r="Q1831" s="3">
        <v>20.268999999999998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87</v>
      </c>
      <c r="C1832" s="3" t="s">
        <v>594</v>
      </c>
      <c r="D1832" s="3"/>
      <c r="E1832" s="3" t="s">
        <v>594</v>
      </c>
      <c r="F1832" s="3"/>
      <c r="G1832" s="3"/>
      <c r="H1832" s="3"/>
      <c r="I1832" s="3"/>
      <c r="J1832" s="3"/>
      <c r="K1832" s="3"/>
      <c r="L1832" s="3" t="s">
        <v>88</v>
      </c>
      <c r="M1832" s="3">
        <v>80</v>
      </c>
      <c r="N1832" s="3" t="s">
        <v>16</v>
      </c>
      <c r="O1832" s="3"/>
      <c r="P1832" s="3"/>
      <c r="Q1832" s="3">
        <v>125.593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87</v>
      </c>
      <c r="C1833" s="3" t="s">
        <v>594</v>
      </c>
      <c r="D1833" s="3"/>
      <c r="E1833" s="3" t="s">
        <v>594</v>
      </c>
      <c r="F1833" s="3"/>
      <c r="G1833" s="3"/>
      <c r="H1833" s="3"/>
      <c r="I1833" s="3"/>
      <c r="J1833" s="3"/>
      <c r="K1833" s="3"/>
      <c r="L1833" s="3" t="s">
        <v>88</v>
      </c>
      <c r="M1833" s="3">
        <v>90</v>
      </c>
      <c r="N1833" s="3" t="s">
        <v>265</v>
      </c>
      <c r="O1833" s="3"/>
      <c r="P1833" s="3"/>
      <c r="Q1833" s="3">
        <v>0.121</v>
      </c>
      <c r="R1833" s="3" t="s">
        <v>12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87</v>
      </c>
      <c r="C1834" s="3" t="s">
        <v>594</v>
      </c>
      <c r="D1834" s="3"/>
      <c r="E1834" s="3" t="s">
        <v>594</v>
      </c>
      <c r="F1834" s="3"/>
      <c r="G1834" s="3"/>
      <c r="H1834" s="3"/>
      <c r="I1834" s="3"/>
      <c r="J1834" s="3"/>
      <c r="K1834" s="3"/>
      <c r="L1834" s="3" t="s">
        <v>88</v>
      </c>
      <c r="M1834" s="3">
        <v>100</v>
      </c>
      <c r="N1834" s="3" t="s">
        <v>269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87</v>
      </c>
      <c r="C1835" s="3" t="s">
        <v>594</v>
      </c>
      <c r="D1835" s="3"/>
      <c r="E1835" s="3" t="s">
        <v>594</v>
      </c>
      <c r="F1835" s="3"/>
      <c r="G1835" s="3"/>
      <c r="H1835" s="3"/>
      <c r="I1835" s="3"/>
      <c r="J1835" s="3"/>
      <c r="K1835" s="3"/>
      <c r="L1835" s="3" t="s">
        <v>88</v>
      </c>
      <c r="M1835" s="3">
        <v>110</v>
      </c>
      <c r="N1835" s="3" t="s">
        <v>20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87</v>
      </c>
      <c r="C1836" s="3" t="s">
        <v>594</v>
      </c>
      <c r="D1836" s="3"/>
      <c r="E1836" s="3" t="s">
        <v>594</v>
      </c>
      <c r="F1836" s="3"/>
      <c r="G1836" s="3"/>
      <c r="H1836" s="3"/>
      <c r="I1836" s="3"/>
      <c r="J1836" s="3"/>
      <c r="K1836" s="3"/>
      <c r="L1836" s="3" t="s">
        <v>88</v>
      </c>
      <c r="M1836" s="3">
        <v>120</v>
      </c>
      <c r="N1836" s="3" t="s">
        <v>21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87</v>
      </c>
      <c r="C1837" s="3" t="s">
        <v>594</v>
      </c>
      <c r="D1837" s="3"/>
      <c r="E1837" s="3" t="s">
        <v>594</v>
      </c>
      <c r="F1837" s="3"/>
      <c r="G1837" s="3"/>
      <c r="H1837" s="3"/>
      <c r="I1837" s="3"/>
      <c r="J1837" s="3"/>
      <c r="K1837" s="3"/>
      <c r="L1837" s="3" t="s">
        <v>88</v>
      </c>
      <c r="M1837" s="3">
        <v>130</v>
      </c>
      <c r="N1837" s="3" t="s">
        <v>110</v>
      </c>
      <c r="O1837" s="3"/>
      <c r="P1837" s="3"/>
      <c r="Q1837" s="3">
        <v>0.86499999999999999</v>
      </c>
      <c r="R1837" s="3" t="s">
        <v>12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87</v>
      </c>
      <c r="C1838" s="3" t="s">
        <v>594</v>
      </c>
      <c r="D1838" s="3"/>
      <c r="E1838" s="3" t="s">
        <v>594</v>
      </c>
      <c r="F1838" s="3"/>
      <c r="G1838" s="3"/>
      <c r="H1838" s="3"/>
      <c r="I1838" s="3"/>
      <c r="J1838" s="3"/>
      <c r="K1838" s="3"/>
      <c r="L1838" s="3" t="s">
        <v>88</v>
      </c>
      <c r="M1838" s="3">
        <v>140</v>
      </c>
      <c r="N1838" s="3" t="s">
        <v>457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87</v>
      </c>
      <c r="C1839" s="3" t="s">
        <v>597</v>
      </c>
      <c r="D1839" s="3"/>
      <c r="E1839" s="3" t="s">
        <v>597</v>
      </c>
      <c r="F1839" s="3"/>
      <c r="G1839" s="3"/>
      <c r="H1839" s="3"/>
      <c r="I1839" s="3"/>
      <c r="J1839" s="3"/>
      <c r="K1839" s="3"/>
      <c r="L1839" s="3" t="s">
        <v>88</v>
      </c>
      <c r="M1839" s="3">
        <v>10</v>
      </c>
      <c r="N1839" s="3" t="s">
        <v>187</v>
      </c>
      <c r="O1839" s="3"/>
      <c r="P1839" s="3"/>
      <c r="Q1839" s="3">
        <v>1.4730000000000001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87</v>
      </c>
      <c r="C1840" s="3" t="s">
        <v>597</v>
      </c>
      <c r="D1840" s="3"/>
      <c r="E1840" s="3" t="s">
        <v>597</v>
      </c>
      <c r="F1840" s="3"/>
      <c r="G1840" s="3"/>
      <c r="H1840" s="3"/>
      <c r="I1840" s="3"/>
      <c r="J1840" s="3"/>
      <c r="K1840" s="3"/>
      <c r="L1840" s="3" t="s">
        <v>88</v>
      </c>
      <c r="M1840" s="3">
        <v>20</v>
      </c>
      <c r="N1840" s="3" t="s">
        <v>598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87</v>
      </c>
      <c r="C1841" s="3" t="s">
        <v>597</v>
      </c>
      <c r="D1841" s="3"/>
      <c r="E1841" s="3" t="s">
        <v>597</v>
      </c>
      <c r="F1841" s="3"/>
      <c r="G1841" s="3"/>
      <c r="H1841" s="3"/>
      <c r="I1841" s="3"/>
      <c r="J1841" s="3"/>
      <c r="K1841" s="3"/>
      <c r="L1841" s="3" t="s">
        <v>88</v>
      </c>
      <c r="M1841" s="3">
        <v>30</v>
      </c>
      <c r="N1841" s="3" t="s">
        <v>599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87</v>
      </c>
      <c r="C1842" s="3" t="s">
        <v>597</v>
      </c>
      <c r="D1842" s="3"/>
      <c r="E1842" s="3" t="s">
        <v>597</v>
      </c>
      <c r="F1842" s="3"/>
      <c r="G1842" s="3"/>
      <c r="H1842" s="3"/>
      <c r="I1842" s="3"/>
      <c r="J1842" s="3"/>
      <c r="K1842" s="3"/>
      <c r="L1842" s="3" t="s">
        <v>88</v>
      </c>
      <c r="M1842" s="3">
        <v>40</v>
      </c>
      <c r="N1842" s="3" t="s">
        <v>266</v>
      </c>
      <c r="O1842" s="3"/>
      <c r="P1842" s="3"/>
      <c r="Q1842" s="3">
        <v>1.4730000000000001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87</v>
      </c>
      <c r="C1843" s="3" t="s">
        <v>597</v>
      </c>
      <c r="D1843" s="3"/>
      <c r="E1843" s="3" t="s">
        <v>597</v>
      </c>
      <c r="F1843" s="3"/>
      <c r="G1843" s="3"/>
      <c r="H1843" s="3"/>
      <c r="I1843" s="3"/>
      <c r="J1843" s="3"/>
      <c r="K1843" s="3"/>
      <c r="L1843" s="3" t="s">
        <v>88</v>
      </c>
      <c r="M1843" s="3">
        <v>50</v>
      </c>
      <c r="N1843" s="3" t="s">
        <v>107</v>
      </c>
      <c r="O1843" s="3"/>
      <c r="P1843" s="3"/>
      <c r="Q1843" s="3">
        <v>0.9</v>
      </c>
      <c r="R1843" s="3" t="s">
        <v>108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87</v>
      </c>
      <c r="C1844" s="3" t="s">
        <v>597</v>
      </c>
      <c r="D1844" s="3"/>
      <c r="E1844" s="3" t="s">
        <v>597</v>
      </c>
      <c r="F1844" s="3"/>
      <c r="G1844" s="3"/>
      <c r="H1844" s="3"/>
      <c r="I1844" s="3"/>
      <c r="J1844" s="3"/>
      <c r="K1844" s="3"/>
      <c r="L1844" s="3" t="s">
        <v>88</v>
      </c>
      <c r="M1844" s="3">
        <v>60</v>
      </c>
      <c r="N1844" s="3" t="s">
        <v>267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87</v>
      </c>
      <c r="C1845" s="3" t="s">
        <v>597</v>
      </c>
      <c r="D1845" s="3"/>
      <c r="E1845" s="3" t="s">
        <v>597</v>
      </c>
      <c r="F1845" s="3"/>
      <c r="G1845" s="3"/>
      <c r="H1845" s="3"/>
      <c r="I1845" s="3"/>
      <c r="J1845" s="3"/>
      <c r="K1845" s="3"/>
      <c r="L1845" s="3" t="s">
        <v>88</v>
      </c>
      <c r="M1845" s="3">
        <v>70</v>
      </c>
      <c r="N1845" s="3" t="s">
        <v>109</v>
      </c>
      <c r="O1845" s="3"/>
      <c r="P1845" s="3"/>
      <c r="Q1845" s="3">
        <v>20.725999999999999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87</v>
      </c>
      <c r="C1846" s="3" t="s">
        <v>597</v>
      </c>
      <c r="D1846" s="3"/>
      <c r="E1846" s="3" t="s">
        <v>597</v>
      </c>
      <c r="F1846" s="3"/>
      <c r="G1846" s="3"/>
      <c r="H1846" s="3"/>
      <c r="I1846" s="3"/>
      <c r="J1846" s="3"/>
      <c r="K1846" s="3"/>
      <c r="L1846" s="3" t="s">
        <v>88</v>
      </c>
      <c r="M1846" s="3">
        <v>80</v>
      </c>
      <c r="N1846" s="3" t="s">
        <v>16</v>
      </c>
      <c r="O1846" s="3"/>
      <c r="P1846" s="3"/>
      <c r="Q1846" s="3">
        <v>128.405</v>
      </c>
      <c r="R1846" s="3" t="s">
        <v>14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87</v>
      </c>
      <c r="C1847" s="3" t="s">
        <v>597</v>
      </c>
      <c r="D1847" s="3"/>
      <c r="E1847" s="3" t="s">
        <v>597</v>
      </c>
      <c r="F1847" s="3"/>
      <c r="G1847" s="3"/>
      <c r="H1847" s="3"/>
      <c r="I1847" s="3"/>
      <c r="J1847" s="3"/>
      <c r="K1847" s="3"/>
      <c r="L1847" s="3" t="s">
        <v>88</v>
      </c>
      <c r="M1847" s="3">
        <v>90</v>
      </c>
      <c r="N1847" s="3" t="s">
        <v>265</v>
      </c>
      <c r="O1847" s="3"/>
      <c r="P1847" s="3"/>
      <c r="Q1847" s="3">
        <v>0.126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87</v>
      </c>
      <c r="C1848" s="3" t="s">
        <v>597</v>
      </c>
      <c r="D1848" s="3"/>
      <c r="E1848" s="3" t="s">
        <v>597</v>
      </c>
      <c r="F1848" s="3"/>
      <c r="G1848" s="3"/>
      <c r="H1848" s="3"/>
      <c r="I1848" s="3"/>
      <c r="J1848" s="3"/>
      <c r="K1848" s="3"/>
      <c r="L1848" s="3" t="s">
        <v>88</v>
      </c>
      <c r="M1848" s="3">
        <v>100</v>
      </c>
      <c r="N1848" s="3" t="s">
        <v>269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87</v>
      </c>
      <c r="C1849" s="3" t="s">
        <v>597</v>
      </c>
      <c r="D1849" s="3"/>
      <c r="E1849" s="3" t="s">
        <v>597</v>
      </c>
      <c r="F1849" s="3"/>
      <c r="G1849" s="3"/>
      <c r="H1849" s="3"/>
      <c r="I1849" s="3"/>
      <c r="J1849" s="3"/>
      <c r="K1849" s="3"/>
      <c r="L1849" s="3" t="s">
        <v>88</v>
      </c>
      <c r="M1849" s="3">
        <v>110</v>
      </c>
      <c r="N1849" s="3" t="s">
        <v>20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87</v>
      </c>
      <c r="C1850" s="3" t="s">
        <v>597</v>
      </c>
      <c r="D1850" s="3"/>
      <c r="E1850" s="3" t="s">
        <v>597</v>
      </c>
      <c r="F1850" s="3"/>
      <c r="G1850" s="3"/>
      <c r="H1850" s="3"/>
      <c r="I1850" s="3"/>
      <c r="J1850" s="3"/>
      <c r="K1850" s="3"/>
      <c r="L1850" s="3" t="s">
        <v>88</v>
      </c>
      <c r="M1850" s="3">
        <v>120</v>
      </c>
      <c r="N1850" s="3" t="s">
        <v>21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87</v>
      </c>
      <c r="C1851" s="3" t="s">
        <v>597</v>
      </c>
      <c r="D1851" s="3"/>
      <c r="E1851" s="3" t="s">
        <v>597</v>
      </c>
      <c r="F1851" s="3"/>
      <c r="G1851" s="3"/>
      <c r="H1851" s="3"/>
      <c r="I1851" s="3"/>
      <c r="J1851" s="3"/>
      <c r="K1851" s="3"/>
      <c r="L1851" s="3" t="s">
        <v>88</v>
      </c>
      <c r="M1851" s="3">
        <v>130</v>
      </c>
      <c r="N1851" s="3" t="s">
        <v>110</v>
      </c>
      <c r="O1851" s="3"/>
      <c r="P1851" s="3"/>
      <c r="Q1851" s="3">
        <v>0.90500000000000003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87</v>
      </c>
      <c r="C1852" s="3" t="s">
        <v>597</v>
      </c>
      <c r="D1852" s="3"/>
      <c r="E1852" s="3" t="s">
        <v>597</v>
      </c>
      <c r="F1852" s="3"/>
      <c r="G1852" s="3"/>
      <c r="H1852" s="3"/>
      <c r="I1852" s="3"/>
      <c r="J1852" s="3"/>
      <c r="K1852" s="3"/>
      <c r="L1852" s="3" t="s">
        <v>88</v>
      </c>
      <c r="M1852" s="3">
        <v>140</v>
      </c>
      <c r="N1852" s="3" t="s">
        <v>461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87</v>
      </c>
      <c r="C1853" s="3" t="s">
        <v>600</v>
      </c>
      <c r="D1853" s="3"/>
      <c r="E1853" s="3" t="s">
        <v>600</v>
      </c>
      <c r="F1853" s="3"/>
      <c r="G1853" s="3"/>
      <c r="H1853" s="3"/>
      <c r="I1853" s="3"/>
      <c r="J1853" s="3"/>
      <c r="K1853" s="3"/>
      <c r="L1853" s="3" t="s">
        <v>88</v>
      </c>
      <c r="M1853" s="3">
        <v>10</v>
      </c>
      <c r="N1853" s="3" t="s">
        <v>187</v>
      </c>
      <c r="O1853" s="3"/>
      <c r="P1853" s="3"/>
      <c r="Q1853" s="3">
        <v>1.6259999999999999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87</v>
      </c>
      <c r="C1854" s="3" t="s">
        <v>600</v>
      </c>
      <c r="D1854" s="3"/>
      <c r="E1854" s="3" t="s">
        <v>600</v>
      </c>
      <c r="F1854" s="3"/>
      <c r="G1854" s="3"/>
      <c r="H1854" s="3"/>
      <c r="I1854" s="3"/>
      <c r="J1854" s="3"/>
      <c r="K1854" s="3"/>
      <c r="L1854" s="3" t="s">
        <v>88</v>
      </c>
      <c r="M1854" s="3">
        <v>20</v>
      </c>
      <c r="N1854" s="3" t="s">
        <v>601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87</v>
      </c>
      <c r="C1855" s="3" t="s">
        <v>600</v>
      </c>
      <c r="D1855" s="3"/>
      <c r="E1855" s="3" t="s">
        <v>600</v>
      </c>
      <c r="F1855" s="3"/>
      <c r="G1855" s="3"/>
      <c r="H1855" s="3"/>
      <c r="I1855" s="3"/>
      <c r="J1855" s="3"/>
      <c r="K1855" s="3"/>
      <c r="L1855" s="3" t="s">
        <v>88</v>
      </c>
      <c r="M1855" s="3">
        <v>30</v>
      </c>
      <c r="N1855" s="3" t="s">
        <v>602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87</v>
      </c>
      <c r="C1856" s="3" t="s">
        <v>600</v>
      </c>
      <c r="D1856" s="3"/>
      <c r="E1856" s="3" t="s">
        <v>600</v>
      </c>
      <c r="F1856" s="3"/>
      <c r="G1856" s="3"/>
      <c r="H1856" s="3"/>
      <c r="I1856" s="3"/>
      <c r="J1856" s="3"/>
      <c r="K1856" s="3"/>
      <c r="L1856" s="3" t="s">
        <v>88</v>
      </c>
      <c r="M1856" s="3">
        <v>40</v>
      </c>
      <c r="N1856" s="3" t="s">
        <v>266</v>
      </c>
      <c r="O1856" s="3"/>
      <c r="P1856" s="3"/>
      <c r="Q1856" s="3">
        <v>1.6259999999999999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87</v>
      </c>
      <c r="C1857" s="3" t="s">
        <v>600</v>
      </c>
      <c r="D1857" s="3"/>
      <c r="E1857" s="3" t="s">
        <v>600</v>
      </c>
      <c r="F1857" s="3"/>
      <c r="G1857" s="3"/>
      <c r="H1857" s="3"/>
      <c r="I1857" s="3"/>
      <c r="J1857" s="3"/>
      <c r="K1857" s="3"/>
      <c r="L1857" s="3" t="s">
        <v>88</v>
      </c>
      <c r="M1857" s="3">
        <v>50</v>
      </c>
      <c r="N1857" s="3" t="s">
        <v>107</v>
      </c>
      <c r="O1857" s="3"/>
      <c r="P1857" s="3"/>
      <c r="Q1857" s="3">
        <v>0.995</v>
      </c>
      <c r="R1857" s="3" t="s">
        <v>108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87</v>
      </c>
      <c r="C1858" s="3" t="s">
        <v>600</v>
      </c>
      <c r="D1858" s="3"/>
      <c r="E1858" s="3" t="s">
        <v>600</v>
      </c>
      <c r="F1858" s="3"/>
      <c r="G1858" s="3"/>
      <c r="H1858" s="3"/>
      <c r="I1858" s="3"/>
      <c r="J1858" s="3"/>
      <c r="K1858" s="3"/>
      <c r="L1858" s="3" t="s">
        <v>88</v>
      </c>
      <c r="M1858" s="3">
        <v>60</v>
      </c>
      <c r="N1858" s="3" t="s">
        <v>267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87</v>
      </c>
      <c r="C1859" s="3" t="s">
        <v>600</v>
      </c>
      <c r="D1859" s="3"/>
      <c r="E1859" s="3" t="s">
        <v>600</v>
      </c>
      <c r="F1859" s="3"/>
      <c r="G1859" s="3"/>
      <c r="H1859" s="3"/>
      <c r="I1859" s="3"/>
      <c r="J1859" s="3"/>
      <c r="K1859" s="3"/>
      <c r="L1859" s="3" t="s">
        <v>88</v>
      </c>
      <c r="M1859" s="3">
        <v>70</v>
      </c>
      <c r="N1859" s="3" t="s">
        <v>109</v>
      </c>
      <c r="O1859" s="3"/>
      <c r="P1859" s="3"/>
      <c r="Q1859" s="3">
        <v>21.640999999999998</v>
      </c>
      <c r="R1859" s="3" t="s">
        <v>14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87</v>
      </c>
      <c r="C1860" s="3" t="s">
        <v>600</v>
      </c>
      <c r="D1860" s="3"/>
      <c r="E1860" s="3" t="s">
        <v>600</v>
      </c>
      <c r="F1860" s="3"/>
      <c r="G1860" s="3"/>
      <c r="H1860" s="3"/>
      <c r="I1860" s="3"/>
      <c r="J1860" s="3"/>
      <c r="K1860" s="3"/>
      <c r="L1860" s="3" t="s">
        <v>88</v>
      </c>
      <c r="M1860" s="3">
        <v>80</v>
      </c>
      <c r="N1860" s="3" t="s">
        <v>16</v>
      </c>
      <c r="O1860" s="3"/>
      <c r="P1860" s="3"/>
      <c r="Q1860" s="3">
        <v>134.02799999999999</v>
      </c>
      <c r="R1860" s="3" t="s">
        <v>14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87</v>
      </c>
      <c r="C1861" s="3" t="s">
        <v>600</v>
      </c>
      <c r="D1861" s="3"/>
      <c r="E1861" s="3" t="s">
        <v>600</v>
      </c>
      <c r="F1861" s="3"/>
      <c r="G1861" s="3"/>
      <c r="H1861" s="3"/>
      <c r="I1861" s="3"/>
      <c r="J1861" s="3"/>
      <c r="K1861" s="3"/>
      <c r="L1861" s="3" t="s">
        <v>88</v>
      </c>
      <c r="M1861" s="3">
        <v>90</v>
      </c>
      <c r="N1861" s="3" t="s">
        <v>265</v>
      </c>
      <c r="O1861" s="3"/>
      <c r="P1861" s="3"/>
      <c r="Q1861" s="3">
        <v>0.13700000000000001</v>
      </c>
      <c r="R1861" s="3" t="s">
        <v>12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87</v>
      </c>
      <c r="C1862" s="3" t="s">
        <v>600</v>
      </c>
      <c r="D1862" s="3"/>
      <c r="E1862" s="3" t="s">
        <v>600</v>
      </c>
      <c r="F1862" s="3"/>
      <c r="G1862" s="3"/>
      <c r="H1862" s="3"/>
      <c r="I1862" s="3"/>
      <c r="J1862" s="3"/>
      <c r="K1862" s="3"/>
      <c r="L1862" s="3" t="s">
        <v>88</v>
      </c>
      <c r="M1862" s="3">
        <v>100</v>
      </c>
      <c r="N1862" s="3" t="s">
        <v>269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87</v>
      </c>
      <c r="C1863" s="3" t="s">
        <v>600</v>
      </c>
      <c r="D1863" s="3"/>
      <c r="E1863" s="3" t="s">
        <v>600</v>
      </c>
      <c r="F1863" s="3"/>
      <c r="G1863" s="3"/>
      <c r="H1863" s="3"/>
      <c r="I1863" s="3"/>
      <c r="J1863" s="3"/>
      <c r="K1863" s="3"/>
      <c r="L1863" s="3" t="s">
        <v>88</v>
      </c>
      <c r="M1863" s="3">
        <v>110</v>
      </c>
      <c r="N1863" s="3" t="s">
        <v>20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87</v>
      </c>
      <c r="C1864" s="3" t="s">
        <v>600</v>
      </c>
      <c r="D1864" s="3"/>
      <c r="E1864" s="3" t="s">
        <v>600</v>
      </c>
      <c r="F1864" s="3"/>
      <c r="G1864" s="3"/>
      <c r="H1864" s="3"/>
      <c r="I1864" s="3"/>
      <c r="J1864" s="3"/>
      <c r="K1864" s="3"/>
      <c r="L1864" s="3" t="s">
        <v>88</v>
      </c>
      <c r="M1864" s="3">
        <v>120</v>
      </c>
      <c r="N1864" s="3" t="s">
        <v>21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87</v>
      </c>
      <c r="C1865" s="3" t="s">
        <v>600</v>
      </c>
      <c r="D1865" s="3"/>
      <c r="E1865" s="3" t="s">
        <v>600</v>
      </c>
      <c r="F1865" s="3"/>
      <c r="G1865" s="3"/>
      <c r="H1865" s="3"/>
      <c r="I1865" s="3"/>
      <c r="J1865" s="3"/>
      <c r="K1865" s="3"/>
      <c r="L1865" s="3" t="s">
        <v>88</v>
      </c>
      <c r="M1865" s="3">
        <v>130</v>
      </c>
      <c r="N1865" s="3" t="s">
        <v>110</v>
      </c>
      <c r="O1865" s="3"/>
      <c r="P1865" s="3"/>
      <c r="Q1865" s="3">
        <v>0.98599999999999999</v>
      </c>
      <c r="R1865" s="3" t="s">
        <v>12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87</v>
      </c>
      <c r="C1866" s="3" t="s">
        <v>600</v>
      </c>
      <c r="D1866" s="3"/>
      <c r="E1866" s="3" t="s">
        <v>600</v>
      </c>
      <c r="F1866" s="3"/>
      <c r="G1866" s="3"/>
      <c r="H1866" s="3"/>
      <c r="I1866" s="3"/>
      <c r="J1866" s="3"/>
      <c r="K1866" s="3"/>
      <c r="L1866" s="3" t="s">
        <v>88</v>
      </c>
      <c r="M1866" s="3">
        <v>140</v>
      </c>
      <c r="N1866" s="3" t="s">
        <v>465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87</v>
      </c>
      <c r="C1867" s="3" t="s">
        <v>603</v>
      </c>
      <c r="D1867" s="3"/>
      <c r="E1867" s="3" t="s">
        <v>603</v>
      </c>
      <c r="F1867" s="3"/>
      <c r="G1867" s="3"/>
      <c r="H1867" s="3"/>
      <c r="I1867" s="3"/>
      <c r="J1867" s="3"/>
      <c r="K1867" s="3"/>
      <c r="L1867" s="3" t="s">
        <v>88</v>
      </c>
      <c r="M1867" s="3">
        <v>10</v>
      </c>
      <c r="N1867" s="3" t="s">
        <v>187</v>
      </c>
      <c r="O1867" s="3"/>
      <c r="P1867" s="3"/>
      <c r="Q1867" s="3">
        <v>1.778</v>
      </c>
      <c r="R1867" s="3" t="s">
        <v>14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87</v>
      </c>
      <c r="C1868" s="3" t="s">
        <v>603</v>
      </c>
      <c r="D1868" s="3"/>
      <c r="E1868" s="3" t="s">
        <v>603</v>
      </c>
      <c r="F1868" s="3"/>
      <c r="G1868" s="3"/>
      <c r="H1868" s="3"/>
      <c r="I1868" s="3"/>
      <c r="J1868" s="3"/>
      <c r="K1868" s="3"/>
      <c r="L1868" s="3" t="s">
        <v>88</v>
      </c>
      <c r="M1868" s="3">
        <v>20</v>
      </c>
      <c r="N1868" s="3" t="s">
        <v>604</v>
      </c>
      <c r="O1868" s="3"/>
      <c r="P1868" s="3"/>
      <c r="Q1868" s="3">
        <v>1</v>
      </c>
      <c r="R1868" s="3" t="s">
        <v>11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87</v>
      </c>
      <c r="C1869" s="3" t="s">
        <v>603</v>
      </c>
      <c r="D1869" s="3"/>
      <c r="E1869" s="3" t="s">
        <v>603</v>
      </c>
      <c r="F1869" s="3"/>
      <c r="G1869" s="3"/>
      <c r="H1869" s="3"/>
      <c r="I1869" s="3"/>
      <c r="J1869" s="3"/>
      <c r="K1869" s="3"/>
      <c r="L1869" s="3" t="s">
        <v>88</v>
      </c>
      <c r="M1869" s="3">
        <v>30</v>
      </c>
      <c r="N1869" s="3" t="s">
        <v>605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87</v>
      </c>
      <c r="C1870" s="3" t="s">
        <v>603</v>
      </c>
      <c r="D1870" s="3"/>
      <c r="E1870" s="3" t="s">
        <v>603</v>
      </c>
      <c r="F1870" s="3"/>
      <c r="G1870" s="3"/>
      <c r="H1870" s="3"/>
      <c r="I1870" s="3"/>
      <c r="J1870" s="3"/>
      <c r="K1870" s="3"/>
      <c r="L1870" s="3" t="s">
        <v>88</v>
      </c>
      <c r="M1870" s="3">
        <v>40</v>
      </c>
      <c r="N1870" s="3" t="s">
        <v>266</v>
      </c>
      <c r="O1870" s="3"/>
      <c r="P1870" s="3"/>
      <c r="Q1870" s="3">
        <v>1.778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87</v>
      </c>
      <c r="C1871" s="3" t="s">
        <v>603</v>
      </c>
      <c r="D1871" s="3"/>
      <c r="E1871" s="3" t="s">
        <v>603</v>
      </c>
      <c r="F1871" s="3"/>
      <c r="G1871" s="3"/>
      <c r="H1871" s="3"/>
      <c r="I1871" s="3"/>
      <c r="J1871" s="3"/>
      <c r="K1871" s="3"/>
      <c r="L1871" s="3" t="s">
        <v>88</v>
      </c>
      <c r="M1871" s="3">
        <v>50</v>
      </c>
      <c r="N1871" s="3" t="s">
        <v>107</v>
      </c>
      <c r="O1871" s="3"/>
      <c r="P1871" s="3"/>
      <c r="Q1871" s="3">
        <v>1.0900000000000001</v>
      </c>
      <c r="R1871" s="3" t="s">
        <v>108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87</v>
      </c>
      <c r="C1872" s="3" t="s">
        <v>603</v>
      </c>
      <c r="D1872" s="3"/>
      <c r="E1872" s="3" t="s">
        <v>603</v>
      </c>
      <c r="F1872" s="3"/>
      <c r="G1872" s="3"/>
      <c r="H1872" s="3"/>
      <c r="I1872" s="3"/>
      <c r="J1872" s="3"/>
      <c r="K1872" s="3"/>
      <c r="L1872" s="3" t="s">
        <v>88</v>
      </c>
      <c r="M1872" s="3">
        <v>60</v>
      </c>
      <c r="N1872" s="3" t="s">
        <v>267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87</v>
      </c>
      <c r="C1873" s="3" t="s">
        <v>603</v>
      </c>
      <c r="D1873" s="3"/>
      <c r="E1873" s="3" t="s">
        <v>603</v>
      </c>
      <c r="F1873" s="3"/>
      <c r="G1873" s="3"/>
      <c r="H1873" s="3"/>
      <c r="I1873" s="3"/>
      <c r="J1873" s="3"/>
      <c r="K1873" s="3"/>
      <c r="L1873" s="3" t="s">
        <v>88</v>
      </c>
      <c r="M1873" s="3">
        <v>70</v>
      </c>
      <c r="N1873" s="3" t="s">
        <v>109</v>
      </c>
      <c r="O1873" s="3"/>
      <c r="P1873" s="3"/>
      <c r="Q1873" s="3">
        <v>22.555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87</v>
      </c>
      <c r="C1874" s="3" t="s">
        <v>603</v>
      </c>
      <c r="D1874" s="3"/>
      <c r="E1874" s="3" t="s">
        <v>603</v>
      </c>
      <c r="F1874" s="3"/>
      <c r="G1874" s="3"/>
      <c r="H1874" s="3"/>
      <c r="I1874" s="3"/>
      <c r="J1874" s="3"/>
      <c r="K1874" s="3"/>
      <c r="L1874" s="3" t="s">
        <v>88</v>
      </c>
      <c r="M1874" s="3">
        <v>80</v>
      </c>
      <c r="N1874" s="3" t="s">
        <v>16</v>
      </c>
      <c r="O1874" s="3"/>
      <c r="P1874" s="3"/>
      <c r="Q1874" s="3">
        <v>139.65199999999999</v>
      </c>
      <c r="R1874" s="3" t="s">
        <v>14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87</v>
      </c>
      <c r="C1875" s="3" t="s">
        <v>603</v>
      </c>
      <c r="D1875" s="3"/>
      <c r="E1875" s="3" t="s">
        <v>603</v>
      </c>
      <c r="F1875" s="3"/>
      <c r="G1875" s="3"/>
      <c r="H1875" s="3"/>
      <c r="I1875" s="3"/>
      <c r="J1875" s="3"/>
      <c r="K1875" s="3"/>
      <c r="L1875" s="3" t="s">
        <v>88</v>
      </c>
      <c r="M1875" s="3">
        <v>90</v>
      </c>
      <c r="N1875" s="3" t="s">
        <v>265</v>
      </c>
      <c r="O1875" s="3"/>
      <c r="P1875" s="3"/>
      <c r="Q1875" s="3">
        <v>0.14799999999999999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87</v>
      </c>
      <c r="C1876" s="3" t="s">
        <v>603</v>
      </c>
      <c r="D1876" s="3"/>
      <c r="E1876" s="3" t="s">
        <v>603</v>
      </c>
      <c r="F1876" s="3"/>
      <c r="G1876" s="3"/>
      <c r="H1876" s="3"/>
      <c r="I1876" s="3"/>
      <c r="J1876" s="3"/>
      <c r="K1876" s="3"/>
      <c r="L1876" s="3" t="s">
        <v>88</v>
      </c>
      <c r="M1876" s="3">
        <v>100</v>
      </c>
      <c r="N1876" s="3" t="s">
        <v>269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87</v>
      </c>
      <c r="C1877" s="3" t="s">
        <v>603</v>
      </c>
      <c r="D1877" s="3"/>
      <c r="E1877" s="3" t="s">
        <v>603</v>
      </c>
      <c r="F1877" s="3"/>
      <c r="G1877" s="3"/>
      <c r="H1877" s="3"/>
      <c r="I1877" s="3"/>
      <c r="J1877" s="3"/>
      <c r="K1877" s="3"/>
      <c r="L1877" s="3" t="s">
        <v>88</v>
      </c>
      <c r="M1877" s="3">
        <v>110</v>
      </c>
      <c r="N1877" s="3" t="s">
        <v>20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87</v>
      </c>
      <c r="C1878" s="3" t="s">
        <v>603</v>
      </c>
      <c r="D1878" s="3"/>
      <c r="E1878" s="3" t="s">
        <v>603</v>
      </c>
      <c r="F1878" s="3"/>
      <c r="G1878" s="3"/>
      <c r="H1878" s="3"/>
      <c r="I1878" s="3"/>
      <c r="J1878" s="3"/>
      <c r="K1878" s="3"/>
      <c r="L1878" s="3" t="s">
        <v>88</v>
      </c>
      <c r="M1878" s="3">
        <v>120</v>
      </c>
      <c r="N1878" s="3" t="s">
        <v>21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87</v>
      </c>
      <c r="C1879" s="3" t="s">
        <v>603</v>
      </c>
      <c r="D1879" s="3"/>
      <c r="E1879" s="3" t="s">
        <v>603</v>
      </c>
      <c r="F1879" s="3"/>
      <c r="G1879" s="3"/>
      <c r="H1879" s="3"/>
      <c r="I1879" s="3"/>
      <c r="J1879" s="3"/>
      <c r="K1879" s="3"/>
      <c r="L1879" s="3" t="s">
        <v>88</v>
      </c>
      <c r="M1879" s="3">
        <v>130</v>
      </c>
      <c r="N1879" s="3" t="s">
        <v>110</v>
      </c>
      <c r="O1879" s="3"/>
      <c r="P1879" s="3"/>
      <c r="Q1879" s="3">
        <v>1.0669999999999999</v>
      </c>
      <c r="R1879" s="3" t="s">
        <v>12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87</v>
      </c>
      <c r="C1880" s="3" t="s">
        <v>603</v>
      </c>
      <c r="D1880" s="3"/>
      <c r="E1880" s="3" t="s">
        <v>603</v>
      </c>
      <c r="F1880" s="3"/>
      <c r="G1880" s="3"/>
      <c r="H1880" s="3"/>
      <c r="I1880" s="3"/>
      <c r="J1880" s="3"/>
      <c r="K1880" s="3"/>
      <c r="L1880" s="3" t="s">
        <v>88</v>
      </c>
      <c r="M1880" s="3">
        <v>140</v>
      </c>
      <c r="N1880" s="3" t="s">
        <v>469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87</v>
      </c>
      <c r="C1881" s="3" t="s">
        <v>606</v>
      </c>
      <c r="D1881" s="3"/>
      <c r="E1881" s="3" t="s">
        <v>606</v>
      </c>
      <c r="F1881" s="3"/>
      <c r="G1881" s="3"/>
      <c r="H1881" s="3"/>
      <c r="I1881" s="3"/>
      <c r="J1881" s="3"/>
      <c r="K1881" s="3"/>
      <c r="L1881" s="3" t="s">
        <v>88</v>
      </c>
      <c r="M1881" s="3">
        <v>10</v>
      </c>
      <c r="N1881" s="3" t="s">
        <v>187</v>
      </c>
      <c r="O1881" s="3"/>
      <c r="P1881" s="3"/>
      <c r="Q1881" s="3">
        <v>0.86399999999999999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87</v>
      </c>
      <c r="C1882" s="3" t="s">
        <v>606</v>
      </c>
      <c r="D1882" s="3"/>
      <c r="E1882" s="3" t="s">
        <v>606</v>
      </c>
      <c r="F1882" s="3"/>
      <c r="G1882" s="3"/>
      <c r="H1882" s="3"/>
      <c r="I1882" s="3"/>
      <c r="J1882" s="3"/>
      <c r="K1882" s="3"/>
      <c r="L1882" s="3" t="s">
        <v>88</v>
      </c>
      <c r="M1882" s="3">
        <v>20</v>
      </c>
      <c r="N1882" s="3" t="s">
        <v>607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87</v>
      </c>
      <c r="C1883" s="3" t="s">
        <v>606</v>
      </c>
      <c r="D1883" s="3"/>
      <c r="E1883" s="3" t="s">
        <v>606</v>
      </c>
      <c r="F1883" s="3"/>
      <c r="G1883" s="3"/>
      <c r="H1883" s="3"/>
      <c r="I1883" s="3"/>
      <c r="J1883" s="3"/>
      <c r="K1883" s="3"/>
      <c r="L1883" s="3" t="s">
        <v>88</v>
      </c>
      <c r="M1883" s="3">
        <v>30</v>
      </c>
      <c r="N1883" s="3" t="s">
        <v>608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87</v>
      </c>
      <c r="C1884" s="3" t="s">
        <v>606</v>
      </c>
      <c r="D1884" s="3"/>
      <c r="E1884" s="3" t="s">
        <v>606</v>
      </c>
      <c r="F1884" s="3"/>
      <c r="G1884" s="3"/>
      <c r="H1884" s="3"/>
      <c r="I1884" s="3"/>
      <c r="J1884" s="3"/>
      <c r="K1884" s="3"/>
      <c r="L1884" s="3" t="s">
        <v>88</v>
      </c>
      <c r="M1884" s="3">
        <v>40</v>
      </c>
      <c r="N1884" s="3" t="s">
        <v>266</v>
      </c>
      <c r="O1884" s="3"/>
      <c r="P1884" s="3"/>
      <c r="Q1884" s="3">
        <v>0.86399999999999999</v>
      </c>
      <c r="R1884" s="3" t="s">
        <v>14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87</v>
      </c>
      <c r="C1885" s="3" t="s">
        <v>606</v>
      </c>
      <c r="D1885" s="3"/>
      <c r="E1885" s="3" t="s">
        <v>606</v>
      </c>
      <c r="F1885" s="3"/>
      <c r="G1885" s="3"/>
      <c r="H1885" s="3"/>
      <c r="I1885" s="3"/>
      <c r="J1885" s="3"/>
      <c r="K1885" s="3"/>
      <c r="L1885" s="3" t="s">
        <v>88</v>
      </c>
      <c r="M1885" s="3">
        <v>50</v>
      </c>
      <c r="N1885" s="3" t="s">
        <v>107</v>
      </c>
      <c r="O1885" s="3"/>
      <c r="P1885" s="3"/>
      <c r="Q1885" s="3">
        <v>0.53500000000000003</v>
      </c>
      <c r="R1885" s="3" t="s">
        <v>108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87</v>
      </c>
      <c r="C1886" s="3" t="s">
        <v>606</v>
      </c>
      <c r="D1886" s="3"/>
      <c r="E1886" s="3" t="s">
        <v>606</v>
      </c>
      <c r="F1886" s="3"/>
      <c r="G1886" s="3"/>
      <c r="H1886" s="3"/>
      <c r="I1886" s="3"/>
      <c r="J1886" s="3"/>
      <c r="K1886" s="3"/>
      <c r="L1886" s="3" t="s">
        <v>88</v>
      </c>
      <c r="M1886" s="3">
        <v>60</v>
      </c>
      <c r="N1886" s="3" t="s">
        <v>267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87</v>
      </c>
      <c r="C1887" s="3" t="s">
        <v>606</v>
      </c>
      <c r="D1887" s="3"/>
      <c r="E1887" s="3" t="s">
        <v>606</v>
      </c>
      <c r="F1887" s="3"/>
      <c r="G1887" s="3"/>
      <c r="H1887" s="3"/>
      <c r="I1887" s="3"/>
      <c r="J1887" s="3"/>
      <c r="K1887" s="3"/>
      <c r="L1887" s="3" t="s">
        <v>88</v>
      </c>
      <c r="M1887" s="3">
        <v>70</v>
      </c>
      <c r="N1887" s="3" t="s">
        <v>109</v>
      </c>
      <c r="O1887" s="3"/>
      <c r="P1887" s="3"/>
      <c r="Q1887" s="3">
        <v>17.373999999999999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87</v>
      </c>
      <c r="C1888" s="3" t="s">
        <v>606</v>
      </c>
      <c r="D1888" s="3"/>
      <c r="E1888" s="3" t="s">
        <v>606</v>
      </c>
      <c r="F1888" s="3"/>
      <c r="G1888" s="3"/>
      <c r="H1888" s="3"/>
      <c r="I1888" s="3"/>
      <c r="J1888" s="3"/>
      <c r="K1888" s="3"/>
      <c r="L1888" s="3" t="s">
        <v>88</v>
      </c>
      <c r="M1888" s="3">
        <v>80</v>
      </c>
      <c r="N1888" s="3" t="s">
        <v>16</v>
      </c>
      <c r="O1888" s="3"/>
      <c r="P1888" s="3"/>
      <c r="Q1888" s="3">
        <v>107.785</v>
      </c>
      <c r="R1888" s="3" t="s">
        <v>14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87</v>
      </c>
      <c r="C1889" s="3" t="s">
        <v>606</v>
      </c>
      <c r="D1889" s="3"/>
      <c r="E1889" s="3" t="s">
        <v>606</v>
      </c>
      <c r="F1889" s="3"/>
      <c r="G1889" s="3"/>
      <c r="H1889" s="3"/>
      <c r="I1889" s="3"/>
      <c r="J1889" s="3"/>
      <c r="K1889" s="3"/>
      <c r="L1889" s="3" t="s">
        <v>88</v>
      </c>
      <c r="M1889" s="3">
        <v>90</v>
      </c>
      <c r="N1889" s="3" t="s">
        <v>265</v>
      </c>
      <c r="O1889" s="3"/>
      <c r="P1889" s="3"/>
      <c r="Q1889" s="3">
        <v>8.4000000000000005E-2</v>
      </c>
      <c r="R1889" s="3" t="s">
        <v>12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87</v>
      </c>
      <c r="C1890" s="3" t="s">
        <v>606</v>
      </c>
      <c r="D1890" s="3"/>
      <c r="E1890" s="3" t="s">
        <v>606</v>
      </c>
      <c r="F1890" s="3"/>
      <c r="G1890" s="3"/>
      <c r="H1890" s="3"/>
      <c r="I1890" s="3"/>
      <c r="J1890" s="3"/>
      <c r="K1890" s="3"/>
      <c r="L1890" s="3" t="s">
        <v>88</v>
      </c>
      <c r="M1890" s="3">
        <v>100</v>
      </c>
      <c r="N1890" s="3" t="s">
        <v>269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87</v>
      </c>
      <c r="C1891" s="3" t="s">
        <v>606</v>
      </c>
      <c r="D1891" s="3"/>
      <c r="E1891" s="3" t="s">
        <v>606</v>
      </c>
      <c r="F1891" s="3"/>
      <c r="G1891" s="3"/>
      <c r="H1891" s="3"/>
      <c r="I1891" s="3"/>
      <c r="J1891" s="3"/>
      <c r="K1891" s="3"/>
      <c r="L1891" s="3" t="s">
        <v>88</v>
      </c>
      <c r="M1891" s="3">
        <v>110</v>
      </c>
      <c r="N1891" s="3" t="s">
        <v>20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87</v>
      </c>
      <c r="C1892" s="3" t="s">
        <v>606</v>
      </c>
      <c r="D1892" s="3"/>
      <c r="E1892" s="3" t="s">
        <v>606</v>
      </c>
      <c r="F1892" s="3"/>
      <c r="G1892" s="3"/>
      <c r="H1892" s="3"/>
      <c r="I1892" s="3"/>
      <c r="J1892" s="3"/>
      <c r="K1892" s="3"/>
      <c r="L1892" s="3" t="s">
        <v>88</v>
      </c>
      <c r="M1892" s="3">
        <v>120</v>
      </c>
      <c r="N1892" s="3" t="s">
        <v>21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87</v>
      </c>
      <c r="C1893" s="3" t="s">
        <v>606</v>
      </c>
      <c r="D1893" s="3"/>
      <c r="E1893" s="3" t="s">
        <v>606</v>
      </c>
      <c r="F1893" s="3"/>
      <c r="G1893" s="3"/>
      <c r="H1893" s="3"/>
      <c r="I1893" s="3"/>
      <c r="J1893" s="3"/>
      <c r="K1893" s="3"/>
      <c r="L1893" s="3" t="s">
        <v>88</v>
      </c>
      <c r="M1893" s="3">
        <v>130</v>
      </c>
      <c r="N1893" s="3" t="s">
        <v>110</v>
      </c>
      <c r="O1893" s="3"/>
      <c r="P1893" s="3"/>
      <c r="Q1893" s="3">
        <v>1.216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87</v>
      </c>
      <c r="C1894" s="3" t="s">
        <v>606</v>
      </c>
      <c r="D1894" s="3"/>
      <c r="E1894" s="3" t="s">
        <v>606</v>
      </c>
      <c r="F1894" s="3"/>
      <c r="G1894" s="3"/>
      <c r="H1894" s="3"/>
      <c r="I1894" s="3"/>
      <c r="J1894" s="3"/>
      <c r="K1894" s="3"/>
      <c r="L1894" s="3" t="s">
        <v>88</v>
      </c>
      <c r="M1894" s="3">
        <v>140</v>
      </c>
      <c r="N1894" s="3" t="s">
        <v>473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87</v>
      </c>
      <c r="C1895" s="3" t="s">
        <v>609</v>
      </c>
      <c r="D1895" s="3"/>
      <c r="E1895" s="3" t="s">
        <v>609</v>
      </c>
      <c r="F1895" s="3"/>
      <c r="G1895" s="3"/>
      <c r="H1895" s="3"/>
      <c r="I1895" s="3"/>
      <c r="J1895" s="3"/>
      <c r="K1895" s="3"/>
      <c r="L1895" s="3" t="s">
        <v>88</v>
      </c>
      <c r="M1895" s="3">
        <v>10</v>
      </c>
      <c r="N1895" s="3" t="s">
        <v>187</v>
      </c>
      <c r="O1895" s="3"/>
      <c r="P1895" s="3"/>
      <c r="Q1895" s="3">
        <v>1.016</v>
      </c>
      <c r="R1895" s="3" t="s">
        <v>14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87</v>
      </c>
      <c r="C1896" s="3" t="s">
        <v>609</v>
      </c>
      <c r="D1896" s="3"/>
      <c r="E1896" s="3" t="s">
        <v>609</v>
      </c>
      <c r="F1896" s="3"/>
      <c r="G1896" s="3"/>
      <c r="H1896" s="3"/>
      <c r="I1896" s="3"/>
      <c r="J1896" s="3"/>
      <c r="K1896" s="3"/>
      <c r="L1896" s="3" t="s">
        <v>88</v>
      </c>
      <c r="M1896" s="3">
        <v>20</v>
      </c>
      <c r="N1896" s="3" t="s">
        <v>610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87</v>
      </c>
      <c r="C1897" s="3" t="s">
        <v>609</v>
      </c>
      <c r="D1897" s="3"/>
      <c r="E1897" s="3" t="s">
        <v>609</v>
      </c>
      <c r="F1897" s="3"/>
      <c r="G1897" s="3"/>
      <c r="H1897" s="3"/>
      <c r="I1897" s="3"/>
      <c r="J1897" s="3"/>
      <c r="K1897" s="3"/>
      <c r="L1897" s="3" t="s">
        <v>88</v>
      </c>
      <c r="M1897" s="3">
        <v>30</v>
      </c>
      <c r="N1897" s="3" t="s">
        <v>611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87</v>
      </c>
      <c r="C1898" s="3" t="s">
        <v>609</v>
      </c>
      <c r="D1898" s="3"/>
      <c r="E1898" s="3" t="s">
        <v>609</v>
      </c>
      <c r="F1898" s="3"/>
      <c r="G1898" s="3"/>
      <c r="H1898" s="3"/>
      <c r="I1898" s="3"/>
      <c r="J1898" s="3"/>
      <c r="K1898" s="3"/>
      <c r="L1898" s="3" t="s">
        <v>88</v>
      </c>
      <c r="M1898" s="3">
        <v>40</v>
      </c>
      <c r="N1898" s="3" t="s">
        <v>266</v>
      </c>
      <c r="O1898" s="3"/>
      <c r="P1898" s="3"/>
      <c r="Q1898" s="3">
        <v>1.016</v>
      </c>
      <c r="R1898" s="3" t="s">
        <v>14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87</v>
      </c>
      <c r="C1899" s="3" t="s">
        <v>609</v>
      </c>
      <c r="D1899" s="3"/>
      <c r="E1899" s="3" t="s">
        <v>609</v>
      </c>
      <c r="F1899" s="3"/>
      <c r="G1899" s="3"/>
      <c r="H1899" s="3"/>
      <c r="I1899" s="3"/>
      <c r="J1899" s="3"/>
      <c r="K1899" s="3"/>
      <c r="L1899" s="3" t="s">
        <v>88</v>
      </c>
      <c r="M1899" s="3">
        <v>50</v>
      </c>
      <c r="N1899" s="3" t="s">
        <v>107</v>
      </c>
      <c r="O1899" s="3"/>
      <c r="P1899" s="3"/>
      <c r="Q1899" s="3">
        <v>0.63200000000000001</v>
      </c>
      <c r="R1899" s="3" t="s">
        <v>108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87</v>
      </c>
      <c r="C1900" s="3" t="s">
        <v>609</v>
      </c>
      <c r="D1900" s="3"/>
      <c r="E1900" s="3" t="s">
        <v>609</v>
      </c>
      <c r="F1900" s="3"/>
      <c r="G1900" s="3"/>
      <c r="H1900" s="3"/>
      <c r="I1900" s="3"/>
      <c r="J1900" s="3"/>
      <c r="K1900" s="3"/>
      <c r="L1900" s="3" t="s">
        <v>88</v>
      </c>
      <c r="M1900" s="3">
        <v>60</v>
      </c>
      <c r="N1900" s="3" t="s">
        <v>267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87</v>
      </c>
      <c r="C1901" s="3" t="s">
        <v>609</v>
      </c>
      <c r="D1901" s="3"/>
      <c r="E1901" s="3" t="s">
        <v>609</v>
      </c>
      <c r="F1901" s="3"/>
      <c r="G1901" s="3"/>
      <c r="H1901" s="3"/>
      <c r="I1901" s="3"/>
      <c r="J1901" s="3"/>
      <c r="K1901" s="3"/>
      <c r="L1901" s="3" t="s">
        <v>88</v>
      </c>
      <c r="M1901" s="3">
        <v>70</v>
      </c>
      <c r="N1901" s="3" t="s">
        <v>109</v>
      </c>
      <c r="O1901" s="3"/>
      <c r="P1901" s="3"/>
      <c r="Q1901" s="3">
        <v>18.288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87</v>
      </c>
      <c r="C1902" s="3" t="s">
        <v>609</v>
      </c>
      <c r="D1902" s="3"/>
      <c r="E1902" s="3" t="s">
        <v>609</v>
      </c>
      <c r="F1902" s="3"/>
      <c r="G1902" s="3"/>
      <c r="H1902" s="3"/>
      <c r="I1902" s="3"/>
      <c r="J1902" s="3"/>
      <c r="K1902" s="3"/>
      <c r="L1902" s="3" t="s">
        <v>88</v>
      </c>
      <c r="M1902" s="3">
        <v>80</v>
      </c>
      <c r="N1902" s="3" t="s">
        <v>16</v>
      </c>
      <c r="O1902" s="3"/>
      <c r="P1902" s="3"/>
      <c r="Q1902" s="3">
        <v>113.408</v>
      </c>
      <c r="R1902" s="3" t="s">
        <v>14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87</v>
      </c>
      <c r="C1903" s="3" t="s">
        <v>609</v>
      </c>
      <c r="D1903" s="3"/>
      <c r="E1903" s="3" t="s">
        <v>609</v>
      </c>
      <c r="F1903" s="3"/>
      <c r="G1903" s="3"/>
      <c r="H1903" s="3"/>
      <c r="I1903" s="3"/>
      <c r="J1903" s="3"/>
      <c r="K1903" s="3"/>
      <c r="L1903" s="3" t="s">
        <v>88</v>
      </c>
      <c r="M1903" s="3">
        <v>90</v>
      </c>
      <c r="N1903" s="3" t="s">
        <v>265</v>
      </c>
      <c r="O1903" s="3"/>
      <c r="P1903" s="3"/>
      <c r="Q1903" s="3">
        <v>9.4E-2</v>
      </c>
      <c r="R1903" s="3" t="s">
        <v>12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87</v>
      </c>
      <c r="C1904" s="3" t="s">
        <v>609</v>
      </c>
      <c r="D1904" s="3"/>
      <c r="E1904" s="3" t="s">
        <v>609</v>
      </c>
      <c r="F1904" s="3"/>
      <c r="G1904" s="3"/>
      <c r="H1904" s="3"/>
      <c r="I1904" s="3"/>
      <c r="J1904" s="3"/>
      <c r="K1904" s="3"/>
      <c r="L1904" s="3" t="s">
        <v>88</v>
      </c>
      <c r="M1904" s="3">
        <v>100</v>
      </c>
      <c r="N1904" s="3" t="s">
        <v>269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87</v>
      </c>
      <c r="C1905" s="3" t="s">
        <v>609</v>
      </c>
      <c r="D1905" s="3"/>
      <c r="E1905" s="3" t="s">
        <v>609</v>
      </c>
      <c r="F1905" s="3"/>
      <c r="G1905" s="3"/>
      <c r="H1905" s="3"/>
      <c r="I1905" s="3"/>
      <c r="J1905" s="3"/>
      <c r="K1905" s="3"/>
      <c r="L1905" s="3" t="s">
        <v>88</v>
      </c>
      <c r="M1905" s="3">
        <v>110</v>
      </c>
      <c r="N1905" s="3" t="s">
        <v>20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87</v>
      </c>
      <c r="C1906" s="3" t="s">
        <v>609</v>
      </c>
      <c r="D1906" s="3"/>
      <c r="E1906" s="3" t="s">
        <v>609</v>
      </c>
      <c r="F1906" s="3"/>
      <c r="G1906" s="3"/>
      <c r="H1906" s="3"/>
      <c r="I1906" s="3"/>
      <c r="J1906" s="3"/>
      <c r="K1906" s="3"/>
      <c r="L1906" s="3" t="s">
        <v>88</v>
      </c>
      <c r="M1906" s="3">
        <v>120</v>
      </c>
      <c r="N1906" s="3" t="s">
        <v>21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87</v>
      </c>
      <c r="C1907" s="3" t="s">
        <v>609</v>
      </c>
      <c r="D1907" s="3"/>
      <c r="E1907" s="3" t="s">
        <v>609</v>
      </c>
      <c r="F1907" s="3"/>
      <c r="G1907" s="3"/>
      <c r="H1907" s="3"/>
      <c r="I1907" s="3"/>
      <c r="J1907" s="3"/>
      <c r="K1907" s="3"/>
      <c r="L1907" s="3" t="s">
        <v>88</v>
      </c>
      <c r="M1907" s="3">
        <v>130</v>
      </c>
      <c r="N1907" s="3" t="s">
        <v>110</v>
      </c>
      <c r="O1907" s="3"/>
      <c r="P1907" s="3"/>
      <c r="Q1907" s="3">
        <v>1.216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87</v>
      </c>
      <c r="C1908" s="3" t="s">
        <v>609</v>
      </c>
      <c r="D1908" s="3"/>
      <c r="E1908" s="3" t="s">
        <v>609</v>
      </c>
      <c r="F1908" s="3"/>
      <c r="G1908" s="3"/>
      <c r="H1908" s="3"/>
      <c r="I1908" s="3"/>
      <c r="J1908" s="3"/>
      <c r="K1908" s="3"/>
      <c r="L1908" s="3" t="s">
        <v>88</v>
      </c>
      <c r="M1908" s="3">
        <v>140</v>
      </c>
      <c r="N1908" s="3" t="s">
        <v>477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87</v>
      </c>
      <c r="C1909" s="3" t="s">
        <v>612</v>
      </c>
      <c r="D1909" s="3"/>
      <c r="E1909" s="3" t="s">
        <v>612</v>
      </c>
      <c r="F1909" s="3"/>
      <c r="G1909" s="3"/>
      <c r="H1909" s="3"/>
      <c r="I1909" s="3"/>
      <c r="J1909" s="3"/>
      <c r="K1909" s="3"/>
      <c r="L1909" s="3" t="s">
        <v>88</v>
      </c>
      <c r="M1909" s="3">
        <v>10</v>
      </c>
      <c r="N1909" s="3" t="s">
        <v>187</v>
      </c>
      <c r="O1909" s="3"/>
      <c r="P1909" s="3"/>
      <c r="Q1909" s="3">
        <v>1.1679999999999999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87</v>
      </c>
      <c r="C1910" s="3" t="s">
        <v>612</v>
      </c>
      <c r="D1910" s="3"/>
      <c r="E1910" s="3" t="s">
        <v>612</v>
      </c>
      <c r="F1910" s="3"/>
      <c r="G1910" s="3"/>
      <c r="H1910" s="3"/>
      <c r="I1910" s="3"/>
      <c r="J1910" s="3"/>
      <c r="K1910" s="3"/>
      <c r="L1910" s="3" t="s">
        <v>88</v>
      </c>
      <c r="M1910" s="3">
        <v>20</v>
      </c>
      <c r="N1910" s="3" t="s">
        <v>613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87</v>
      </c>
      <c r="C1911" s="3" t="s">
        <v>612</v>
      </c>
      <c r="D1911" s="3"/>
      <c r="E1911" s="3" t="s">
        <v>612</v>
      </c>
      <c r="F1911" s="3"/>
      <c r="G1911" s="3"/>
      <c r="H1911" s="3"/>
      <c r="I1911" s="3"/>
      <c r="J1911" s="3"/>
      <c r="K1911" s="3"/>
      <c r="L1911" s="3" t="s">
        <v>88</v>
      </c>
      <c r="M1911" s="3">
        <v>30</v>
      </c>
      <c r="N1911" s="3" t="s">
        <v>614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87</v>
      </c>
      <c r="C1912" s="3" t="s">
        <v>612</v>
      </c>
      <c r="D1912" s="3"/>
      <c r="E1912" s="3" t="s">
        <v>612</v>
      </c>
      <c r="F1912" s="3"/>
      <c r="G1912" s="3"/>
      <c r="H1912" s="3"/>
      <c r="I1912" s="3"/>
      <c r="J1912" s="3"/>
      <c r="K1912" s="3"/>
      <c r="L1912" s="3" t="s">
        <v>88</v>
      </c>
      <c r="M1912" s="3">
        <v>40</v>
      </c>
      <c r="N1912" s="3" t="s">
        <v>266</v>
      </c>
      <c r="O1912" s="3"/>
      <c r="P1912" s="3"/>
      <c r="Q1912" s="3">
        <v>1.1679999999999999</v>
      </c>
      <c r="R1912" s="3" t="s">
        <v>14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87</v>
      </c>
      <c r="C1913" s="3" t="s">
        <v>612</v>
      </c>
      <c r="D1913" s="3"/>
      <c r="E1913" s="3" t="s">
        <v>612</v>
      </c>
      <c r="F1913" s="3"/>
      <c r="G1913" s="3"/>
      <c r="H1913" s="3"/>
      <c r="I1913" s="3"/>
      <c r="J1913" s="3"/>
      <c r="K1913" s="3"/>
      <c r="L1913" s="3" t="s">
        <v>88</v>
      </c>
      <c r="M1913" s="3">
        <v>50</v>
      </c>
      <c r="N1913" s="3" t="s">
        <v>107</v>
      </c>
      <c r="O1913" s="3"/>
      <c r="P1913" s="3"/>
      <c r="Q1913" s="3">
        <v>0.72899999999999998</v>
      </c>
      <c r="R1913" s="3" t="s">
        <v>108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87</v>
      </c>
      <c r="C1914" s="3" t="s">
        <v>612</v>
      </c>
      <c r="D1914" s="3"/>
      <c r="E1914" s="3" t="s">
        <v>612</v>
      </c>
      <c r="F1914" s="3"/>
      <c r="G1914" s="3"/>
      <c r="H1914" s="3"/>
      <c r="I1914" s="3"/>
      <c r="J1914" s="3"/>
      <c r="K1914" s="3"/>
      <c r="L1914" s="3" t="s">
        <v>88</v>
      </c>
      <c r="M1914" s="3">
        <v>60</v>
      </c>
      <c r="N1914" s="3" t="s">
        <v>267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87</v>
      </c>
      <c r="C1915" s="3" t="s">
        <v>612</v>
      </c>
      <c r="D1915" s="3"/>
      <c r="E1915" s="3" t="s">
        <v>612</v>
      </c>
      <c r="F1915" s="3"/>
      <c r="G1915" s="3"/>
      <c r="H1915" s="3"/>
      <c r="I1915" s="3"/>
      <c r="J1915" s="3"/>
      <c r="K1915" s="3"/>
      <c r="L1915" s="3" t="s">
        <v>88</v>
      </c>
      <c r="M1915" s="3">
        <v>70</v>
      </c>
      <c r="N1915" s="3" t="s">
        <v>109</v>
      </c>
      <c r="O1915" s="3"/>
      <c r="P1915" s="3"/>
      <c r="Q1915" s="3">
        <v>19.202000000000002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87</v>
      </c>
      <c r="C1916" s="3" t="s">
        <v>612</v>
      </c>
      <c r="D1916" s="3"/>
      <c r="E1916" s="3" t="s">
        <v>612</v>
      </c>
      <c r="F1916" s="3"/>
      <c r="G1916" s="3"/>
      <c r="H1916" s="3"/>
      <c r="I1916" s="3"/>
      <c r="J1916" s="3"/>
      <c r="K1916" s="3"/>
      <c r="L1916" s="3" t="s">
        <v>88</v>
      </c>
      <c r="M1916" s="3">
        <v>80</v>
      </c>
      <c r="N1916" s="3" t="s">
        <v>16</v>
      </c>
      <c r="O1916" s="3"/>
      <c r="P1916" s="3"/>
      <c r="Q1916" s="3">
        <v>119.032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87</v>
      </c>
      <c r="C1917" s="3" t="s">
        <v>612</v>
      </c>
      <c r="D1917" s="3"/>
      <c r="E1917" s="3" t="s">
        <v>612</v>
      </c>
      <c r="F1917" s="3"/>
      <c r="G1917" s="3"/>
      <c r="H1917" s="3"/>
      <c r="I1917" s="3"/>
      <c r="J1917" s="3"/>
      <c r="K1917" s="3"/>
      <c r="L1917" s="3" t="s">
        <v>88</v>
      </c>
      <c r="M1917" s="3">
        <v>90</v>
      </c>
      <c r="N1917" s="3" t="s">
        <v>265</v>
      </c>
      <c r="O1917" s="3"/>
      <c r="P1917" s="3"/>
      <c r="Q1917" s="3">
        <v>0.105</v>
      </c>
      <c r="R1917" s="3" t="s">
        <v>12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87</v>
      </c>
      <c r="C1918" s="3" t="s">
        <v>612</v>
      </c>
      <c r="D1918" s="3"/>
      <c r="E1918" s="3" t="s">
        <v>612</v>
      </c>
      <c r="F1918" s="3"/>
      <c r="G1918" s="3"/>
      <c r="H1918" s="3"/>
      <c r="I1918" s="3"/>
      <c r="J1918" s="3"/>
      <c r="K1918" s="3"/>
      <c r="L1918" s="3" t="s">
        <v>88</v>
      </c>
      <c r="M1918" s="3">
        <v>100</v>
      </c>
      <c r="N1918" s="3" t="s">
        <v>269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87</v>
      </c>
      <c r="C1919" s="3" t="s">
        <v>612</v>
      </c>
      <c r="D1919" s="3"/>
      <c r="E1919" s="3" t="s">
        <v>612</v>
      </c>
      <c r="F1919" s="3"/>
      <c r="G1919" s="3"/>
      <c r="H1919" s="3"/>
      <c r="I1919" s="3"/>
      <c r="J1919" s="3"/>
      <c r="K1919" s="3"/>
      <c r="L1919" s="3" t="s">
        <v>88</v>
      </c>
      <c r="M1919" s="3">
        <v>110</v>
      </c>
      <c r="N1919" s="3" t="s">
        <v>20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87</v>
      </c>
      <c r="C1920" s="3" t="s">
        <v>612</v>
      </c>
      <c r="D1920" s="3"/>
      <c r="E1920" s="3" t="s">
        <v>612</v>
      </c>
      <c r="F1920" s="3"/>
      <c r="G1920" s="3"/>
      <c r="H1920" s="3"/>
      <c r="I1920" s="3"/>
      <c r="J1920" s="3"/>
      <c r="K1920" s="3"/>
      <c r="L1920" s="3" t="s">
        <v>88</v>
      </c>
      <c r="M1920" s="3">
        <v>120</v>
      </c>
      <c r="N1920" s="3" t="s">
        <v>21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87</v>
      </c>
      <c r="C1921" s="3" t="s">
        <v>612</v>
      </c>
      <c r="D1921" s="3"/>
      <c r="E1921" s="3" t="s">
        <v>612</v>
      </c>
      <c r="F1921" s="3"/>
      <c r="G1921" s="3"/>
      <c r="H1921" s="3"/>
      <c r="I1921" s="3"/>
      <c r="J1921" s="3"/>
      <c r="K1921" s="3"/>
      <c r="L1921" s="3" t="s">
        <v>88</v>
      </c>
      <c r="M1921" s="3">
        <v>130</v>
      </c>
      <c r="N1921" s="3" t="s">
        <v>110</v>
      </c>
      <c r="O1921" s="3"/>
      <c r="P1921" s="3"/>
      <c r="Q1921" s="3">
        <v>1.216</v>
      </c>
      <c r="R1921" s="3" t="s">
        <v>12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87</v>
      </c>
      <c r="C1922" s="3" t="s">
        <v>612</v>
      </c>
      <c r="D1922" s="3"/>
      <c r="E1922" s="3" t="s">
        <v>612</v>
      </c>
      <c r="F1922" s="3"/>
      <c r="G1922" s="3"/>
      <c r="H1922" s="3"/>
      <c r="I1922" s="3"/>
      <c r="J1922" s="3"/>
      <c r="K1922" s="3"/>
      <c r="L1922" s="3" t="s">
        <v>88</v>
      </c>
      <c r="M1922" s="3">
        <v>140</v>
      </c>
      <c r="N1922" s="3" t="s">
        <v>481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87</v>
      </c>
      <c r="C1923" s="3" t="s">
        <v>615</v>
      </c>
      <c r="D1923" s="3"/>
      <c r="E1923" s="3" t="s">
        <v>615</v>
      </c>
      <c r="F1923" s="3"/>
      <c r="G1923" s="3"/>
      <c r="H1923" s="3"/>
      <c r="I1923" s="3"/>
      <c r="J1923" s="3"/>
      <c r="K1923" s="3"/>
      <c r="L1923" s="3" t="s">
        <v>88</v>
      </c>
      <c r="M1923" s="3">
        <v>10</v>
      </c>
      <c r="N1923" s="3" t="s">
        <v>187</v>
      </c>
      <c r="O1923" s="3"/>
      <c r="P1923" s="3"/>
      <c r="Q1923" s="3">
        <v>1.321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87</v>
      </c>
      <c r="C1924" s="3" t="s">
        <v>615</v>
      </c>
      <c r="D1924" s="3"/>
      <c r="E1924" s="3" t="s">
        <v>615</v>
      </c>
      <c r="F1924" s="3"/>
      <c r="G1924" s="3"/>
      <c r="H1924" s="3"/>
      <c r="I1924" s="3"/>
      <c r="J1924" s="3"/>
      <c r="K1924" s="3"/>
      <c r="L1924" s="3" t="s">
        <v>88</v>
      </c>
      <c r="M1924" s="3">
        <v>20</v>
      </c>
      <c r="N1924" s="3" t="s">
        <v>616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87</v>
      </c>
      <c r="C1925" s="3" t="s">
        <v>615</v>
      </c>
      <c r="D1925" s="3"/>
      <c r="E1925" s="3" t="s">
        <v>615</v>
      </c>
      <c r="F1925" s="3"/>
      <c r="G1925" s="3"/>
      <c r="H1925" s="3"/>
      <c r="I1925" s="3"/>
      <c r="J1925" s="3"/>
      <c r="K1925" s="3"/>
      <c r="L1925" s="3" t="s">
        <v>88</v>
      </c>
      <c r="M1925" s="3">
        <v>30</v>
      </c>
      <c r="N1925" s="3" t="s">
        <v>617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87</v>
      </c>
      <c r="C1926" s="3" t="s">
        <v>615</v>
      </c>
      <c r="D1926" s="3"/>
      <c r="E1926" s="3" t="s">
        <v>615</v>
      </c>
      <c r="F1926" s="3"/>
      <c r="G1926" s="3"/>
      <c r="H1926" s="3"/>
      <c r="I1926" s="3"/>
      <c r="J1926" s="3"/>
      <c r="K1926" s="3"/>
      <c r="L1926" s="3" t="s">
        <v>88</v>
      </c>
      <c r="M1926" s="3">
        <v>40</v>
      </c>
      <c r="N1926" s="3" t="s">
        <v>266</v>
      </c>
      <c r="O1926" s="3"/>
      <c r="P1926" s="3"/>
      <c r="Q1926" s="3">
        <v>1.321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87</v>
      </c>
      <c r="C1927" s="3" t="s">
        <v>615</v>
      </c>
      <c r="D1927" s="3"/>
      <c r="E1927" s="3" t="s">
        <v>615</v>
      </c>
      <c r="F1927" s="3"/>
      <c r="G1927" s="3"/>
      <c r="H1927" s="3"/>
      <c r="I1927" s="3"/>
      <c r="J1927" s="3"/>
      <c r="K1927" s="3"/>
      <c r="L1927" s="3" t="s">
        <v>88</v>
      </c>
      <c r="M1927" s="3">
        <v>50</v>
      </c>
      <c r="N1927" s="3" t="s">
        <v>107</v>
      </c>
      <c r="O1927" s="3"/>
      <c r="P1927" s="3"/>
      <c r="Q1927" s="3">
        <v>0.82599999999999996</v>
      </c>
      <c r="R1927" s="3" t="s">
        <v>108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87</v>
      </c>
      <c r="C1928" s="3" t="s">
        <v>615</v>
      </c>
      <c r="D1928" s="3"/>
      <c r="E1928" s="3" t="s">
        <v>615</v>
      </c>
      <c r="F1928" s="3"/>
      <c r="G1928" s="3"/>
      <c r="H1928" s="3"/>
      <c r="I1928" s="3"/>
      <c r="J1928" s="3"/>
      <c r="K1928" s="3"/>
      <c r="L1928" s="3" t="s">
        <v>88</v>
      </c>
      <c r="M1928" s="3">
        <v>60</v>
      </c>
      <c r="N1928" s="3" t="s">
        <v>267</v>
      </c>
      <c r="O1928" s="3"/>
      <c r="P1928" s="3"/>
      <c r="Q1928" s="3">
        <v>1</v>
      </c>
      <c r="R1928" s="3" t="s">
        <v>11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87</v>
      </c>
      <c r="C1929" s="3" t="s">
        <v>615</v>
      </c>
      <c r="D1929" s="3"/>
      <c r="E1929" s="3" t="s">
        <v>615</v>
      </c>
      <c r="F1929" s="3"/>
      <c r="G1929" s="3"/>
      <c r="H1929" s="3"/>
      <c r="I1929" s="3"/>
      <c r="J1929" s="3"/>
      <c r="K1929" s="3"/>
      <c r="L1929" s="3" t="s">
        <v>88</v>
      </c>
      <c r="M1929" s="3">
        <v>70</v>
      </c>
      <c r="N1929" s="3" t="s">
        <v>109</v>
      </c>
      <c r="O1929" s="3"/>
      <c r="P1929" s="3"/>
      <c r="Q1929" s="3">
        <v>20.117000000000001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87</v>
      </c>
      <c r="C1930" s="3" t="s">
        <v>615</v>
      </c>
      <c r="D1930" s="3"/>
      <c r="E1930" s="3" t="s">
        <v>615</v>
      </c>
      <c r="F1930" s="3"/>
      <c r="G1930" s="3"/>
      <c r="H1930" s="3"/>
      <c r="I1930" s="3"/>
      <c r="J1930" s="3"/>
      <c r="K1930" s="3"/>
      <c r="L1930" s="3" t="s">
        <v>88</v>
      </c>
      <c r="M1930" s="3">
        <v>80</v>
      </c>
      <c r="N1930" s="3" t="s">
        <v>16</v>
      </c>
      <c r="O1930" s="3"/>
      <c r="P1930" s="3"/>
      <c r="Q1930" s="3">
        <v>124.65600000000001</v>
      </c>
      <c r="R1930" s="3" t="s">
        <v>14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87</v>
      </c>
      <c r="C1931" s="3" t="s">
        <v>615</v>
      </c>
      <c r="D1931" s="3"/>
      <c r="E1931" s="3" t="s">
        <v>615</v>
      </c>
      <c r="F1931" s="3"/>
      <c r="G1931" s="3"/>
      <c r="H1931" s="3"/>
      <c r="I1931" s="3"/>
      <c r="J1931" s="3"/>
      <c r="K1931" s="3"/>
      <c r="L1931" s="3" t="s">
        <v>88</v>
      </c>
      <c r="M1931" s="3">
        <v>90</v>
      </c>
      <c r="N1931" s="3" t="s">
        <v>265</v>
      </c>
      <c r="O1931" s="3"/>
      <c r="P1931" s="3"/>
      <c r="Q1931" s="3">
        <v>0.11600000000000001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87</v>
      </c>
      <c r="C1932" s="3" t="s">
        <v>615</v>
      </c>
      <c r="D1932" s="3"/>
      <c r="E1932" s="3" t="s">
        <v>615</v>
      </c>
      <c r="F1932" s="3"/>
      <c r="G1932" s="3"/>
      <c r="H1932" s="3"/>
      <c r="I1932" s="3"/>
      <c r="J1932" s="3"/>
      <c r="K1932" s="3"/>
      <c r="L1932" s="3" t="s">
        <v>88</v>
      </c>
      <c r="M1932" s="3">
        <v>100</v>
      </c>
      <c r="N1932" s="3" t="s">
        <v>269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87</v>
      </c>
      <c r="C1933" s="3" t="s">
        <v>615</v>
      </c>
      <c r="D1933" s="3"/>
      <c r="E1933" s="3" t="s">
        <v>615</v>
      </c>
      <c r="F1933" s="3"/>
      <c r="G1933" s="3"/>
      <c r="H1933" s="3"/>
      <c r="I1933" s="3"/>
      <c r="J1933" s="3"/>
      <c r="K1933" s="3"/>
      <c r="L1933" s="3" t="s">
        <v>88</v>
      </c>
      <c r="M1933" s="3">
        <v>110</v>
      </c>
      <c r="N1933" s="3" t="s">
        <v>20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87</v>
      </c>
      <c r="C1934" s="3" t="s">
        <v>615</v>
      </c>
      <c r="D1934" s="3"/>
      <c r="E1934" s="3" t="s">
        <v>615</v>
      </c>
      <c r="F1934" s="3"/>
      <c r="G1934" s="3"/>
      <c r="H1934" s="3"/>
      <c r="I1934" s="3"/>
      <c r="J1934" s="3"/>
      <c r="K1934" s="3"/>
      <c r="L1934" s="3" t="s">
        <v>88</v>
      </c>
      <c r="M1934" s="3">
        <v>120</v>
      </c>
      <c r="N1934" s="3" t="s">
        <v>21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87</v>
      </c>
      <c r="C1935" s="3" t="s">
        <v>615</v>
      </c>
      <c r="D1935" s="3"/>
      <c r="E1935" s="3" t="s">
        <v>615</v>
      </c>
      <c r="F1935" s="3"/>
      <c r="G1935" s="3"/>
      <c r="H1935" s="3"/>
      <c r="I1935" s="3"/>
      <c r="J1935" s="3"/>
      <c r="K1935" s="3"/>
      <c r="L1935" s="3" t="s">
        <v>88</v>
      </c>
      <c r="M1935" s="3">
        <v>130</v>
      </c>
      <c r="N1935" s="3" t="s">
        <v>110</v>
      </c>
      <c r="O1935" s="3"/>
      <c r="P1935" s="3"/>
      <c r="Q1935" s="3">
        <v>1.216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87</v>
      </c>
      <c r="C1936" s="3" t="s">
        <v>615</v>
      </c>
      <c r="D1936" s="3"/>
      <c r="E1936" s="3" t="s">
        <v>615</v>
      </c>
      <c r="F1936" s="3"/>
      <c r="G1936" s="3"/>
      <c r="H1936" s="3"/>
      <c r="I1936" s="3"/>
      <c r="J1936" s="3"/>
      <c r="K1936" s="3"/>
      <c r="L1936" s="3" t="s">
        <v>88</v>
      </c>
      <c r="M1936" s="3">
        <v>140</v>
      </c>
      <c r="N1936" s="3" t="s">
        <v>485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87</v>
      </c>
      <c r="C1937" s="3" t="s">
        <v>618</v>
      </c>
      <c r="D1937" s="3"/>
      <c r="E1937" s="3" t="s">
        <v>618</v>
      </c>
      <c r="F1937" s="3"/>
      <c r="G1937" s="3"/>
      <c r="H1937" s="3"/>
      <c r="I1937" s="3"/>
      <c r="J1937" s="3"/>
      <c r="K1937" s="3"/>
      <c r="L1937" s="3" t="s">
        <v>88</v>
      </c>
      <c r="M1937" s="3">
        <v>10</v>
      </c>
      <c r="N1937" s="3" t="s">
        <v>187</v>
      </c>
      <c r="O1937" s="3"/>
      <c r="P1937" s="3"/>
      <c r="Q1937" s="3">
        <v>1.397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87</v>
      </c>
      <c r="C1938" s="3" t="s">
        <v>618</v>
      </c>
      <c r="D1938" s="3"/>
      <c r="E1938" s="3" t="s">
        <v>618</v>
      </c>
      <c r="F1938" s="3"/>
      <c r="G1938" s="3"/>
      <c r="H1938" s="3"/>
      <c r="I1938" s="3"/>
      <c r="J1938" s="3"/>
      <c r="K1938" s="3"/>
      <c r="L1938" s="3" t="s">
        <v>88</v>
      </c>
      <c r="M1938" s="3">
        <v>20</v>
      </c>
      <c r="N1938" s="3" t="s">
        <v>619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87</v>
      </c>
      <c r="C1939" s="3" t="s">
        <v>618</v>
      </c>
      <c r="D1939" s="3"/>
      <c r="E1939" s="3" t="s">
        <v>618</v>
      </c>
      <c r="F1939" s="3"/>
      <c r="G1939" s="3"/>
      <c r="H1939" s="3"/>
      <c r="I1939" s="3"/>
      <c r="J1939" s="3"/>
      <c r="K1939" s="3"/>
      <c r="L1939" s="3" t="s">
        <v>88</v>
      </c>
      <c r="M1939" s="3">
        <v>30</v>
      </c>
      <c r="N1939" s="3" t="s">
        <v>620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87</v>
      </c>
      <c r="C1940" s="3" t="s">
        <v>618</v>
      </c>
      <c r="D1940" s="3"/>
      <c r="E1940" s="3" t="s">
        <v>618</v>
      </c>
      <c r="F1940" s="3"/>
      <c r="G1940" s="3"/>
      <c r="H1940" s="3"/>
      <c r="I1940" s="3"/>
      <c r="J1940" s="3"/>
      <c r="K1940" s="3"/>
      <c r="L1940" s="3" t="s">
        <v>88</v>
      </c>
      <c r="M1940" s="3">
        <v>40</v>
      </c>
      <c r="N1940" s="3" t="s">
        <v>266</v>
      </c>
      <c r="O1940" s="3"/>
      <c r="P1940" s="3"/>
      <c r="Q1940" s="3">
        <v>1.397</v>
      </c>
      <c r="R1940" s="3" t="s">
        <v>14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87</v>
      </c>
      <c r="C1941" s="3" t="s">
        <v>618</v>
      </c>
      <c r="D1941" s="3"/>
      <c r="E1941" s="3" t="s">
        <v>618</v>
      </c>
      <c r="F1941" s="3"/>
      <c r="G1941" s="3"/>
      <c r="H1941" s="3"/>
      <c r="I1941" s="3"/>
      <c r="J1941" s="3"/>
      <c r="K1941" s="3"/>
      <c r="L1941" s="3" t="s">
        <v>88</v>
      </c>
      <c r="M1941" s="3">
        <v>50</v>
      </c>
      <c r="N1941" s="3" t="s">
        <v>107</v>
      </c>
      <c r="O1941" s="3"/>
      <c r="P1941" s="3"/>
      <c r="Q1941" s="3">
        <v>0.875</v>
      </c>
      <c r="R1941" s="3" t="s">
        <v>108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87</v>
      </c>
      <c r="C1942" s="3" t="s">
        <v>618</v>
      </c>
      <c r="D1942" s="3"/>
      <c r="E1942" s="3" t="s">
        <v>618</v>
      </c>
      <c r="F1942" s="3"/>
      <c r="G1942" s="3"/>
      <c r="H1942" s="3"/>
      <c r="I1942" s="3"/>
      <c r="J1942" s="3"/>
      <c r="K1942" s="3"/>
      <c r="L1942" s="3" t="s">
        <v>88</v>
      </c>
      <c r="M1942" s="3">
        <v>60</v>
      </c>
      <c r="N1942" s="3" t="s">
        <v>267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87</v>
      </c>
      <c r="C1943" s="3" t="s">
        <v>618</v>
      </c>
      <c r="D1943" s="3"/>
      <c r="E1943" s="3" t="s">
        <v>618</v>
      </c>
      <c r="F1943" s="3"/>
      <c r="G1943" s="3"/>
      <c r="H1943" s="3"/>
      <c r="I1943" s="3"/>
      <c r="J1943" s="3"/>
      <c r="K1943" s="3"/>
      <c r="L1943" s="3" t="s">
        <v>88</v>
      </c>
      <c r="M1943" s="3">
        <v>70</v>
      </c>
      <c r="N1943" s="3" t="s">
        <v>109</v>
      </c>
      <c r="O1943" s="3"/>
      <c r="P1943" s="3"/>
      <c r="Q1943" s="3">
        <v>20.574000000000002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87</v>
      </c>
      <c r="C1944" s="3" t="s">
        <v>618</v>
      </c>
      <c r="D1944" s="3"/>
      <c r="E1944" s="3" t="s">
        <v>618</v>
      </c>
      <c r="F1944" s="3"/>
      <c r="G1944" s="3"/>
      <c r="H1944" s="3"/>
      <c r="I1944" s="3"/>
      <c r="J1944" s="3"/>
      <c r="K1944" s="3"/>
      <c r="L1944" s="3" t="s">
        <v>88</v>
      </c>
      <c r="M1944" s="3">
        <v>80</v>
      </c>
      <c r="N1944" s="3" t="s">
        <v>16</v>
      </c>
      <c r="O1944" s="3"/>
      <c r="P1944" s="3"/>
      <c r="Q1944" s="3">
        <v>127.467</v>
      </c>
      <c r="R1944" s="3" t="s">
        <v>14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87</v>
      </c>
      <c r="C1945" s="3" t="s">
        <v>618</v>
      </c>
      <c r="D1945" s="3"/>
      <c r="E1945" s="3" t="s">
        <v>618</v>
      </c>
      <c r="F1945" s="3"/>
      <c r="G1945" s="3"/>
      <c r="H1945" s="3"/>
      <c r="I1945" s="3"/>
      <c r="J1945" s="3"/>
      <c r="K1945" s="3"/>
      <c r="L1945" s="3" t="s">
        <v>88</v>
      </c>
      <c r="M1945" s="3">
        <v>90</v>
      </c>
      <c r="N1945" s="3" t="s">
        <v>265</v>
      </c>
      <c r="O1945" s="3"/>
      <c r="P1945" s="3"/>
      <c r="Q1945" s="3">
        <v>0.121</v>
      </c>
      <c r="R1945" s="3" t="s">
        <v>12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87</v>
      </c>
      <c r="C1946" s="3" t="s">
        <v>618</v>
      </c>
      <c r="D1946" s="3"/>
      <c r="E1946" s="3" t="s">
        <v>618</v>
      </c>
      <c r="F1946" s="3"/>
      <c r="G1946" s="3"/>
      <c r="H1946" s="3"/>
      <c r="I1946" s="3"/>
      <c r="J1946" s="3"/>
      <c r="K1946" s="3"/>
      <c r="L1946" s="3" t="s">
        <v>88</v>
      </c>
      <c r="M1946" s="3">
        <v>100</v>
      </c>
      <c r="N1946" s="3" t="s">
        <v>269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87</v>
      </c>
      <c r="C1947" s="3" t="s">
        <v>618</v>
      </c>
      <c r="D1947" s="3"/>
      <c r="E1947" s="3" t="s">
        <v>618</v>
      </c>
      <c r="F1947" s="3"/>
      <c r="G1947" s="3"/>
      <c r="H1947" s="3"/>
      <c r="I1947" s="3"/>
      <c r="J1947" s="3"/>
      <c r="K1947" s="3"/>
      <c r="L1947" s="3" t="s">
        <v>88</v>
      </c>
      <c r="M1947" s="3">
        <v>110</v>
      </c>
      <c r="N1947" s="3" t="s">
        <v>20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87</v>
      </c>
      <c r="C1948" s="3" t="s">
        <v>618</v>
      </c>
      <c r="D1948" s="3"/>
      <c r="E1948" s="3" t="s">
        <v>618</v>
      </c>
      <c r="F1948" s="3"/>
      <c r="G1948" s="3"/>
      <c r="H1948" s="3"/>
      <c r="I1948" s="3"/>
      <c r="J1948" s="3"/>
      <c r="K1948" s="3"/>
      <c r="L1948" s="3" t="s">
        <v>88</v>
      </c>
      <c r="M1948" s="3">
        <v>120</v>
      </c>
      <c r="N1948" s="3" t="s">
        <v>21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87</v>
      </c>
      <c r="C1949" s="3" t="s">
        <v>618</v>
      </c>
      <c r="D1949" s="3"/>
      <c r="E1949" s="3" t="s">
        <v>618</v>
      </c>
      <c r="F1949" s="3"/>
      <c r="G1949" s="3"/>
      <c r="H1949" s="3"/>
      <c r="I1949" s="3"/>
      <c r="J1949" s="3"/>
      <c r="K1949" s="3"/>
      <c r="L1949" s="3" t="s">
        <v>88</v>
      </c>
      <c r="M1949" s="3">
        <v>130</v>
      </c>
      <c r="N1949" s="3" t="s">
        <v>110</v>
      </c>
      <c r="O1949" s="3"/>
      <c r="P1949" s="3"/>
      <c r="Q1949" s="3">
        <v>1.216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87</v>
      </c>
      <c r="C1950" s="3" t="s">
        <v>618</v>
      </c>
      <c r="D1950" s="3"/>
      <c r="E1950" s="3" t="s">
        <v>618</v>
      </c>
      <c r="F1950" s="3"/>
      <c r="G1950" s="3"/>
      <c r="H1950" s="3"/>
      <c r="I1950" s="3"/>
      <c r="J1950" s="3"/>
      <c r="K1950" s="3"/>
      <c r="L1950" s="3" t="s">
        <v>88</v>
      </c>
      <c r="M1950" s="3">
        <v>140</v>
      </c>
      <c r="N1950" s="3" t="s">
        <v>489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87</v>
      </c>
      <c r="C1951" s="3" t="s">
        <v>621</v>
      </c>
      <c r="D1951" s="3"/>
      <c r="E1951" s="3" t="s">
        <v>621</v>
      </c>
      <c r="F1951" s="3"/>
      <c r="G1951" s="3"/>
      <c r="H1951" s="3"/>
      <c r="I1951" s="3"/>
      <c r="J1951" s="3"/>
      <c r="K1951" s="3"/>
      <c r="L1951" s="3" t="s">
        <v>88</v>
      </c>
      <c r="M1951" s="3">
        <v>10</v>
      </c>
      <c r="N1951" s="3" t="s">
        <v>187</v>
      </c>
      <c r="O1951" s="3"/>
      <c r="P1951" s="3"/>
      <c r="Q1951" s="3">
        <v>1.4730000000000001</v>
      </c>
      <c r="R1951" s="3" t="s">
        <v>14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87</v>
      </c>
      <c r="C1952" s="3" t="s">
        <v>621</v>
      </c>
      <c r="D1952" s="3"/>
      <c r="E1952" s="3" t="s">
        <v>621</v>
      </c>
      <c r="F1952" s="3"/>
      <c r="G1952" s="3"/>
      <c r="H1952" s="3"/>
      <c r="I1952" s="3"/>
      <c r="J1952" s="3"/>
      <c r="K1952" s="3"/>
      <c r="L1952" s="3" t="s">
        <v>88</v>
      </c>
      <c r="M1952" s="3">
        <v>20</v>
      </c>
      <c r="N1952" s="3" t="s">
        <v>622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87</v>
      </c>
      <c r="C1953" s="3" t="s">
        <v>621</v>
      </c>
      <c r="D1953" s="3"/>
      <c r="E1953" s="3" t="s">
        <v>621</v>
      </c>
      <c r="F1953" s="3"/>
      <c r="G1953" s="3"/>
      <c r="H1953" s="3"/>
      <c r="I1953" s="3"/>
      <c r="J1953" s="3"/>
      <c r="K1953" s="3"/>
      <c r="L1953" s="3" t="s">
        <v>88</v>
      </c>
      <c r="M1953" s="3">
        <v>30</v>
      </c>
      <c r="N1953" s="3" t="s">
        <v>623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87</v>
      </c>
      <c r="C1954" s="3" t="s">
        <v>621</v>
      </c>
      <c r="D1954" s="3"/>
      <c r="E1954" s="3" t="s">
        <v>621</v>
      </c>
      <c r="F1954" s="3"/>
      <c r="G1954" s="3"/>
      <c r="H1954" s="3"/>
      <c r="I1954" s="3"/>
      <c r="J1954" s="3"/>
      <c r="K1954" s="3"/>
      <c r="L1954" s="3" t="s">
        <v>88</v>
      </c>
      <c r="M1954" s="3">
        <v>40</v>
      </c>
      <c r="N1954" s="3" t="s">
        <v>266</v>
      </c>
      <c r="O1954" s="3"/>
      <c r="P1954" s="3"/>
      <c r="Q1954" s="3">
        <v>1.4730000000000001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87</v>
      </c>
      <c r="C1955" s="3" t="s">
        <v>621</v>
      </c>
      <c r="D1955" s="3"/>
      <c r="E1955" s="3" t="s">
        <v>621</v>
      </c>
      <c r="F1955" s="3"/>
      <c r="G1955" s="3"/>
      <c r="H1955" s="3"/>
      <c r="I1955" s="3"/>
      <c r="J1955" s="3"/>
      <c r="K1955" s="3"/>
      <c r="L1955" s="3" t="s">
        <v>88</v>
      </c>
      <c r="M1955" s="3">
        <v>50</v>
      </c>
      <c r="N1955" s="3" t="s">
        <v>107</v>
      </c>
      <c r="O1955" s="3"/>
      <c r="P1955" s="3"/>
      <c r="Q1955" s="3">
        <v>0.92300000000000004</v>
      </c>
      <c r="R1955" s="3" t="s">
        <v>108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87</v>
      </c>
      <c r="C1956" s="3" t="s">
        <v>621</v>
      </c>
      <c r="D1956" s="3"/>
      <c r="E1956" s="3" t="s">
        <v>621</v>
      </c>
      <c r="F1956" s="3"/>
      <c r="G1956" s="3"/>
      <c r="H1956" s="3"/>
      <c r="I1956" s="3"/>
      <c r="J1956" s="3"/>
      <c r="K1956" s="3"/>
      <c r="L1956" s="3" t="s">
        <v>88</v>
      </c>
      <c r="M1956" s="3">
        <v>60</v>
      </c>
      <c r="N1956" s="3" t="s">
        <v>267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87</v>
      </c>
      <c r="C1957" s="3" t="s">
        <v>621</v>
      </c>
      <c r="D1957" s="3"/>
      <c r="E1957" s="3" t="s">
        <v>621</v>
      </c>
      <c r="F1957" s="3"/>
      <c r="G1957" s="3"/>
      <c r="H1957" s="3"/>
      <c r="I1957" s="3"/>
      <c r="J1957" s="3"/>
      <c r="K1957" s="3"/>
      <c r="L1957" s="3" t="s">
        <v>88</v>
      </c>
      <c r="M1957" s="3">
        <v>70</v>
      </c>
      <c r="N1957" s="3" t="s">
        <v>109</v>
      </c>
      <c r="O1957" s="3"/>
      <c r="P1957" s="3"/>
      <c r="Q1957" s="3">
        <v>21.030999999999999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87</v>
      </c>
      <c r="C1958" s="3" t="s">
        <v>621</v>
      </c>
      <c r="D1958" s="3"/>
      <c r="E1958" s="3" t="s">
        <v>621</v>
      </c>
      <c r="F1958" s="3"/>
      <c r="G1958" s="3"/>
      <c r="H1958" s="3"/>
      <c r="I1958" s="3"/>
      <c r="J1958" s="3"/>
      <c r="K1958" s="3"/>
      <c r="L1958" s="3" t="s">
        <v>88</v>
      </c>
      <c r="M1958" s="3">
        <v>80</v>
      </c>
      <c r="N1958" s="3" t="s">
        <v>16</v>
      </c>
      <c r="O1958" s="3"/>
      <c r="P1958" s="3"/>
      <c r="Q1958" s="3">
        <v>130.279</v>
      </c>
      <c r="R1958" s="3" t="s">
        <v>14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87</v>
      </c>
      <c r="C1959" s="3" t="s">
        <v>621</v>
      </c>
      <c r="D1959" s="3"/>
      <c r="E1959" s="3" t="s">
        <v>621</v>
      </c>
      <c r="F1959" s="3"/>
      <c r="G1959" s="3"/>
      <c r="H1959" s="3"/>
      <c r="I1959" s="3"/>
      <c r="J1959" s="3"/>
      <c r="K1959" s="3"/>
      <c r="L1959" s="3" t="s">
        <v>88</v>
      </c>
      <c r="M1959" s="3">
        <v>90</v>
      </c>
      <c r="N1959" s="3" t="s">
        <v>265</v>
      </c>
      <c r="O1959" s="3"/>
      <c r="P1959" s="3"/>
      <c r="Q1959" s="3">
        <v>0.126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87</v>
      </c>
      <c r="C1960" s="3" t="s">
        <v>621</v>
      </c>
      <c r="D1960" s="3"/>
      <c r="E1960" s="3" t="s">
        <v>621</v>
      </c>
      <c r="F1960" s="3"/>
      <c r="G1960" s="3"/>
      <c r="H1960" s="3"/>
      <c r="I1960" s="3"/>
      <c r="J1960" s="3"/>
      <c r="K1960" s="3"/>
      <c r="L1960" s="3" t="s">
        <v>88</v>
      </c>
      <c r="M1960" s="3">
        <v>100</v>
      </c>
      <c r="N1960" s="3" t="s">
        <v>269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87</v>
      </c>
      <c r="C1961" s="3" t="s">
        <v>621</v>
      </c>
      <c r="D1961" s="3"/>
      <c r="E1961" s="3" t="s">
        <v>621</v>
      </c>
      <c r="F1961" s="3"/>
      <c r="G1961" s="3"/>
      <c r="H1961" s="3"/>
      <c r="I1961" s="3"/>
      <c r="J1961" s="3"/>
      <c r="K1961" s="3"/>
      <c r="L1961" s="3" t="s">
        <v>88</v>
      </c>
      <c r="M1961" s="3">
        <v>110</v>
      </c>
      <c r="N1961" s="3" t="s">
        <v>20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87</v>
      </c>
      <c r="C1962" s="3" t="s">
        <v>621</v>
      </c>
      <c r="D1962" s="3"/>
      <c r="E1962" s="3" t="s">
        <v>621</v>
      </c>
      <c r="F1962" s="3"/>
      <c r="G1962" s="3"/>
      <c r="H1962" s="3"/>
      <c r="I1962" s="3"/>
      <c r="J1962" s="3"/>
      <c r="K1962" s="3"/>
      <c r="L1962" s="3" t="s">
        <v>88</v>
      </c>
      <c r="M1962" s="3">
        <v>120</v>
      </c>
      <c r="N1962" s="3" t="s">
        <v>21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87</v>
      </c>
      <c r="C1963" s="3" t="s">
        <v>621</v>
      </c>
      <c r="D1963" s="3"/>
      <c r="E1963" s="3" t="s">
        <v>621</v>
      </c>
      <c r="F1963" s="3"/>
      <c r="G1963" s="3"/>
      <c r="H1963" s="3"/>
      <c r="I1963" s="3"/>
      <c r="J1963" s="3"/>
      <c r="K1963" s="3"/>
      <c r="L1963" s="3" t="s">
        <v>88</v>
      </c>
      <c r="M1963" s="3">
        <v>130</v>
      </c>
      <c r="N1963" s="3" t="s">
        <v>110</v>
      </c>
      <c r="O1963" s="3"/>
      <c r="P1963" s="3"/>
      <c r="Q1963" s="3">
        <v>1.216</v>
      </c>
      <c r="R1963" s="3" t="s">
        <v>12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87</v>
      </c>
      <c r="C1964" s="3" t="s">
        <v>621</v>
      </c>
      <c r="D1964" s="3"/>
      <c r="E1964" s="3" t="s">
        <v>621</v>
      </c>
      <c r="F1964" s="3"/>
      <c r="G1964" s="3"/>
      <c r="H1964" s="3"/>
      <c r="I1964" s="3"/>
      <c r="J1964" s="3"/>
      <c r="K1964" s="3"/>
      <c r="L1964" s="3" t="s">
        <v>88</v>
      </c>
      <c r="M1964" s="3">
        <v>140</v>
      </c>
      <c r="N1964" s="3" t="s">
        <v>493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87</v>
      </c>
      <c r="C1965" s="3" t="s">
        <v>624</v>
      </c>
      <c r="D1965" s="3"/>
      <c r="E1965" s="3" t="s">
        <v>624</v>
      </c>
      <c r="F1965" s="3"/>
      <c r="G1965" s="3"/>
      <c r="H1965" s="3"/>
      <c r="I1965" s="3"/>
      <c r="J1965" s="3"/>
      <c r="K1965" s="3"/>
      <c r="L1965" s="3" t="s">
        <v>88</v>
      </c>
      <c r="M1965" s="3">
        <v>10</v>
      </c>
      <c r="N1965" s="3" t="s">
        <v>187</v>
      </c>
      <c r="O1965" s="3"/>
      <c r="P1965" s="3"/>
      <c r="Q1965" s="3">
        <v>1.6259999999999999</v>
      </c>
      <c r="R1965" s="3" t="s">
        <v>14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87</v>
      </c>
      <c r="C1966" s="3" t="s">
        <v>624</v>
      </c>
      <c r="D1966" s="3"/>
      <c r="E1966" s="3" t="s">
        <v>624</v>
      </c>
      <c r="F1966" s="3"/>
      <c r="G1966" s="3"/>
      <c r="H1966" s="3"/>
      <c r="I1966" s="3"/>
      <c r="J1966" s="3"/>
      <c r="K1966" s="3"/>
      <c r="L1966" s="3" t="s">
        <v>88</v>
      </c>
      <c r="M1966" s="3">
        <v>20</v>
      </c>
      <c r="N1966" s="3" t="s">
        <v>625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87</v>
      </c>
      <c r="C1967" s="3" t="s">
        <v>624</v>
      </c>
      <c r="D1967" s="3"/>
      <c r="E1967" s="3" t="s">
        <v>624</v>
      </c>
      <c r="F1967" s="3"/>
      <c r="G1967" s="3"/>
      <c r="H1967" s="3"/>
      <c r="I1967" s="3"/>
      <c r="J1967" s="3"/>
      <c r="K1967" s="3"/>
      <c r="L1967" s="3" t="s">
        <v>88</v>
      </c>
      <c r="M1967" s="3">
        <v>30</v>
      </c>
      <c r="N1967" s="3" t="s">
        <v>626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87</v>
      </c>
      <c r="C1968" s="3" t="s">
        <v>624</v>
      </c>
      <c r="D1968" s="3"/>
      <c r="E1968" s="3" t="s">
        <v>624</v>
      </c>
      <c r="F1968" s="3"/>
      <c r="G1968" s="3"/>
      <c r="H1968" s="3"/>
      <c r="I1968" s="3"/>
      <c r="J1968" s="3"/>
      <c r="K1968" s="3"/>
      <c r="L1968" s="3" t="s">
        <v>88</v>
      </c>
      <c r="M1968" s="3">
        <v>40</v>
      </c>
      <c r="N1968" s="3" t="s">
        <v>266</v>
      </c>
      <c r="O1968" s="3"/>
      <c r="P1968" s="3"/>
      <c r="Q1968" s="3">
        <v>1.6259999999999999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87</v>
      </c>
      <c r="C1969" s="3" t="s">
        <v>624</v>
      </c>
      <c r="D1969" s="3"/>
      <c r="E1969" s="3" t="s">
        <v>624</v>
      </c>
      <c r="F1969" s="3"/>
      <c r="G1969" s="3"/>
      <c r="H1969" s="3"/>
      <c r="I1969" s="3"/>
      <c r="J1969" s="3"/>
      <c r="K1969" s="3"/>
      <c r="L1969" s="3" t="s">
        <v>88</v>
      </c>
      <c r="M1969" s="3">
        <v>50</v>
      </c>
      <c r="N1969" s="3" t="s">
        <v>107</v>
      </c>
      <c r="O1969" s="3"/>
      <c r="P1969" s="3"/>
      <c r="Q1969" s="3">
        <v>1.0209999999999999</v>
      </c>
      <c r="R1969" s="3" t="s">
        <v>108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87</v>
      </c>
      <c r="C1970" s="3" t="s">
        <v>624</v>
      </c>
      <c r="D1970" s="3"/>
      <c r="E1970" s="3" t="s">
        <v>624</v>
      </c>
      <c r="F1970" s="3"/>
      <c r="G1970" s="3"/>
      <c r="H1970" s="3"/>
      <c r="I1970" s="3"/>
      <c r="J1970" s="3"/>
      <c r="K1970" s="3"/>
      <c r="L1970" s="3" t="s">
        <v>88</v>
      </c>
      <c r="M1970" s="3">
        <v>60</v>
      </c>
      <c r="N1970" s="3" t="s">
        <v>267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87</v>
      </c>
      <c r="C1971" s="3" t="s">
        <v>624</v>
      </c>
      <c r="D1971" s="3"/>
      <c r="E1971" s="3" t="s">
        <v>624</v>
      </c>
      <c r="F1971" s="3"/>
      <c r="G1971" s="3"/>
      <c r="H1971" s="3"/>
      <c r="I1971" s="3"/>
      <c r="J1971" s="3"/>
      <c r="K1971" s="3"/>
      <c r="L1971" s="3" t="s">
        <v>88</v>
      </c>
      <c r="M1971" s="3">
        <v>70</v>
      </c>
      <c r="N1971" s="3" t="s">
        <v>109</v>
      </c>
      <c r="O1971" s="3"/>
      <c r="P1971" s="3"/>
      <c r="Q1971" s="3">
        <v>21.946000000000002</v>
      </c>
      <c r="R1971" s="3" t="s">
        <v>14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87</v>
      </c>
      <c r="C1972" s="3" t="s">
        <v>624</v>
      </c>
      <c r="D1972" s="3"/>
      <c r="E1972" s="3" t="s">
        <v>624</v>
      </c>
      <c r="F1972" s="3"/>
      <c r="G1972" s="3"/>
      <c r="H1972" s="3"/>
      <c r="I1972" s="3"/>
      <c r="J1972" s="3"/>
      <c r="K1972" s="3"/>
      <c r="L1972" s="3" t="s">
        <v>88</v>
      </c>
      <c r="M1972" s="3">
        <v>80</v>
      </c>
      <c r="N1972" s="3" t="s">
        <v>16</v>
      </c>
      <c r="O1972" s="3"/>
      <c r="P1972" s="3"/>
      <c r="Q1972" s="3">
        <v>135.90299999999999</v>
      </c>
      <c r="R1972" s="3" t="s">
        <v>14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87</v>
      </c>
      <c r="C1973" s="3" t="s">
        <v>624</v>
      </c>
      <c r="D1973" s="3"/>
      <c r="E1973" s="3" t="s">
        <v>624</v>
      </c>
      <c r="F1973" s="3"/>
      <c r="G1973" s="3"/>
      <c r="H1973" s="3"/>
      <c r="I1973" s="3"/>
      <c r="J1973" s="3"/>
      <c r="K1973" s="3"/>
      <c r="L1973" s="3" t="s">
        <v>88</v>
      </c>
      <c r="M1973" s="3">
        <v>90</v>
      </c>
      <c r="N1973" s="3" t="s">
        <v>265</v>
      </c>
      <c r="O1973" s="3"/>
      <c r="P1973" s="3"/>
      <c r="Q1973" s="3">
        <v>0.13700000000000001</v>
      </c>
      <c r="R1973" s="3" t="s">
        <v>12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87</v>
      </c>
      <c r="C1974" s="3" t="s">
        <v>624</v>
      </c>
      <c r="D1974" s="3"/>
      <c r="E1974" s="3" t="s">
        <v>624</v>
      </c>
      <c r="F1974" s="3"/>
      <c r="G1974" s="3"/>
      <c r="H1974" s="3"/>
      <c r="I1974" s="3"/>
      <c r="J1974" s="3"/>
      <c r="K1974" s="3"/>
      <c r="L1974" s="3" t="s">
        <v>88</v>
      </c>
      <c r="M1974" s="3">
        <v>100</v>
      </c>
      <c r="N1974" s="3" t="s">
        <v>269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87</v>
      </c>
      <c r="C1975" s="3" t="s">
        <v>624</v>
      </c>
      <c r="D1975" s="3"/>
      <c r="E1975" s="3" t="s">
        <v>624</v>
      </c>
      <c r="F1975" s="3"/>
      <c r="G1975" s="3"/>
      <c r="H1975" s="3"/>
      <c r="I1975" s="3"/>
      <c r="J1975" s="3"/>
      <c r="K1975" s="3"/>
      <c r="L1975" s="3" t="s">
        <v>88</v>
      </c>
      <c r="M1975" s="3">
        <v>110</v>
      </c>
      <c r="N1975" s="3" t="s">
        <v>20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87</v>
      </c>
      <c r="C1976" s="3" t="s">
        <v>624</v>
      </c>
      <c r="D1976" s="3"/>
      <c r="E1976" s="3" t="s">
        <v>624</v>
      </c>
      <c r="F1976" s="3"/>
      <c r="G1976" s="3"/>
      <c r="H1976" s="3"/>
      <c r="I1976" s="3"/>
      <c r="J1976" s="3"/>
      <c r="K1976" s="3"/>
      <c r="L1976" s="3" t="s">
        <v>88</v>
      </c>
      <c r="M1976" s="3">
        <v>120</v>
      </c>
      <c r="N1976" s="3" t="s">
        <v>21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87</v>
      </c>
      <c r="C1977" s="3" t="s">
        <v>624</v>
      </c>
      <c r="D1977" s="3"/>
      <c r="E1977" s="3" t="s">
        <v>624</v>
      </c>
      <c r="F1977" s="3"/>
      <c r="G1977" s="3"/>
      <c r="H1977" s="3"/>
      <c r="I1977" s="3"/>
      <c r="J1977" s="3"/>
      <c r="K1977" s="3"/>
      <c r="L1977" s="3" t="s">
        <v>88</v>
      </c>
      <c r="M1977" s="3">
        <v>130</v>
      </c>
      <c r="N1977" s="3" t="s">
        <v>110</v>
      </c>
      <c r="O1977" s="3"/>
      <c r="P1977" s="3"/>
      <c r="Q1977" s="3">
        <v>1.216</v>
      </c>
      <c r="R1977" s="3" t="s">
        <v>12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87</v>
      </c>
      <c r="C1978" s="3" t="s">
        <v>624</v>
      </c>
      <c r="D1978" s="3"/>
      <c r="E1978" s="3" t="s">
        <v>624</v>
      </c>
      <c r="F1978" s="3"/>
      <c r="G1978" s="3"/>
      <c r="H1978" s="3"/>
      <c r="I1978" s="3"/>
      <c r="J1978" s="3"/>
      <c r="K1978" s="3"/>
      <c r="L1978" s="3" t="s">
        <v>88</v>
      </c>
      <c r="M1978" s="3">
        <v>140</v>
      </c>
      <c r="N1978" s="3" t="s">
        <v>497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87</v>
      </c>
      <c r="C1979" s="3" t="s">
        <v>627</v>
      </c>
      <c r="D1979" s="3"/>
      <c r="E1979" s="3" t="s">
        <v>627</v>
      </c>
      <c r="F1979" s="3"/>
      <c r="G1979" s="3"/>
      <c r="H1979" s="3"/>
      <c r="I1979" s="3"/>
      <c r="J1979" s="3"/>
      <c r="K1979" s="3"/>
      <c r="L1979" s="3" t="s">
        <v>88</v>
      </c>
      <c r="M1979" s="3">
        <v>10</v>
      </c>
      <c r="N1979" s="3" t="s">
        <v>187</v>
      </c>
      <c r="O1979" s="3"/>
      <c r="P1979" s="3"/>
      <c r="Q1979" s="3">
        <v>1.778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87</v>
      </c>
      <c r="C1980" s="3" t="s">
        <v>627</v>
      </c>
      <c r="D1980" s="3"/>
      <c r="E1980" s="3" t="s">
        <v>627</v>
      </c>
      <c r="F1980" s="3"/>
      <c r="G1980" s="3"/>
      <c r="H1980" s="3"/>
      <c r="I1980" s="3"/>
      <c r="J1980" s="3"/>
      <c r="K1980" s="3"/>
      <c r="L1980" s="3" t="s">
        <v>88</v>
      </c>
      <c r="M1980" s="3">
        <v>20</v>
      </c>
      <c r="N1980" s="3" t="s">
        <v>628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87</v>
      </c>
      <c r="C1981" s="3" t="s">
        <v>627</v>
      </c>
      <c r="D1981" s="3"/>
      <c r="E1981" s="3" t="s">
        <v>627</v>
      </c>
      <c r="F1981" s="3"/>
      <c r="G1981" s="3"/>
      <c r="H1981" s="3"/>
      <c r="I1981" s="3"/>
      <c r="J1981" s="3"/>
      <c r="K1981" s="3"/>
      <c r="L1981" s="3" t="s">
        <v>88</v>
      </c>
      <c r="M1981" s="3">
        <v>30</v>
      </c>
      <c r="N1981" s="3" t="s">
        <v>629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87</v>
      </c>
      <c r="C1982" s="3" t="s">
        <v>627</v>
      </c>
      <c r="D1982" s="3"/>
      <c r="E1982" s="3" t="s">
        <v>627</v>
      </c>
      <c r="F1982" s="3"/>
      <c r="G1982" s="3"/>
      <c r="H1982" s="3"/>
      <c r="I1982" s="3"/>
      <c r="J1982" s="3"/>
      <c r="K1982" s="3"/>
      <c r="L1982" s="3" t="s">
        <v>88</v>
      </c>
      <c r="M1982" s="3">
        <v>40</v>
      </c>
      <c r="N1982" s="3" t="s">
        <v>266</v>
      </c>
      <c r="O1982" s="3"/>
      <c r="P1982" s="3"/>
      <c r="Q1982" s="3">
        <v>1.778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87</v>
      </c>
      <c r="C1983" s="3" t="s">
        <v>627</v>
      </c>
      <c r="D1983" s="3"/>
      <c r="E1983" s="3" t="s">
        <v>627</v>
      </c>
      <c r="F1983" s="3"/>
      <c r="G1983" s="3"/>
      <c r="H1983" s="3"/>
      <c r="I1983" s="3"/>
      <c r="J1983" s="3"/>
      <c r="K1983" s="3"/>
      <c r="L1983" s="3" t="s">
        <v>88</v>
      </c>
      <c r="M1983" s="3">
        <v>50</v>
      </c>
      <c r="N1983" s="3" t="s">
        <v>107</v>
      </c>
      <c r="O1983" s="3"/>
      <c r="P1983" s="3"/>
      <c r="Q1983" s="3">
        <v>1.1180000000000001</v>
      </c>
      <c r="R1983" s="3" t="s">
        <v>108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87</v>
      </c>
      <c r="C1984" s="3" t="s">
        <v>627</v>
      </c>
      <c r="D1984" s="3"/>
      <c r="E1984" s="3" t="s">
        <v>627</v>
      </c>
      <c r="F1984" s="3"/>
      <c r="G1984" s="3"/>
      <c r="H1984" s="3"/>
      <c r="I1984" s="3"/>
      <c r="J1984" s="3"/>
      <c r="K1984" s="3"/>
      <c r="L1984" s="3" t="s">
        <v>88</v>
      </c>
      <c r="M1984" s="3">
        <v>60</v>
      </c>
      <c r="N1984" s="3" t="s">
        <v>267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87</v>
      </c>
      <c r="C1985" s="3" t="s">
        <v>627</v>
      </c>
      <c r="D1985" s="3"/>
      <c r="E1985" s="3" t="s">
        <v>627</v>
      </c>
      <c r="F1985" s="3"/>
      <c r="G1985" s="3"/>
      <c r="H1985" s="3"/>
      <c r="I1985" s="3"/>
      <c r="J1985" s="3"/>
      <c r="K1985" s="3"/>
      <c r="L1985" s="3" t="s">
        <v>88</v>
      </c>
      <c r="M1985" s="3">
        <v>70</v>
      </c>
      <c r="N1985" s="3" t="s">
        <v>109</v>
      </c>
      <c r="O1985" s="3"/>
      <c r="P1985" s="3"/>
      <c r="Q1985" s="3">
        <v>22.86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87</v>
      </c>
      <c r="C1986" s="3" t="s">
        <v>627</v>
      </c>
      <c r="D1986" s="3"/>
      <c r="E1986" s="3" t="s">
        <v>627</v>
      </c>
      <c r="F1986" s="3"/>
      <c r="G1986" s="3"/>
      <c r="H1986" s="3"/>
      <c r="I1986" s="3"/>
      <c r="J1986" s="3"/>
      <c r="K1986" s="3"/>
      <c r="L1986" s="3" t="s">
        <v>88</v>
      </c>
      <c r="M1986" s="3">
        <v>80</v>
      </c>
      <c r="N1986" s="3" t="s">
        <v>16</v>
      </c>
      <c r="O1986" s="3"/>
      <c r="P1986" s="3"/>
      <c r="Q1986" s="3">
        <v>141.52600000000001</v>
      </c>
      <c r="R1986" s="3" t="s">
        <v>14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87</v>
      </c>
      <c r="C1987" s="3" t="s">
        <v>627</v>
      </c>
      <c r="D1987" s="3"/>
      <c r="E1987" s="3" t="s">
        <v>627</v>
      </c>
      <c r="F1987" s="3"/>
      <c r="G1987" s="3"/>
      <c r="H1987" s="3"/>
      <c r="I1987" s="3"/>
      <c r="J1987" s="3"/>
      <c r="K1987" s="3"/>
      <c r="L1987" s="3" t="s">
        <v>88</v>
      </c>
      <c r="M1987" s="3">
        <v>90</v>
      </c>
      <c r="N1987" s="3" t="s">
        <v>265</v>
      </c>
      <c r="O1987" s="3"/>
      <c r="P1987" s="3"/>
      <c r="Q1987" s="3">
        <v>0.14799999999999999</v>
      </c>
      <c r="R1987" s="3" t="s">
        <v>12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87</v>
      </c>
      <c r="C1988" s="3" t="s">
        <v>627</v>
      </c>
      <c r="D1988" s="3"/>
      <c r="E1988" s="3" t="s">
        <v>627</v>
      </c>
      <c r="F1988" s="3"/>
      <c r="G1988" s="3"/>
      <c r="H1988" s="3"/>
      <c r="I1988" s="3"/>
      <c r="J1988" s="3"/>
      <c r="K1988" s="3"/>
      <c r="L1988" s="3" t="s">
        <v>88</v>
      </c>
      <c r="M1988" s="3">
        <v>100</v>
      </c>
      <c r="N1988" s="3" t="s">
        <v>269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87</v>
      </c>
      <c r="C1989" s="3" t="s">
        <v>627</v>
      </c>
      <c r="D1989" s="3"/>
      <c r="E1989" s="3" t="s">
        <v>627</v>
      </c>
      <c r="F1989" s="3"/>
      <c r="G1989" s="3"/>
      <c r="H1989" s="3"/>
      <c r="I1989" s="3"/>
      <c r="J1989" s="3"/>
      <c r="K1989" s="3"/>
      <c r="L1989" s="3" t="s">
        <v>88</v>
      </c>
      <c r="M1989" s="3">
        <v>110</v>
      </c>
      <c r="N1989" s="3" t="s">
        <v>20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87</v>
      </c>
      <c r="C1990" s="3" t="s">
        <v>627</v>
      </c>
      <c r="D1990" s="3"/>
      <c r="E1990" s="3" t="s">
        <v>627</v>
      </c>
      <c r="F1990" s="3"/>
      <c r="G1990" s="3"/>
      <c r="H1990" s="3"/>
      <c r="I1990" s="3"/>
      <c r="J1990" s="3"/>
      <c r="K1990" s="3"/>
      <c r="L1990" s="3" t="s">
        <v>88</v>
      </c>
      <c r="M1990" s="3">
        <v>120</v>
      </c>
      <c r="N1990" s="3" t="s">
        <v>21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87</v>
      </c>
      <c r="C1991" s="3" t="s">
        <v>627</v>
      </c>
      <c r="D1991" s="3"/>
      <c r="E1991" s="3" t="s">
        <v>627</v>
      </c>
      <c r="F1991" s="3"/>
      <c r="G1991" s="3"/>
      <c r="H1991" s="3"/>
      <c r="I1991" s="3"/>
      <c r="J1991" s="3"/>
      <c r="K1991" s="3"/>
      <c r="L1991" s="3" t="s">
        <v>88</v>
      </c>
      <c r="M1991" s="3">
        <v>130</v>
      </c>
      <c r="N1991" s="3" t="s">
        <v>110</v>
      </c>
      <c r="O1991" s="3"/>
      <c r="P1991" s="3"/>
      <c r="Q1991" s="3">
        <v>1.216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87</v>
      </c>
      <c r="C1992" s="3" t="s">
        <v>627</v>
      </c>
      <c r="D1992" s="3"/>
      <c r="E1992" s="3" t="s">
        <v>627</v>
      </c>
      <c r="F1992" s="3"/>
      <c r="G1992" s="3"/>
      <c r="H1992" s="3"/>
      <c r="I1992" s="3"/>
      <c r="J1992" s="3"/>
      <c r="K1992" s="3"/>
      <c r="L1992" s="3" t="s">
        <v>88</v>
      </c>
      <c r="M1992" s="3">
        <v>140</v>
      </c>
      <c r="N1992" s="3" t="s">
        <v>501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87</v>
      </c>
      <c r="C1993" s="3" t="s">
        <v>630</v>
      </c>
      <c r="D1993" s="3"/>
      <c r="E1993" s="3" t="s">
        <v>630</v>
      </c>
      <c r="F1993" s="3"/>
      <c r="G1993" s="3"/>
      <c r="H1993" s="3"/>
      <c r="I1993" s="3"/>
      <c r="J1993" s="3"/>
      <c r="K1993" s="3"/>
      <c r="L1993" s="3" t="s">
        <v>88</v>
      </c>
      <c r="M1993" s="3">
        <v>10</v>
      </c>
      <c r="N1993" s="3" t="s">
        <v>187</v>
      </c>
      <c r="O1993" s="3"/>
      <c r="P1993" s="3"/>
      <c r="Q1993" s="3">
        <v>2.1589999999999998</v>
      </c>
      <c r="R1993" s="3" t="s">
        <v>14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87</v>
      </c>
      <c r="C1994" s="3" t="s">
        <v>630</v>
      </c>
      <c r="D1994" s="3"/>
      <c r="E1994" s="3" t="s">
        <v>630</v>
      </c>
      <c r="F1994" s="3"/>
      <c r="G1994" s="3"/>
      <c r="H1994" s="3"/>
      <c r="I1994" s="3"/>
      <c r="J1994" s="3"/>
      <c r="K1994" s="3"/>
      <c r="L1994" s="3" t="s">
        <v>88</v>
      </c>
      <c r="M1994" s="3">
        <v>20</v>
      </c>
      <c r="N1994" s="3" t="s">
        <v>631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87</v>
      </c>
      <c r="C1995" s="3" t="s">
        <v>630</v>
      </c>
      <c r="D1995" s="3"/>
      <c r="E1995" s="3" t="s">
        <v>630</v>
      </c>
      <c r="F1995" s="3"/>
      <c r="G1995" s="3"/>
      <c r="H1995" s="3"/>
      <c r="I1995" s="3"/>
      <c r="J1995" s="3"/>
      <c r="K1995" s="3"/>
      <c r="L1995" s="3" t="s">
        <v>88</v>
      </c>
      <c r="M1995" s="3">
        <v>30</v>
      </c>
      <c r="N1995" s="3" t="s">
        <v>632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87</v>
      </c>
      <c r="C1996" s="3" t="s">
        <v>630</v>
      </c>
      <c r="D1996" s="3"/>
      <c r="E1996" s="3" t="s">
        <v>630</v>
      </c>
      <c r="F1996" s="3"/>
      <c r="G1996" s="3"/>
      <c r="H1996" s="3"/>
      <c r="I1996" s="3"/>
      <c r="J1996" s="3"/>
      <c r="K1996" s="3"/>
      <c r="L1996" s="3" t="s">
        <v>88</v>
      </c>
      <c r="M1996" s="3">
        <v>40</v>
      </c>
      <c r="N1996" s="3" t="s">
        <v>266</v>
      </c>
      <c r="O1996" s="3"/>
      <c r="P1996" s="3"/>
      <c r="Q1996" s="3">
        <v>2.1589999999999998</v>
      </c>
      <c r="R1996" s="3" t="s">
        <v>14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87</v>
      </c>
      <c r="C1997" s="3" t="s">
        <v>630</v>
      </c>
      <c r="D1997" s="3"/>
      <c r="E1997" s="3" t="s">
        <v>630</v>
      </c>
      <c r="F1997" s="3"/>
      <c r="G1997" s="3"/>
      <c r="H1997" s="3"/>
      <c r="I1997" s="3"/>
      <c r="J1997" s="3"/>
      <c r="K1997" s="3"/>
      <c r="L1997" s="3" t="s">
        <v>88</v>
      </c>
      <c r="M1997" s="3">
        <v>50</v>
      </c>
      <c r="N1997" s="3" t="s">
        <v>107</v>
      </c>
      <c r="O1997" s="3"/>
      <c r="P1997" s="3"/>
      <c r="Q1997" s="3">
        <v>0.56100000000000005</v>
      </c>
      <c r="R1997" s="3" t="s">
        <v>108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87</v>
      </c>
      <c r="C1998" s="3" t="s">
        <v>630</v>
      </c>
      <c r="D1998" s="3"/>
      <c r="E1998" s="3" t="s">
        <v>630</v>
      </c>
      <c r="F1998" s="3"/>
      <c r="G1998" s="3"/>
      <c r="H1998" s="3"/>
      <c r="I1998" s="3"/>
      <c r="J1998" s="3"/>
      <c r="K1998" s="3"/>
      <c r="L1998" s="3" t="s">
        <v>88</v>
      </c>
      <c r="M1998" s="3">
        <v>60</v>
      </c>
      <c r="N1998" s="3" t="s">
        <v>267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87</v>
      </c>
      <c r="C1999" s="3" t="s">
        <v>630</v>
      </c>
      <c r="D1999" s="3"/>
      <c r="E1999" s="3" t="s">
        <v>630</v>
      </c>
      <c r="F1999" s="3"/>
      <c r="G1999" s="3"/>
      <c r="H1999" s="3"/>
      <c r="I1999" s="3"/>
      <c r="J1999" s="3"/>
      <c r="K1999" s="3"/>
      <c r="L1999" s="3" t="s">
        <v>88</v>
      </c>
      <c r="M1999" s="3">
        <v>70</v>
      </c>
      <c r="N1999" s="3" t="s">
        <v>109</v>
      </c>
      <c r="O1999" s="3"/>
      <c r="P1999" s="3"/>
      <c r="Q1999" s="3">
        <v>17.983000000000001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87</v>
      </c>
      <c r="C2000" s="3" t="s">
        <v>630</v>
      </c>
      <c r="D2000" s="3"/>
      <c r="E2000" s="3" t="s">
        <v>630</v>
      </c>
      <c r="F2000" s="3"/>
      <c r="G2000" s="3"/>
      <c r="H2000" s="3"/>
      <c r="I2000" s="3"/>
      <c r="J2000" s="3"/>
      <c r="K2000" s="3"/>
      <c r="L2000" s="3" t="s">
        <v>88</v>
      </c>
      <c r="M2000" s="3">
        <v>80</v>
      </c>
      <c r="N2000" s="3" t="s">
        <v>16</v>
      </c>
      <c r="O2000" s="3"/>
      <c r="P2000" s="3"/>
      <c r="Q2000" s="3">
        <v>111.53400000000001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87</v>
      </c>
      <c r="C2001" s="3" t="s">
        <v>630</v>
      </c>
      <c r="D2001" s="3"/>
      <c r="E2001" s="3" t="s">
        <v>630</v>
      </c>
      <c r="F2001" s="3"/>
      <c r="G2001" s="3"/>
      <c r="H2001" s="3"/>
      <c r="I2001" s="3"/>
      <c r="J2001" s="3"/>
      <c r="K2001" s="3"/>
      <c r="L2001" s="3" t="s">
        <v>88</v>
      </c>
      <c r="M2001" s="3">
        <v>90</v>
      </c>
      <c r="N2001" s="3" t="s">
        <v>265</v>
      </c>
      <c r="O2001" s="3"/>
      <c r="P2001" s="3"/>
      <c r="Q2001" s="3">
        <v>8.4000000000000005E-2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87</v>
      </c>
      <c r="C2002" s="3" t="s">
        <v>630</v>
      </c>
      <c r="D2002" s="3"/>
      <c r="E2002" s="3" t="s">
        <v>630</v>
      </c>
      <c r="F2002" s="3"/>
      <c r="G2002" s="3"/>
      <c r="H2002" s="3"/>
      <c r="I2002" s="3"/>
      <c r="J2002" s="3"/>
      <c r="K2002" s="3"/>
      <c r="L2002" s="3" t="s">
        <v>88</v>
      </c>
      <c r="M2002" s="3">
        <v>100</v>
      </c>
      <c r="N2002" s="3" t="s">
        <v>269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87</v>
      </c>
      <c r="C2003" s="3" t="s">
        <v>630</v>
      </c>
      <c r="D2003" s="3"/>
      <c r="E2003" s="3" t="s">
        <v>630</v>
      </c>
      <c r="F2003" s="3"/>
      <c r="G2003" s="3"/>
      <c r="H2003" s="3"/>
      <c r="I2003" s="3"/>
      <c r="J2003" s="3"/>
      <c r="K2003" s="3"/>
      <c r="L2003" s="3" t="s">
        <v>88</v>
      </c>
      <c r="M2003" s="3">
        <v>110</v>
      </c>
      <c r="N2003" s="3" t="s">
        <v>20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87</v>
      </c>
      <c r="C2004" s="3" t="s">
        <v>630</v>
      </c>
      <c r="D2004" s="3"/>
      <c r="E2004" s="3" t="s">
        <v>630</v>
      </c>
      <c r="F2004" s="3"/>
      <c r="G2004" s="3"/>
      <c r="H2004" s="3"/>
      <c r="I2004" s="3"/>
      <c r="J2004" s="3"/>
      <c r="K2004" s="3"/>
      <c r="L2004" s="3" t="s">
        <v>88</v>
      </c>
      <c r="M2004" s="3">
        <v>120</v>
      </c>
      <c r="N2004" s="3" t="s">
        <v>21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87</v>
      </c>
      <c r="C2005" s="3" t="s">
        <v>630</v>
      </c>
      <c r="D2005" s="3"/>
      <c r="E2005" s="3" t="s">
        <v>630</v>
      </c>
      <c r="F2005" s="3"/>
      <c r="G2005" s="3"/>
      <c r="H2005" s="3"/>
      <c r="I2005" s="3"/>
      <c r="J2005" s="3"/>
      <c r="K2005" s="3"/>
      <c r="L2005" s="3" t="s">
        <v>88</v>
      </c>
      <c r="M2005" s="3">
        <v>130</v>
      </c>
      <c r="N2005" s="3" t="s">
        <v>110</v>
      </c>
      <c r="O2005" s="3"/>
      <c r="P2005" s="3"/>
      <c r="Q2005" s="3">
        <v>1.27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87</v>
      </c>
      <c r="C2006" s="3" t="s">
        <v>630</v>
      </c>
      <c r="D2006" s="3"/>
      <c r="E2006" s="3" t="s">
        <v>630</v>
      </c>
      <c r="F2006" s="3"/>
      <c r="G2006" s="3"/>
      <c r="H2006" s="3"/>
      <c r="I2006" s="3"/>
      <c r="J2006" s="3"/>
      <c r="K2006" s="3"/>
      <c r="L2006" s="3" t="s">
        <v>88</v>
      </c>
      <c r="M2006" s="3">
        <v>140</v>
      </c>
      <c r="N2006" s="3" t="s">
        <v>505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87</v>
      </c>
      <c r="C2007" s="3" t="s">
        <v>633</v>
      </c>
      <c r="D2007" s="3"/>
      <c r="E2007" s="3" t="s">
        <v>633</v>
      </c>
      <c r="F2007" s="3"/>
      <c r="G2007" s="3"/>
      <c r="H2007" s="3"/>
      <c r="I2007" s="3"/>
      <c r="J2007" s="3"/>
      <c r="K2007" s="3"/>
      <c r="L2007" s="3" t="s">
        <v>88</v>
      </c>
      <c r="M2007" s="3">
        <v>10</v>
      </c>
      <c r="N2007" s="3" t="s">
        <v>187</v>
      </c>
      <c r="O2007" s="3"/>
      <c r="P2007" s="3"/>
      <c r="Q2007" s="3">
        <v>2.1589999999999998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87</v>
      </c>
      <c r="C2008" s="3" t="s">
        <v>633</v>
      </c>
      <c r="D2008" s="3"/>
      <c r="E2008" s="3" t="s">
        <v>633</v>
      </c>
      <c r="F2008" s="3"/>
      <c r="G2008" s="3"/>
      <c r="H2008" s="3"/>
      <c r="I2008" s="3"/>
      <c r="J2008" s="3"/>
      <c r="K2008" s="3"/>
      <c r="L2008" s="3" t="s">
        <v>88</v>
      </c>
      <c r="M2008" s="3">
        <v>20</v>
      </c>
      <c r="N2008" s="3" t="s">
        <v>634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87</v>
      </c>
      <c r="C2009" s="3" t="s">
        <v>633</v>
      </c>
      <c r="D2009" s="3"/>
      <c r="E2009" s="3" t="s">
        <v>633</v>
      </c>
      <c r="F2009" s="3"/>
      <c r="G2009" s="3"/>
      <c r="H2009" s="3"/>
      <c r="I2009" s="3"/>
      <c r="J2009" s="3"/>
      <c r="K2009" s="3"/>
      <c r="L2009" s="3" t="s">
        <v>88</v>
      </c>
      <c r="M2009" s="3">
        <v>30</v>
      </c>
      <c r="N2009" s="3" t="s">
        <v>635</v>
      </c>
      <c r="O2009" s="3"/>
      <c r="P2009" s="3"/>
      <c r="Q2009" s="3">
        <v>1</v>
      </c>
      <c r="R2009" s="3" t="s">
        <v>11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87</v>
      </c>
      <c r="C2010" s="3" t="s">
        <v>633</v>
      </c>
      <c r="D2010" s="3"/>
      <c r="E2010" s="3" t="s">
        <v>633</v>
      </c>
      <c r="F2010" s="3"/>
      <c r="G2010" s="3"/>
      <c r="H2010" s="3"/>
      <c r="I2010" s="3"/>
      <c r="J2010" s="3"/>
      <c r="K2010" s="3"/>
      <c r="L2010" s="3" t="s">
        <v>88</v>
      </c>
      <c r="M2010" s="3">
        <v>40</v>
      </c>
      <c r="N2010" s="3" t="s">
        <v>266</v>
      </c>
      <c r="O2010" s="3"/>
      <c r="P2010" s="3"/>
      <c r="Q2010" s="3">
        <v>2.1589999999999998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87</v>
      </c>
      <c r="C2011" s="3" t="s">
        <v>633</v>
      </c>
      <c r="D2011" s="3"/>
      <c r="E2011" s="3" t="s">
        <v>633</v>
      </c>
      <c r="F2011" s="3"/>
      <c r="G2011" s="3"/>
      <c r="H2011" s="3"/>
      <c r="I2011" s="3"/>
      <c r="J2011" s="3"/>
      <c r="K2011" s="3"/>
      <c r="L2011" s="3" t="s">
        <v>88</v>
      </c>
      <c r="M2011" s="3">
        <v>50</v>
      </c>
      <c r="N2011" s="3" t="s">
        <v>107</v>
      </c>
      <c r="O2011" s="3"/>
      <c r="P2011" s="3"/>
      <c r="Q2011" s="3">
        <v>0.66300000000000003</v>
      </c>
      <c r="R2011" s="3" t="s">
        <v>108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87</v>
      </c>
      <c r="C2012" s="3" t="s">
        <v>633</v>
      </c>
      <c r="D2012" s="3"/>
      <c r="E2012" s="3" t="s">
        <v>633</v>
      </c>
      <c r="F2012" s="3"/>
      <c r="G2012" s="3"/>
      <c r="H2012" s="3"/>
      <c r="I2012" s="3"/>
      <c r="J2012" s="3"/>
      <c r="K2012" s="3"/>
      <c r="L2012" s="3" t="s">
        <v>88</v>
      </c>
      <c r="M2012" s="3">
        <v>60</v>
      </c>
      <c r="N2012" s="3" t="s">
        <v>267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87</v>
      </c>
      <c r="C2013" s="3" t="s">
        <v>633</v>
      </c>
      <c r="D2013" s="3"/>
      <c r="E2013" s="3" t="s">
        <v>633</v>
      </c>
      <c r="F2013" s="3"/>
      <c r="G2013" s="3"/>
      <c r="H2013" s="3"/>
      <c r="I2013" s="3"/>
      <c r="J2013" s="3"/>
      <c r="K2013" s="3"/>
      <c r="L2013" s="3" t="s">
        <v>88</v>
      </c>
      <c r="M2013" s="3">
        <v>70</v>
      </c>
      <c r="N2013" s="3" t="s">
        <v>109</v>
      </c>
      <c r="O2013" s="3"/>
      <c r="P2013" s="3"/>
      <c r="Q2013" s="3">
        <v>18.898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87</v>
      </c>
      <c r="C2014" s="3" t="s">
        <v>633</v>
      </c>
      <c r="D2014" s="3"/>
      <c r="E2014" s="3" t="s">
        <v>633</v>
      </c>
      <c r="F2014" s="3"/>
      <c r="G2014" s="3"/>
      <c r="H2014" s="3"/>
      <c r="I2014" s="3"/>
      <c r="J2014" s="3"/>
      <c r="K2014" s="3"/>
      <c r="L2014" s="3" t="s">
        <v>88</v>
      </c>
      <c r="M2014" s="3">
        <v>80</v>
      </c>
      <c r="N2014" s="3" t="s">
        <v>16</v>
      </c>
      <c r="O2014" s="3"/>
      <c r="P2014" s="3"/>
      <c r="Q2014" s="3">
        <v>117.158</v>
      </c>
      <c r="R2014" s="3" t="s">
        <v>14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87</v>
      </c>
      <c r="C2015" s="3" t="s">
        <v>633</v>
      </c>
      <c r="D2015" s="3"/>
      <c r="E2015" s="3" t="s">
        <v>633</v>
      </c>
      <c r="F2015" s="3"/>
      <c r="G2015" s="3"/>
      <c r="H2015" s="3"/>
      <c r="I2015" s="3"/>
      <c r="J2015" s="3"/>
      <c r="K2015" s="3"/>
      <c r="L2015" s="3" t="s">
        <v>88</v>
      </c>
      <c r="M2015" s="3">
        <v>90</v>
      </c>
      <c r="N2015" s="3" t="s">
        <v>265</v>
      </c>
      <c r="O2015" s="3"/>
      <c r="P2015" s="3"/>
      <c r="Q2015" s="3">
        <v>9.4E-2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87</v>
      </c>
      <c r="C2016" s="3" t="s">
        <v>633</v>
      </c>
      <c r="D2016" s="3"/>
      <c r="E2016" s="3" t="s">
        <v>633</v>
      </c>
      <c r="F2016" s="3"/>
      <c r="G2016" s="3"/>
      <c r="H2016" s="3"/>
      <c r="I2016" s="3"/>
      <c r="J2016" s="3"/>
      <c r="K2016" s="3"/>
      <c r="L2016" s="3" t="s">
        <v>88</v>
      </c>
      <c r="M2016" s="3">
        <v>100</v>
      </c>
      <c r="N2016" s="3" t="s">
        <v>269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87</v>
      </c>
      <c r="C2017" s="3" t="s">
        <v>633</v>
      </c>
      <c r="D2017" s="3"/>
      <c r="E2017" s="3" t="s">
        <v>633</v>
      </c>
      <c r="F2017" s="3"/>
      <c r="G2017" s="3"/>
      <c r="H2017" s="3"/>
      <c r="I2017" s="3"/>
      <c r="J2017" s="3"/>
      <c r="K2017" s="3"/>
      <c r="L2017" s="3" t="s">
        <v>88</v>
      </c>
      <c r="M2017" s="3">
        <v>110</v>
      </c>
      <c r="N2017" s="3" t="s">
        <v>20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87</v>
      </c>
      <c r="C2018" s="3" t="s">
        <v>633</v>
      </c>
      <c r="D2018" s="3"/>
      <c r="E2018" s="3" t="s">
        <v>633</v>
      </c>
      <c r="F2018" s="3"/>
      <c r="G2018" s="3"/>
      <c r="H2018" s="3"/>
      <c r="I2018" s="3"/>
      <c r="J2018" s="3"/>
      <c r="K2018" s="3"/>
      <c r="L2018" s="3" t="s">
        <v>88</v>
      </c>
      <c r="M2018" s="3">
        <v>120</v>
      </c>
      <c r="N2018" s="3" t="s">
        <v>21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87</v>
      </c>
      <c r="C2019" s="3" t="s">
        <v>633</v>
      </c>
      <c r="D2019" s="3"/>
      <c r="E2019" s="3" t="s">
        <v>633</v>
      </c>
      <c r="F2019" s="3"/>
      <c r="G2019" s="3"/>
      <c r="H2019" s="3"/>
      <c r="I2019" s="3"/>
      <c r="J2019" s="3"/>
      <c r="K2019" s="3"/>
      <c r="L2019" s="3" t="s">
        <v>88</v>
      </c>
      <c r="M2019" s="3">
        <v>130</v>
      </c>
      <c r="N2019" s="3" t="s">
        <v>110</v>
      </c>
      <c r="O2019" s="3"/>
      <c r="P2019" s="3"/>
      <c r="Q2019" s="3">
        <v>1.27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87</v>
      </c>
      <c r="C2020" s="3" t="s">
        <v>633</v>
      </c>
      <c r="D2020" s="3"/>
      <c r="E2020" s="3" t="s">
        <v>633</v>
      </c>
      <c r="F2020" s="3"/>
      <c r="G2020" s="3"/>
      <c r="H2020" s="3"/>
      <c r="I2020" s="3"/>
      <c r="J2020" s="3"/>
      <c r="K2020" s="3"/>
      <c r="L2020" s="3" t="s">
        <v>88</v>
      </c>
      <c r="M2020" s="3">
        <v>140</v>
      </c>
      <c r="N2020" s="3" t="s">
        <v>509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87</v>
      </c>
      <c r="C2021" s="3" t="s">
        <v>636</v>
      </c>
      <c r="D2021" s="3"/>
      <c r="E2021" s="3" t="s">
        <v>636</v>
      </c>
      <c r="F2021" s="3"/>
      <c r="G2021" s="3"/>
      <c r="H2021" s="3"/>
      <c r="I2021" s="3"/>
      <c r="J2021" s="3"/>
      <c r="K2021" s="3"/>
      <c r="L2021" s="3" t="s">
        <v>88</v>
      </c>
      <c r="M2021" s="3">
        <v>10</v>
      </c>
      <c r="N2021" s="3" t="s">
        <v>187</v>
      </c>
      <c r="O2021" s="3"/>
      <c r="P2021" s="3"/>
      <c r="Q2021" s="3">
        <v>2.1589999999999998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87</v>
      </c>
      <c r="C2022" s="3" t="s">
        <v>636</v>
      </c>
      <c r="D2022" s="3"/>
      <c r="E2022" s="3" t="s">
        <v>636</v>
      </c>
      <c r="F2022" s="3"/>
      <c r="G2022" s="3"/>
      <c r="H2022" s="3"/>
      <c r="I2022" s="3"/>
      <c r="J2022" s="3"/>
      <c r="K2022" s="3"/>
      <c r="L2022" s="3" t="s">
        <v>88</v>
      </c>
      <c r="M2022" s="3">
        <v>20</v>
      </c>
      <c r="N2022" s="3" t="s">
        <v>637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87</v>
      </c>
      <c r="C2023" s="3" t="s">
        <v>636</v>
      </c>
      <c r="D2023" s="3"/>
      <c r="E2023" s="3" t="s">
        <v>636</v>
      </c>
      <c r="F2023" s="3"/>
      <c r="G2023" s="3"/>
      <c r="H2023" s="3"/>
      <c r="I2023" s="3"/>
      <c r="J2023" s="3"/>
      <c r="K2023" s="3"/>
      <c r="L2023" s="3" t="s">
        <v>88</v>
      </c>
      <c r="M2023" s="3">
        <v>30</v>
      </c>
      <c r="N2023" s="3" t="s">
        <v>638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87</v>
      </c>
      <c r="C2024" s="3" t="s">
        <v>636</v>
      </c>
      <c r="D2024" s="3"/>
      <c r="E2024" s="3" t="s">
        <v>636</v>
      </c>
      <c r="F2024" s="3"/>
      <c r="G2024" s="3"/>
      <c r="H2024" s="3"/>
      <c r="I2024" s="3"/>
      <c r="J2024" s="3"/>
      <c r="K2024" s="3"/>
      <c r="L2024" s="3" t="s">
        <v>88</v>
      </c>
      <c r="M2024" s="3">
        <v>40</v>
      </c>
      <c r="N2024" s="3" t="s">
        <v>266</v>
      </c>
      <c r="O2024" s="3"/>
      <c r="P2024" s="3"/>
      <c r="Q2024" s="3">
        <v>2.1589999999999998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87</v>
      </c>
      <c r="C2025" s="3" t="s">
        <v>636</v>
      </c>
      <c r="D2025" s="3"/>
      <c r="E2025" s="3" t="s">
        <v>636</v>
      </c>
      <c r="F2025" s="3"/>
      <c r="G2025" s="3"/>
      <c r="H2025" s="3"/>
      <c r="I2025" s="3"/>
      <c r="J2025" s="3"/>
      <c r="K2025" s="3"/>
      <c r="L2025" s="3" t="s">
        <v>88</v>
      </c>
      <c r="M2025" s="3">
        <v>50</v>
      </c>
      <c r="N2025" s="3" t="s">
        <v>107</v>
      </c>
      <c r="O2025" s="3"/>
      <c r="P2025" s="3"/>
      <c r="Q2025" s="3">
        <v>0.76500000000000001</v>
      </c>
      <c r="R2025" s="3" t="s">
        <v>108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87</v>
      </c>
      <c r="C2026" s="3" t="s">
        <v>636</v>
      </c>
      <c r="D2026" s="3"/>
      <c r="E2026" s="3" t="s">
        <v>636</v>
      </c>
      <c r="F2026" s="3"/>
      <c r="G2026" s="3"/>
      <c r="H2026" s="3"/>
      <c r="I2026" s="3"/>
      <c r="J2026" s="3"/>
      <c r="K2026" s="3"/>
      <c r="L2026" s="3" t="s">
        <v>88</v>
      </c>
      <c r="M2026" s="3">
        <v>60</v>
      </c>
      <c r="N2026" s="3" t="s">
        <v>267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87</v>
      </c>
      <c r="C2027" s="3" t="s">
        <v>636</v>
      </c>
      <c r="D2027" s="3"/>
      <c r="E2027" s="3" t="s">
        <v>636</v>
      </c>
      <c r="F2027" s="3"/>
      <c r="G2027" s="3"/>
      <c r="H2027" s="3"/>
      <c r="I2027" s="3"/>
      <c r="J2027" s="3"/>
      <c r="K2027" s="3"/>
      <c r="L2027" s="3" t="s">
        <v>88</v>
      </c>
      <c r="M2027" s="3">
        <v>70</v>
      </c>
      <c r="N2027" s="3" t="s">
        <v>109</v>
      </c>
      <c r="O2027" s="3"/>
      <c r="P2027" s="3"/>
      <c r="Q2027" s="3">
        <v>19.812000000000001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87</v>
      </c>
      <c r="C2028" s="3" t="s">
        <v>636</v>
      </c>
      <c r="D2028" s="3"/>
      <c r="E2028" s="3" t="s">
        <v>636</v>
      </c>
      <c r="F2028" s="3"/>
      <c r="G2028" s="3"/>
      <c r="H2028" s="3"/>
      <c r="I2028" s="3"/>
      <c r="J2028" s="3"/>
      <c r="K2028" s="3"/>
      <c r="L2028" s="3" t="s">
        <v>88</v>
      </c>
      <c r="M2028" s="3">
        <v>80</v>
      </c>
      <c r="N2028" s="3" t="s">
        <v>16</v>
      </c>
      <c r="O2028" s="3"/>
      <c r="P2028" s="3"/>
      <c r="Q2028" s="3">
        <v>122.78100000000001</v>
      </c>
      <c r="R2028" s="3" t="s">
        <v>14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87</v>
      </c>
      <c r="C2029" s="3" t="s">
        <v>636</v>
      </c>
      <c r="D2029" s="3"/>
      <c r="E2029" s="3" t="s">
        <v>636</v>
      </c>
      <c r="F2029" s="3"/>
      <c r="G2029" s="3"/>
      <c r="H2029" s="3"/>
      <c r="I2029" s="3"/>
      <c r="J2029" s="3"/>
      <c r="K2029" s="3"/>
      <c r="L2029" s="3" t="s">
        <v>88</v>
      </c>
      <c r="M2029" s="3">
        <v>90</v>
      </c>
      <c r="N2029" s="3" t="s">
        <v>265</v>
      </c>
      <c r="O2029" s="3"/>
      <c r="P2029" s="3"/>
      <c r="Q2029" s="3">
        <v>0.105</v>
      </c>
      <c r="R2029" s="3" t="s">
        <v>12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87</v>
      </c>
      <c r="C2030" s="3" t="s">
        <v>636</v>
      </c>
      <c r="D2030" s="3"/>
      <c r="E2030" s="3" t="s">
        <v>636</v>
      </c>
      <c r="F2030" s="3"/>
      <c r="G2030" s="3"/>
      <c r="H2030" s="3"/>
      <c r="I2030" s="3"/>
      <c r="J2030" s="3"/>
      <c r="K2030" s="3"/>
      <c r="L2030" s="3" t="s">
        <v>88</v>
      </c>
      <c r="M2030" s="3">
        <v>100</v>
      </c>
      <c r="N2030" s="3" t="s">
        <v>269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87</v>
      </c>
      <c r="C2031" s="3" t="s">
        <v>636</v>
      </c>
      <c r="D2031" s="3"/>
      <c r="E2031" s="3" t="s">
        <v>636</v>
      </c>
      <c r="F2031" s="3"/>
      <c r="G2031" s="3"/>
      <c r="H2031" s="3"/>
      <c r="I2031" s="3"/>
      <c r="J2031" s="3"/>
      <c r="K2031" s="3"/>
      <c r="L2031" s="3" t="s">
        <v>88</v>
      </c>
      <c r="M2031" s="3">
        <v>110</v>
      </c>
      <c r="N2031" s="3" t="s">
        <v>20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87</v>
      </c>
      <c r="C2032" s="3" t="s">
        <v>636</v>
      </c>
      <c r="D2032" s="3"/>
      <c r="E2032" s="3" t="s">
        <v>636</v>
      </c>
      <c r="F2032" s="3"/>
      <c r="G2032" s="3"/>
      <c r="H2032" s="3"/>
      <c r="I2032" s="3"/>
      <c r="J2032" s="3"/>
      <c r="K2032" s="3"/>
      <c r="L2032" s="3" t="s">
        <v>88</v>
      </c>
      <c r="M2032" s="3">
        <v>120</v>
      </c>
      <c r="N2032" s="3" t="s">
        <v>21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87</v>
      </c>
      <c r="C2033" s="3" t="s">
        <v>636</v>
      </c>
      <c r="D2033" s="3"/>
      <c r="E2033" s="3" t="s">
        <v>636</v>
      </c>
      <c r="F2033" s="3"/>
      <c r="G2033" s="3"/>
      <c r="H2033" s="3"/>
      <c r="I2033" s="3"/>
      <c r="J2033" s="3"/>
      <c r="K2033" s="3"/>
      <c r="L2033" s="3" t="s">
        <v>88</v>
      </c>
      <c r="M2033" s="3">
        <v>130</v>
      </c>
      <c r="N2033" s="3" t="s">
        <v>110</v>
      </c>
      <c r="O2033" s="3"/>
      <c r="P2033" s="3"/>
      <c r="Q2033" s="3">
        <v>1.27</v>
      </c>
      <c r="R2033" s="3" t="s">
        <v>12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87</v>
      </c>
      <c r="C2034" s="3" t="s">
        <v>636</v>
      </c>
      <c r="D2034" s="3"/>
      <c r="E2034" s="3" t="s">
        <v>636</v>
      </c>
      <c r="F2034" s="3"/>
      <c r="G2034" s="3"/>
      <c r="H2034" s="3"/>
      <c r="I2034" s="3"/>
      <c r="J2034" s="3"/>
      <c r="K2034" s="3"/>
      <c r="L2034" s="3" t="s">
        <v>88</v>
      </c>
      <c r="M2034" s="3">
        <v>140</v>
      </c>
      <c r="N2034" s="3" t="s">
        <v>513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87</v>
      </c>
      <c r="C2035" s="3" t="s">
        <v>639</v>
      </c>
      <c r="D2035" s="3"/>
      <c r="E2035" s="3" t="s">
        <v>639</v>
      </c>
      <c r="F2035" s="3"/>
      <c r="G2035" s="3"/>
      <c r="H2035" s="3"/>
      <c r="I2035" s="3"/>
      <c r="J2035" s="3"/>
      <c r="K2035" s="3"/>
      <c r="L2035" s="3" t="s">
        <v>88</v>
      </c>
      <c r="M2035" s="3">
        <v>10</v>
      </c>
      <c r="N2035" s="3" t="s">
        <v>187</v>
      </c>
      <c r="O2035" s="3"/>
      <c r="P2035" s="3"/>
      <c r="Q2035" s="3">
        <v>2.1589999999999998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87</v>
      </c>
      <c r="C2036" s="3" t="s">
        <v>639</v>
      </c>
      <c r="D2036" s="3"/>
      <c r="E2036" s="3" t="s">
        <v>639</v>
      </c>
      <c r="F2036" s="3"/>
      <c r="G2036" s="3"/>
      <c r="H2036" s="3"/>
      <c r="I2036" s="3"/>
      <c r="J2036" s="3"/>
      <c r="K2036" s="3"/>
      <c r="L2036" s="3" t="s">
        <v>88</v>
      </c>
      <c r="M2036" s="3">
        <v>20</v>
      </c>
      <c r="N2036" s="3" t="s">
        <v>640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87</v>
      </c>
      <c r="C2037" s="3" t="s">
        <v>639</v>
      </c>
      <c r="D2037" s="3"/>
      <c r="E2037" s="3" t="s">
        <v>639</v>
      </c>
      <c r="F2037" s="3"/>
      <c r="G2037" s="3"/>
      <c r="H2037" s="3"/>
      <c r="I2037" s="3"/>
      <c r="J2037" s="3"/>
      <c r="K2037" s="3"/>
      <c r="L2037" s="3" t="s">
        <v>88</v>
      </c>
      <c r="M2037" s="3">
        <v>30</v>
      </c>
      <c r="N2037" s="3" t="s">
        <v>641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87</v>
      </c>
      <c r="C2038" s="3" t="s">
        <v>639</v>
      </c>
      <c r="D2038" s="3"/>
      <c r="E2038" s="3" t="s">
        <v>639</v>
      </c>
      <c r="F2038" s="3"/>
      <c r="G2038" s="3"/>
      <c r="H2038" s="3"/>
      <c r="I2038" s="3"/>
      <c r="J2038" s="3"/>
      <c r="K2038" s="3"/>
      <c r="L2038" s="3" t="s">
        <v>88</v>
      </c>
      <c r="M2038" s="3">
        <v>40</v>
      </c>
      <c r="N2038" s="3" t="s">
        <v>266</v>
      </c>
      <c r="O2038" s="3"/>
      <c r="P2038" s="3"/>
      <c r="Q2038" s="3">
        <v>2.1589999999999998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87</v>
      </c>
      <c r="C2039" s="3" t="s">
        <v>639</v>
      </c>
      <c r="D2039" s="3"/>
      <c r="E2039" s="3" t="s">
        <v>639</v>
      </c>
      <c r="F2039" s="3"/>
      <c r="G2039" s="3"/>
      <c r="H2039" s="3"/>
      <c r="I2039" s="3"/>
      <c r="J2039" s="3"/>
      <c r="K2039" s="3"/>
      <c r="L2039" s="3" t="s">
        <v>88</v>
      </c>
      <c r="M2039" s="3">
        <v>50</v>
      </c>
      <c r="N2039" s="3" t="s">
        <v>107</v>
      </c>
      <c r="O2039" s="3"/>
      <c r="P2039" s="3"/>
      <c r="Q2039" s="3">
        <v>0.86799999999999999</v>
      </c>
      <c r="R2039" s="3" t="s">
        <v>108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87</v>
      </c>
      <c r="C2040" s="3" t="s">
        <v>639</v>
      </c>
      <c r="D2040" s="3"/>
      <c r="E2040" s="3" t="s">
        <v>639</v>
      </c>
      <c r="F2040" s="3"/>
      <c r="G2040" s="3"/>
      <c r="H2040" s="3"/>
      <c r="I2040" s="3"/>
      <c r="J2040" s="3"/>
      <c r="K2040" s="3"/>
      <c r="L2040" s="3" t="s">
        <v>88</v>
      </c>
      <c r="M2040" s="3">
        <v>60</v>
      </c>
      <c r="N2040" s="3" t="s">
        <v>267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87</v>
      </c>
      <c r="C2041" s="3" t="s">
        <v>639</v>
      </c>
      <c r="D2041" s="3"/>
      <c r="E2041" s="3" t="s">
        <v>639</v>
      </c>
      <c r="F2041" s="3"/>
      <c r="G2041" s="3"/>
      <c r="H2041" s="3"/>
      <c r="I2041" s="3"/>
      <c r="J2041" s="3"/>
      <c r="K2041" s="3"/>
      <c r="L2041" s="3" t="s">
        <v>88</v>
      </c>
      <c r="M2041" s="3">
        <v>70</v>
      </c>
      <c r="N2041" s="3" t="s">
        <v>109</v>
      </c>
      <c r="O2041" s="3"/>
      <c r="P2041" s="3"/>
      <c r="Q2041" s="3">
        <v>20.725999999999999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87</v>
      </c>
      <c r="C2042" s="3" t="s">
        <v>639</v>
      </c>
      <c r="D2042" s="3"/>
      <c r="E2042" s="3" t="s">
        <v>639</v>
      </c>
      <c r="F2042" s="3"/>
      <c r="G2042" s="3"/>
      <c r="H2042" s="3"/>
      <c r="I2042" s="3"/>
      <c r="J2042" s="3"/>
      <c r="K2042" s="3"/>
      <c r="L2042" s="3" t="s">
        <v>88</v>
      </c>
      <c r="M2042" s="3">
        <v>80</v>
      </c>
      <c r="N2042" s="3" t="s">
        <v>16</v>
      </c>
      <c r="O2042" s="3"/>
      <c r="P2042" s="3"/>
      <c r="Q2042" s="3">
        <v>128.405</v>
      </c>
      <c r="R2042" s="3" t="s">
        <v>14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87</v>
      </c>
      <c r="C2043" s="3" t="s">
        <v>639</v>
      </c>
      <c r="D2043" s="3"/>
      <c r="E2043" s="3" t="s">
        <v>639</v>
      </c>
      <c r="F2043" s="3"/>
      <c r="G2043" s="3"/>
      <c r="H2043" s="3"/>
      <c r="I2043" s="3"/>
      <c r="J2043" s="3"/>
      <c r="K2043" s="3"/>
      <c r="L2043" s="3" t="s">
        <v>88</v>
      </c>
      <c r="M2043" s="3">
        <v>90</v>
      </c>
      <c r="N2043" s="3" t="s">
        <v>265</v>
      </c>
      <c r="O2043" s="3"/>
      <c r="P2043" s="3"/>
      <c r="Q2043" s="3">
        <v>0.11600000000000001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87</v>
      </c>
      <c r="C2044" s="3" t="s">
        <v>639</v>
      </c>
      <c r="D2044" s="3"/>
      <c r="E2044" s="3" t="s">
        <v>639</v>
      </c>
      <c r="F2044" s="3"/>
      <c r="G2044" s="3"/>
      <c r="H2044" s="3"/>
      <c r="I2044" s="3"/>
      <c r="J2044" s="3"/>
      <c r="K2044" s="3"/>
      <c r="L2044" s="3" t="s">
        <v>88</v>
      </c>
      <c r="M2044" s="3">
        <v>100</v>
      </c>
      <c r="N2044" s="3" t="s">
        <v>269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87</v>
      </c>
      <c r="C2045" s="3" t="s">
        <v>639</v>
      </c>
      <c r="D2045" s="3"/>
      <c r="E2045" s="3" t="s">
        <v>639</v>
      </c>
      <c r="F2045" s="3"/>
      <c r="G2045" s="3"/>
      <c r="H2045" s="3"/>
      <c r="I2045" s="3"/>
      <c r="J2045" s="3"/>
      <c r="K2045" s="3"/>
      <c r="L2045" s="3" t="s">
        <v>88</v>
      </c>
      <c r="M2045" s="3">
        <v>110</v>
      </c>
      <c r="N2045" s="3" t="s">
        <v>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87</v>
      </c>
      <c r="C2046" s="3" t="s">
        <v>639</v>
      </c>
      <c r="D2046" s="3"/>
      <c r="E2046" s="3" t="s">
        <v>639</v>
      </c>
      <c r="F2046" s="3"/>
      <c r="G2046" s="3"/>
      <c r="H2046" s="3"/>
      <c r="I2046" s="3"/>
      <c r="J2046" s="3"/>
      <c r="K2046" s="3"/>
      <c r="L2046" s="3" t="s">
        <v>88</v>
      </c>
      <c r="M2046" s="3">
        <v>120</v>
      </c>
      <c r="N2046" s="3" t="s">
        <v>21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87</v>
      </c>
      <c r="C2047" s="3" t="s">
        <v>639</v>
      </c>
      <c r="D2047" s="3"/>
      <c r="E2047" s="3" t="s">
        <v>639</v>
      </c>
      <c r="F2047" s="3"/>
      <c r="G2047" s="3"/>
      <c r="H2047" s="3"/>
      <c r="I2047" s="3"/>
      <c r="J2047" s="3"/>
      <c r="K2047" s="3"/>
      <c r="L2047" s="3" t="s">
        <v>88</v>
      </c>
      <c r="M2047" s="3">
        <v>130</v>
      </c>
      <c r="N2047" s="3" t="s">
        <v>110</v>
      </c>
      <c r="O2047" s="3"/>
      <c r="P2047" s="3"/>
      <c r="Q2047" s="3">
        <v>1.27</v>
      </c>
      <c r="R2047" s="3" t="s">
        <v>12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87</v>
      </c>
      <c r="C2048" s="3" t="s">
        <v>639</v>
      </c>
      <c r="D2048" s="3"/>
      <c r="E2048" s="3" t="s">
        <v>639</v>
      </c>
      <c r="F2048" s="3"/>
      <c r="G2048" s="3"/>
      <c r="H2048" s="3"/>
      <c r="I2048" s="3"/>
      <c r="J2048" s="3"/>
      <c r="K2048" s="3"/>
      <c r="L2048" s="3" t="s">
        <v>88</v>
      </c>
      <c r="M2048" s="3">
        <v>140</v>
      </c>
      <c r="N2048" s="3" t="s">
        <v>517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87</v>
      </c>
      <c r="C2049" s="3" t="s">
        <v>642</v>
      </c>
      <c r="D2049" s="3"/>
      <c r="E2049" s="3" t="s">
        <v>642</v>
      </c>
      <c r="F2049" s="3"/>
      <c r="G2049" s="3"/>
      <c r="H2049" s="3"/>
      <c r="I2049" s="3"/>
      <c r="J2049" s="3"/>
      <c r="K2049" s="3"/>
      <c r="L2049" s="3" t="s">
        <v>88</v>
      </c>
      <c r="M2049" s="3">
        <v>10</v>
      </c>
      <c r="N2049" s="3" t="s">
        <v>187</v>
      </c>
      <c r="O2049" s="3"/>
      <c r="P2049" s="3"/>
      <c r="Q2049" s="3">
        <v>2.1589999999999998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87</v>
      </c>
      <c r="C2050" s="3" t="s">
        <v>642</v>
      </c>
      <c r="D2050" s="3"/>
      <c r="E2050" s="3" t="s">
        <v>642</v>
      </c>
      <c r="F2050" s="3"/>
      <c r="G2050" s="3"/>
      <c r="H2050" s="3"/>
      <c r="I2050" s="3"/>
      <c r="J2050" s="3"/>
      <c r="K2050" s="3"/>
      <c r="L2050" s="3" t="s">
        <v>88</v>
      </c>
      <c r="M2050" s="3">
        <v>20</v>
      </c>
      <c r="N2050" s="3" t="s">
        <v>643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87</v>
      </c>
      <c r="C2051" s="3" t="s">
        <v>642</v>
      </c>
      <c r="D2051" s="3"/>
      <c r="E2051" s="3" t="s">
        <v>642</v>
      </c>
      <c r="F2051" s="3"/>
      <c r="G2051" s="3"/>
      <c r="H2051" s="3"/>
      <c r="I2051" s="3"/>
      <c r="J2051" s="3"/>
      <c r="K2051" s="3"/>
      <c r="L2051" s="3" t="s">
        <v>88</v>
      </c>
      <c r="M2051" s="3">
        <v>30</v>
      </c>
      <c r="N2051" s="3" t="s">
        <v>644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87</v>
      </c>
      <c r="C2052" s="3" t="s">
        <v>642</v>
      </c>
      <c r="D2052" s="3"/>
      <c r="E2052" s="3" t="s">
        <v>642</v>
      </c>
      <c r="F2052" s="3"/>
      <c r="G2052" s="3"/>
      <c r="H2052" s="3"/>
      <c r="I2052" s="3"/>
      <c r="J2052" s="3"/>
      <c r="K2052" s="3"/>
      <c r="L2052" s="3" t="s">
        <v>88</v>
      </c>
      <c r="M2052" s="3">
        <v>40</v>
      </c>
      <c r="N2052" s="3" t="s">
        <v>266</v>
      </c>
      <c r="O2052" s="3"/>
      <c r="P2052" s="3"/>
      <c r="Q2052" s="3">
        <v>2.1589999999999998</v>
      </c>
      <c r="R2052" s="3" t="s">
        <v>14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87</v>
      </c>
      <c r="C2053" s="3" t="s">
        <v>642</v>
      </c>
      <c r="D2053" s="3"/>
      <c r="E2053" s="3" t="s">
        <v>642</v>
      </c>
      <c r="F2053" s="3"/>
      <c r="G2053" s="3"/>
      <c r="H2053" s="3"/>
      <c r="I2053" s="3"/>
      <c r="J2053" s="3"/>
      <c r="K2053" s="3"/>
      <c r="L2053" s="3" t="s">
        <v>88</v>
      </c>
      <c r="M2053" s="3">
        <v>50</v>
      </c>
      <c r="N2053" s="3" t="s">
        <v>107</v>
      </c>
      <c r="O2053" s="3"/>
      <c r="P2053" s="3"/>
      <c r="Q2053" s="3">
        <v>0.91900000000000004</v>
      </c>
      <c r="R2053" s="3" t="s">
        <v>108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87</v>
      </c>
      <c r="C2054" s="3" t="s">
        <v>642</v>
      </c>
      <c r="D2054" s="3"/>
      <c r="E2054" s="3" t="s">
        <v>642</v>
      </c>
      <c r="F2054" s="3"/>
      <c r="G2054" s="3"/>
      <c r="H2054" s="3"/>
      <c r="I2054" s="3"/>
      <c r="J2054" s="3"/>
      <c r="K2054" s="3"/>
      <c r="L2054" s="3" t="s">
        <v>88</v>
      </c>
      <c r="M2054" s="3">
        <v>60</v>
      </c>
      <c r="N2054" s="3" t="s">
        <v>267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87</v>
      </c>
      <c r="C2055" s="3" t="s">
        <v>642</v>
      </c>
      <c r="D2055" s="3"/>
      <c r="E2055" s="3" t="s">
        <v>642</v>
      </c>
      <c r="F2055" s="3"/>
      <c r="G2055" s="3"/>
      <c r="H2055" s="3"/>
      <c r="I2055" s="3"/>
      <c r="J2055" s="3"/>
      <c r="K2055" s="3"/>
      <c r="L2055" s="3" t="s">
        <v>88</v>
      </c>
      <c r="M2055" s="3">
        <v>70</v>
      </c>
      <c r="N2055" s="3" t="s">
        <v>109</v>
      </c>
      <c r="O2055" s="3"/>
      <c r="P2055" s="3"/>
      <c r="Q2055" s="3">
        <v>21.184000000000001</v>
      </c>
      <c r="R2055" s="3" t="s">
        <v>14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87</v>
      </c>
      <c r="C2056" s="3" t="s">
        <v>642</v>
      </c>
      <c r="D2056" s="3"/>
      <c r="E2056" s="3" t="s">
        <v>642</v>
      </c>
      <c r="F2056" s="3"/>
      <c r="G2056" s="3"/>
      <c r="H2056" s="3"/>
      <c r="I2056" s="3"/>
      <c r="J2056" s="3"/>
      <c r="K2056" s="3"/>
      <c r="L2056" s="3" t="s">
        <v>88</v>
      </c>
      <c r="M2056" s="3">
        <v>80</v>
      </c>
      <c r="N2056" s="3" t="s">
        <v>16</v>
      </c>
      <c r="O2056" s="3"/>
      <c r="P2056" s="3"/>
      <c r="Q2056" s="3">
        <v>131.21600000000001</v>
      </c>
      <c r="R2056" s="3" t="s">
        <v>14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87</v>
      </c>
      <c r="C2057" s="3" t="s">
        <v>642</v>
      </c>
      <c r="D2057" s="3"/>
      <c r="E2057" s="3" t="s">
        <v>642</v>
      </c>
      <c r="F2057" s="3"/>
      <c r="G2057" s="3"/>
      <c r="H2057" s="3"/>
      <c r="I2057" s="3"/>
      <c r="J2057" s="3"/>
      <c r="K2057" s="3"/>
      <c r="L2057" s="3" t="s">
        <v>88</v>
      </c>
      <c r="M2057" s="3">
        <v>90</v>
      </c>
      <c r="N2057" s="3" t="s">
        <v>265</v>
      </c>
      <c r="O2057" s="3"/>
      <c r="P2057" s="3"/>
      <c r="Q2057" s="3">
        <v>0.121</v>
      </c>
      <c r="R2057" s="3" t="s">
        <v>12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87</v>
      </c>
      <c r="C2058" s="3" t="s">
        <v>642</v>
      </c>
      <c r="D2058" s="3"/>
      <c r="E2058" s="3" t="s">
        <v>642</v>
      </c>
      <c r="F2058" s="3"/>
      <c r="G2058" s="3"/>
      <c r="H2058" s="3"/>
      <c r="I2058" s="3"/>
      <c r="J2058" s="3"/>
      <c r="K2058" s="3"/>
      <c r="L2058" s="3" t="s">
        <v>88</v>
      </c>
      <c r="M2058" s="3">
        <v>100</v>
      </c>
      <c r="N2058" s="3" t="s">
        <v>269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87</v>
      </c>
      <c r="C2059" s="3" t="s">
        <v>642</v>
      </c>
      <c r="D2059" s="3"/>
      <c r="E2059" s="3" t="s">
        <v>642</v>
      </c>
      <c r="F2059" s="3"/>
      <c r="G2059" s="3"/>
      <c r="H2059" s="3"/>
      <c r="I2059" s="3"/>
      <c r="J2059" s="3"/>
      <c r="K2059" s="3"/>
      <c r="L2059" s="3" t="s">
        <v>88</v>
      </c>
      <c r="M2059" s="3">
        <v>110</v>
      </c>
      <c r="N2059" s="3" t="s">
        <v>20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87</v>
      </c>
      <c r="C2060" s="3" t="s">
        <v>642</v>
      </c>
      <c r="D2060" s="3"/>
      <c r="E2060" s="3" t="s">
        <v>642</v>
      </c>
      <c r="F2060" s="3"/>
      <c r="G2060" s="3"/>
      <c r="H2060" s="3"/>
      <c r="I2060" s="3"/>
      <c r="J2060" s="3"/>
      <c r="K2060" s="3"/>
      <c r="L2060" s="3" t="s">
        <v>88</v>
      </c>
      <c r="M2060" s="3">
        <v>120</v>
      </c>
      <c r="N2060" s="3" t="s">
        <v>21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87</v>
      </c>
      <c r="C2061" s="3" t="s">
        <v>642</v>
      </c>
      <c r="D2061" s="3"/>
      <c r="E2061" s="3" t="s">
        <v>642</v>
      </c>
      <c r="F2061" s="3"/>
      <c r="G2061" s="3"/>
      <c r="H2061" s="3"/>
      <c r="I2061" s="3"/>
      <c r="J2061" s="3"/>
      <c r="K2061" s="3"/>
      <c r="L2061" s="3" t="s">
        <v>88</v>
      </c>
      <c r="M2061" s="3">
        <v>130</v>
      </c>
      <c r="N2061" s="3" t="s">
        <v>110</v>
      </c>
      <c r="O2061" s="3"/>
      <c r="P2061" s="3"/>
      <c r="Q2061" s="3">
        <v>1.27</v>
      </c>
      <c r="R2061" s="3" t="s">
        <v>12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87</v>
      </c>
      <c r="C2062" s="3" t="s">
        <v>642</v>
      </c>
      <c r="D2062" s="3"/>
      <c r="E2062" s="3" t="s">
        <v>642</v>
      </c>
      <c r="F2062" s="3"/>
      <c r="G2062" s="3"/>
      <c r="H2062" s="3"/>
      <c r="I2062" s="3"/>
      <c r="J2062" s="3"/>
      <c r="K2062" s="3"/>
      <c r="L2062" s="3" t="s">
        <v>88</v>
      </c>
      <c r="M2062" s="3">
        <v>140</v>
      </c>
      <c r="N2062" s="3" t="s">
        <v>521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87</v>
      </c>
      <c r="C2063" s="3" t="s">
        <v>645</v>
      </c>
      <c r="D2063" s="3"/>
      <c r="E2063" s="3" t="s">
        <v>645</v>
      </c>
      <c r="F2063" s="3"/>
      <c r="G2063" s="3"/>
      <c r="H2063" s="3"/>
      <c r="I2063" s="3"/>
      <c r="J2063" s="3"/>
      <c r="K2063" s="3"/>
      <c r="L2063" s="3" t="s">
        <v>88</v>
      </c>
      <c r="M2063" s="3">
        <v>10</v>
      </c>
      <c r="N2063" s="3" t="s">
        <v>187</v>
      </c>
      <c r="O2063" s="3"/>
      <c r="P2063" s="3"/>
      <c r="Q2063" s="3">
        <v>2.1589999999999998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87</v>
      </c>
      <c r="C2064" s="3" t="s">
        <v>645</v>
      </c>
      <c r="D2064" s="3"/>
      <c r="E2064" s="3" t="s">
        <v>645</v>
      </c>
      <c r="F2064" s="3"/>
      <c r="G2064" s="3"/>
      <c r="H2064" s="3"/>
      <c r="I2064" s="3"/>
      <c r="J2064" s="3"/>
      <c r="K2064" s="3"/>
      <c r="L2064" s="3" t="s">
        <v>88</v>
      </c>
      <c r="M2064" s="3">
        <v>20</v>
      </c>
      <c r="N2064" s="3" t="s">
        <v>646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87</v>
      </c>
      <c r="C2065" s="3" t="s">
        <v>645</v>
      </c>
      <c r="D2065" s="3"/>
      <c r="E2065" s="3" t="s">
        <v>645</v>
      </c>
      <c r="F2065" s="3"/>
      <c r="G2065" s="3"/>
      <c r="H2065" s="3"/>
      <c r="I2065" s="3"/>
      <c r="J2065" s="3"/>
      <c r="K2065" s="3"/>
      <c r="L2065" s="3" t="s">
        <v>88</v>
      </c>
      <c r="M2065" s="3">
        <v>30</v>
      </c>
      <c r="N2065" s="3" t="s">
        <v>647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87</v>
      </c>
      <c r="C2066" s="3" t="s">
        <v>645</v>
      </c>
      <c r="D2066" s="3"/>
      <c r="E2066" s="3" t="s">
        <v>645</v>
      </c>
      <c r="F2066" s="3"/>
      <c r="G2066" s="3"/>
      <c r="H2066" s="3"/>
      <c r="I2066" s="3"/>
      <c r="J2066" s="3"/>
      <c r="K2066" s="3"/>
      <c r="L2066" s="3" t="s">
        <v>88</v>
      </c>
      <c r="M2066" s="3">
        <v>40</v>
      </c>
      <c r="N2066" s="3" t="s">
        <v>266</v>
      </c>
      <c r="O2066" s="3"/>
      <c r="P2066" s="3"/>
      <c r="Q2066" s="3">
        <v>2.1589999999999998</v>
      </c>
      <c r="R2066" s="3" t="s">
        <v>14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87</v>
      </c>
      <c r="C2067" s="3" t="s">
        <v>645</v>
      </c>
      <c r="D2067" s="3"/>
      <c r="E2067" s="3" t="s">
        <v>645</v>
      </c>
      <c r="F2067" s="3"/>
      <c r="G2067" s="3"/>
      <c r="H2067" s="3"/>
      <c r="I2067" s="3"/>
      <c r="J2067" s="3"/>
      <c r="K2067" s="3"/>
      <c r="L2067" s="3" t="s">
        <v>88</v>
      </c>
      <c r="M2067" s="3">
        <v>50</v>
      </c>
      <c r="N2067" s="3" t="s">
        <v>107</v>
      </c>
      <c r="O2067" s="3"/>
      <c r="P2067" s="3"/>
      <c r="Q2067" s="3">
        <v>0.97</v>
      </c>
      <c r="R2067" s="3" t="s">
        <v>108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87</v>
      </c>
      <c r="C2068" s="3" t="s">
        <v>645</v>
      </c>
      <c r="D2068" s="3"/>
      <c r="E2068" s="3" t="s">
        <v>645</v>
      </c>
      <c r="F2068" s="3"/>
      <c r="G2068" s="3"/>
      <c r="H2068" s="3"/>
      <c r="I2068" s="3"/>
      <c r="J2068" s="3"/>
      <c r="K2068" s="3"/>
      <c r="L2068" s="3" t="s">
        <v>88</v>
      </c>
      <c r="M2068" s="3">
        <v>60</v>
      </c>
      <c r="N2068" s="3" t="s">
        <v>267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87</v>
      </c>
      <c r="C2069" s="3" t="s">
        <v>645</v>
      </c>
      <c r="D2069" s="3"/>
      <c r="E2069" s="3" t="s">
        <v>645</v>
      </c>
      <c r="F2069" s="3"/>
      <c r="G2069" s="3"/>
      <c r="H2069" s="3"/>
      <c r="I2069" s="3"/>
      <c r="J2069" s="3"/>
      <c r="K2069" s="3"/>
      <c r="L2069" s="3" t="s">
        <v>88</v>
      </c>
      <c r="M2069" s="3">
        <v>70</v>
      </c>
      <c r="N2069" s="3" t="s">
        <v>109</v>
      </c>
      <c r="O2069" s="3"/>
      <c r="P2069" s="3"/>
      <c r="Q2069" s="3">
        <v>21.640999999999998</v>
      </c>
      <c r="R2069" s="3" t="s">
        <v>14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87</v>
      </c>
      <c r="C2070" s="3" t="s">
        <v>645</v>
      </c>
      <c r="D2070" s="3"/>
      <c r="E2070" s="3" t="s">
        <v>645</v>
      </c>
      <c r="F2070" s="3"/>
      <c r="G2070" s="3"/>
      <c r="H2070" s="3"/>
      <c r="I2070" s="3"/>
      <c r="J2070" s="3"/>
      <c r="K2070" s="3"/>
      <c r="L2070" s="3" t="s">
        <v>88</v>
      </c>
      <c r="M2070" s="3">
        <v>80</v>
      </c>
      <c r="N2070" s="3" t="s">
        <v>16</v>
      </c>
      <c r="O2070" s="3"/>
      <c r="P2070" s="3"/>
      <c r="Q2070" s="3">
        <v>134.02799999999999</v>
      </c>
      <c r="R2070" s="3" t="s">
        <v>14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87</v>
      </c>
      <c r="C2071" s="3" t="s">
        <v>645</v>
      </c>
      <c r="D2071" s="3"/>
      <c r="E2071" s="3" t="s">
        <v>645</v>
      </c>
      <c r="F2071" s="3"/>
      <c r="G2071" s="3"/>
      <c r="H2071" s="3"/>
      <c r="I2071" s="3"/>
      <c r="J2071" s="3"/>
      <c r="K2071" s="3"/>
      <c r="L2071" s="3" t="s">
        <v>88</v>
      </c>
      <c r="M2071" s="3">
        <v>90</v>
      </c>
      <c r="N2071" s="3" t="s">
        <v>265</v>
      </c>
      <c r="O2071" s="3"/>
      <c r="P2071" s="3"/>
      <c r="Q2071" s="3">
        <v>0.126</v>
      </c>
      <c r="R2071" s="3" t="s">
        <v>12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87</v>
      </c>
      <c r="C2072" s="3" t="s">
        <v>645</v>
      </c>
      <c r="D2072" s="3"/>
      <c r="E2072" s="3" t="s">
        <v>645</v>
      </c>
      <c r="F2072" s="3"/>
      <c r="G2072" s="3"/>
      <c r="H2072" s="3"/>
      <c r="I2072" s="3"/>
      <c r="J2072" s="3"/>
      <c r="K2072" s="3"/>
      <c r="L2072" s="3" t="s">
        <v>88</v>
      </c>
      <c r="M2072" s="3">
        <v>100</v>
      </c>
      <c r="N2072" s="3" t="s">
        <v>269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87</v>
      </c>
      <c r="C2073" s="3" t="s">
        <v>645</v>
      </c>
      <c r="D2073" s="3"/>
      <c r="E2073" s="3" t="s">
        <v>645</v>
      </c>
      <c r="F2073" s="3"/>
      <c r="G2073" s="3"/>
      <c r="H2073" s="3"/>
      <c r="I2073" s="3"/>
      <c r="J2073" s="3"/>
      <c r="K2073" s="3"/>
      <c r="L2073" s="3" t="s">
        <v>88</v>
      </c>
      <c r="M2073" s="3">
        <v>110</v>
      </c>
      <c r="N2073" s="3" t="s">
        <v>20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87</v>
      </c>
      <c r="C2074" s="3" t="s">
        <v>645</v>
      </c>
      <c r="D2074" s="3"/>
      <c r="E2074" s="3" t="s">
        <v>645</v>
      </c>
      <c r="F2074" s="3"/>
      <c r="G2074" s="3"/>
      <c r="H2074" s="3"/>
      <c r="I2074" s="3"/>
      <c r="J2074" s="3"/>
      <c r="K2074" s="3"/>
      <c r="L2074" s="3" t="s">
        <v>88</v>
      </c>
      <c r="M2074" s="3">
        <v>120</v>
      </c>
      <c r="N2074" s="3" t="s">
        <v>21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87</v>
      </c>
      <c r="C2075" s="3" t="s">
        <v>645</v>
      </c>
      <c r="D2075" s="3"/>
      <c r="E2075" s="3" t="s">
        <v>645</v>
      </c>
      <c r="F2075" s="3"/>
      <c r="G2075" s="3"/>
      <c r="H2075" s="3"/>
      <c r="I2075" s="3"/>
      <c r="J2075" s="3"/>
      <c r="K2075" s="3"/>
      <c r="L2075" s="3" t="s">
        <v>88</v>
      </c>
      <c r="M2075" s="3">
        <v>130</v>
      </c>
      <c r="N2075" s="3" t="s">
        <v>110</v>
      </c>
      <c r="O2075" s="3"/>
      <c r="P2075" s="3"/>
      <c r="Q2075" s="3">
        <v>1.27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87</v>
      </c>
      <c r="C2076" s="3" t="s">
        <v>645</v>
      </c>
      <c r="D2076" s="3"/>
      <c r="E2076" s="3" t="s">
        <v>645</v>
      </c>
      <c r="F2076" s="3"/>
      <c r="G2076" s="3"/>
      <c r="H2076" s="3"/>
      <c r="I2076" s="3"/>
      <c r="J2076" s="3"/>
      <c r="K2076" s="3"/>
      <c r="L2076" s="3" t="s">
        <v>88</v>
      </c>
      <c r="M2076" s="3">
        <v>140</v>
      </c>
      <c r="N2076" s="3" t="s">
        <v>525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87</v>
      </c>
      <c r="C2077" s="3" t="s">
        <v>648</v>
      </c>
      <c r="D2077" s="3"/>
      <c r="E2077" s="3" t="s">
        <v>648</v>
      </c>
      <c r="F2077" s="3"/>
      <c r="G2077" s="3"/>
      <c r="H2077" s="3"/>
      <c r="I2077" s="3"/>
      <c r="J2077" s="3"/>
      <c r="K2077" s="3"/>
      <c r="L2077" s="3" t="s">
        <v>88</v>
      </c>
      <c r="M2077" s="3">
        <v>10</v>
      </c>
      <c r="N2077" s="3" t="s">
        <v>187</v>
      </c>
      <c r="O2077" s="3"/>
      <c r="P2077" s="3"/>
      <c r="Q2077" s="3">
        <v>2.1589999999999998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87</v>
      </c>
      <c r="C2078" s="3" t="s">
        <v>648</v>
      </c>
      <c r="D2078" s="3"/>
      <c r="E2078" s="3" t="s">
        <v>648</v>
      </c>
      <c r="F2078" s="3"/>
      <c r="G2078" s="3"/>
      <c r="H2078" s="3"/>
      <c r="I2078" s="3"/>
      <c r="J2078" s="3"/>
      <c r="K2078" s="3"/>
      <c r="L2078" s="3" t="s">
        <v>88</v>
      </c>
      <c r="M2078" s="3">
        <v>20</v>
      </c>
      <c r="N2078" s="3" t="s">
        <v>649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87</v>
      </c>
      <c r="C2079" s="3" t="s">
        <v>648</v>
      </c>
      <c r="D2079" s="3"/>
      <c r="E2079" s="3" t="s">
        <v>648</v>
      </c>
      <c r="F2079" s="3"/>
      <c r="G2079" s="3"/>
      <c r="H2079" s="3"/>
      <c r="I2079" s="3"/>
      <c r="J2079" s="3"/>
      <c r="K2079" s="3"/>
      <c r="L2079" s="3" t="s">
        <v>88</v>
      </c>
      <c r="M2079" s="3">
        <v>30</v>
      </c>
      <c r="N2079" s="3" t="s">
        <v>650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87</v>
      </c>
      <c r="C2080" s="3" t="s">
        <v>648</v>
      </c>
      <c r="D2080" s="3"/>
      <c r="E2080" s="3" t="s">
        <v>648</v>
      </c>
      <c r="F2080" s="3"/>
      <c r="G2080" s="3"/>
      <c r="H2080" s="3"/>
      <c r="I2080" s="3"/>
      <c r="J2080" s="3"/>
      <c r="K2080" s="3"/>
      <c r="L2080" s="3" t="s">
        <v>88</v>
      </c>
      <c r="M2080" s="3">
        <v>40</v>
      </c>
      <c r="N2080" s="3" t="s">
        <v>266</v>
      </c>
      <c r="O2080" s="3"/>
      <c r="P2080" s="3"/>
      <c r="Q2080" s="3">
        <v>2.1589999999999998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87</v>
      </c>
      <c r="C2081" s="3" t="s">
        <v>648</v>
      </c>
      <c r="D2081" s="3"/>
      <c r="E2081" s="3" t="s">
        <v>648</v>
      </c>
      <c r="F2081" s="3"/>
      <c r="G2081" s="3"/>
      <c r="H2081" s="3"/>
      <c r="I2081" s="3"/>
      <c r="J2081" s="3"/>
      <c r="K2081" s="3"/>
      <c r="L2081" s="3" t="s">
        <v>88</v>
      </c>
      <c r="M2081" s="3">
        <v>50</v>
      </c>
      <c r="N2081" s="3" t="s">
        <v>107</v>
      </c>
      <c r="O2081" s="3"/>
      <c r="P2081" s="3"/>
      <c r="Q2081" s="3">
        <v>1.0720000000000001</v>
      </c>
      <c r="R2081" s="3" t="s">
        <v>108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87</v>
      </c>
      <c r="C2082" s="3" t="s">
        <v>648</v>
      </c>
      <c r="D2082" s="3"/>
      <c r="E2082" s="3" t="s">
        <v>648</v>
      </c>
      <c r="F2082" s="3"/>
      <c r="G2082" s="3"/>
      <c r="H2082" s="3"/>
      <c r="I2082" s="3"/>
      <c r="J2082" s="3"/>
      <c r="K2082" s="3"/>
      <c r="L2082" s="3" t="s">
        <v>88</v>
      </c>
      <c r="M2082" s="3">
        <v>60</v>
      </c>
      <c r="N2082" s="3" t="s">
        <v>267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87</v>
      </c>
      <c r="C2083" s="3" t="s">
        <v>648</v>
      </c>
      <c r="D2083" s="3"/>
      <c r="E2083" s="3" t="s">
        <v>648</v>
      </c>
      <c r="F2083" s="3"/>
      <c r="G2083" s="3"/>
      <c r="H2083" s="3"/>
      <c r="I2083" s="3"/>
      <c r="J2083" s="3"/>
      <c r="K2083" s="3"/>
      <c r="L2083" s="3" t="s">
        <v>88</v>
      </c>
      <c r="M2083" s="3">
        <v>70</v>
      </c>
      <c r="N2083" s="3" t="s">
        <v>109</v>
      </c>
      <c r="O2083" s="3"/>
      <c r="P2083" s="3"/>
      <c r="Q2083" s="3">
        <v>22.555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87</v>
      </c>
      <c r="C2084" s="3" t="s">
        <v>648</v>
      </c>
      <c r="D2084" s="3"/>
      <c r="E2084" s="3" t="s">
        <v>648</v>
      </c>
      <c r="F2084" s="3"/>
      <c r="G2084" s="3"/>
      <c r="H2084" s="3"/>
      <c r="I2084" s="3"/>
      <c r="J2084" s="3"/>
      <c r="K2084" s="3"/>
      <c r="L2084" s="3" t="s">
        <v>88</v>
      </c>
      <c r="M2084" s="3">
        <v>80</v>
      </c>
      <c r="N2084" s="3" t="s">
        <v>16</v>
      </c>
      <c r="O2084" s="3"/>
      <c r="P2084" s="3"/>
      <c r="Q2084" s="3">
        <v>139.65199999999999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87</v>
      </c>
      <c r="C2085" s="3" t="s">
        <v>648</v>
      </c>
      <c r="D2085" s="3"/>
      <c r="E2085" s="3" t="s">
        <v>648</v>
      </c>
      <c r="F2085" s="3"/>
      <c r="G2085" s="3"/>
      <c r="H2085" s="3"/>
      <c r="I2085" s="3"/>
      <c r="J2085" s="3"/>
      <c r="K2085" s="3"/>
      <c r="L2085" s="3" t="s">
        <v>88</v>
      </c>
      <c r="M2085" s="3">
        <v>90</v>
      </c>
      <c r="N2085" s="3" t="s">
        <v>265</v>
      </c>
      <c r="O2085" s="3"/>
      <c r="P2085" s="3"/>
      <c r="Q2085" s="3">
        <v>0.13700000000000001</v>
      </c>
      <c r="R2085" s="3" t="s">
        <v>12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87</v>
      </c>
      <c r="C2086" s="3" t="s">
        <v>648</v>
      </c>
      <c r="D2086" s="3"/>
      <c r="E2086" s="3" t="s">
        <v>648</v>
      </c>
      <c r="F2086" s="3"/>
      <c r="G2086" s="3"/>
      <c r="H2086" s="3"/>
      <c r="I2086" s="3"/>
      <c r="J2086" s="3"/>
      <c r="K2086" s="3"/>
      <c r="L2086" s="3" t="s">
        <v>88</v>
      </c>
      <c r="M2086" s="3">
        <v>100</v>
      </c>
      <c r="N2086" s="3" t="s">
        <v>269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87</v>
      </c>
      <c r="C2087" s="3" t="s">
        <v>648</v>
      </c>
      <c r="D2087" s="3"/>
      <c r="E2087" s="3" t="s">
        <v>648</v>
      </c>
      <c r="F2087" s="3"/>
      <c r="G2087" s="3"/>
      <c r="H2087" s="3"/>
      <c r="I2087" s="3"/>
      <c r="J2087" s="3"/>
      <c r="K2087" s="3"/>
      <c r="L2087" s="3" t="s">
        <v>88</v>
      </c>
      <c r="M2087" s="3">
        <v>110</v>
      </c>
      <c r="N2087" s="3" t="s">
        <v>20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87</v>
      </c>
      <c r="C2088" s="3" t="s">
        <v>648</v>
      </c>
      <c r="D2088" s="3"/>
      <c r="E2088" s="3" t="s">
        <v>648</v>
      </c>
      <c r="F2088" s="3"/>
      <c r="G2088" s="3"/>
      <c r="H2088" s="3"/>
      <c r="I2088" s="3"/>
      <c r="J2088" s="3"/>
      <c r="K2088" s="3"/>
      <c r="L2088" s="3" t="s">
        <v>88</v>
      </c>
      <c r="M2088" s="3">
        <v>120</v>
      </c>
      <c r="N2088" s="3" t="s">
        <v>21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87</v>
      </c>
      <c r="C2089" s="3" t="s">
        <v>648</v>
      </c>
      <c r="D2089" s="3"/>
      <c r="E2089" s="3" t="s">
        <v>648</v>
      </c>
      <c r="F2089" s="3"/>
      <c r="G2089" s="3"/>
      <c r="H2089" s="3"/>
      <c r="I2089" s="3"/>
      <c r="J2089" s="3"/>
      <c r="K2089" s="3"/>
      <c r="L2089" s="3" t="s">
        <v>88</v>
      </c>
      <c r="M2089" s="3">
        <v>130</v>
      </c>
      <c r="N2089" s="3" t="s">
        <v>110</v>
      </c>
      <c r="O2089" s="3"/>
      <c r="P2089" s="3"/>
      <c r="Q2089" s="3">
        <v>1.27</v>
      </c>
      <c r="R2089" s="3" t="s">
        <v>12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87</v>
      </c>
      <c r="C2090" s="3" t="s">
        <v>648</v>
      </c>
      <c r="D2090" s="3"/>
      <c r="E2090" s="3" t="s">
        <v>648</v>
      </c>
      <c r="F2090" s="3"/>
      <c r="G2090" s="3"/>
      <c r="H2090" s="3"/>
      <c r="I2090" s="3"/>
      <c r="J2090" s="3"/>
      <c r="K2090" s="3"/>
      <c r="L2090" s="3" t="s">
        <v>88</v>
      </c>
      <c r="M2090" s="3">
        <v>140</v>
      </c>
      <c r="N2090" s="3" t="s">
        <v>529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87</v>
      </c>
      <c r="C2091" s="3" t="s">
        <v>651</v>
      </c>
      <c r="D2091" s="3"/>
      <c r="E2091" s="3" t="s">
        <v>651</v>
      </c>
      <c r="F2091" s="3"/>
      <c r="G2091" s="3"/>
      <c r="H2091" s="3"/>
      <c r="I2091" s="3"/>
      <c r="J2091" s="3"/>
      <c r="K2091" s="3"/>
      <c r="L2091" s="3" t="s">
        <v>88</v>
      </c>
      <c r="M2091" s="3">
        <v>10</v>
      </c>
      <c r="N2091" s="3" t="s">
        <v>187</v>
      </c>
      <c r="O2091" s="3"/>
      <c r="P2091" s="3"/>
      <c r="Q2091" s="3">
        <v>2.1589999999999998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87</v>
      </c>
      <c r="C2092" s="3" t="s">
        <v>651</v>
      </c>
      <c r="D2092" s="3"/>
      <c r="E2092" s="3" t="s">
        <v>651</v>
      </c>
      <c r="F2092" s="3"/>
      <c r="G2092" s="3"/>
      <c r="H2092" s="3"/>
      <c r="I2092" s="3"/>
      <c r="J2092" s="3"/>
      <c r="K2092" s="3"/>
      <c r="L2092" s="3" t="s">
        <v>88</v>
      </c>
      <c r="M2092" s="3">
        <v>20</v>
      </c>
      <c r="N2092" s="3" t="s">
        <v>652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87</v>
      </c>
      <c r="C2093" s="3" t="s">
        <v>651</v>
      </c>
      <c r="D2093" s="3"/>
      <c r="E2093" s="3" t="s">
        <v>651</v>
      </c>
      <c r="F2093" s="3"/>
      <c r="G2093" s="3"/>
      <c r="H2093" s="3"/>
      <c r="I2093" s="3"/>
      <c r="J2093" s="3"/>
      <c r="K2093" s="3"/>
      <c r="L2093" s="3" t="s">
        <v>88</v>
      </c>
      <c r="M2093" s="3">
        <v>30</v>
      </c>
      <c r="N2093" s="3" t="s">
        <v>653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87</v>
      </c>
      <c r="C2094" s="3" t="s">
        <v>651</v>
      </c>
      <c r="D2094" s="3"/>
      <c r="E2094" s="3" t="s">
        <v>651</v>
      </c>
      <c r="F2094" s="3"/>
      <c r="G2094" s="3"/>
      <c r="H2094" s="3"/>
      <c r="I2094" s="3"/>
      <c r="J2094" s="3"/>
      <c r="K2094" s="3"/>
      <c r="L2094" s="3" t="s">
        <v>88</v>
      </c>
      <c r="M2094" s="3">
        <v>40</v>
      </c>
      <c r="N2094" s="3" t="s">
        <v>266</v>
      </c>
      <c r="O2094" s="3"/>
      <c r="P2094" s="3"/>
      <c r="Q2094" s="3">
        <v>2.1589999999999998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87</v>
      </c>
      <c r="C2095" s="3" t="s">
        <v>651</v>
      </c>
      <c r="D2095" s="3"/>
      <c r="E2095" s="3" t="s">
        <v>651</v>
      </c>
      <c r="F2095" s="3"/>
      <c r="G2095" s="3"/>
      <c r="H2095" s="3"/>
      <c r="I2095" s="3"/>
      <c r="J2095" s="3"/>
      <c r="K2095" s="3"/>
      <c r="L2095" s="3" t="s">
        <v>88</v>
      </c>
      <c r="M2095" s="3">
        <v>50</v>
      </c>
      <c r="N2095" s="3" t="s">
        <v>107</v>
      </c>
      <c r="O2095" s="3"/>
      <c r="P2095" s="3"/>
      <c r="Q2095" s="3">
        <v>1.1739999999999999</v>
      </c>
      <c r="R2095" s="3" t="s">
        <v>108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87</v>
      </c>
      <c r="C2096" s="3" t="s">
        <v>651</v>
      </c>
      <c r="D2096" s="3"/>
      <c r="E2096" s="3" t="s">
        <v>651</v>
      </c>
      <c r="F2096" s="3"/>
      <c r="G2096" s="3"/>
      <c r="H2096" s="3"/>
      <c r="I2096" s="3"/>
      <c r="J2096" s="3"/>
      <c r="K2096" s="3"/>
      <c r="L2096" s="3" t="s">
        <v>88</v>
      </c>
      <c r="M2096" s="3">
        <v>60</v>
      </c>
      <c r="N2096" s="3" t="s">
        <v>267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87</v>
      </c>
      <c r="C2097" s="3" t="s">
        <v>651</v>
      </c>
      <c r="D2097" s="3"/>
      <c r="E2097" s="3" t="s">
        <v>651</v>
      </c>
      <c r="F2097" s="3"/>
      <c r="G2097" s="3"/>
      <c r="H2097" s="3"/>
      <c r="I2097" s="3"/>
      <c r="J2097" s="3"/>
      <c r="K2097" s="3"/>
      <c r="L2097" s="3" t="s">
        <v>88</v>
      </c>
      <c r="M2097" s="3">
        <v>70</v>
      </c>
      <c r="N2097" s="3" t="s">
        <v>109</v>
      </c>
      <c r="O2097" s="3"/>
      <c r="P2097" s="3"/>
      <c r="Q2097" s="3">
        <v>23.47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87</v>
      </c>
      <c r="C2098" s="3" t="s">
        <v>651</v>
      </c>
      <c r="D2098" s="3"/>
      <c r="E2098" s="3" t="s">
        <v>651</v>
      </c>
      <c r="F2098" s="3"/>
      <c r="G2098" s="3"/>
      <c r="H2098" s="3"/>
      <c r="I2098" s="3"/>
      <c r="J2098" s="3"/>
      <c r="K2098" s="3"/>
      <c r="L2098" s="3" t="s">
        <v>88</v>
      </c>
      <c r="M2098" s="3">
        <v>80</v>
      </c>
      <c r="N2098" s="3" t="s">
        <v>16</v>
      </c>
      <c r="O2098" s="3"/>
      <c r="P2098" s="3"/>
      <c r="Q2098" s="3">
        <v>145.27500000000001</v>
      </c>
      <c r="R2098" s="3" t="s">
        <v>14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87</v>
      </c>
      <c r="C2099" s="3" t="s">
        <v>651</v>
      </c>
      <c r="D2099" s="3"/>
      <c r="E2099" s="3" t="s">
        <v>651</v>
      </c>
      <c r="F2099" s="3"/>
      <c r="G2099" s="3"/>
      <c r="H2099" s="3"/>
      <c r="I2099" s="3"/>
      <c r="J2099" s="3"/>
      <c r="K2099" s="3"/>
      <c r="L2099" s="3" t="s">
        <v>88</v>
      </c>
      <c r="M2099" s="3">
        <v>90</v>
      </c>
      <c r="N2099" s="3" t="s">
        <v>265</v>
      </c>
      <c r="O2099" s="3"/>
      <c r="P2099" s="3"/>
      <c r="Q2099" s="3">
        <v>0.14799999999999999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87</v>
      </c>
      <c r="C2100" s="3" t="s">
        <v>651</v>
      </c>
      <c r="D2100" s="3"/>
      <c r="E2100" s="3" t="s">
        <v>651</v>
      </c>
      <c r="F2100" s="3"/>
      <c r="G2100" s="3"/>
      <c r="H2100" s="3"/>
      <c r="I2100" s="3"/>
      <c r="J2100" s="3"/>
      <c r="K2100" s="3"/>
      <c r="L2100" s="3" t="s">
        <v>88</v>
      </c>
      <c r="M2100" s="3">
        <v>100</v>
      </c>
      <c r="N2100" s="3" t="s">
        <v>269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87</v>
      </c>
      <c r="C2101" s="3" t="s">
        <v>651</v>
      </c>
      <c r="D2101" s="3"/>
      <c r="E2101" s="3" t="s">
        <v>651</v>
      </c>
      <c r="F2101" s="3"/>
      <c r="G2101" s="3"/>
      <c r="H2101" s="3"/>
      <c r="I2101" s="3"/>
      <c r="J2101" s="3"/>
      <c r="K2101" s="3"/>
      <c r="L2101" s="3" t="s">
        <v>88</v>
      </c>
      <c r="M2101" s="3">
        <v>110</v>
      </c>
      <c r="N2101" s="3" t="s">
        <v>20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87</v>
      </c>
      <c r="C2102" s="3" t="s">
        <v>651</v>
      </c>
      <c r="D2102" s="3"/>
      <c r="E2102" s="3" t="s">
        <v>651</v>
      </c>
      <c r="F2102" s="3"/>
      <c r="G2102" s="3"/>
      <c r="H2102" s="3"/>
      <c r="I2102" s="3"/>
      <c r="J2102" s="3"/>
      <c r="K2102" s="3"/>
      <c r="L2102" s="3" t="s">
        <v>88</v>
      </c>
      <c r="M2102" s="3">
        <v>120</v>
      </c>
      <c r="N2102" s="3" t="s">
        <v>21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87</v>
      </c>
      <c r="C2103" s="3" t="s">
        <v>651</v>
      </c>
      <c r="D2103" s="3"/>
      <c r="E2103" s="3" t="s">
        <v>651</v>
      </c>
      <c r="F2103" s="3"/>
      <c r="G2103" s="3"/>
      <c r="H2103" s="3"/>
      <c r="I2103" s="3"/>
      <c r="J2103" s="3"/>
      <c r="K2103" s="3"/>
      <c r="L2103" s="3" t="s">
        <v>88</v>
      </c>
      <c r="M2103" s="3">
        <v>130</v>
      </c>
      <c r="N2103" s="3" t="s">
        <v>110</v>
      </c>
      <c r="O2103" s="3"/>
      <c r="P2103" s="3"/>
      <c r="Q2103" s="3">
        <v>1.27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87</v>
      </c>
      <c r="C2104" s="3" t="s">
        <v>651</v>
      </c>
      <c r="D2104" s="3"/>
      <c r="E2104" s="3" t="s">
        <v>651</v>
      </c>
      <c r="F2104" s="3"/>
      <c r="G2104" s="3"/>
      <c r="H2104" s="3"/>
      <c r="I2104" s="3"/>
      <c r="J2104" s="3"/>
      <c r="K2104" s="3"/>
      <c r="L2104" s="3" t="s">
        <v>88</v>
      </c>
      <c r="M2104" s="3">
        <v>140</v>
      </c>
      <c r="N2104" s="3" t="s">
        <v>533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2025-12-29T17:31:14Z</dcterms:modified>
</cp:coreProperties>
</file>