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Memory Foam ET - 4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3" l="1"/>
  <c r="G5" i="13"/>
  <c r="E15" i="13"/>
  <c r="E11" i="13"/>
  <c r="G9" i="13" l="1"/>
  <c r="G8" i="13"/>
  <c r="E4" i="13" l="1"/>
  <c r="D4" i="13"/>
  <c r="H4" i="13"/>
  <c r="E3" i="13" l="1"/>
  <c r="D3" i="13" l="1"/>
  <c r="D5" i="13"/>
  <c r="D6" i="13"/>
  <c r="D7" i="13"/>
  <c r="D8" i="13"/>
  <c r="D9" i="13"/>
  <c r="D10" i="13"/>
  <c r="D11" i="13"/>
  <c r="D12" i="13"/>
  <c r="D13" i="13"/>
  <c r="D14" i="13"/>
  <c r="D15" i="13"/>
  <c r="D2" i="13"/>
  <c r="E2" i="13" l="1"/>
  <c r="G2" i="13" l="1"/>
  <c r="G14" i="13"/>
  <c r="G10" i="13" l="1"/>
  <c r="H5" i="13"/>
  <c r="H6" i="13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<sst xmlns="http://schemas.openxmlformats.org/spreadsheetml/2006/main" count="12286" uniqueCount="379">
  <si>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</si>
  <si>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</si>
  <si>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</si>
  <si>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</si>
  <si>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</si>
  <si>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</si>
  <si>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</si>
  <si>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</si>
  <si>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</si>
  <si>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</si>
  <si>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</si>
  <si>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</si>
  <si>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</si>
  <si>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</si>
  <si>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</si>
  <si>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</si>
  <si>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</si>
  <si>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</si>
  <si>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</si>
  <si>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</si>
  <si>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</si>
  <si>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</si>
  <si>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</si>
  <si>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</si>
  <si>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</si>
  <si>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</si>
  <si>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</si>
  <si>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</si>
  <si>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</si>
  <si>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</si>
  <si>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</si>
  <si>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</si>
  <si>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</si>
  <si>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</si>
  <si>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</si>
  <si>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</si>
  <si>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</si>
  <si>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</si>
  <si>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</si>
  <si>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</si>
  <si>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</si>
  <si>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</si>
  <si>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</si>
  <si>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</si>
  <si>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</si>
  <si>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</si>
  <si>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</si>
  <si>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</si>
  <si>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</si>
  <si>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</si>
  <si>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</si>
  <si>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</si>
  <si>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</si>
  <si>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</si>
  <si>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</si>
  <si>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</si>
  <si>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</si>
  <si>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</si>
  <si>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</si>
  <si>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</si>
  <si>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</si>
  <si>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</si>
  <si>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</si>
  <si>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</si>
  <si>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</si>
  <si>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</si>
  <si>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</si>
  <si>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</si>
  <si>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</si>
  <si>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</si>
  <si>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</si>
  <si>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</si>
  <si>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</si>
  <si>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</si>
  <si>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</si>
  <si>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</si>
  <si>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</si>
  <si>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</si>
  <si>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</si>
  <si>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</si>
  <si>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</si>
  <si>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</si>
  <si>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</si>
  <si>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</si>
  <si>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</si>
  <si>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</si>
  <si>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</si>
  <si>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</si>
  <si>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</si>
  <si>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</si>
  <si>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</si>
  <si>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</si>
  <si>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</si>
  <si>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</si>
  <si>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</si>
  <si>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</si>
  <si>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</si>
  <si>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</si>
  <si>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</si>
  <si>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</si>
  <si>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</si>
  <si>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</si>
  <si>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</si>
  <si>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</si>
  <si>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</si>
  <si>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</si>
  <si>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</si>
  <si>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</si>
  <si>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</si>
  <si>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</si>
  <si>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</si>
  <si>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</si>
  <si>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</si>
  <si>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</si>
  <si>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</si>
  <si>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BL</t>
  </si>
  <si>
    <t>5,6,8</t>
  </si>
  <si>
    <t>BL,GR</t>
  </si>
  <si>
    <t>GR</t>
  </si>
  <si>
    <t>HYPINSFMMFETBL72X30X05-90D</t>
  </si>
  <si>
    <t>SFG-INSRBBL-MEM-QUILT-90D</t>
  </si>
  <si>
    <t>SFG-INSRBBL-MEM-ETBOR-72X30X05</t>
  </si>
  <si>
    <t>SFG-INSRBBL-MEM-ETCVR-72X30</t>
  </si>
  <si>
    <t>RML-CS-HYP-5.25"</t>
  </si>
  <si>
    <t>90D-HYP-INSPREE-BLOCK-72X30X05</t>
  </si>
  <si>
    <t>HYPINSFMMFETBL72X36X05-90D</t>
  </si>
  <si>
    <t>SFG-INSRBBL-MEM-ETBOR-72X36X05</t>
  </si>
  <si>
    <t>SFG-INSRBBL-MEM-ETCVR-72X36</t>
  </si>
  <si>
    <t>90D-HYP-INSPREE-BLOCK-72X36X05</t>
  </si>
  <si>
    <t>HYPINSFMMFETBL72X42X05-90D</t>
  </si>
  <si>
    <t>SFG-INSRBBL-MEM-ETBOR-72X42X05</t>
  </si>
  <si>
    <t>SFG-INSRBBL-MEM-ETCVR-72X42</t>
  </si>
  <si>
    <t>90D-HYP-INSPREE-BLOCK-72X42X05</t>
  </si>
  <si>
    <t>HYPINSFMMFETBL72X48X05-90D</t>
  </si>
  <si>
    <t>SFG-INSRBBL-MEM-ETBOR-72X48X05</t>
  </si>
  <si>
    <t>SFG-INSRBBL-MEM-ETCVR-72X48</t>
  </si>
  <si>
    <t>90D-HYP-INSPREE-BLOCK-72X48X05</t>
  </si>
  <si>
    <t>HYPINSFMMFETBL72X60X05-90D</t>
  </si>
  <si>
    <t>SFG-INSRBBL-MEM-ETBOR-72X60X05</t>
  </si>
  <si>
    <t>SFG-INSRBBL-MEM-ETCVR-72X60</t>
  </si>
  <si>
    <t>90D-HYP-INSPREE-BLOCK-72X60X05</t>
  </si>
  <si>
    <t>HYPINSFMMFETBL72X66X05-90D</t>
  </si>
  <si>
    <t>SFG-INSRBBL-MEM-ETBOR-72X66X05</t>
  </si>
  <si>
    <t>SFG-INSRBBL-MEM-ETCVR-72X66</t>
  </si>
  <si>
    <t>90D-HYP-INSPREE-BLOCK-72X66X05</t>
  </si>
  <si>
    <t>HYPINSFMMFETBL72X72X05-90D</t>
  </si>
  <si>
    <t>SFG-INSRBBL-MEM-ETBOR-72X72X05</t>
  </si>
  <si>
    <t>SFG-INSRBBL-MEM-ETCVR-72X72</t>
  </si>
  <si>
    <t>90D-HYP-INSPREE-BLOCK-72X72X05</t>
  </si>
  <si>
    <t>HYPINSFMMFETBL75X30X05-90D</t>
  </si>
  <si>
    <t>SFG-INSRBBL-MEM-ETBOR-75X30X05</t>
  </si>
  <si>
    <t>SFG-INSRBBL-MEM-ETCVR-75X30</t>
  </si>
  <si>
    <t>90D-HYP-INSPREE-BLOCK-75X30X05</t>
  </si>
  <si>
    <t>HYPINSFMMFETBL75X36X05-90D</t>
  </si>
  <si>
    <t>SFG-INSRBBL-MEM-ETBOR-75X36X05</t>
  </si>
  <si>
    <t>SFG-INSRBBL-MEM-ETCVR-75X36</t>
  </si>
  <si>
    <t>90D-HYP-INSPREE-BLOCK-75X36X05</t>
  </si>
  <si>
    <t>HYPINSFMMFETBL75X42X05-90D</t>
  </si>
  <si>
    <t>SFG-INSRBBL-MEM-ETBOR-75X42X05</t>
  </si>
  <si>
    <t>SFG-INSRBBL-MEM-ETCVR-75X42</t>
  </si>
  <si>
    <t>90D-HYP-INSPREE-BLOCK-75X42X05</t>
  </si>
  <si>
    <t>HYPINSFMMFETBL75X48X05-90D</t>
  </si>
  <si>
    <t>SFG-INSRBBL-MEM-ETBOR-75X48X05</t>
  </si>
  <si>
    <t>SFG-INSRBBL-MEM-ETCVR-75X48</t>
  </si>
  <si>
    <t>90D-HYP-INSPREE-BLOCK-75X48X05</t>
  </si>
  <si>
    <t>HYPINSFMMFETBL75X60X05-90D</t>
  </si>
  <si>
    <t>SFG-INSRBBL-MEM-ETBOR-75X60X05</t>
  </si>
  <si>
    <t>SFG-INSRBBL-MEM-ETCVR-75X60</t>
  </si>
  <si>
    <t>90D-HYP-INSPREE-BLOCK-75X60X05</t>
  </si>
  <si>
    <t>HYPINSFMMFETBL75X66X05-90D</t>
  </si>
  <si>
    <t>SFG-INSRBBL-MEM-ETBOR-75X66X05</t>
  </si>
  <si>
    <t>SFG-INSRBBL-MEM-ETCVR-75X66</t>
  </si>
  <si>
    <t>90D-HYP-INSPREE-BLOCK-75X66X05</t>
  </si>
  <si>
    <t>HYPINSFMMFETBL75X72X05-90D</t>
  </si>
  <si>
    <t>SFG-INSRBBL-MEM-ETBOR-75X72X05</t>
  </si>
  <si>
    <t>SFG-INSRBBL-MEM-ETCVR-75X72</t>
  </si>
  <si>
    <t>90D-HYP-INSPREE-BLOCK-75X72X05</t>
  </si>
  <si>
    <t>HYPINSFMMFETBL78X30X05-90D</t>
  </si>
  <si>
    <t>SFG-INSRBBL-MEM-ETBOR-78X30X05</t>
  </si>
  <si>
    <t>SFG-INSRBBL-MEM-ETCVR-78X30</t>
  </si>
  <si>
    <t>90D-HYP-INSPREE-BLOCK-78X30X05</t>
  </si>
  <si>
    <t>HYPINSFMMFETBL78X36X05-90D</t>
  </si>
  <si>
    <t>SFG-INSRBBL-MEM-ETBOR-78X36X05</t>
  </si>
  <si>
    <t>SFG-INSRBBL-MEM-ETCVR-78X36</t>
  </si>
  <si>
    <t>90D-HYP-INSPREE-BLOCK-78X36X05</t>
  </si>
  <si>
    <t>HYPINSFMMFETBL78X42X05-90D</t>
  </si>
  <si>
    <t>SFG-INSRBBL-MEM-ETBOR-78X42X05</t>
  </si>
  <si>
    <t>SFG-INSRBBL-MEM-ETCVR-78X42</t>
  </si>
  <si>
    <t>90D-HYP-INSPREE-BLOCK-78X42X05</t>
  </si>
  <si>
    <t>HYPINSFMMFETBL78X48X05-90D</t>
  </si>
  <si>
    <t>SFG-INSRBBL-MEM-ETBOR-78X48X05</t>
  </si>
  <si>
    <t>SFG-INSRBBL-MEM-ETCVR-78X48</t>
  </si>
  <si>
    <t>90D-HYP-INSPREE-BLOCK-78X48X05</t>
  </si>
  <si>
    <t>HYPINSFMMFETBL78X60X05-90D</t>
  </si>
  <si>
    <t>SFG-INSRBBL-MEM-ETBOR-78X60X05</t>
  </si>
  <si>
    <t>SFG-INSRBBL-MEM-ETCVR-78X60</t>
  </si>
  <si>
    <t>90D-HYP-INSPREE-BLOCK-78X60X05</t>
  </si>
  <si>
    <t>HYPINSFMMFETBL78X66X05-90D</t>
  </si>
  <si>
    <t>SFG-INSRBBL-MEM-ETBOR-78X66X05</t>
  </si>
  <si>
    <t>SFG-INSRBBL-MEM-ETCVR-78X66</t>
  </si>
  <si>
    <t>90D-HYP-INSPREE-BLOCK-78X66X05</t>
  </si>
  <si>
    <t>HYPINSFMMFETBL78X72X05-90D</t>
  </si>
  <si>
    <t>SFG-INSRBBL-MEM-ETBOR-78X72X05</t>
  </si>
  <si>
    <t>SFG-INSRBBL-MEM-ETCVR-78X72</t>
  </si>
  <si>
    <t>90D-HYP-INSPREE-BLOCK-78X72X05</t>
  </si>
  <si>
    <t>HYPINSFMMFETBL80X30X05-90D</t>
  </si>
  <si>
    <t>SFG-INSRBBL-MEM-ETBOR-80X30X05</t>
  </si>
  <si>
    <t>SFG-INSRBBL-MEM-ETCVR-80X30</t>
  </si>
  <si>
    <t>90D-HYP-INSPREE-BLOCK-80X30X05</t>
  </si>
  <si>
    <t>HYPINSFMMFETBL80X36X05-90D</t>
  </si>
  <si>
    <t>SFG-INSRBBL-MEM-ETBOR-80X36X05</t>
  </si>
  <si>
    <t>SFG-INSRBBL-MEM-ETCVR-80X36</t>
  </si>
  <si>
    <t>90D-HYP-INSPREE-BLOCK-80X36X05</t>
  </si>
  <si>
    <t>HYPINSFMMFETBL80X42X05-90D</t>
  </si>
  <si>
    <t>SFG-INSRBBL-MEM-ETBOR-80X42X05</t>
  </si>
  <si>
    <t>SFG-INSRBBL-MEM-ETCVR-80X42</t>
  </si>
  <si>
    <t>90D-HYP-INSPREE-BLOCK-80X42X05</t>
  </si>
  <si>
    <t>HYPINSFMMFETBL80X48X05-90D</t>
  </si>
  <si>
    <t>SFG-INSRBBL-MEM-ETBOR-80X48X05</t>
  </si>
  <si>
    <t>SFG-INSRBBL-MEM-ETCVR-80X48</t>
  </si>
  <si>
    <t>90D-HYP-INSPREE-BLOCK-80X48X05</t>
  </si>
  <si>
    <t>HYPINSFMMFETBL80X60X05-90D</t>
  </si>
  <si>
    <t>SFG-INSRBBL-MEM-ETBOR-80X60X05</t>
  </si>
  <si>
    <t>SFG-INSRBBL-MEM-ETCVR-80X60</t>
  </si>
  <si>
    <t>90D-HYP-INSPREE-BLOCK-80X60X05</t>
  </si>
  <si>
    <t>HYPINSFMMFETBL80X66X05-90D</t>
  </si>
  <si>
    <t>SFG-INSRBBL-MEM-ETBOR-80X66X05</t>
  </si>
  <si>
    <t>SFG-INSRBBL-MEM-ETCVR-80X66</t>
  </si>
  <si>
    <t>90D-HYP-INSPREE-BLOCK-80X66X05</t>
  </si>
  <si>
    <t>HYPINSFMMFETBL80X72X05-90D</t>
  </si>
  <si>
    <t>SFG-INSRBBL-MEM-ETBOR-80X72X05</t>
  </si>
  <si>
    <t>SFG-INSRBBL-MEM-ETCVR-80X72</t>
  </si>
  <si>
    <t>90D-HYP-INSPREE-BLOCK-80X72X05</t>
  </si>
  <si>
    <t>HYPINSFMMFETBL84X30X05-90D</t>
  </si>
  <si>
    <t>SFG-INSRBBL-MEM-ETBOR-84X30X05</t>
  </si>
  <si>
    <t>SFG-INSRBBL-MEM-ETCVR-84X30</t>
  </si>
  <si>
    <t>90D-HYP-INSPREE-BLOCK-84X30X05</t>
  </si>
  <si>
    <t>HYPINSFMMFETBL84X36X05-90D</t>
  </si>
  <si>
    <t>SFG-INSRBBL-MEM-ETBOR-84X36X05</t>
  </si>
  <si>
    <t>SFG-INSRBBL-MEM-ETCVR-84X36</t>
  </si>
  <si>
    <t>90D-HYP-INSPREE-BLOCK-84X36X05</t>
  </si>
  <si>
    <t>HYPINSFMMFETBL84X42X05-90D</t>
  </si>
  <si>
    <t>SFG-INSRBBL-MEM-ETBOR-84X42X05</t>
  </si>
  <si>
    <t>SFG-INSRBBL-MEM-ETCVR-84X42</t>
  </si>
  <si>
    <t>90D-HYP-INSPREE-BLOCK-84X42X05</t>
  </si>
  <si>
    <t>HYPINSFMMFETBL84X48X05-90D</t>
  </si>
  <si>
    <t>SFG-INSRBBL-MEM-ETBOR-84X48X05</t>
  </si>
  <si>
    <t>SFG-INSRBBL-MEM-ETCVR-84X48</t>
  </si>
  <si>
    <t>90D-HYP-INSPREE-BLOCK-84X48X05</t>
  </si>
  <si>
    <t>HYPINSFMMFETBL84X60X05-90D</t>
  </si>
  <si>
    <t>SFG-INSRBBL-MEM-ETBOR-84X60X05</t>
  </si>
  <si>
    <t>SFG-INSRBBL-MEM-ETCVR-84X60</t>
  </si>
  <si>
    <t>90D-HYP-INSPREE-BLOCK-84X60X05</t>
  </si>
  <si>
    <t>HYPINSFMMFETBL84X66X05-90D</t>
  </si>
  <si>
    <t>SFG-INSRBBL-MEM-ETBOR-84X66X05</t>
  </si>
  <si>
    <t>SFG-INSRBBL-MEM-ETCVR-84X66</t>
  </si>
  <si>
    <t>90D-HYP-INSPREE-BLOCK-84X66X05</t>
  </si>
  <si>
    <t>HYPINSFMMFETBL84X72X05-90D</t>
  </si>
  <si>
    <t>SFG-INSRBBL-MEM-ETBOR-84X72X05</t>
  </si>
  <si>
    <t>SFG-INSRBBL-MEM-ETCVR-84X72</t>
  </si>
  <si>
    <t>90D-HYP-INSPREE-BLOCK-84X72X05</t>
  </si>
  <si>
    <t>HYPINSFMMFETGR72X30X05-90D</t>
  </si>
  <si>
    <t>SFG-INSRBGR-MEM-QUILT-90D</t>
  </si>
  <si>
    <t>SFG-INSRBGR-MEM-ETBOR-72X30X05</t>
  </si>
  <si>
    <t>SFG-INSRBGR-MEM-ETCVR-72X30</t>
  </si>
  <si>
    <t>HYPINSFMMFETGR72X36X05-90D</t>
  </si>
  <si>
    <t>SFG-INSRBGR-MEM-ETBOR-72X36X05</t>
  </si>
  <si>
    <t>SFG-INSRBGR-MEM-ETCVR-72X36</t>
  </si>
  <si>
    <t>HYPINSFMMFETGR72X42X05-90D</t>
  </si>
  <si>
    <t>SFG-INSRBGR-MEM-ETBOR-72X42X05</t>
  </si>
  <si>
    <t>SFG-INSRBGR-MEM-ETCVR-72X42</t>
  </si>
  <si>
    <t>HYPINSFMMFETGR72X48X05-90D</t>
  </si>
  <si>
    <t>SFG-INSRBGR-MEM-ETBOR-72X48X05</t>
  </si>
  <si>
    <t>SFG-INSRBGR-MEM-ETCVR-72X48</t>
  </si>
  <si>
    <t>HYPINSFMMFETGR72X60X05-90D</t>
  </si>
  <si>
    <t>SFG-INSRBGR-MEM-ETBOR-72X60X05</t>
  </si>
  <si>
    <t>SFG-INSRBGR-MEM-ETCVR-72X60</t>
  </si>
  <si>
    <t>HYPINSFMMFETGR72X66X05-90D</t>
  </si>
  <si>
    <t>SFG-INSRBGR-MEM-ETBOR-72X66X05</t>
  </si>
  <si>
    <t>SFG-INSRBGR-MEM-ETCVR-72X66</t>
  </si>
  <si>
    <t>HYPINSFMMFETGR72X72X05-90D</t>
  </si>
  <si>
    <t>SFG-INSRBGR-MEM-ETBOR-72X72X05</t>
  </si>
  <si>
    <t>SFG-INSRBGR-MEM-ETCVR-72X72</t>
  </si>
  <si>
    <t>HYPINSFMMFETGR75X30X05-90D</t>
  </si>
  <si>
    <t>SFG-INSRBGR-MEM-ETBOR-75X30X05</t>
  </si>
  <si>
    <t>SFG-INSRBGR-MEM-ETCVR-75X30</t>
  </si>
  <si>
    <t>HYPINSFMMFETGR75X36X05-90D</t>
  </si>
  <si>
    <t>SFG-INSRBGR-MEM-ETBOR-75X36X05</t>
  </si>
  <si>
    <t>SFG-INSRBGR-MEM-ETCVR-75X36</t>
  </si>
  <si>
    <t>HYPINSFMMFETGR75X42X05-90D</t>
  </si>
  <si>
    <t>SFG-INSRBGR-MEM-ETBOR-75X42X05</t>
  </si>
  <si>
    <t>SFG-INSRBGR-MEM-ETCVR-75X42</t>
  </si>
  <si>
    <t>HYPINSFMMFETGR75X48X05-90D</t>
  </si>
  <si>
    <t>SFG-INSRBGR-MEM-ETBOR-75X48X05</t>
  </si>
  <si>
    <t>SFG-INSRBGR-MEM-ETCVR-75X48</t>
  </si>
  <si>
    <t>HYPINSFMMFETGR75X60X05-90D</t>
  </si>
  <si>
    <t>SFG-INSRBGR-MEM-ETBOR-75X60X05</t>
  </si>
  <si>
    <t>SFG-INSRBGR-MEM-ETCVR-75X60</t>
  </si>
  <si>
    <t>HYPINSFMMFETGR75X66X05-90D</t>
  </si>
  <si>
    <t>SFG-INSRBGR-MEM-ETBOR-75X66X05</t>
  </si>
  <si>
    <t>SFG-INSRBGR-MEM-ETCVR-75X66</t>
  </si>
  <si>
    <t>HYPINSFMMFETGR75X72X05-90D</t>
  </si>
  <si>
    <t>SFG-INSRBGR-MEM-ETBOR-75X72X05</t>
  </si>
  <si>
    <t>SFG-INSRBGR-MEM-ETCVR-75X72</t>
  </si>
  <si>
    <t>HYPINSFMMFETGR78X30X05-90D</t>
  </si>
  <si>
    <t>SFG-INSRBGR-MEM-ETBOR-78X30X05</t>
  </si>
  <si>
    <t>SFG-INSRBGR-MEM-ETCVR-78X30</t>
  </si>
  <si>
    <t>HYPINSFMMFETGR78X36X05-90D</t>
  </si>
  <si>
    <t>SFG-INSRBGR-MEM-ETBOR-78X36X05</t>
  </si>
  <si>
    <t>SFG-INSRBGR-MEM-ETCVR-78X36</t>
  </si>
  <si>
    <t>HYPINSFMMFETGR78X42X05-90D</t>
  </si>
  <si>
    <t>SFG-INSRBGR-MEM-ETBOR-78X42X05</t>
  </si>
  <si>
    <t>SFG-INSRBGR-MEM-ETCVR-78X42</t>
  </si>
  <si>
    <t>HYPINSFMMFETGR78X48X05-90D</t>
  </si>
  <si>
    <t>SFG-INSRBGR-MEM-ETBOR-78X48X05</t>
  </si>
  <si>
    <t>SFG-INSRBGR-MEM-ETCVR-78X48</t>
  </si>
  <si>
    <t>HYPINSFMMFETGR78X60X05-90D</t>
  </si>
  <si>
    <t>SFG-INSRBGR-MEM-ETBOR-78X60X05</t>
  </si>
  <si>
    <t>SFG-INSRBGR-MEM-ETCVR-78X60</t>
  </si>
  <si>
    <t>HYPINSFMMFETGR78X66X05-90D</t>
  </si>
  <si>
    <t>SFG-INSRBGR-MEM-ETBOR-78X66X05</t>
  </si>
  <si>
    <t>SFG-INSRBGR-MEM-ETCVR-78X66</t>
  </si>
  <si>
    <t>HYPINSFMMFETGR78X72X05-90D</t>
  </si>
  <si>
    <t>SFG-INSRBGR-MEM-ETBOR-78X72X05</t>
  </si>
  <si>
    <t>SFG-INSRBGR-MEM-ETCVR-78X72</t>
  </si>
  <si>
    <t>HYPINSFMMFETGR80X30X05-90D</t>
  </si>
  <si>
    <t>SFG-INSRBGR-MEM-ETBOR-80X30X05</t>
  </si>
  <si>
    <t>SFG-INSRBGR-MEM-ETCVR-80X30</t>
  </si>
  <si>
    <t>HYPINSFMMFETGR80X36X05-90D</t>
  </si>
  <si>
    <t>SFG-INSRBGR-MEM-ETBOR-80X36X05</t>
  </si>
  <si>
    <t>SFG-INSRBGR-MEM-ETCVR-80X36</t>
  </si>
  <si>
    <t>HYPINSFMMFETGR80X42X05-90D</t>
  </si>
  <si>
    <t>SFG-INSRBGR-MEM-ETBOR-80X42X05</t>
  </si>
  <si>
    <t>SFG-INSRBGR-MEM-ETCVR-80X42</t>
  </si>
  <si>
    <t>HYPINSFMMFETGR80X48X05-90D</t>
  </si>
  <si>
    <t>SFG-INSRBGR-MEM-ETBOR-80X48X05</t>
  </si>
  <si>
    <t>SFG-INSRBGR-MEM-ETCVR-80X48</t>
  </si>
  <si>
    <t>HYPINSFMMFETGR80X60X05-90D</t>
  </si>
  <si>
    <t>SFG-INSRBGR-MEM-ETBOR-80X60X05</t>
  </si>
  <si>
    <t>SFG-INSRBGR-MEM-ETCVR-80X60</t>
  </si>
  <si>
    <t>HYPINSFMMFETGR80X66X05-90D</t>
  </si>
  <si>
    <t>SFG-INSRBGR-MEM-ETBOR-80X66X05</t>
  </si>
  <si>
    <t>SFG-INSRBGR-MEM-ETCVR-80X66</t>
  </si>
  <si>
    <t>HYPINSFMMFETGR80X72X05-90D</t>
  </si>
  <si>
    <t>SFG-INSRBGR-MEM-ETBOR-80X72X05</t>
  </si>
  <si>
    <t>SFG-INSRBGR-MEM-ETCVR-80X72</t>
  </si>
  <si>
    <t>HYPINSFMMFETGR84X30X05-90D</t>
  </si>
  <si>
    <t>SFG-INSRBGR-MEM-ETBOR-84X30X05</t>
  </si>
  <si>
    <t>SFG-INSRBGR-MEM-ETCVR-84X30</t>
  </si>
  <si>
    <t>HYPINSFMMFETGR84X36X05-90D</t>
  </si>
  <si>
    <t>SFG-INSRBGR-MEM-ETBOR-84X36X05</t>
  </si>
  <si>
    <t>SFG-INSRBGR-MEM-ETCVR-84X36</t>
  </si>
  <si>
    <t>HYPINSFMMFETGR84X42X05-90D</t>
  </si>
  <si>
    <t>SFG-INSRBGR-MEM-ETBOR-84X42X05</t>
  </si>
  <si>
    <t>SFG-INSRBGR-MEM-ETCVR-84X42</t>
  </si>
  <si>
    <t>HYPINSFMMFETGR84X48X05-90D</t>
  </si>
  <si>
    <t>SFG-INSRBGR-MEM-ETBOR-84X48X05</t>
  </si>
  <si>
    <t>SFG-INSRBGR-MEM-ETCVR-84X48</t>
  </si>
  <si>
    <t>HYPINSFMMFETGR84X60X05-90D</t>
  </si>
  <si>
    <t>SFG-INSRBGR-MEM-ETBOR-84X60X05</t>
  </si>
  <si>
    <t>SFG-INSRBGR-MEM-ETCVR-84X60</t>
  </si>
  <si>
    <t>HYPINSFMMFETGR84X66X05-90D</t>
  </si>
  <si>
    <t>SFG-INSRBGR-MEM-ETBOR-84X66X05</t>
  </si>
  <si>
    <t>SFG-INSRBGR-MEM-ETCVR-84X66</t>
  </si>
  <si>
    <t>HYPINSFMMFETGR84X72X05-90D</t>
  </si>
  <si>
    <t>SFG-INSRBGR-MEM-ETBOR-84X72X05</t>
  </si>
  <si>
    <t>SFG-INSRBGR-MEM-ETCVR-84X72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</si>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</sst>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9.85546875" style="14" bestFit="1" customWidth="1"/>
    <col min="5" max="5" width="34.1406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"HYPINSFMMFET"&amp;IF($N$2="GR","GR",IF($N$2="BL","BL","BL"))&amp;$K$2&amp;"X"&amp;$L$2&amp;"X0"&amp;$M$2&amp;"-90D"</f>
        <v>HYPINSFMMFETBL78X36X05-90D</v>
      </c>
      <c r="E2" s="38" t="str">
        <f>"SFG-INSRB"&amp;IF(N2="GR","GR",IF(N2="BL","BL",IF(N2="MR","MR",0)))&amp;"-MEM-QUILT-90D"</f>
        <v>SFG-INSRBBL-MEM-QUILT-90D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78</v>
      </c>
      <c r="L2" s="6">
        <v>36</v>
      </c>
      <c r="M2" s="30">
        <v>5</v>
      </c>
      <c r="N2" s="6" t="s">
        <v>115</v>
      </c>
      <c r="P2" s="4" t="s">
        <v>116</v>
      </c>
      <c r="R2" s="28" t="s">
        <v>89</v>
      </c>
      <c r="S2" s="28" t="s">
        <v>101</v>
      </c>
      <c r="T2" s="28">
        <v>5</v>
      </c>
      <c r="U2" s="29" t="s">
        <v>115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"HYPINSFMMFET"&amp;IF($N$2="GR","GR",IF($N$2="BL","BL","BL"))&amp;$K$2&amp;"X"&amp;$L$2&amp;"X0"&amp;$M$2&amp;"-90D"</f>
        <v>HYPINSFMMFETBL78X36X05-90D</v>
      </c>
      <c r="E3" s="36" t="str">
        <f>"SFG-INSRB"&amp;IF(N2="BL","BL",IF(N2="GR","GR",IF(N2="MR","MR",IF(N2="MR","MR",IF(N2="MR","MR",IF(N2="MR","MR",0))))))&amp;"-MEM-ETBOR-"&amp;K2&amp;"X"&amp;L2&amp;"X"&amp;IF(M2=10,10,"0"&amp;M2)</f>
        <v>SFG-INSRBBL-MEM-ETBOR-78X36X05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5</v>
      </c>
      <c r="U3" s="29" t="s">
        <v>115</v>
      </c>
    </row>
    <row r="4" spans="1:21" x14ac:dyDescent="0.25">
      <c r="A4" s="32">
        <v>2</v>
      </c>
      <c r="B4" s="7" t="s">
        <v>94</v>
      </c>
      <c r="C4" s="9" t="s">
        <v>108</v>
      </c>
      <c r="D4" s="9" t="str">
        <f t="shared" si="1"/>
        <v>HYPINSFMMFETBL78X36X05-90D</v>
      </c>
      <c r="E4" s="36" t="str">
        <f>"SFG-INSRB"&amp;IF(N2="BL","BL",IF(N2="GR","GR",IF(N2="MR","MR",IF(N2="MR","MR",IF(N2="MR","MR",IF(N2="MR","MR",0))))))&amp;"-MEM-ETCVR-"&amp;K2&amp;"X"&amp;L2</f>
        <v>SFG-INSRBBL-MEM-ETCVR-78X36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103</v>
      </c>
      <c r="T4" s="28">
        <v>5</v>
      </c>
      <c r="U4" s="29" t="s">
        <v>115</v>
      </c>
    </row>
    <row r="5" spans="1:21" x14ac:dyDescent="0.25">
      <c r="A5" s="32">
        <v>3</v>
      </c>
      <c r="B5" s="7" t="s">
        <v>94</v>
      </c>
      <c r="C5" s="9" t="s">
        <v>108</v>
      </c>
      <c r="D5" s="9" t="str">
        <f t="shared" si="1"/>
        <v>HYPINSFMMFETBL78X36X05-90D</v>
      </c>
      <c r="E5" s="48" t="s">
        <v>376</v>
      </c>
      <c r="F5" s="39" t="s">
        <v>14</v>
      </c>
      <c r="G5" s="10">
        <f>IF(K2&lt;81,(L2+1),(K2+1))*0.0254</f>
        <v>0.93979999999999997</v>
      </c>
      <c r="H5" s="10">
        <f>ROUND(G5,3)</f>
        <v>0.94</v>
      </c>
      <c r="I5" s="33" t="s">
        <v>15</v>
      </c>
      <c r="J5" s="12"/>
      <c r="O5" s="16"/>
      <c r="R5" s="28" t="s">
        <v>89</v>
      </c>
      <c r="S5" s="28" t="s">
        <v>104</v>
      </c>
      <c r="T5" s="28">
        <v>5</v>
      </c>
      <c r="U5" s="29" t="s">
        <v>115</v>
      </c>
    </row>
    <row r="6" spans="1:21" x14ac:dyDescent="0.25">
      <c r="A6" s="32">
        <v>4</v>
      </c>
      <c r="B6" s="7" t="s">
        <v>94</v>
      </c>
      <c r="C6" s="9" t="s">
        <v>109</v>
      </c>
      <c r="D6" s="9" t="str">
        <f t="shared" si="1"/>
        <v>HYPINSFMMFETBL78X36X05-90D</v>
      </c>
      <c r="E6" s="41" t="s">
        <v>110</v>
      </c>
      <c r="F6" s="11" t="s">
        <v>111</v>
      </c>
      <c r="G6" s="34">
        <f>(((K2*L2)/144)*0.00729*4)</f>
        <v>0.56862000000000001</v>
      </c>
      <c r="H6" s="10">
        <f t="shared" ref="H6:H11" si="3">ROUND(G6,3)</f>
        <v>0.56899999999999995</v>
      </c>
      <c r="I6" s="11" t="s">
        <v>13</v>
      </c>
      <c r="J6" s="12"/>
      <c r="R6" s="28" t="s">
        <v>89</v>
      </c>
      <c r="S6" s="28" t="s">
        <v>105</v>
      </c>
      <c r="T6" s="28">
        <v>5</v>
      </c>
      <c r="U6" s="29" t="s">
        <v>115</v>
      </c>
    </row>
    <row r="7" spans="1:21" x14ac:dyDescent="0.25">
      <c r="A7" s="32">
        <v>5</v>
      </c>
      <c r="B7" s="7" t="s">
        <v>98</v>
      </c>
      <c r="C7" s="9" t="s">
        <v>99</v>
      </c>
      <c r="D7" s="9" t="str">
        <f t="shared" si="1"/>
        <v>HYPINSFMMFETBL78X36X05-90D</v>
      </c>
      <c r="E7" s="47" t="s">
        <v>377</v>
      </c>
      <c r="F7" s="11" t="s">
        <v>11</v>
      </c>
      <c r="G7" s="40">
        <v>1</v>
      </c>
      <c r="H7" s="10">
        <f t="shared" si="3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5</v>
      </c>
      <c r="U7" s="29" t="s">
        <v>115</v>
      </c>
    </row>
    <row r="8" spans="1:21" x14ac:dyDescent="0.25">
      <c r="A8" s="32">
        <v>6</v>
      </c>
      <c r="B8" s="7" t="s">
        <v>17</v>
      </c>
      <c r="C8" s="9" t="s">
        <v>18</v>
      </c>
      <c r="D8" s="9" t="str">
        <f t="shared" si="1"/>
        <v>HYPINSFMMFETBL78X36X05-90D</v>
      </c>
      <c r="E8" s="43" t="s">
        <v>113</v>
      </c>
      <c r="F8" s="11" t="s">
        <v>14</v>
      </c>
      <c r="G8" s="10">
        <f>((K2+L2+K2+L2)+2)*0.0254*3</f>
        <v>17.526</v>
      </c>
      <c r="H8" s="10">
        <f t="shared" si="3"/>
        <v>17.526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5</v>
      </c>
      <c r="U8" s="29" t="s">
        <v>115</v>
      </c>
    </row>
    <row r="9" spans="1:21" x14ac:dyDescent="0.25">
      <c r="A9" s="32">
        <v>7</v>
      </c>
      <c r="B9" s="7" t="s">
        <v>17</v>
      </c>
      <c r="C9" s="9" t="s">
        <v>18</v>
      </c>
      <c r="D9" s="9" t="str">
        <f t="shared" si="1"/>
        <v>HYPINSFMMFETBL78X36X05-90D</v>
      </c>
      <c r="E9" s="42" t="s">
        <v>16</v>
      </c>
      <c r="F9" s="11" t="s">
        <v>14</v>
      </c>
      <c r="G9" s="35">
        <f>(K2+L2+2)*2*0.0254*(4.73+1.42)*3</f>
        <v>108.72215999999999</v>
      </c>
      <c r="H9" s="10">
        <f t="shared" si="3"/>
        <v>108.72199999999999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5</v>
      </c>
      <c r="U9" s="29" t="s">
        <v>115</v>
      </c>
    </row>
    <row r="10" spans="1:21" x14ac:dyDescent="0.25">
      <c r="A10" s="32">
        <v>8</v>
      </c>
      <c r="B10" s="7" t="s">
        <v>19</v>
      </c>
      <c r="C10" s="9" t="s">
        <v>19</v>
      </c>
      <c r="D10" s="9" t="str">
        <f t="shared" si="1"/>
        <v>HYPINSFMMFETBL78X36X05-90D</v>
      </c>
      <c r="E10" s="47" t="s">
        <v>378</v>
      </c>
      <c r="F10" s="11" t="s">
        <v>12</v>
      </c>
      <c r="G10" s="40">
        <f>(L2+M2+6)*2*0.0254*0.035</f>
        <v>8.3566000000000001E-2</v>
      </c>
      <c r="H10" s="10">
        <f t="shared" si="3"/>
        <v>8.4000000000000005E-2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5</v>
      </c>
      <c r="U10" s="29" t="s">
        <v>115</v>
      </c>
    </row>
    <row r="11" spans="1:21" x14ac:dyDescent="0.25">
      <c r="A11" s="32">
        <v>9</v>
      </c>
      <c r="B11" s="7" t="s">
        <v>19</v>
      </c>
      <c r="C11" s="9" t="s">
        <v>19</v>
      </c>
      <c r="D11" s="9" t="str">
        <f t="shared" si="1"/>
        <v>HYPINSFMMFETBL78X36X05-90D</v>
      </c>
      <c r="E11" s="17" t="str">
        <f>IF(M2=5,"RML-CS-CIR-5.5",IF(M2=6,"RML-CS-CIR-6.5","RML-CS-CIR-8.25"))</f>
        <v>RML-CS-CIR-5.5</v>
      </c>
      <c r="F11" s="11" t="s">
        <v>11</v>
      </c>
      <c r="G11" s="40">
        <v>4</v>
      </c>
      <c r="H11" s="10">
        <f t="shared" si="3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5</v>
      </c>
      <c r="U11" s="29" t="s">
        <v>115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HYPINSFMMFETBL78X36X05-90D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5</v>
      </c>
      <c r="U12" s="29" t="s">
        <v>115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HYPINSFMMFETBL78X36X05-90D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5</v>
      </c>
      <c r="U13" s="29" t="s">
        <v>115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HYPINSFMMFETBL78X36X05-90D</v>
      </c>
      <c r="E14" s="17" t="s">
        <v>114</v>
      </c>
      <c r="F14" s="11" t="s">
        <v>12</v>
      </c>
      <c r="G14" s="40">
        <f>(IF(K2&lt;=79,(L2*2)+(M2*2),(K2*2)+(M2*2))+4)*89.5*0.0254*0.0254*0.00009*1300</f>
        <v>0.58099819283999998</v>
      </c>
      <c r="H14" s="10">
        <f>ROUND(G14,3)</f>
        <v>0.58099999999999996</v>
      </c>
      <c r="I14" s="8" t="s">
        <v>13</v>
      </c>
      <c r="J14" s="12"/>
      <c r="M14" s="18"/>
      <c r="O14" s="18"/>
      <c r="R14" s="28" t="s">
        <v>90</v>
      </c>
      <c r="S14" s="28" t="s">
        <v>106</v>
      </c>
      <c r="T14" s="28">
        <v>5</v>
      </c>
      <c r="U14" s="29" t="s">
        <v>115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HYPINSFMMFETBL78X36X05-90D</v>
      </c>
      <c r="E15" s="37" t="str">
        <f>"90D-HYP-INS-ET-BLOCK-"&amp;K2&amp;"X"&amp;L2&amp;"X0"&amp;M2</f>
        <v>90D-HYP-INS-ET-BLOCK-78X36X05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5</v>
      </c>
      <c r="U15" s="29" t="s">
        <v>115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5</v>
      </c>
      <c r="U16" s="29" t="s">
        <v>115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5</v>
      </c>
      <c r="U17" s="29" t="s">
        <v>115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5</v>
      </c>
      <c r="U18" s="29" t="s">
        <v>115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5</v>
      </c>
      <c r="U19" s="29" t="s">
        <v>115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5</v>
      </c>
      <c r="U20" s="29" t="s">
        <v>115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5</v>
      </c>
      <c r="U21" s="29" t="s">
        <v>115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5</v>
      </c>
      <c r="U22" s="29" t="s">
        <v>115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5</v>
      </c>
      <c r="U23" s="29" t="s">
        <v>115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5</v>
      </c>
      <c r="U24" s="29" t="s">
        <v>115</v>
      </c>
    </row>
    <row r="25" spans="5:21" x14ac:dyDescent="0.25">
      <c r="N25"/>
      <c r="O25"/>
      <c r="R25" s="28" t="s">
        <v>92</v>
      </c>
      <c r="S25" s="28" t="s">
        <v>103</v>
      </c>
      <c r="T25" s="28">
        <v>5</v>
      </c>
      <c r="U25" s="29" t="s">
        <v>115</v>
      </c>
    </row>
    <row r="26" spans="5:21" x14ac:dyDescent="0.25">
      <c r="N26"/>
      <c r="O26"/>
      <c r="R26" s="28" t="s">
        <v>92</v>
      </c>
      <c r="S26" s="28" t="s">
        <v>104</v>
      </c>
      <c r="T26" s="28">
        <v>5</v>
      </c>
      <c r="U26" s="29" t="s">
        <v>115</v>
      </c>
    </row>
    <row r="27" spans="5:21" x14ac:dyDescent="0.25">
      <c r="N27"/>
      <c r="O27"/>
      <c r="R27" s="28" t="s">
        <v>92</v>
      </c>
      <c r="S27" s="28" t="s">
        <v>105</v>
      </c>
      <c r="T27" s="28">
        <v>5</v>
      </c>
      <c r="U27" s="29" t="s">
        <v>115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5</v>
      </c>
      <c r="U28" s="29" t="s">
        <v>115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5</v>
      </c>
      <c r="U29" s="29" t="s">
        <v>115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5</v>
      </c>
      <c r="U30" s="29" t="s">
        <v>115</v>
      </c>
    </row>
    <row r="31" spans="5:21" x14ac:dyDescent="0.25">
      <c r="N31"/>
      <c r="O31"/>
      <c r="R31" s="28" t="s">
        <v>93</v>
      </c>
      <c r="S31" s="28" t="s">
        <v>102</v>
      </c>
      <c r="T31" s="28">
        <v>5</v>
      </c>
      <c r="U31" s="29" t="s">
        <v>115</v>
      </c>
    </row>
    <row r="32" spans="5:21" x14ac:dyDescent="0.25">
      <c r="N32"/>
      <c r="O32"/>
      <c r="R32" s="28" t="s">
        <v>93</v>
      </c>
      <c r="S32" s="28" t="s">
        <v>103</v>
      </c>
      <c r="T32" s="28">
        <v>5</v>
      </c>
      <c r="U32" s="29" t="s">
        <v>115</v>
      </c>
    </row>
    <row r="33" spans="14:21" x14ac:dyDescent="0.25">
      <c r="N33"/>
      <c r="O33"/>
      <c r="R33" s="28" t="s">
        <v>93</v>
      </c>
      <c r="S33" s="28" t="s">
        <v>104</v>
      </c>
      <c r="T33" s="28">
        <v>5</v>
      </c>
      <c r="U33" s="29" t="s">
        <v>115</v>
      </c>
    </row>
    <row r="34" spans="14:21" x14ac:dyDescent="0.25">
      <c r="N34"/>
      <c r="O34"/>
      <c r="R34" s="28" t="s">
        <v>93</v>
      </c>
      <c r="S34" s="28" t="s">
        <v>105</v>
      </c>
      <c r="T34" s="28">
        <v>5</v>
      </c>
      <c r="U34" s="29" t="s">
        <v>115</v>
      </c>
    </row>
    <row r="35" spans="14:21" x14ac:dyDescent="0.25">
      <c r="N35"/>
      <c r="O35"/>
      <c r="R35" s="28" t="s">
        <v>93</v>
      </c>
      <c r="S35" s="28" t="s">
        <v>106</v>
      </c>
      <c r="T35" s="28">
        <v>5</v>
      </c>
      <c r="U35" s="29" t="s">
        <v>115</v>
      </c>
    </row>
    <row r="36" spans="14:21" x14ac:dyDescent="0.25">
      <c r="N36"/>
      <c r="O36"/>
      <c r="R36" s="28" t="s">
        <v>93</v>
      </c>
      <c r="S36" s="28" t="s">
        <v>89</v>
      </c>
      <c r="T36" s="28">
        <v>5</v>
      </c>
      <c r="U36" s="29" t="s">
        <v>115</v>
      </c>
    </row>
    <row r="37" spans="14:21" x14ac:dyDescent="0.25">
      <c r="N37"/>
      <c r="O37"/>
      <c r="R37" s="28" t="s">
        <v>89</v>
      </c>
      <c r="S37" s="28" t="s">
        <v>101</v>
      </c>
      <c r="T37" s="28">
        <v>5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5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5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5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5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5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5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5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5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5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5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5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5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5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5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5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5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5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5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5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5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5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5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5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5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5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5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5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5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5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5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5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5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5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5</v>
      </c>
      <c r="U71" s="29" t="s">
        <v>118</v>
      </c>
    </row>
    <row r="72" spans="18:21" x14ac:dyDescent="0.25">
      <c r="R72" s="28" t="s">
        <v>89</v>
      </c>
      <c r="S72" s="28" t="s">
        <v>367</v>
      </c>
      <c r="T72" s="28" t="s">
        <v>368</v>
      </c>
      <c r="U72" s="29" t="s">
        <v>115</v>
      </c>
    </row>
    <row r="73" spans="18:21" x14ac:dyDescent="0.25">
      <c r="R73" s="28" t="s">
        <v>89</v>
      </c>
      <c r="S73" s="28" t="s">
        <v>369</v>
      </c>
      <c r="T73" s="28" t="s">
        <v>368</v>
      </c>
      <c r="U73" s="29" t="s">
        <v>115</v>
      </c>
    </row>
    <row r="74" spans="18:21" x14ac:dyDescent="0.25">
      <c r="R74" s="28" t="s">
        <v>89</v>
      </c>
      <c r="S74" s="28" t="s">
        <v>370</v>
      </c>
      <c r="T74" s="28" t="s">
        <v>368</v>
      </c>
      <c r="U74" s="29" t="s">
        <v>115</v>
      </c>
    </row>
    <row r="75" spans="18:21" x14ac:dyDescent="0.25">
      <c r="R75" s="28" t="s">
        <v>89</v>
      </c>
      <c r="S75" s="28" t="s">
        <v>371</v>
      </c>
      <c r="T75" s="28" t="s">
        <v>368</v>
      </c>
      <c r="U75" s="29" t="s">
        <v>115</v>
      </c>
    </row>
    <row r="76" spans="18:21" x14ac:dyDescent="0.25">
      <c r="R76" s="28" t="s">
        <v>89</v>
      </c>
      <c r="S76" s="28" t="s">
        <v>372</v>
      </c>
      <c r="T76" s="28" t="s">
        <v>368</v>
      </c>
      <c r="U76" s="29" t="s">
        <v>115</v>
      </c>
    </row>
    <row r="77" spans="18:21" x14ac:dyDescent="0.25">
      <c r="R77" s="28" t="s">
        <v>89</v>
      </c>
      <c r="S77" s="28" t="s">
        <v>373</v>
      </c>
      <c r="T77" s="28" t="s">
        <v>368</v>
      </c>
      <c r="U77" s="29" t="s">
        <v>115</v>
      </c>
    </row>
    <row r="78" spans="18:21" x14ac:dyDescent="0.25">
      <c r="R78" s="28" t="s">
        <v>89</v>
      </c>
      <c r="S78" s="28" t="s">
        <v>374</v>
      </c>
      <c r="T78" s="28" t="s">
        <v>368</v>
      </c>
      <c r="U78" s="29" t="s">
        <v>115</v>
      </c>
    </row>
    <row r="79" spans="18:21" x14ac:dyDescent="0.25">
      <c r="R79" s="28" t="s">
        <v>89</v>
      </c>
      <c r="S79" s="28" t="s">
        <v>375</v>
      </c>
      <c r="T79" s="28" t="s">
        <v>368</v>
      </c>
      <c r="U79" s="29" t="s">
        <v>115</v>
      </c>
    </row>
    <row r="80" spans="18:21" x14ac:dyDescent="0.25">
      <c r="R80" s="28" t="s">
        <v>90</v>
      </c>
      <c r="S80" s="28" t="s">
        <v>367</v>
      </c>
      <c r="T80" s="28" t="s">
        <v>368</v>
      </c>
      <c r="U80" s="29" t="s">
        <v>115</v>
      </c>
    </row>
    <row r="81" spans="18:21" x14ac:dyDescent="0.25">
      <c r="R81" s="28" t="s">
        <v>90</v>
      </c>
      <c r="S81" s="28" t="s">
        <v>369</v>
      </c>
      <c r="T81" s="28" t="s">
        <v>368</v>
      </c>
      <c r="U81" s="29" t="s">
        <v>115</v>
      </c>
    </row>
    <row r="82" spans="18:21" x14ac:dyDescent="0.25">
      <c r="R82" s="28" t="s">
        <v>90</v>
      </c>
      <c r="S82" s="28" t="s">
        <v>370</v>
      </c>
      <c r="T82" s="28" t="s">
        <v>368</v>
      </c>
      <c r="U82" s="29" t="s">
        <v>115</v>
      </c>
    </row>
    <row r="83" spans="18:21" x14ac:dyDescent="0.25">
      <c r="R83" s="28" t="s">
        <v>90</v>
      </c>
      <c r="S83" s="28" t="s">
        <v>371</v>
      </c>
      <c r="T83" s="28" t="s">
        <v>368</v>
      </c>
      <c r="U83" s="29" t="s">
        <v>115</v>
      </c>
    </row>
    <row r="84" spans="18:21" x14ac:dyDescent="0.25">
      <c r="R84" s="28" t="s">
        <v>90</v>
      </c>
      <c r="S84" s="28" t="s">
        <v>372</v>
      </c>
      <c r="T84" s="28" t="s">
        <v>368</v>
      </c>
      <c r="U84" s="29" t="s">
        <v>115</v>
      </c>
    </row>
    <row r="85" spans="18:21" x14ac:dyDescent="0.25">
      <c r="R85" s="28" t="s">
        <v>90</v>
      </c>
      <c r="S85" s="28" t="s">
        <v>373</v>
      </c>
      <c r="T85" s="28" t="s">
        <v>368</v>
      </c>
      <c r="U85" s="29" t="s">
        <v>115</v>
      </c>
    </row>
    <row r="86" spans="18:21" x14ac:dyDescent="0.25">
      <c r="R86" s="28" t="s">
        <v>90</v>
      </c>
      <c r="S86" s="28" t="s">
        <v>374</v>
      </c>
      <c r="T86" s="28" t="s">
        <v>368</v>
      </c>
      <c r="U86" s="29" t="s">
        <v>115</v>
      </c>
    </row>
    <row r="87" spans="18:21" x14ac:dyDescent="0.25">
      <c r="R87" s="28" t="s">
        <v>90</v>
      </c>
      <c r="S87" s="28" t="s">
        <v>375</v>
      </c>
      <c r="T87" s="28" t="s">
        <v>368</v>
      </c>
      <c r="U87" s="29" t="s">
        <v>115</v>
      </c>
    </row>
    <row r="88" spans="18:21" x14ac:dyDescent="0.25">
      <c r="R88" s="28" t="s">
        <v>91</v>
      </c>
      <c r="S88" s="28" t="s">
        <v>367</v>
      </c>
      <c r="T88" s="28" t="s">
        <v>368</v>
      </c>
      <c r="U88" s="29" t="s">
        <v>115</v>
      </c>
    </row>
    <row r="89" spans="18:21" x14ac:dyDescent="0.25">
      <c r="R89" s="28" t="s">
        <v>91</v>
      </c>
      <c r="S89" s="28" t="s">
        <v>369</v>
      </c>
      <c r="T89" s="28" t="s">
        <v>368</v>
      </c>
      <c r="U89" s="29" t="s">
        <v>115</v>
      </c>
    </row>
    <row r="90" spans="18:21" x14ac:dyDescent="0.25">
      <c r="R90" s="28" t="s">
        <v>91</v>
      </c>
      <c r="S90" s="28" t="s">
        <v>370</v>
      </c>
      <c r="T90" s="28" t="s">
        <v>368</v>
      </c>
      <c r="U90" s="29" t="s">
        <v>115</v>
      </c>
    </row>
    <row r="91" spans="18:21" x14ac:dyDescent="0.25">
      <c r="R91" s="28" t="s">
        <v>91</v>
      </c>
      <c r="S91" s="28" t="s">
        <v>371</v>
      </c>
      <c r="T91" s="28" t="s">
        <v>368</v>
      </c>
      <c r="U91" s="29" t="s">
        <v>115</v>
      </c>
    </row>
    <row r="92" spans="18:21" x14ac:dyDescent="0.25">
      <c r="R92" s="28" t="s">
        <v>91</v>
      </c>
      <c r="S92" s="28" t="s">
        <v>372</v>
      </c>
      <c r="T92" s="28" t="s">
        <v>368</v>
      </c>
      <c r="U92" s="29" t="s">
        <v>115</v>
      </c>
    </row>
    <row r="93" spans="18:21" x14ac:dyDescent="0.25">
      <c r="R93" s="28" t="s">
        <v>91</v>
      </c>
      <c r="S93" s="28" t="s">
        <v>373</v>
      </c>
      <c r="T93" s="28" t="s">
        <v>368</v>
      </c>
      <c r="U93" s="29" t="s">
        <v>115</v>
      </c>
    </row>
    <row r="94" spans="18:21" x14ac:dyDescent="0.25">
      <c r="R94" s="28" t="s">
        <v>91</v>
      </c>
      <c r="S94" s="28" t="s">
        <v>374</v>
      </c>
      <c r="T94" s="28" t="s">
        <v>368</v>
      </c>
      <c r="U94" s="29" t="s">
        <v>115</v>
      </c>
    </row>
    <row r="95" spans="18:21" x14ac:dyDescent="0.25">
      <c r="R95" s="28" t="s">
        <v>91</v>
      </c>
      <c r="S95" s="28" t="s">
        <v>375</v>
      </c>
      <c r="T95" s="28" t="s">
        <v>368</v>
      </c>
      <c r="U95" s="29" t="s">
        <v>115</v>
      </c>
    </row>
    <row r="96" spans="18:21" x14ac:dyDescent="0.25">
      <c r="R96" s="28" t="s">
        <v>92</v>
      </c>
      <c r="S96" s="28" t="s">
        <v>367</v>
      </c>
      <c r="T96" s="28" t="s">
        <v>368</v>
      </c>
      <c r="U96" s="29" t="s">
        <v>115</v>
      </c>
    </row>
    <row r="97" spans="18:21" x14ac:dyDescent="0.25">
      <c r="R97" s="28" t="s">
        <v>92</v>
      </c>
      <c r="S97" s="28" t="s">
        <v>369</v>
      </c>
      <c r="T97" s="28" t="s">
        <v>368</v>
      </c>
      <c r="U97" s="29" t="s">
        <v>115</v>
      </c>
    </row>
    <row r="98" spans="18:21" x14ac:dyDescent="0.25">
      <c r="R98" s="28" t="s">
        <v>92</v>
      </c>
      <c r="S98" s="28" t="s">
        <v>370</v>
      </c>
      <c r="T98" s="28" t="s">
        <v>368</v>
      </c>
      <c r="U98" s="29" t="s">
        <v>115</v>
      </c>
    </row>
    <row r="99" spans="18:21" x14ac:dyDescent="0.25">
      <c r="R99" s="28" t="s">
        <v>92</v>
      </c>
      <c r="S99" s="28" t="s">
        <v>371</v>
      </c>
      <c r="T99" s="28" t="s">
        <v>368</v>
      </c>
      <c r="U99" s="29" t="s">
        <v>115</v>
      </c>
    </row>
    <row r="100" spans="18:21" x14ac:dyDescent="0.25">
      <c r="R100" s="28" t="s">
        <v>92</v>
      </c>
      <c r="S100" s="28" t="s">
        <v>372</v>
      </c>
      <c r="T100" s="28" t="s">
        <v>368</v>
      </c>
      <c r="U100" s="29" t="s">
        <v>115</v>
      </c>
    </row>
    <row r="101" spans="18:21" x14ac:dyDescent="0.25">
      <c r="R101" s="28" t="s">
        <v>92</v>
      </c>
      <c r="S101" s="28" t="s">
        <v>373</v>
      </c>
      <c r="T101" s="28" t="s">
        <v>368</v>
      </c>
      <c r="U101" s="29" t="s">
        <v>115</v>
      </c>
    </row>
    <row r="102" spans="18:21" x14ac:dyDescent="0.25">
      <c r="R102" s="28" t="s">
        <v>92</v>
      </c>
      <c r="S102" s="28" t="s">
        <v>374</v>
      </c>
      <c r="T102" s="28" t="s">
        <v>368</v>
      </c>
      <c r="U102" s="29" t="s">
        <v>115</v>
      </c>
    </row>
    <row r="103" spans="18:21" x14ac:dyDescent="0.25">
      <c r="R103" s="28" t="s">
        <v>92</v>
      </c>
      <c r="S103" s="28" t="s">
        <v>375</v>
      </c>
      <c r="T103" s="28" t="s">
        <v>368</v>
      </c>
      <c r="U103" s="29" t="s">
        <v>115</v>
      </c>
    </row>
    <row r="104" spans="18:21" x14ac:dyDescent="0.25">
      <c r="R104" s="28" t="s">
        <v>93</v>
      </c>
      <c r="S104" s="28" t="s">
        <v>367</v>
      </c>
      <c r="T104" s="28" t="s">
        <v>368</v>
      </c>
      <c r="U104" s="29" t="s">
        <v>115</v>
      </c>
    </row>
    <row r="105" spans="18:21" x14ac:dyDescent="0.25">
      <c r="R105" s="28" t="s">
        <v>93</v>
      </c>
      <c r="S105" s="28" t="s">
        <v>369</v>
      </c>
      <c r="T105" s="28" t="s">
        <v>368</v>
      </c>
      <c r="U105" s="29" t="s">
        <v>115</v>
      </c>
    </row>
    <row r="106" spans="18:21" x14ac:dyDescent="0.25">
      <c r="R106" s="28" t="s">
        <v>93</v>
      </c>
      <c r="S106" s="28" t="s">
        <v>370</v>
      </c>
      <c r="T106" s="28" t="s">
        <v>368</v>
      </c>
      <c r="U106" s="29" t="s">
        <v>115</v>
      </c>
    </row>
    <row r="107" spans="18:21" x14ac:dyDescent="0.25">
      <c r="R107" s="28" t="s">
        <v>93</v>
      </c>
      <c r="S107" s="28" t="s">
        <v>371</v>
      </c>
      <c r="T107" s="28" t="s">
        <v>368</v>
      </c>
      <c r="U107" s="29" t="s">
        <v>115</v>
      </c>
    </row>
    <row r="108" spans="18:21" x14ac:dyDescent="0.25">
      <c r="R108" s="28" t="s">
        <v>93</v>
      </c>
      <c r="S108" s="28" t="s">
        <v>372</v>
      </c>
      <c r="T108" s="28" t="s">
        <v>368</v>
      </c>
      <c r="U108" s="29" t="s">
        <v>115</v>
      </c>
    </row>
    <row r="109" spans="18:21" x14ac:dyDescent="0.25">
      <c r="R109" s="28" t="s">
        <v>93</v>
      </c>
      <c r="S109" s="28" t="s">
        <v>373</v>
      </c>
      <c r="T109" s="28" t="s">
        <v>368</v>
      </c>
      <c r="U109" s="29" t="s">
        <v>115</v>
      </c>
    </row>
    <row r="110" spans="18:21" x14ac:dyDescent="0.25">
      <c r="R110" s="28" t="s">
        <v>93</v>
      </c>
      <c r="S110" s="28" t="s">
        <v>374</v>
      </c>
      <c r="T110" s="28" t="s">
        <v>368</v>
      </c>
      <c r="U110" s="29" t="s">
        <v>115</v>
      </c>
    </row>
    <row r="111" spans="18:21" x14ac:dyDescent="0.25">
      <c r="R111" s="28" t="s">
        <v>93</v>
      </c>
      <c r="S111" s="28" t="s">
        <v>375</v>
      </c>
      <c r="T111" s="28" t="s">
        <v>368</v>
      </c>
      <c r="U111" s="29" t="s">
        <v>115</v>
      </c>
    </row>
    <row r="112" spans="18:21" x14ac:dyDescent="0.25">
      <c r="R112" s="28" t="s">
        <v>89</v>
      </c>
      <c r="S112" s="28" t="s">
        <v>367</v>
      </c>
      <c r="T112" s="28" t="s">
        <v>368</v>
      </c>
      <c r="U112" s="29" t="s">
        <v>118</v>
      </c>
    </row>
    <row r="113" spans="18:21" x14ac:dyDescent="0.25">
      <c r="R113" s="28" t="s">
        <v>89</v>
      </c>
      <c r="S113" s="28" t="s">
        <v>369</v>
      </c>
      <c r="T113" s="28" t="s">
        <v>368</v>
      </c>
      <c r="U113" s="29" t="s">
        <v>118</v>
      </c>
    </row>
    <row r="114" spans="18:21" x14ac:dyDescent="0.25">
      <c r="R114" s="28" t="s">
        <v>89</v>
      </c>
      <c r="S114" s="28" t="s">
        <v>370</v>
      </c>
      <c r="T114" s="28" t="s">
        <v>368</v>
      </c>
      <c r="U114" s="29" t="s">
        <v>118</v>
      </c>
    </row>
    <row r="115" spans="18:21" x14ac:dyDescent="0.25">
      <c r="R115" s="28" t="s">
        <v>89</v>
      </c>
      <c r="S115" s="28" t="s">
        <v>371</v>
      </c>
      <c r="T115" s="28" t="s">
        <v>368</v>
      </c>
      <c r="U115" s="29" t="s">
        <v>118</v>
      </c>
    </row>
    <row r="116" spans="18:21" x14ac:dyDescent="0.25">
      <c r="R116" s="28" t="s">
        <v>89</v>
      </c>
      <c r="S116" s="28" t="s">
        <v>372</v>
      </c>
      <c r="T116" s="28" t="s">
        <v>368</v>
      </c>
      <c r="U116" s="29" t="s">
        <v>118</v>
      </c>
    </row>
    <row r="117" spans="18:21" x14ac:dyDescent="0.25">
      <c r="R117" s="28" t="s">
        <v>89</v>
      </c>
      <c r="S117" s="28" t="s">
        <v>373</v>
      </c>
      <c r="T117" s="28" t="s">
        <v>368</v>
      </c>
      <c r="U117" s="29" t="s">
        <v>118</v>
      </c>
    </row>
    <row r="118" spans="18:21" x14ac:dyDescent="0.25">
      <c r="R118" s="28" t="s">
        <v>89</v>
      </c>
      <c r="S118" s="28" t="s">
        <v>374</v>
      </c>
      <c r="T118" s="28" t="s">
        <v>368</v>
      </c>
      <c r="U118" s="29" t="s">
        <v>118</v>
      </c>
    </row>
    <row r="119" spans="18:21" x14ac:dyDescent="0.25">
      <c r="R119" s="28" t="s">
        <v>89</v>
      </c>
      <c r="S119" s="28" t="s">
        <v>375</v>
      </c>
      <c r="T119" s="28" t="s">
        <v>368</v>
      </c>
      <c r="U119" s="29" t="s">
        <v>118</v>
      </c>
    </row>
    <row r="120" spans="18:21" x14ac:dyDescent="0.25">
      <c r="R120" s="28" t="s">
        <v>90</v>
      </c>
      <c r="S120" s="28" t="s">
        <v>367</v>
      </c>
      <c r="T120" s="28" t="s">
        <v>368</v>
      </c>
      <c r="U120" s="29" t="s">
        <v>118</v>
      </c>
    </row>
    <row r="121" spans="18:21" x14ac:dyDescent="0.25">
      <c r="R121" s="28" t="s">
        <v>90</v>
      </c>
      <c r="S121" s="28" t="s">
        <v>369</v>
      </c>
      <c r="T121" s="28" t="s">
        <v>368</v>
      </c>
      <c r="U121" s="29" t="s">
        <v>118</v>
      </c>
    </row>
    <row r="122" spans="18:21" x14ac:dyDescent="0.25">
      <c r="R122" s="28" t="s">
        <v>90</v>
      </c>
      <c r="S122" s="28" t="s">
        <v>370</v>
      </c>
      <c r="T122" s="28" t="s">
        <v>368</v>
      </c>
      <c r="U122" s="29" t="s">
        <v>118</v>
      </c>
    </row>
    <row r="123" spans="18:21" x14ac:dyDescent="0.25">
      <c r="R123" s="28" t="s">
        <v>90</v>
      </c>
      <c r="S123" s="28" t="s">
        <v>371</v>
      </c>
      <c r="T123" s="28" t="s">
        <v>368</v>
      </c>
      <c r="U123" s="29" t="s">
        <v>118</v>
      </c>
    </row>
    <row r="124" spans="18:21" x14ac:dyDescent="0.25">
      <c r="R124" s="28" t="s">
        <v>90</v>
      </c>
      <c r="S124" s="28" t="s">
        <v>372</v>
      </c>
      <c r="T124" s="28" t="s">
        <v>368</v>
      </c>
      <c r="U124" s="29" t="s">
        <v>118</v>
      </c>
    </row>
    <row r="125" spans="18:21" x14ac:dyDescent="0.25">
      <c r="R125" s="28" t="s">
        <v>90</v>
      </c>
      <c r="S125" s="28" t="s">
        <v>373</v>
      </c>
      <c r="T125" s="28" t="s">
        <v>368</v>
      </c>
      <c r="U125" s="29" t="s">
        <v>118</v>
      </c>
    </row>
    <row r="126" spans="18:21" x14ac:dyDescent="0.25">
      <c r="R126" s="28" t="s">
        <v>90</v>
      </c>
      <c r="S126" s="28" t="s">
        <v>374</v>
      </c>
      <c r="T126" s="28" t="s">
        <v>368</v>
      </c>
      <c r="U126" s="29" t="s">
        <v>118</v>
      </c>
    </row>
    <row r="127" spans="18:21" x14ac:dyDescent="0.25">
      <c r="R127" s="28" t="s">
        <v>90</v>
      </c>
      <c r="S127" s="28" t="s">
        <v>375</v>
      </c>
      <c r="T127" s="28" t="s">
        <v>368</v>
      </c>
      <c r="U127" s="29" t="s">
        <v>118</v>
      </c>
    </row>
    <row r="128" spans="18:21" x14ac:dyDescent="0.25">
      <c r="R128" s="28" t="s">
        <v>91</v>
      </c>
      <c r="S128" s="28" t="s">
        <v>367</v>
      </c>
      <c r="T128" s="28" t="s">
        <v>368</v>
      </c>
      <c r="U128" s="29" t="s">
        <v>118</v>
      </c>
    </row>
    <row r="129" spans="18:21" x14ac:dyDescent="0.25">
      <c r="R129" s="28" t="s">
        <v>91</v>
      </c>
      <c r="S129" s="28" t="s">
        <v>369</v>
      </c>
      <c r="T129" s="28" t="s">
        <v>368</v>
      </c>
      <c r="U129" s="29" t="s">
        <v>118</v>
      </c>
    </row>
    <row r="130" spans="18:21" x14ac:dyDescent="0.25">
      <c r="R130" s="28" t="s">
        <v>91</v>
      </c>
      <c r="S130" s="28" t="s">
        <v>370</v>
      </c>
      <c r="T130" s="28" t="s">
        <v>368</v>
      </c>
      <c r="U130" s="29" t="s">
        <v>118</v>
      </c>
    </row>
    <row r="131" spans="18:21" x14ac:dyDescent="0.25">
      <c r="R131" s="28" t="s">
        <v>91</v>
      </c>
      <c r="S131" s="28" t="s">
        <v>371</v>
      </c>
      <c r="T131" s="28" t="s">
        <v>368</v>
      </c>
      <c r="U131" s="29" t="s">
        <v>118</v>
      </c>
    </row>
    <row r="132" spans="18:21" x14ac:dyDescent="0.25">
      <c r="R132" s="28" t="s">
        <v>91</v>
      </c>
      <c r="S132" s="28" t="s">
        <v>372</v>
      </c>
      <c r="T132" s="28" t="s">
        <v>368</v>
      </c>
      <c r="U132" s="29" t="s">
        <v>118</v>
      </c>
    </row>
    <row r="133" spans="18:21" x14ac:dyDescent="0.25">
      <c r="R133" s="28" t="s">
        <v>91</v>
      </c>
      <c r="S133" s="28" t="s">
        <v>373</v>
      </c>
      <c r="T133" s="28" t="s">
        <v>368</v>
      </c>
      <c r="U133" s="29" t="s">
        <v>118</v>
      </c>
    </row>
    <row r="134" spans="18:21" x14ac:dyDescent="0.25">
      <c r="R134" s="28" t="s">
        <v>91</v>
      </c>
      <c r="S134" s="28" t="s">
        <v>374</v>
      </c>
      <c r="T134" s="28" t="s">
        <v>368</v>
      </c>
      <c r="U134" s="29" t="s">
        <v>118</v>
      </c>
    </row>
    <row r="135" spans="18:21" x14ac:dyDescent="0.25">
      <c r="R135" s="28" t="s">
        <v>91</v>
      </c>
      <c r="S135" s="28" t="s">
        <v>375</v>
      </c>
      <c r="T135" s="28" t="s">
        <v>368</v>
      </c>
      <c r="U135" s="29" t="s">
        <v>118</v>
      </c>
    </row>
    <row r="136" spans="18:21" x14ac:dyDescent="0.25">
      <c r="R136" s="28" t="s">
        <v>92</v>
      </c>
      <c r="S136" s="28" t="s">
        <v>367</v>
      </c>
      <c r="T136" s="28" t="s">
        <v>368</v>
      </c>
      <c r="U136" s="29" t="s">
        <v>118</v>
      </c>
    </row>
    <row r="137" spans="18:21" x14ac:dyDescent="0.25">
      <c r="R137" s="28" t="s">
        <v>92</v>
      </c>
      <c r="S137" s="28" t="s">
        <v>369</v>
      </c>
      <c r="T137" s="28" t="s">
        <v>368</v>
      </c>
      <c r="U137" s="29" t="s">
        <v>118</v>
      </c>
    </row>
    <row r="138" spans="18:21" x14ac:dyDescent="0.25">
      <c r="R138" s="28" t="s">
        <v>92</v>
      </c>
      <c r="S138" s="28" t="s">
        <v>370</v>
      </c>
      <c r="T138" s="28" t="s">
        <v>368</v>
      </c>
      <c r="U138" s="29" t="s">
        <v>118</v>
      </c>
    </row>
    <row r="139" spans="18:21" x14ac:dyDescent="0.25">
      <c r="R139" s="28" t="s">
        <v>92</v>
      </c>
      <c r="S139" s="28" t="s">
        <v>371</v>
      </c>
      <c r="T139" s="28" t="s">
        <v>368</v>
      </c>
      <c r="U139" s="29" t="s">
        <v>118</v>
      </c>
    </row>
    <row r="140" spans="18:21" x14ac:dyDescent="0.25">
      <c r="R140" s="28" t="s">
        <v>92</v>
      </c>
      <c r="S140" s="28" t="s">
        <v>372</v>
      </c>
      <c r="T140" s="28" t="s">
        <v>368</v>
      </c>
      <c r="U140" s="29" t="s">
        <v>118</v>
      </c>
    </row>
    <row r="141" spans="18:21" x14ac:dyDescent="0.25">
      <c r="R141" s="28" t="s">
        <v>92</v>
      </c>
      <c r="S141" s="28" t="s">
        <v>373</v>
      </c>
      <c r="T141" s="28" t="s">
        <v>368</v>
      </c>
      <c r="U141" s="29" t="s">
        <v>118</v>
      </c>
    </row>
    <row r="142" spans="18:21" x14ac:dyDescent="0.25">
      <c r="R142" s="28" t="s">
        <v>92</v>
      </c>
      <c r="S142" s="28" t="s">
        <v>374</v>
      </c>
      <c r="T142" s="28" t="s">
        <v>368</v>
      </c>
      <c r="U142" s="29" t="s">
        <v>118</v>
      </c>
    </row>
    <row r="143" spans="18:21" x14ac:dyDescent="0.25">
      <c r="R143" s="28" t="s">
        <v>92</v>
      </c>
      <c r="S143" s="28" t="s">
        <v>375</v>
      </c>
      <c r="T143" s="28" t="s">
        <v>368</v>
      </c>
      <c r="U143" s="29" t="s">
        <v>118</v>
      </c>
    </row>
    <row r="144" spans="18:21" x14ac:dyDescent="0.25">
      <c r="R144" s="28" t="s">
        <v>93</v>
      </c>
      <c r="S144" s="28" t="s">
        <v>367</v>
      </c>
      <c r="T144" s="28" t="s">
        <v>368</v>
      </c>
      <c r="U144" s="29" t="s">
        <v>118</v>
      </c>
    </row>
    <row r="145" spans="18:21" x14ac:dyDescent="0.25">
      <c r="R145" s="28" t="s">
        <v>93</v>
      </c>
      <c r="S145" s="28" t="s">
        <v>369</v>
      </c>
      <c r="T145" s="28" t="s">
        <v>368</v>
      </c>
      <c r="U145" s="29" t="s">
        <v>118</v>
      </c>
    </row>
    <row r="146" spans="18:21" x14ac:dyDescent="0.25">
      <c r="R146" s="28" t="s">
        <v>93</v>
      </c>
      <c r="S146" s="28" t="s">
        <v>370</v>
      </c>
      <c r="T146" s="28" t="s">
        <v>368</v>
      </c>
      <c r="U146" s="29" t="s">
        <v>118</v>
      </c>
    </row>
    <row r="147" spans="18:21" x14ac:dyDescent="0.25">
      <c r="R147" s="28" t="s">
        <v>93</v>
      </c>
      <c r="S147" s="28" t="s">
        <v>371</v>
      </c>
      <c r="T147" s="28" t="s">
        <v>368</v>
      </c>
      <c r="U147" s="29" t="s">
        <v>118</v>
      </c>
    </row>
    <row r="148" spans="18:21" x14ac:dyDescent="0.25">
      <c r="R148" s="28" t="s">
        <v>93</v>
      </c>
      <c r="S148" s="28" t="s">
        <v>372</v>
      </c>
      <c r="T148" s="28" t="s">
        <v>368</v>
      </c>
      <c r="U148" s="29" t="s">
        <v>118</v>
      </c>
    </row>
    <row r="149" spans="18:21" x14ac:dyDescent="0.25">
      <c r="R149" s="28" t="s">
        <v>93</v>
      </c>
      <c r="S149" s="28" t="s">
        <v>373</v>
      </c>
      <c r="T149" s="28" t="s">
        <v>368</v>
      </c>
      <c r="U149" s="29" t="s">
        <v>118</v>
      </c>
    </row>
    <row r="150" spans="18:21" x14ac:dyDescent="0.25">
      <c r="R150" s="28" t="s">
        <v>93</v>
      </c>
      <c r="S150" s="28" t="s">
        <v>374</v>
      </c>
      <c r="T150" s="28" t="s">
        <v>368</v>
      </c>
      <c r="U150" s="29" t="s">
        <v>118</v>
      </c>
    </row>
    <row r="151" spans="18:21" x14ac:dyDescent="0.25">
      <c r="R151" s="28" t="s">
        <v>93</v>
      </c>
      <c r="S151" s="28" t="s">
        <v>375</v>
      </c>
      <c r="T151" s="28" t="s">
        <v>368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122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112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119</v>
      </c>
      <c r="C6">
        <v>50</v>
      </c>
      <c r="D6" t="s">
        <v>110</v>
      </c>
      <c r="E6" t="s">
        <v>111</v>
      </c>
      <c r="F6">
        <v>0.22600000000000001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113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96</v>
      </c>
      <c r="E10" t="s">
        <v>12</v>
      </c>
      <c r="F10">
        <v>7.2999999999999995E-2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123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114</v>
      </c>
      <c r="E15" t="s">
        <v>12</v>
      </c>
      <c r="F15">
        <v>0.5</v>
      </c>
      <c r="G15" t="s">
        <v>13</v>
      </c>
    </row>
    <row r="16" spans="1:7" x14ac:dyDescent="0.25">
      <c r="A16">
        <v>1</v>
      </c>
      <c r="B16" t="s">
        <v>119</v>
      </c>
      <c r="C16">
        <v>150</v>
      </c>
      <c r="D16" t="s">
        <v>124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125</v>
      </c>
      <c r="C17">
        <v>10</v>
      </c>
      <c r="D17" t="s">
        <v>120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125</v>
      </c>
      <c r="C18">
        <v>20</v>
      </c>
      <c r="D18" t="s">
        <v>126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125</v>
      </c>
      <c r="C19">
        <v>30</v>
      </c>
      <c r="D19" t="s">
        <v>127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125</v>
      </c>
      <c r="C20">
        <v>40</v>
      </c>
      <c r="D20" t="s">
        <v>112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125</v>
      </c>
      <c r="C21">
        <v>50</v>
      </c>
      <c r="D21" t="s">
        <v>110</v>
      </c>
      <c r="E21" t="s">
        <v>111</v>
      </c>
      <c r="F21">
        <v>0.27</v>
      </c>
      <c r="G21" t="s">
        <v>13</v>
      </c>
    </row>
    <row r="22" spans="1:7" x14ac:dyDescent="0.25">
      <c r="A22">
        <v>2</v>
      </c>
      <c r="B22" t="s">
        <v>125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125</v>
      </c>
      <c r="C23">
        <v>70</v>
      </c>
      <c r="D23" t="s">
        <v>113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125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125</v>
      </c>
      <c r="C25">
        <v>90</v>
      </c>
      <c r="D25" t="s">
        <v>96</v>
      </c>
      <c r="E25" t="s">
        <v>12</v>
      </c>
      <c r="F25">
        <v>8.4000000000000005E-2</v>
      </c>
      <c r="G25" t="s">
        <v>13</v>
      </c>
    </row>
    <row r="26" spans="1:7" x14ac:dyDescent="0.25">
      <c r="A26">
        <v>2</v>
      </c>
      <c r="B26" t="s">
        <v>125</v>
      </c>
      <c r="C26">
        <v>100</v>
      </c>
      <c r="D26" t="s">
        <v>123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125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125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125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125</v>
      </c>
      <c r="C30">
        <v>140</v>
      </c>
      <c r="D30" t="s">
        <v>114</v>
      </c>
      <c r="E30" t="s">
        <v>12</v>
      </c>
      <c r="F30">
        <v>0.58099999999999996</v>
      </c>
      <c r="G30" t="s">
        <v>13</v>
      </c>
    </row>
    <row r="31" spans="1:7" x14ac:dyDescent="0.25">
      <c r="A31">
        <v>2</v>
      </c>
      <c r="B31" t="s">
        <v>125</v>
      </c>
      <c r="C31">
        <v>150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129</v>
      </c>
      <c r="C32">
        <v>10</v>
      </c>
      <c r="D32" t="s">
        <v>120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129</v>
      </c>
      <c r="C33">
        <v>20</v>
      </c>
      <c r="D33" t="s">
        <v>130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129</v>
      </c>
      <c r="C34">
        <v>30</v>
      </c>
      <c r="D34" t="s">
        <v>131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129</v>
      </c>
      <c r="C35">
        <v>40</v>
      </c>
      <c r="D35" t="s">
        <v>112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129</v>
      </c>
      <c r="C36">
        <v>50</v>
      </c>
      <c r="D36" t="s">
        <v>110</v>
      </c>
      <c r="E36" t="s">
        <v>111</v>
      </c>
      <c r="F36">
        <v>0.313</v>
      </c>
      <c r="G36" t="s">
        <v>13</v>
      </c>
    </row>
    <row r="37" spans="1:7" x14ac:dyDescent="0.25">
      <c r="A37">
        <v>3</v>
      </c>
      <c r="B37" t="s">
        <v>129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129</v>
      </c>
      <c r="C38">
        <v>70</v>
      </c>
      <c r="D38" t="s">
        <v>113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129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129</v>
      </c>
      <c r="C40">
        <v>90</v>
      </c>
      <c r="D40" t="s">
        <v>96</v>
      </c>
      <c r="E40" t="s">
        <v>12</v>
      </c>
      <c r="F40">
        <v>9.4E-2</v>
      </c>
      <c r="G40" t="s">
        <v>13</v>
      </c>
    </row>
    <row r="41" spans="1:7" x14ac:dyDescent="0.25">
      <c r="A41">
        <v>3</v>
      </c>
      <c r="B41" t="s">
        <v>129</v>
      </c>
      <c r="C41">
        <v>100</v>
      </c>
      <c r="D41" t="s">
        <v>123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129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129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129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129</v>
      </c>
      <c r="C45">
        <v>140</v>
      </c>
      <c r="D45" t="s">
        <v>114</v>
      </c>
      <c r="E45" t="s">
        <v>12</v>
      </c>
      <c r="F45">
        <v>0.66200000000000003</v>
      </c>
      <c r="G45" t="s">
        <v>13</v>
      </c>
    </row>
    <row r="46" spans="1:7" x14ac:dyDescent="0.25">
      <c r="A46">
        <v>3</v>
      </c>
      <c r="B46" t="s">
        <v>129</v>
      </c>
      <c r="C46">
        <v>150</v>
      </c>
      <c r="D46" t="s">
        <v>132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133</v>
      </c>
      <c r="C47">
        <v>10</v>
      </c>
      <c r="D47" t="s">
        <v>120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133</v>
      </c>
      <c r="C48">
        <v>20</v>
      </c>
      <c r="D48" t="s">
        <v>134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133</v>
      </c>
      <c r="C49">
        <v>30</v>
      </c>
      <c r="D49" t="s">
        <v>135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133</v>
      </c>
      <c r="C50">
        <v>40</v>
      </c>
      <c r="D50" t="s">
        <v>112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133</v>
      </c>
      <c r="C51">
        <v>50</v>
      </c>
      <c r="D51" t="s">
        <v>110</v>
      </c>
      <c r="E51" t="s">
        <v>111</v>
      </c>
      <c r="F51">
        <v>0.35699999999999998</v>
      </c>
      <c r="G51" t="s">
        <v>13</v>
      </c>
    </row>
    <row r="52" spans="1:7" x14ac:dyDescent="0.25">
      <c r="A52">
        <v>4</v>
      </c>
      <c r="B52" t="s">
        <v>133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133</v>
      </c>
      <c r="C53">
        <v>70</v>
      </c>
      <c r="D53" t="s">
        <v>113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133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133</v>
      </c>
      <c r="C55">
        <v>90</v>
      </c>
      <c r="D55" t="s">
        <v>96</v>
      </c>
      <c r="E55" t="s">
        <v>12</v>
      </c>
      <c r="F55">
        <v>0.105</v>
      </c>
      <c r="G55" t="s">
        <v>13</v>
      </c>
    </row>
    <row r="56" spans="1:7" x14ac:dyDescent="0.25">
      <c r="A56">
        <v>4</v>
      </c>
      <c r="B56" t="s">
        <v>133</v>
      </c>
      <c r="C56">
        <v>100</v>
      </c>
      <c r="D56" t="s">
        <v>123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133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133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133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133</v>
      </c>
      <c r="C60">
        <v>140</v>
      </c>
      <c r="D60" t="s">
        <v>114</v>
      </c>
      <c r="E60" t="s">
        <v>12</v>
      </c>
      <c r="F60">
        <v>0.74299999999999999</v>
      </c>
      <c r="G60" t="s">
        <v>13</v>
      </c>
    </row>
    <row r="61" spans="1:7" x14ac:dyDescent="0.25">
      <c r="A61">
        <v>4</v>
      </c>
      <c r="B61" t="s">
        <v>133</v>
      </c>
      <c r="C61">
        <v>150</v>
      </c>
      <c r="D61" t="s">
        <v>136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137</v>
      </c>
      <c r="C62">
        <v>10</v>
      </c>
      <c r="D62" t="s">
        <v>120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137</v>
      </c>
      <c r="C63">
        <v>20</v>
      </c>
      <c r="D63" t="s">
        <v>138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137</v>
      </c>
      <c r="C64">
        <v>30</v>
      </c>
      <c r="D64" t="s">
        <v>139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137</v>
      </c>
      <c r="C65">
        <v>40</v>
      </c>
      <c r="D65" t="s">
        <v>112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137</v>
      </c>
      <c r="C66">
        <v>50</v>
      </c>
      <c r="D66" t="s">
        <v>110</v>
      </c>
      <c r="E66" t="s">
        <v>111</v>
      </c>
      <c r="F66">
        <v>0.44500000000000001</v>
      </c>
      <c r="G66" t="s">
        <v>13</v>
      </c>
    </row>
    <row r="67" spans="1:7" x14ac:dyDescent="0.25">
      <c r="A67">
        <v>5</v>
      </c>
      <c r="B67" t="s">
        <v>137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137</v>
      </c>
      <c r="C68">
        <v>70</v>
      </c>
      <c r="D68" t="s">
        <v>113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137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137</v>
      </c>
      <c r="C70">
        <v>90</v>
      </c>
      <c r="D70" t="s">
        <v>96</v>
      </c>
      <c r="E70" t="s">
        <v>12</v>
      </c>
      <c r="F70">
        <v>0.126</v>
      </c>
      <c r="G70" t="s">
        <v>13</v>
      </c>
    </row>
    <row r="71" spans="1:7" x14ac:dyDescent="0.25">
      <c r="A71">
        <v>5</v>
      </c>
      <c r="B71" t="s">
        <v>137</v>
      </c>
      <c r="C71">
        <v>100</v>
      </c>
      <c r="D71" t="s">
        <v>123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137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137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137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137</v>
      </c>
      <c r="C75">
        <v>140</v>
      </c>
      <c r="D75" t="s">
        <v>114</v>
      </c>
      <c r="E75" t="s">
        <v>12</v>
      </c>
      <c r="F75">
        <v>0.90500000000000003</v>
      </c>
      <c r="G75" t="s">
        <v>13</v>
      </c>
    </row>
    <row r="76" spans="1:7" x14ac:dyDescent="0.25">
      <c r="A76">
        <v>5</v>
      </c>
      <c r="B76" t="s">
        <v>137</v>
      </c>
      <c r="C76">
        <v>150</v>
      </c>
      <c r="D76" t="s">
        <v>140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141</v>
      </c>
      <c r="C77">
        <v>10</v>
      </c>
      <c r="D77" t="s">
        <v>120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141</v>
      </c>
      <c r="C78">
        <v>20</v>
      </c>
      <c r="D78" t="s">
        <v>142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141</v>
      </c>
      <c r="C79">
        <v>30</v>
      </c>
      <c r="D79" t="s">
        <v>143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141</v>
      </c>
      <c r="C80">
        <v>40</v>
      </c>
      <c r="D80" t="s">
        <v>112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141</v>
      </c>
      <c r="C81">
        <v>50</v>
      </c>
      <c r="D81" t="s">
        <v>110</v>
      </c>
      <c r="E81" t="s">
        <v>111</v>
      </c>
      <c r="F81">
        <v>0.48799999999999999</v>
      </c>
      <c r="G81" t="s">
        <v>13</v>
      </c>
    </row>
    <row r="82" spans="1:7" x14ac:dyDescent="0.25">
      <c r="A82">
        <v>6</v>
      </c>
      <c r="B82" t="s">
        <v>141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141</v>
      </c>
      <c r="C83">
        <v>70</v>
      </c>
      <c r="D83" t="s">
        <v>113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141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141</v>
      </c>
      <c r="C85">
        <v>90</v>
      </c>
      <c r="D85" t="s">
        <v>96</v>
      </c>
      <c r="E85" t="s">
        <v>12</v>
      </c>
      <c r="F85">
        <v>0.13700000000000001</v>
      </c>
      <c r="G85" t="s">
        <v>13</v>
      </c>
    </row>
    <row r="86" spans="1:7" x14ac:dyDescent="0.25">
      <c r="A86">
        <v>6</v>
      </c>
      <c r="B86" t="s">
        <v>141</v>
      </c>
      <c r="C86">
        <v>100</v>
      </c>
      <c r="D86" t="s">
        <v>123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141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141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141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141</v>
      </c>
      <c r="C90">
        <v>140</v>
      </c>
      <c r="D90" t="s">
        <v>114</v>
      </c>
      <c r="E90" t="s">
        <v>12</v>
      </c>
      <c r="F90">
        <v>0.98599999999999999</v>
      </c>
      <c r="G90" t="s">
        <v>13</v>
      </c>
    </row>
    <row r="91" spans="1:7" x14ac:dyDescent="0.25">
      <c r="A91">
        <v>6</v>
      </c>
      <c r="B91" t="s">
        <v>141</v>
      </c>
      <c r="C91">
        <v>150</v>
      </c>
      <c r="D91" t="s">
        <v>144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145</v>
      </c>
      <c r="C92">
        <v>10</v>
      </c>
      <c r="D92" t="s">
        <v>120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145</v>
      </c>
      <c r="C93">
        <v>20</v>
      </c>
      <c r="D93" t="s">
        <v>146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145</v>
      </c>
      <c r="C94">
        <v>30</v>
      </c>
      <c r="D94" t="s">
        <v>147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145</v>
      </c>
      <c r="C95">
        <v>40</v>
      </c>
      <c r="D95" t="s">
        <v>112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145</v>
      </c>
      <c r="C96">
        <v>50</v>
      </c>
      <c r="D96" t="s">
        <v>110</v>
      </c>
      <c r="E96" t="s">
        <v>111</v>
      </c>
      <c r="F96">
        <v>0.53200000000000003</v>
      </c>
      <c r="G96" t="s">
        <v>13</v>
      </c>
    </row>
    <row r="97" spans="1:7" x14ac:dyDescent="0.25">
      <c r="A97">
        <v>7</v>
      </c>
      <c r="B97" t="s">
        <v>145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145</v>
      </c>
      <c r="C98">
        <v>70</v>
      </c>
      <c r="D98" t="s">
        <v>113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145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145</v>
      </c>
      <c r="C100">
        <v>90</v>
      </c>
      <c r="D100" t="s">
        <v>96</v>
      </c>
      <c r="E100" t="s">
        <v>12</v>
      </c>
      <c r="F100">
        <v>0.14799999999999999</v>
      </c>
      <c r="G100" t="s">
        <v>13</v>
      </c>
    </row>
    <row r="101" spans="1:7" x14ac:dyDescent="0.25">
      <c r="A101">
        <v>7</v>
      </c>
      <c r="B101" t="s">
        <v>145</v>
      </c>
      <c r="C101">
        <v>100</v>
      </c>
      <c r="D101" t="s">
        <v>123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145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145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145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145</v>
      </c>
      <c r="C105">
        <v>140</v>
      </c>
      <c r="D105" t="s">
        <v>114</v>
      </c>
      <c r="E105" t="s">
        <v>12</v>
      </c>
      <c r="F105">
        <v>1.0669999999999999</v>
      </c>
      <c r="G105" t="s">
        <v>13</v>
      </c>
    </row>
    <row r="106" spans="1:7" x14ac:dyDescent="0.25">
      <c r="A106">
        <v>7</v>
      </c>
      <c r="B106" t="s">
        <v>145</v>
      </c>
      <c r="C106">
        <v>150</v>
      </c>
      <c r="D106" t="s">
        <v>148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120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149</v>
      </c>
      <c r="C108">
        <v>20</v>
      </c>
      <c r="D108" t="s">
        <v>150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151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112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149</v>
      </c>
      <c r="C111">
        <v>50</v>
      </c>
      <c r="D111" t="s">
        <v>110</v>
      </c>
      <c r="E111" t="s">
        <v>111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149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149</v>
      </c>
      <c r="C113">
        <v>70</v>
      </c>
      <c r="D113" t="s">
        <v>113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149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149</v>
      </c>
      <c r="C115">
        <v>90</v>
      </c>
      <c r="D115" t="s">
        <v>96</v>
      </c>
      <c r="E115" t="s">
        <v>12</v>
      </c>
      <c r="F115">
        <v>7.2999999999999995E-2</v>
      </c>
      <c r="G115" t="s">
        <v>13</v>
      </c>
    </row>
    <row r="116" spans="1:7" x14ac:dyDescent="0.25">
      <c r="A116">
        <v>8</v>
      </c>
      <c r="B116" t="s">
        <v>149</v>
      </c>
      <c r="C116">
        <v>100</v>
      </c>
      <c r="D116" t="s">
        <v>123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149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149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149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149</v>
      </c>
      <c r="C120">
        <v>140</v>
      </c>
      <c r="D120" t="s">
        <v>114</v>
      </c>
      <c r="E120" t="s">
        <v>12</v>
      </c>
      <c r="F120">
        <v>0.5</v>
      </c>
      <c r="G120" t="s">
        <v>13</v>
      </c>
    </row>
    <row r="121" spans="1:7" x14ac:dyDescent="0.25">
      <c r="A121">
        <v>8</v>
      </c>
      <c r="B121" t="s">
        <v>149</v>
      </c>
      <c r="C121">
        <v>150</v>
      </c>
      <c r="D121" t="s">
        <v>152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120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153</v>
      </c>
      <c r="C123">
        <v>20</v>
      </c>
      <c r="D123" t="s">
        <v>154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155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112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153</v>
      </c>
      <c r="C126">
        <v>50</v>
      </c>
      <c r="D126" t="s">
        <v>110</v>
      </c>
      <c r="E126" t="s">
        <v>111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153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153</v>
      </c>
      <c r="C128">
        <v>70</v>
      </c>
      <c r="D128" t="s">
        <v>113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153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153</v>
      </c>
      <c r="C130">
        <v>90</v>
      </c>
      <c r="D130" t="s">
        <v>96</v>
      </c>
      <c r="E130" t="s">
        <v>12</v>
      </c>
      <c r="F130">
        <v>8.4000000000000005E-2</v>
      </c>
      <c r="G130" t="s">
        <v>13</v>
      </c>
    </row>
    <row r="131" spans="1:7" x14ac:dyDescent="0.25">
      <c r="A131">
        <v>9</v>
      </c>
      <c r="B131" t="s">
        <v>153</v>
      </c>
      <c r="C131">
        <v>100</v>
      </c>
      <c r="D131" t="s">
        <v>123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153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153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153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153</v>
      </c>
      <c r="C135">
        <v>140</v>
      </c>
      <c r="D135" t="s">
        <v>114</v>
      </c>
      <c r="E135" t="s">
        <v>12</v>
      </c>
      <c r="F135">
        <v>0.58099999999999996</v>
      </c>
      <c r="G135" t="s">
        <v>13</v>
      </c>
    </row>
    <row r="136" spans="1:7" x14ac:dyDescent="0.25">
      <c r="A136">
        <v>9</v>
      </c>
      <c r="B136" t="s">
        <v>153</v>
      </c>
      <c r="C136">
        <v>150</v>
      </c>
      <c r="D136" t="s">
        <v>156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157</v>
      </c>
      <c r="C137">
        <v>10</v>
      </c>
      <c r="D137" t="s">
        <v>120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157</v>
      </c>
      <c r="C138">
        <v>20</v>
      </c>
      <c r="D138" t="s">
        <v>158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157</v>
      </c>
      <c r="C139">
        <v>30</v>
      </c>
      <c r="D139" t="s">
        <v>159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157</v>
      </c>
      <c r="C140">
        <v>40</v>
      </c>
      <c r="D140" t="s">
        <v>112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157</v>
      </c>
      <c r="C141">
        <v>50</v>
      </c>
      <c r="D141" t="s">
        <v>110</v>
      </c>
      <c r="E141" t="s">
        <v>111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157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157</v>
      </c>
      <c r="C143">
        <v>70</v>
      </c>
      <c r="D143" t="s">
        <v>113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157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157</v>
      </c>
      <c r="C145">
        <v>90</v>
      </c>
      <c r="D145" t="s">
        <v>96</v>
      </c>
      <c r="E145" t="s">
        <v>12</v>
      </c>
      <c r="F145">
        <v>9.4E-2</v>
      </c>
      <c r="G145" t="s">
        <v>13</v>
      </c>
    </row>
    <row r="146" spans="1:7" x14ac:dyDescent="0.25">
      <c r="A146">
        <v>10</v>
      </c>
      <c r="B146" t="s">
        <v>157</v>
      </c>
      <c r="C146">
        <v>100</v>
      </c>
      <c r="D146" t="s">
        <v>123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157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157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157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157</v>
      </c>
      <c r="C150">
        <v>140</v>
      </c>
      <c r="D150" t="s">
        <v>114</v>
      </c>
      <c r="E150" t="s">
        <v>12</v>
      </c>
      <c r="F150">
        <v>0.66200000000000003</v>
      </c>
      <c r="G150" t="s">
        <v>13</v>
      </c>
    </row>
    <row r="151" spans="1:7" x14ac:dyDescent="0.25">
      <c r="A151">
        <v>10</v>
      </c>
      <c r="B151" t="s">
        <v>157</v>
      </c>
      <c r="C151">
        <v>150</v>
      </c>
      <c r="D151" t="s">
        <v>160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161</v>
      </c>
      <c r="C152">
        <v>10</v>
      </c>
      <c r="D152" t="s">
        <v>120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161</v>
      </c>
      <c r="C153">
        <v>20</v>
      </c>
      <c r="D153" t="s">
        <v>162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161</v>
      </c>
      <c r="C154">
        <v>30</v>
      </c>
      <c r="D154" t="s">
        <v>163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161</v>
      </c>
      <c r="C155">
        <v>40</v>
      </c>
      <c r="D155" t="s">
        <v>112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161</v>
      </c>
      <c r="C156">
        <v>50</v>
      </c>
      <c r="D156" t="s">
        <v>110</v>
      </c>
      <c r="E156" t="s">
        <v>111</v>
      </c>
      <c r="F156">
        <v>0.372</v>
      </c>
      <c r="G156" t="s">
        <v>13</v>
      </c>
    </row>
    <row r="157" spans="1:7" x14ac:dyDescent="0.25">
      <c r="A157">
        <v>11</v>
      </c>
      <c r="B157" t="s">
        <v>161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161</v>
      </c>
      <c r="C158">
        <v>70</v>
      </c>
      <c r="D158" t="s">
        <v>113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161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161</v>
      </c>
      <c r="C160">
        <v>90</v>
      </c>
      <c r="D160" t="s">
        <v>96</v>
      </c>
      <c r="E160" t="s">
        <v>12</v>
      </c>
      <c r="F160">
        <v>0.105</v>
      </c>
      <c r="G160" t="s">
        <v>13</v>
      </c>
    </row>
    <row r="161" spans="1:7" x14ac:dyDescent="0.25">
      <c r="A161">
        <v>11</v>
      </c>
      <c r="B161" t="s">
        <v>161</v>
      </c>
      <c r="C161">
        <v>100</v>
      </c>
      <c r="D161" t="s">
        <v>123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161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161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161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161</v>
      </c>
      <c r="C165">
        <v>140</v>
      </c>
      <c r="D165" t="s">
        <v>114</v>
      </c>
      <c r="E165" t="s">
        <v>12</v>
      </c>
      <c r="F165">
        <v>0.74299999999999999</v>
      </c>
      <c r="G165" t="s">
        <v>13</v>
      </c>
    </row>
    <row r="166" spans="1:7" x14ac:dyDescent="0.25">
      <c r="A166">
        <v>11</v>
      </c>
      <c r="B166" t="s">
        <v>161</v>
      </c>
      <c r="C166">
        <v>150</v>
      </c>
      <c r="D166" t="s">
        <v>164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165</v>
      </c>
      <c r="C167">
        <v>10</v>
      </c>
      <c r="D167" t="s">
        <v>120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165</v>
      </c>
      <c r="C168">
        <v>20</v>
      </c>
      <c r="D168" t="s">
        <v>166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165</v>
      </c>
      <c r="C169">
        <v>30</v>
      </c>
      <c r="D169" t="s">
        <v>167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165</v>
      </c>
      <c r="C170">
        <v>40</v>
      </c>
      <c r="D170" t="s">
        <v>112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165</v>
      </c>
      <c r="C171">
        <v>50</v>
      </c>
      <c r="D171" t="s">
        <v>110</v>
      </c>
      <c r="E171" t="s">
        <v>111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165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165</v>
      </c>
      <c r="C173">
        <v>70</v>
      </c>
      <c r="D173" t="s">
        <v>113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165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165</v>
      </c>
      <c r="C175">
        <v>90</v>
      </c>
      <c r="D175" t="s">
        <v>96</v>
      </c>
      <c r="E175" t="s">
        <v>12</v>
      </c>
      <c r="F175">
        <v>0.126</v>
      </c>
      <c r="G175" t="s">
        <v>13</v>
      </c>
    </row>
    <row r="176" spans="1:7" x14ac:dyDescent="0.25">
      <c r="A176">
        <v>12</v>
      </c>
      <c r="B176" t="s">
        <v>165</v>
      </c>
      <c r="C176">
        <v>100</v>
      </c>
      <c r="D176" t="s">
        <v>123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165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165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165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165</v>
      </c>
      <c r="C180">
        <v>140</v>
      </c>
      <c r="D180" t="s">
        <v>114</v>
      </c>
      <c r="E180" t="s">
        <v>12</v>
      </c>
      <c r="F180">
        <v>0.90500000000000003</v>
      </c>
      <c r="G180" t="s">
        <v>13</v>
      </c>
    </row>
    <row r="181" spans="1:7" x14ac:dyDescent="0.25">
      <c r="A181">
        <v>12</v>
      </c>
      <c r="B181" t="s">
        <v>165</v>
      </c>
      <c r="C181">
        <v>150</v>
      </c>
      <c r="D181" t="s">
        <v>168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169</v>
      </c>
      <c r="C182">
        <v>10</v>
      </c>
      <c r="D182" t="s">
        <v>120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169</v>
      </c>
      <c r="C183">
        <v>20</v>
      </c>
      <c r="D183" t="s">
        <v>170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169</v>
      </c>
      <c r="C184">
        <v>30</v>
      </c>
      <c r="D184" t="s">
        <v>171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169</v>
      </c>
      <c r="C185">
        <v>40</v>
      </c>
      <c r="D185" t="s">
        <v>112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169</v>
      </c>
      <c r="C186">
        <v>50</v>
      </c>
      <c r="D186" t="s">
        <v>110</v>
      </c>
      <c r="E186" t="s">
        <v>111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169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169</v>
      </c>
      <c r="C188">
        <v>70</v>
      </c>
      <c r="D188" t="s">
        <v>113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169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169</v>
      </c>
      <c r="C190">
        <v>90</v>
      </c>
      <c r="D190" t="s">
        <v>96</v>
      </c>
      <c r="E190" t="s">
        <v>12</v>
      </c>
      <c r="F190">
        <v>0.13700000000000001</v>
      </c>
      <c r="G190" t="s">
        <v>13</v>
      </c>
    </row>
    <row r="191" spans="1:7" x14ac:dyDescent="0.25">
      <c r="A191">
        <v>13</v>
      </c>
      <c r="B191" t="s">
        <v>169</v>
      </c>
      <c r="C191">
        <v>100</v>
      </c>
      <c r="D191" t="s">
        <v>123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169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169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169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169</v>
      </c>
      <c r="C195">
        <v>140</v>
      </c>
      <c r="D195" t="s">
        <v>114</v>
      </c>
      <c r="E195" t="s">
        <v>12</v>
      </c>
      <c r="F195">
        <v>0.98599999999999999</v>
      </c>
      <c r="G195" t="s">
        <v>13</v>
      </c>
    </row>
    <row r="196" spans="1:7" x14ac:dyDescent="0.25">
      <c r="A196">
        <v>13</v>
      </c>
      <c r="B196" t="s">
        <v>169</v>
      </c>
      <c r="C196">
        <v>150</v>
      </c>
      <c r="D196" t="s">
        <v>172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173</v>
      </c>
      <c r="C197">
        <v>10</v>
      </c>
      <c r="D197" t="s">
        <v>120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173</v>
      </c>
      <c r="C198">
        <v>20</v>
      </c>
      <c r="D198" t="s">
        <v>174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173</v>
      </c>
      <c r="C199">
        <v>30</v>
      </c>
      <c r="D199" t="s">
        <v>175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173</v>
      </c>
      <c r="C200">
        <v>40</v>
      </c>
      <c r="D200" t="s">
        <v>112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173</v>
      </c>
      <c r="C201">
        <v>50</v>
      </c>
      <c r="D201" t="s">
        <v>110</v>
      </c>
      <c r="E201" t="s">
        <v>111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173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173</v>
      </c>
      <c r="C203">
        <v>70</v>
      </c>
      <c r="D203" t="s">
        <v>113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173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173</v>
      </c>
      <c r="C205">
        <v>90</v>
      </c>
      <c r="D205" t="s">
        <v>96</v>
      </c>
      <c r="E205" t="s">
        <v>12</v>
      </c>
      <c r="F205">
        <v>0.14799999999999999</v>
      </c>
      <c r="G205" t="s">
        <v>13</v>
      </c>
    </row>
    <row r="206" spans="1:7" x14ac:dyDescent="0.25">
      <c r="A206">
        <v>14</v>
      </c>
      <c r="B206" t="s">
        <v>173</v>
      </c>
      <c r="C206">
        <v>100</v>
      </c>
      <c r="D206" t="s">
        <v>123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173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173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173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173</v>
      </c>
      <c r="C210">
        <v>140</v>
      </c>
      <c r="D210" t="s">
        <v>114</v>
      </c>
      <c r="E210" t="s">
        <v>12</v>
      </c>
      <c r="F210">
        <v>1.0669999999999999</v>
      </c>
      <c r="G210" t="s">
        <v>13</v>
      </c>
    </row>
    <row r="211" spans="1:7" x14ac:dyDescent="0.25">
      <c r="A211">
        <v>14</v>
      </c>
      <c r="B211" t="s">
        <v>173</v>
      </c>
      <c r="C211">
        <v>150</v>
      </c>
      <c r="D211" t="s">
        <v>176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177</v>
      </c>
      <c r="C212">
        <v>10</v>
      </c>
      <c r="D212" t="s">
        <v>120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177</v>
      </c>
      <c r="C213">
        <v>20</v>
      </c>
      <c r="D213" t="s">
        <v>178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177</v>
      </c>
      <c r="C214">
        <v>30</v>
      </c>
      <c r="D214" t="s">
        <v>179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177</v>
      </c>
      <c r="C215">
        <v>40</v>
      </c>
      <c r="D215" t="s">
        <v>112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177</v>
      </c>
      <c r="C216">
        <v>50</v>
      </c>
      <c r="D216" t="s">
        <v>110</v>
      </c>
      <c r="E216" t="s">
        <v>111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177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177</v>
      </c>
      <c r="C218">
        <v>70</v>
      </c>
      <c r="D218" t="s">
        <v>113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177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177</v>
      </c>
      <c r="C220">
        <v>90</v>
      </c>
      <c r="D220" t="s">
        <v>96</v>
      </c>
      <c r="E220" t="s">
        <v>12</v>
      </c>
      <c r="F220">
        <v>7.2999999999999995E-2</v>
      </c>
      <c r="G220" t="s">
        <v>13</v>
      </c>
    </row>
    <row r="221" spans="1:7" x14ac:dyDescent="0.25">
      <c r="A221">
        <v>15</v>
      </c>
      <c r="B221" t="s">
        <v>177</v>
      </c>
      <c r="C221">
        <v>100</v>
      </c>
      <c r="D221" t="s">
        <v>123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177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177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177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177</v>
      </c>
      <c r="C225">
        <v>140</v>
      </c>
      <c r="D225" t="s">
        <v>114</v>
      </c>
      <c r="E225" t="s">
        <v>12</v>
      </c>
      <c r="F225">
        <v>0.5</v>
      </c>
      <c r="G225" t="s">
        <v>13</v>
      </c>
    </row>
    <row r="226" spans="1:7" x14ac:dyDescent="0.25">
      <c r="A226">
        <v>15</v>
      </c>
      <c r="B226" t="s">
        <v>177</v>
      </c>
      <c r="C226">
        <v>150</v>
      </c>
      <c r="D226" t="s">
        <v>180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181</v>
      </c>
      <c r="C227">
        <v>10</v>
      </c>
      <c r="D227" t="s">
        <v>120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181</v>
      </c>
      <c r="C228">
        <v>20</v>
      </c>
      <c r="D228" t="s">
        <v>182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181</v>
      </c>
      <c r="C229">
        <v>30</v>
      </c>
      <c r="D229" t="s">
        <v>183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181</v>
      </c>
      <c r="C230">
        <v>40</v>
      </c>
      <c r="D230" t="s">
        <v>112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181</v>
      </c>
      <c r="C231">
        <v>50</v>
      </c>
      <c r="D231" t="s">
        <v>110</v>
      </c>
      <c r="E231" t="s">
        <v>111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181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181</v>
      </c>
      <c r="C233">
        <v>70</v>
      </c>
      <c r="D233" t="s">
        <v>113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181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181</v>
      </c>
      <c r="C235">
        <v>90</v>
      </c>
      <c r="D235" t="s">
        <v>96</v>
      </c>
      <c r="E235" t="s">
        <v>12</v>
      </c>
      <c r="F235">
        <v>8.4000000000000005E-2</v>
      </c>
      <c r="G235" t="s">
        <v>13</v>
      </c>
    </row>
    <row r="236" spans="1:7" x14ac:dyDescent="0.25">
      <c r="A236">
        <v>16</v>
      </c>
      <c r="B236" t="s">
        <v>181</v>
      </c>
      <c r="C236">
        <v>100</v>
      </c>
      <c r="D236" t="s">
        <v>123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181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181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181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181</v>
      </c>
      <c r="C240">
        <v>140</v>
      </c>
      <c r="D240" t="s">
        <v>114</v>
      </c>
      <c r="E240" t="s">
        <v>12</v>
      </c>
      <c r="F240">
        <v>0.58099999999999996</v>
      </c>
      <c r="G240" t="s">
        <v>13</v>
      </c>
    </row>
    <row r="241" spans="1:7" x14ac:dyDescent="0.25">
      <c r="A241">
        <v>16</v>
      </c>
      <c r="B241" t="s">
        <v>181</v>
      </c>
      <c r="C241">
        <v>150</v>
      </c>
      <c r="D241" t="s">
        <v>184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185</v>
      </c>
      <c r="C242">
        <v>10</v>
      </c>
      <c r="D242" t="s">
        <v>120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185</v>
      </c>
      <c r="C243">
        <v>20</v>
      </c>
      <c r="D243" t="s">
        <v>186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185</v>
      </c>
      <c r="C244">
        <v>30</v>
      </c>
      <c r="D244" t="s">
        <v>187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185</v>
      </c>
      <c r="C245">
        <v>40</v>
      </c>
      <c r="D245" t="s">
        <v>112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185</v>
      </c>
      <c r="C246">
        <v>50</v>
      </c>
      <c r="D246" t="s">
        <v>110</v>
      </c>
      <c r="E246" t="s">
        <v>111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185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185</v>
      </c>
      <c r="C248">
        <v>70</v>
      </c>
      <c r="D248" t="s">
        <v>113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185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185</v>
      </c>
      <c r="C250">
        <v>90</v>
      </c>
      <c r="D250" t="s">
        <v>96</v>
      </c>
      <c r="E250" t="s">
        <v>12</v>
      </c>
      <c r="F250">
        <v>9.4E-2</v>
      </c>
      <c r="G250" t="s">
        <v>13</v>
      </c>
    </row>
    <row r="251" spans="1:7" x14ac:dyDescent="0.25">
      <c r="A251">
        <v>17</v>
      </c>
      <c r="B251" t="s">
        <v>185</v>
      </c>
      <c r="C251">
        <v>100</v>
      </c>
      <c r="D251" t="s">
        <v>123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185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185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185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185</v>
      </c>
      <c r="C255">
        <v>140</v>
      </c>
      <c r="D255" t="s">
        <v>114</v>
      </c>
      <c r="E255" t="s">
        <v>12</v>
      </c>
      <c r="F255">
        <v>0.66200000000000003</v>
      </c>
      <c r="G255" t="s">
        <v>13</v>
      </c>
    </row>
    <row r="256" spans="1:7" x14ac:dyDescent="0.25">
      <c r="A256">
        <v>17</v>
      </c>
      <c r="B256" t="s">
        <v>185</v>
      </c>
      <c r="C256">
        <v>150</v>
      </c>
      <c r="D256" t="s">
        <v>188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189</v>
      </c>
      <c r="C257">
        <v>10</v>
      </c>
      <c r="D257" t="s">
        <v>120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189</v>
      </c>
      <c r="C258">
        <v>20</v>
      </c>
      <c r="D258" t="s">
        <v>190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189</v>
      </c>
      <c r="C259">
        <v>30</v>
      </c>
      <c r="D259" t="s">
        <v>191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189</v>
      </c>
      <c r="C260">
        <v>40</v>
      </c>
      <c r="D260" t="s">
        <v>112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189</v>
      </c>
      <c r="C261">
        <v>50</v>
      </c>
      <c r="D261" t="s">
        <v>110</v>
      </c>
      <c r="E261" t="s">
        <v>111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189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189</v>
      </c>
      <c r="C263">
        <v>70</v>
      </c>
      <c r="D263" t="s">
        <v>113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189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189</v>
      </c>
      <c r="C265">
        <v>90</v>
      </c>
      <c r="D265" t="s">
        <v>96</v>
      </c>
      <c r="E265" t="s">
        <v>12</v>
      </c>
      <c r="F265">
        <v>0.105</v>
      </c>
      <c r="G265" t="s">
        <v>13</v>
      </c>
    </row>
    <row r="266" spans="1:7" x14ac:dyDescent="0.25">
      <c r="A266">
        <v>18</v>
      </c>
      <c r="B266" t="s">
        <v>189</v>
      </c>
      <c r="C266">
        <v>100</v>
      </c>
      <c r="D266" t="s">
        <v>123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189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189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189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189</v>
      </c>
      <c r="C270">
        <v>140</v>
      </c>
      <c r="D270" t="s">
        <v>114</v>
      </c>
      <c r="E270" t="s">
        <v>12</v>
      </c>
      <c r="F270">
        <v>0.74299999999999999</v>
      </c>
      <c r="G270" t="s">
        <v>13</v>
      </c>
    </row>
    <row r="271" spans="1:7" x14ac:dyDescent="0.25">
      <c r="A271">
        <v>18</v>
      </c>
      <c r="B271" t="s">
        <v>189</v>
      </c>
      <c r="C271">
        <v>150</v>
      </c>
      <c r="D271" t="s">
        <v>192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193</v>
      </c>
      <c r="C272">
        <v>10</v>
      </c>
      <c r="D272" t="s">
        <v>120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193</v>
      </c>
      <c r="C273">
        <v>20</v>
      </c>
      <c r="D273" t="s">
        <v>194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193</v>
      </c>
      <c r="C274">
        <v>30</v>
      </c>
      <c r="D274" t="s">
        <v>195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193</v>
      </c>
      <c r="C275">
        <v>40</v>
      </c>
      <c r="D275" t="s">
        <v>112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193</v>
      </c>
      <c r="C276">
        <v>50</v>
      </c>
      <c r="D276" t="s">
        <v>110</v>
      </c>
      <c r="E276" t="s">
        <v>111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193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193</v>
      </c>
      <c r="C278">
        <v>70</v>
      </c>
      <c r="D278" t="s">
        <v>113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193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193</v>
      </c>
      <c r="C280">
        <v>90</v>
      </c>
      <c r="D280" t="s">
        <v>96</v>
      </c>
      <c r="E280" t="s">
        <v>12</v>
      </c>
      <c r="F280">
        <v>0.126</v>
      </c>
      <c r="G280" t="s">
        <v>13</v>
      </c>
    </row>
    <row r="281" spans="1:7" x14ac:dyDescent="0.25">
      <c r="A281">
        <v>19</v>
      </c>
      <c r="B281" t="s">
        <v>193</v>
      </c>
      <c r="C281">
        <v>100</v>
      </c>
      <c r="D281" t="s">
        <v>123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193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193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193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193</v>
      </c>
      <c r="C285">
        <v>140</v>
      </c>
      <c r="D285" t="s">
        <v>114</v>
      </c>
      <c r="E285" t="s">
        <v>12</v>
      </c>
      <c r="F285">
        <v>0.90500000000000003</v>
      </c>
      <c r="G285" t="s">
        <v>13</v>
      </c>
    </row>
    <row r="286" spans="1:7" x14ac:dyDescent="0.25">
      <c r="A286">
        <v>19</v>
      </c>
      <c r="B286" t="s">
        <v>193</v>
      </c>
      <c r="C286">
        <v>150</v>
      </c>
      <c r="D286" t="s">
        <v>196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197</v>
      </c>
      <c r="C287">
        <v>10</v>
      </c>
      <c r="D287" t="s">
        <v>120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197</v>
      </c>
      <c r="C288">
        <v>20</v>
      </c>
      <c r="D288" t="s">
        <v>198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197</v>
      </c>
      <c r="C289">
        <v>30</v>
      </c>
      <c r="D289" t="s">
        <v>199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197</v>
      </c>
      <c r="C290">
        <v>40</v>
      </c>
      <c r="D290" t="s">
        <v>112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197</v>
      </c>
      <c r="C291">
        <v>50</v>
      </c>
      <c r="D291" t="s">
        <v>110</v>
      </c>
      <c r="E291" t="s">
        <v>111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197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197</v>
      </c>
      <c r="C293">
        <v>70</v>
      </c>
      <c r="D293" t="s">
        <v>113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197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197</v>
      </c>
      <c r="C295">
        <v>90</v>
      </c>
      <c r="D295" t="s">
        <v>96</v>
      </c>
      <c r="E295" t="s">
        <v>12</v>
      </c>
      <c r="F295">
        <v>0.13700000000000001</v>
      </c>
      <c r="G295" t="s">
        <v>13</v>
      </c>
    </row>
    <row r="296" spans="1:7" x14ac:dyDescent="0.25">
      <c r="A296">
        <v>20</v>
      </c>
      <c r="B296" t="s">
        <v>197</v>
      </c>
      <c r="C296">
        <v>100</v>
      </c>
      <c r="D296" t="s">
        <v>123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197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197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197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197</v>
      </c>
      <c r="C300">
        <v>140</v>
      </c>
      <c r="D300" t="s">
        <v>114</v>
      </c>
      <c r="E300" t="s">
        <v>12</v>
      </c>
      <c r="F300">
        <v>0.98599999999999999</v>
      </c>
      <c r="G300" t="s">
        <v>13</v>
      </c>
    </row>
    <row r="301" spans="1:7" x14ac:dyDescent="0.25">
      <c r="A301">
        <v>20</v>
      </c>
      <c r="B301" t="s">
        <v>197</v>
      </c>
      <c r="C301">
        <v>150</v>
      </c>
      <c r="D301" t="s">
        <v>200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201</v>
      </c>
      <c r="C302">
        <v>10</v>
      </c>
      <c r="D302" t="s">
        <v>120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201</v>
      </c>
      <c r="C303">
        <v>20</v>
      </c>
      <c r="D303" t="s">
        <v>202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201</v>
      </c>
      <c r="C304">
        <v>30</v>
      </c>
      <c r="D304" t="s">
        <v>203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201</v>
      </c>
      <c r="C305">
        <v>40</v>
      </c>
      <c r="D305" t="s">
        <v>112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201</v>
      </c>
      <c r="C306">
        <v>50</v>
      </c>
      <c r="D306" t="s">
        <v>110</v>
      </c>
      <c r="E306" t="s">
        <v>111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201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201</v>
      </c>
      <c r="C308">
        <v>70</v>
      </c>
      <c r="D308" t="s">
        <v>113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201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201</v>
      </c>
      <c r="C310">
        <v>90</v>
      </c>
      <c r="D310" t="s">
        <v>96</v>
      </c>
      <c r="E310" t="s">
        <v>12</v>
      </c>
      <c r="F310">
        <v>0.14799999999999999</v>
      </c>
      <c r="G310" t="s">
        <v>13</v>
      </c>
    </row>
    <row r="311" spans="1:7" x14ac:dyDescent="0.25">
      <c r="A311">
        <v>21</v>
      </c>
      <c r="B311" t="s">
        <v>201</v>
      </c>
      <c r="C311">
        <v>100</v>
      </c>
      <c r="D311" t="s">
        <v>123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201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201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201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201</v>
      </c>
      <c r="C315">
        <v>140</v>
      </c>
      <c r="D315" t="s">
        <v>114</v>
      </c>
      <c r="E315" t="s">
        <v>12</v>
      </c>
      <c r="F315">
        <v>1.0669999999999999</v>
      </c>
      <c r="G315" t="s">
        <v>13</v>
      </c>
    </row>
    <row r="316" spans="1:7" x14ac:dyDescent="0.25">
      <c r="A316">
        <v>21</v>
      </c>
      <c r="B316" t="s">
        <v>201</v>
      </c>
      <c r="C316">
        <v>150</v>
      </c>
      <c r="D316" t="s">
        <v>204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205</v>
      </c>
      <c r="C317">
        <v>10</v>
      </c>
      <c r="D317" t="s">
        <v>120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205</v>
      </c>
      <c r="C318">
        <v>20</v>
      </c>
      <c r="D318" t="s">
        <v>206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205</v>
      </c>
      <c r="C319">
        <v>30</v>
      </c>
      <c r="D319" t="s">
        <v>207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205</v>
      </c>
      <c r="C320">
        <v>40</v>
      </c>
      <c r="D320" t="s">
        <v>112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205</v>
      </c>
      <c r="C321">
        <v>50</v>
      </c>
      <c r="D321" t="s">
        <v>110</v>
      </c>
      <c r="E321" t="s">
        <v>111</v>
      </c>
      <c r="F321">
        <v>0.25</v>
      </c>
      <c r="G321" t="s">
        <v>13</v>
      </c>
    </row>
    <row r="322" spans="1:7" x14ac:dyDescent="0.25">
      <c r="A322">
        <v>22</v>
      </c>
      <c r="B322" t="s">
        <v>205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205</v>
      </c>
      <c r="C323">
        <v>70</v>
      </c>
      <c r="D323" t="s">
        <v>113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205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205</v>
      </c>
      <c r="C325">
        <v>90</v>
      </c>
      <c r="D325" t="s">
        <v>96</v>
      </c>
      <c r="E325" t="s">
        <v>12</v>
      </c>
      <c r="F325">
        <v>7.2999999999999995E-2</v>
      </c>
      <c r="G325" t="s">
        <v>13</v>
      </c>
    </row>
    <row r="326" spans="1:7" x14ac:dyDescent="0.25">
      <c r="A326">
        <v>22</v>
      </c>
      <c r="B326" t="s">
        <v>205</v>
      </c>
      <c r="C326">
        <v>100</v>
      </c>
      <c r="D326" t="s">
        <v>123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205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205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205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205</v>
      </c>
      <c r="C330">
        <v>140</v>
      </c>
      <c r="D330" t="s">
        <v>114</v>
      </c>
      <c r="E330" t="s">
        <v>12</v>
      </c>
      <c r="F330">
        <v>1.1759999999999999</v>
      </c>
      <c r="G330" t="s">
        <v>13</v>
      </c>
    </row>
    <row r="331" spans="1:7" x14ac:dyDescent="0.25">
      <c r="A331">
        <v>22</v>
      </c>
      <c r="B331" t="s">
        <v>205</v>
      </c>
      <c r="C331">
        <v>150</v>
      </c>
      <c r="D331" t="s">
        <v>208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209</v>
      </c>
      <c r="C332">
        <v>10</v>
      </c>
      <c r="D332" t="s">
        <v>120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209</v>
      </c>
      <c r="C333">
        <v>20</v>
      </c>
      <c r="D333" t="s">
        <v>210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209</v>
      </c>
      <c r="C334">
        <v>30</v>
      </c>
      <c r="D334" t="s">
        <v>211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209</v>
      </c>
      <c r="C335">
        <v>40</v>
      </c>
      <c r="D335" t="s">
        <v>112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209</v>
      </c>
      <c r="C336">
        <v>50</v>
      </c>
      <c r="D336" t="s">
        <v>110</v>
      </c>
      <c r="E336" t="s">
        <v>111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209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209</v>
      </c>
      <c r="C338">
        <v>70</v>
      </c>
      <c r="D338" t="s">
        <v>113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209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209</v>
      </c>
      <c r="C340">
        <v>90</v>
      </c>
      <c r="D340" t="s">
        <v>96</v>
      </c>
      <c r="E340" t="s">
        <v>12</v>
      </c>
      <c r="F340">
        <v>8.4000000000000005E-2</v>
      </c>
      <c r="G340" t="s">
        <v>13</v>
      </c>
    </row>
    <row r="341" spans="1:7" x14ac:dyDescent="0.25">
      <c r="A341">
        <v>23</v>
      </c>
      <c r="B341" t="s">
        <v>209</v>
      </c>
      <c r="C341">
        <v>100</v>
      </c>
      <c r="D341" t="s">
        <v>123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209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209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209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209</v>
      </c>
      <c r="C345">
        <v>140</v>
      </c>
      <c r="D345" t="s">
        <v>114</v>
      </c>
      <c r="E345" t="s">
        <v>12</v>
      </c>
      <c r="F345">
        <v>1.1759999999999999</v>
      </c>
      <c r="G345" t="s">
        <v>13</v>
      </c>
    </row>
    <row r="346" spans="1:7" x14ac:dyDescent="0.25">
      <c r="A346">
        <v>23</v>
      </c>
      <c r="B346" t="s">
        <v>209</v>
      </c>
      <c r="C346">
        <v>150</v>
      </c>
      <c r="D346" t="s">
        <v>212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213</v>
      </c>
      <c r="C347">
        <v>10</v>
      </c>
      <c r="D347" t="s">
        <v>120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213</v>
      </c>
      <c r="C348">
        <v>20</v>
      </c>
      <c r="D348" t="s">
        <v>214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213</v>
      </c>
      <c r="C349">
        <v>30</v>
      </c>
      <c r="D349" t="s">
        <v>215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213</v>
      </c>
      <c r="C350">
        <v>40</v>
      </c>
      <c r="D350" t="s">
        <v>112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213</v>
      </c>
      <c r="C351">
        <v>50</v>
      </c>
      <c r="D351" t="s">
        <v>110</v>
      </c>
      <c r="E351" t="s">
        <v>111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213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213</v>
      </c>
      <c r="C353">
        <v>70</v>
      </c>
      <c r="D353" t="s">
        <v>113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213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213</v>
      </c>
      <c r="C355">
        <v>90</v>
      </c>
      <c r="D355" t="s">
        <v>96</v>
      </c>
      <c r="E355" t="s">
        <v>12</v>
      </c>
      <c r="F355">
        <v>9.4E-2</v>
      </c>
      <c r="G355" t="s">
        <v>13</v>
      </c>
    </row>
    <row r="356" spans="1:7" x14ac:dyDescent="0.25">
      <c r="A356">
        <v>24</v>
      </c>
      <c r="B356" t="s">
        <v>213</v>
      </c>
      <c r="C356">
        <v>100</v>
      </c>
      <c r="D356" t="s">
        <v>123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213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213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213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213</v>
      </c>
      <c r="C360">
        <v>140</v>
      </c>
      <c r="D360" t="s">
        <v>114</v>
      </c>
      <c r="E360" t="s">
        <v>12</v>
      </c>
      <c r="F360">
        <v>1.1759999999999999</v>
      </c>
      <c r="G360" t="s">
        <v>13</v>
      </c>
    </row>
    <row r="361" spans="1:7" x14ac:dyDescent="0.25">
      <c r="A361">
        <v>24</v>
      </c>
      <c r="B361" t="s">
        <v>213</v>
      </c>
      <c r="C361">
        <v>150</v>
      </c>
      <c r="D361" t="s">
        <v>216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217</v>
      </c>
      <c r="C362">
        <v>10</v>
      </c>
      <c r="D362" t="s">
        <v>120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217</v>
      </c>
      <c r="C363">
        <v>20</v>
      </c>
      <c r="D363" t="s">
        <v>218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217</v>
      </c>
      <c r="C364">
        <v>30</v>
      </c>
      <c r="D364" t="s">
        <v>219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217</v>
      </c>
      <c r="C365">
        <v>40</v>
      </c>
      <c r="D365" t="s">
        <v>112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217</v>
      </c>
      <c r="C366">
        <v>50</v>
      </c>
      <c r="D366" t="s">
        <v>110</v>
      </c>
      <c r="E366" t="s">
        <v>111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217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217</v>
      </c>
      <c r="C368">
        <v>70</v>
      </c>
      <c r="D368" t="s">
        <v>113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217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217</v>
      </c>
      <c r="C370">
        <v>90</v>
      </c>
      <c r="D370" t="s">
        <v>96</v>
      </c>
      <c r="E370" t="s">
        <v>12</v>
      </c>
      <c r="F370">
        <v>0.105</v>
      </c>
      <c r="G370" t="s">
        <v>13</v>
      </c>
    </row>
    <row r="371" spans="1:7" x14ac:dyDescent="0.25">
      <c r="A371">
        <v>25</v>
      </c>
      <c r="B371" t="s">
        <v>217</v>
      </c>
      <c r="C371">
        <v>100</v>
      </c>
      <c r="D371" t="s">
        <v>123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217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217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217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217</v>
      </c>
      <c r="C375">
        <v>140</v>
      </c>
      <c r="D375" t="s">
        <v>114</v>
      </c>
      <c r="E375" t="s">
        <v>12</v>
      </c>
      <c r="F375">
        <v>1.1759999999999999</v>
      </c>
      <c r="G375" t="s">
        <v>13</v>
      </c>
    </row>
    <row r="376" spans="1:7" x14ac:dyDescent="0.25">
      <c r="A376">
        <v>25</v>
      </c>
      <c r="B376" t="s">
        <v>217</v>
      </c>
      <c r="C376">
        <v>150</v>
      </c>
      <c r="D376" t="s">
        <v>220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221</v>
      </c>
      <c r="C377">
        <v>10</v>
      </c>
      <c r="D377" t="s">
        <v>120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221</v>
      </c>
      <c r="C378">
        <v>20</v>
      </c>
      <c r="D378" t="s">
        <v>222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221</v>
      </c>
      <c r="C379">
        <v>30</v>
      </c>
      <c r="D379" t="s">
        <v>223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221</v>
      </c>
      <c r="C380">
        <v>40</v>
      </c>
      <c r="D380" t="s">
        <v>112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221</v>
      </c>
      <c r="C381">
        <v>50</v>
      </c>
      <c r="D381" t="s">
        <v>110</v>
      </c>
      <c r="E381" t="s">
        <v>111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221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221</v>
      </c>
      <c r="C383">
        <v>70</v>
      </c>
      <c r="D383" t="s">
        <v>113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221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221</v>
      </c>
      <c r="C385">
        <v>90</v>
      </c>
      <c r="D385" t="s">
        <v>96</v>
      </c>
      <c r="E385" t="s">
        <v>12</v>
      </c>
      <c r="F385">
        <v>0.126</v>
      </c>
      <c r="G385" t="s">
        <v>13</v>
      </c>
    </row>
    <row r="386" spans="1:7" x14ac:dyDescent="0.25">
      <c r="A386">
        <v>26</v>
      </c>
      <c r="B386" t="s">
        <v>221</v>
      </c>
      <c r="C386">
        <v>100</v>
      </c>
      <c r="D386" t="s">
        <v>123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221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221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221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221</v>
      </c>
      <c r="C390">
        <v>140</v>
      </c>
      <c r="D390" t="s">
        <v>114</v>
      </c>
      <c r="E390" t="s">
        <v>12</v>
      </c>
      <c r="F390">
        <v>1.1759999999999999</v>
      </c>
      <c r="G390" t="s">
        <v>13</v>
      </c>
    </row>
    <row r="391" spans="1:7" x14ac:dyDescent="0.25">
      <c r="A391">
        <v>26</v>
      </c>
      <c r="B391" t="s">
        <v>221</v>
      </c>
      <c r="C391">
        <v>150</v>
      </c>
      <c r="D391" t="s">
        <v>224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225</v>
      </c>
      <c r="C392">
        <v>10</v>
      </c>
      <c r="D392" t="s">
        <v>120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225</v>
      </c>
      <c r="C393">
        <v>20</v>
      </c>
      <c r="D393" t="s">
        <v>226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225</v>
      </c>
      <c r="C394">
        <v>30</v>
      </c>
      <c r="D394" t="s">
        <v>227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225</v>
      </c>
      <c r="C395">
        <v>40</v>
      </c>
      <c r="D395" t="s">
        <v>112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225</v>
      </c>
      <c r="C396">
        <v>50</v>
      </c>
      <c r="D396" t="s">
        <v>110</v>
      </c>
      <c r="E396" t="s">
        <v>111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225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225</v>
      </c>
      <c r="C398">
        <v>70</v>
      </c>
      <c r="D398" t="s">
        <v>113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225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225</v>
      </c>
      <c r="C400">
        <v>90</v>
      </c>
      <c r="D400" t="s">
        <v>96</v>
      </c>
      <c r="E400" t="s">
        <v>12</v>
      </c>
      <c r="F400">
        <v>0.13700000000000001</v>
      </c>
      <c r="G400" t="s">
        <v>13</v>
      </c>
    </row>
    <row r="401" spans="1:7" x14ac:dyDescent="0.25">
      <c r="A401">
        <v>27</v>
      </c>
      <c r="B401" t="s">
        <v>225</v>
      </c>
      <c r="C401">
        <v>100</v>
      </c>
      <c r="D401" t="s">
        <v>123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225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225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225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225</v>
      </c>
      <c r="C405">
        <v>140</v>
      </c>
      <c r="D405" t="s">
        <v>114</v>
      </c>
      <c r="E405" t="s">
        <v>12</v>
      </c>
      <c r="F405">
        <v>1.1759999999999999</v>
      </c>
      <c r="G405" t="s">
        <v>13</v>
      </c>
    </row>
    <row r="406" spans="1:7" x14ac:dyDescent="0.25">
      <c r="A406">
        <v>27</v>
      </c>
      <c r="B406" t="s">
        <v>225</v>
      </c>
      <c r="C406">
        <v>150</v>
      </c>
      <c r="D406" t="s">
        <v>228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229</v>
      </c>
      <c r="C407">
        <v>10</v>
      </c>
      <c r="D407" t="s">
        <v>120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229</v>
      </c>
      <c r="C408">
        <v>20</v>
      </c>
      <c r="D408" t="s">
        <v>230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229</v>
      </c>
      <c r="C409">
        <v>30</v>
      </c>
      <c r="D409" t="s">
        <v>231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229</v>
      </c>
      <c r="C410">
        <v>40</v>
      </c>
      <c r="D410" t="s">
        <v>112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229</v>
      </c>
      <c r="C411">
        <v>50</v>
      </c>
      <c r="D411" t="s">
        <v>110</v>
      </c>
      <c r="E411" t="s">
        <v>111</v>
      </c>
      <c r="F411">
        <v>0.59</v>
      </c>
      <c r="G411" t="s">
        <v>13</v>
      </c>
    </row>
    <row r="412" spans="1:7" x14ac:dyDescent="0.25">
      <c r="A412">
        <v>28</v>
      </c>
      <c r="B412" t="s">
        <v>229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229</v>
      </c>
      <c r="C413">
        <v>70</v>
      </c>
      <c r="D413" t="s">
        <v>113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229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229</v>
      </c>
      <c r="C415">
        <v>90</v>
      </c>
      <c r="D415" t="s">
        <v>96</v>
      </c>
      <c r="E415" t="s">
        <v>12</v>
      </c>
      <c r="F415">
        <v>0.14799999999999999</v>
      </c>
      <c r="G415" t="s">
        <v>13</v>
      </c>
    </row>
    <row r="416" spans="1:7" x14ac:dyDescent="0.25">
      <c r="A416">
        <v>28</v>
      </c>
      <c r="B416" t="s">
        <v>229</v>
      </c>
      <c r="C416">
        <v>100</v>
      </c>
      <c r="D416" t="s">
        <v>123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229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229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229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229</v>
      </c>
      <c r="C420">
        <v>140</v>
      </c>
      <c r="D420" t="s">
        <v>114</v>
      </c>
      <c r="E420" t="s">
        <v>12</v>
      </c>
      <c r="F420">
        <v>1.1759999999999999</v>
      </c>
      <c r="G420" t="s">
        <v>13</v>
      </c>
    </row>
    <row r="421" spans="1:7" x14ac:dyDescent="0.25">
      <c r="A421">
        <v>28</v>
      </c>
      <c r="B421" t="s">
        <v>229</v>
      </c>
      <c r="C421">
        <v>150</v>
      </c>
      <c r="D421" t="s">
        <v>232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233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233</v>
      </c>
      <c r="C423">
        <v>20</v>
      </c>
      <c r="D423" t="s">
        <v>234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233</v>
      </c>
      <c r="C424">
        <v>30</v>
      </c>
      <c r="D424" t="s">
        <v>235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233</v>
      </c>
      <c r="C425">
        <v>40</v>
      </c>
      <c r="D425" t="s">
        <v>112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233</v>
      </c>
      <c r="C426">
        <v>50</v>
      </c>
      <c r="D426" t="s">
        <v>110</v>
      </c>
      <c r="E426" t="s">
        <v>111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233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233</v>
      </c>
      <c r="C428">
        <v>70</v>
      </c>
      <c r="D428" t="s">
        <v>113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233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233</v>
      </c>
      <c r="C430">
        <v>90</v>
      </c>
      <c r="D430" t="s">
        <v>96</v>
      </c>
      <c r="E430" t="s">
        <v>12</v>
      </c>
      <c r="F430">
        <v>7.2999999999999995E-2</v>
      </c>
      <c r="G430" t="s">
        <v>13</v>
      </c>
    </row>
    <row r="431" spans="1:7" x14ac:dyDescent="0.25">
      <c r="A431">
        <v>29</v>
      </c>
      <c r="B431" t="s">
        <v>233</v>
      </c>
      <c r="C431">
        <v>100</v>
      </c>
      <c r="D431" t="s">
        <v>123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233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233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233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233</v>
      </c>
      <c r="C435">
        <v>140</v>
      </c>
      <c r="D435" t="s">
        <v>114</v>
      </c>
      <c r="E435" t="s">
        <v>12</v>
      </c>
      <c r="F435">
        <v>1.23</v>
      </c>
      <c r="G435" t="s">
        <v>13</v>
      </c>
    </row>
    <row r="436" spans="1:7" x14ac:dyDescent="0.25">
      <c r="A436">
        <v>29</v>
      </c>
      <c r="B436" t="s">
        <v>233</v>
      </c>
      <c r="C436">
        <v>150</v>
      </c>
      <c r="D436" t="s">
        <v>236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237</v>
      </c>
      <c r="C437">
        <v>10</v>
      </c>
      <c r="D437" t="s">
        <v>120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237</v>
      </c>
      <c r="C438">
        <v>20</v>
      </c>
      <c r="D438" t="s">
        <v>238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237</v>
      </c>
      <c r="C439">
        <v>30</v>
      </c>
      <c r="D439" t="s">
        <v>239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237</v>
      </c>
      <c r="C440">
        <v>40</v>
      </c>
      <c r="D440" t="s">
        <v>112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237</v>
      </c>
      <c r="C441">
        <v>50</v>
      </c>
      <c r="D441" t="s">
        <v>110</v>
      </c>
      <c r="E441" t="s">
        <v>111</v>
      </c>
      <c r="F441">
        <v>0.313</v>
      </c>
      <c r="G441" t="s">
        <v>13</v>
      </c>
    </row>
    <row r="442" spans="1:7" x14ac:dyDescent="0.25">
      <c r="A442">
        <v>30</v>
      </c>
      <c r="B442" t="s">
        <v>237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237</v>
      </c>
      <c r="C443">
        <v>70</v>
      </c>
      <c r="D443" t="s">
        <v>113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237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237</v>
      </c>
      <c r="C445">
        <v>90</v>
      </c>
      <c r="D445" t="s">
        <v>96</v>
      </c>
      <c r="E445" t="s">
        <v>12</v>
      </c>
      <c r="F445">
        <v>8.4000000000000005E-2</v>
      </c>
      <c r="G445" t="s">
        <v>13</v>
      </c>
    </row>
    <row r="446" spans="1:7" x14ac:dyDescent="0.25">
      <c r="A446">
        <v>30</v>
      </c>
      <c r="B446" t="s">
        <v>237</v>
      </c>
      <c r="C446">
        <v>100</v>
      </c>
      <c r="D446" t="s">
        <v>123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237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237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237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237</v>
      </c>
      <c r="C450">
        <v>140</v>
      </c>
      <c r="D450" t="s">
        <v>114</v>
      </c>
      <c r="E450" t="s">
        <v>12</v>
      </c>
      <c r="F450">
        <v>1.23</v>
      </c>
      <c r="G450" t="s">
        <v>13</v>
      </c>
    </row>
    <row r="451" spans="1:7" x14ac:dyDescent="0.25">
      <c r="A451">
        <v>30</v>
      </c>
      <c r="B451" t="s">
        <v>237</v>
      </c>
      <c r="C451">
        <v>150</v>
      </c>
      <c r="D451" t="s">
        <v>240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241</v>
      </c>
      <c r="C452">
        <v>10</v>
      </c>
      <c r="D452" t="s">
        <v>120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241</v>
      </c>
      <c r="C453">
        <v>20</v>
      </c>
      <c r="D453" t="s">
        <v>242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241</v>
      </c>
      <c r="C454">
        <v>30</v>
      </c>
      <c r="D454" t="s">
        <v>243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241</v>
      </c>
      <c r="C455">
        <v>40</v>
      </c>
      <c r="D455" t="s">
        <v>112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241</v>
      </c>
      <c r="C456">
        <v>50</v>
      </c>
      <c r="D456" t="s">
        <v>110</v>
      </c>
      <c r="E456" t="s">
        <v>111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241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241</v>
      </c>
      <c r="C458">
        <v>70</v>
      </c>
      <c r="D458" t="s">
        <v>113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241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241</v>
      </c>
      <c r="C460">
        <v>90</v>
      </c>
      <c r="D460" t="s">
        <v>96</v>
      </c>
      <c r="E460" t="s">
        <v>12</v>
      </c>
      <c r="F460">
        <v>9.4E-2</v>
      </c>
      <c r="G460" t="s">
        <v>13</v>
      </c>
    </row>
    <row r="461" spans="1:7" x14ac:dyDescent="0.25">
      <c r="A461">
        <v>31</v>
      </c>
      <c r="B461" t="s">
        <v>241</v>
      </c>
      <c r="C461">
        <v>100</v>
      </c>
      <c r="D461" t="s">
        <v>123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241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241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241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241</v>
      </c>
      <c r="C465">
        <v>140</v>
      </c>
      <c r="D465" t="s">
        <v>114</v>
      </c>
      <c r="E465" t="s">
        <v>12</v>
      </c>
      <c r="F465">
        <v>1.23</v>
      </c>
      <c r="G465" t="s">
        <v>13</v>
      </c>
    </row>
    <row r="466" spans="1:7" x14ac:dyDescent="0.25">
      <c r="A466">
        <v>31</v>
      </c>
      <c r="B466" t="s">
        <v>241</v>
      </c>
      <c r="C466">
        <v>150</v>
      </c>
      <c r="D466" t="s">
        <v>244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245</v>
      </c>
      <c r="C467">
        <v>10</v>
      </c>
      <c r="D467" t="s">
        <v>120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245</v>
      </c>
      <c r="C468">
        <v>20</v>
      </c>
      <c r="D468" t="s">
        <v>246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245</v>
      </c>
      <c r="C469">
        <v>30</v>
      </c>
      <c r="D469" t="s">
        <v>247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245</v>
      </c>
      <c r="C470">
        <v>40</v>
      </c>
      <c r="D470" t="s">
        <v>112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245</v>
      </c>
      <c r="C471">
        <v>50</v>
      </c>
      <c r="D471" t="s">
        <v>110</v>
      </c>
      <c r="E471" t="s">
        <v>111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245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245</v>
      </c>
      <c r="C473">
        <v>70</v>
      </c>
      <c r="D473" t="s">
        <v>113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245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245</v>
      </c>
      <c r="C475">
        <v>90</v>
      </c>
      <c r="D475" t="s">
        <v>96</v>
      </c>
      <c r="E475" t="s">
        <v>12</v>
      </c>
      <c r="F475">
        <v>0.105</v>
      </c>
      <c r="G475" t="s">
        <v>13</v>
      </c>
    </row>
    <row r="476" spans="1:7" x14ac:dyDescent="0.25">
      <c r="A476">
        <v>32</v>
      </c>
      <c r="B476" t="s">
        <v>245</v>
      </c>
      <c r="C476">
        <v>100</v>
      </c>
      <c r="D476" t="s">
        <v>123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245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245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245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245</v>
      </c>
      <c r="C480">
        <v>140</v>
      </c>
      <c r="D480" t="s">
        <v>114</v>
      </c>
      <c r="E480" t="s">
        <v>12</v>
      </c>
      <c r="F480">
        <v>1.23</v>
      </c>
      <c r="G480" t="s">
        <v>13</v>
      </c>
    </row>
    <row r="481" spans="1:7" x14ac:dyDescent="0.25">
      <c r="A481">
        <v>32</v>
      </c>
      <c r="B481" t="s">
        <v>245</v>
      </c>
      <c r="C481">
        <v>150</v>
      </c>
      <c r="D481" t="s">
        <v>248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249</v>
      </c>
      <c r="C482">
        <v>10</v>
      </c>
      <c r="D482" t="s">
        <v>120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249</v>
      </c>
      <c r="C483">
        <v>20</v>
      </c>
      <c r="D483" t="s">
        <v>250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249</v>
      </c>
      <c r="C484">
        <v>30</v>
      </c>
      <c r="D484" t="s">
        <v>251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249</v>
      </c>
      <c r="C485">
        <v>40</v>
      </c>
      <c r="D485" t="s">
        <v>112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249</v>
      </c>
      <c r="C486">
        <v>50</v>
      </c>
      <c r="D486" t="s">
        <v>110</v>
      </c>
      <c r="E486" t="s">
        <v>111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249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249</v>
      </c>
      <c r="C488">
        <v>70</v>
      </c>
      <c r="D488" t="s">
        <v>113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249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249</v>
      </c>
      <c r="C490">
        <v>90</v>
      </c>
      <c r="D490" t="s">
        <v>96</v>
      </c>
      <c r="E490" t="s">
        <v>12</v>
      </c>
      <c r="F490">
        <v>0.126</v>
      </c>
      <c r="G490" t="s">
        <v>13</v>
      </c>
    </row>
    <row r="491" spans="1:7" x14ac:dyDescent="0.25">
      <c r="A491">
        <v>33</v>
      </c>
      <c r="B491" t="s">
        <v>249</v>
      </c>
      <c r="C491">
        <v>100</v>
      </c>
      <c r="D491" t="s">
        <v>123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249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249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249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249</v>
      </c>
      <c r="C495">
        <v>140</v>
      </c>
      <c r="D495" t="s">
        <v>114</v>
      </c>
      <c r="E495" t="s">
        <v>12</v>
      </c>
      <c r="F495">
        <v>1.23</v>
      </c>
      <c r="G495" t="s">
        <v>13</v>
      </c>
    </row>
    <row r="496" spans="1:7" x14ac:dyDescent="0.25">
      <c r="A496">
        <v>33</v>
      </c>
      <c r="B496" t="s">
        <v>249</v>
      </c>
      <c r="C496">
        <v>150</v>
      </c>
      <c r="D496" t="s">
        <v>252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253</v>
      </c>
      <c r="C497">
        <v>10</v>
      </c>
      <c r="D497" t="s">
        <v>120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253</v>
      </c>
      <c r="C498">
        <v>20</v>
      </c>
      <c r="D498" t="s">
        <v>254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253</v>
      </c>
      <c r="C499">
        <v>30</v>
      </c>
      <c r="D499" t="s">
        <v>255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253</v>
      </c>
      <c r="C500">
        <v>40</v>
      </c>
      <c r="D500" t="s">
        <v>112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253</v>
      </c>
      <c r="C501">
        <v>50</v>
      </c>
      <c r="D501" t="s">
        <v>110</v>
      </c>
      <c r="E501" t="s">
        <v>111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253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253</v>
      </c>
      <c r="C503">
        <v>70</v>
      </c>
      <c r="D503" t="s">
        <v>113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253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253</v>
      </c>
      <c r="C505">
        <v>90</v>
      </c>
      <c r="D505" t="s">
        <v>96</v>
      </c>
      <c r="E505" t="s">
        <v>12</v>
      </c>
      <c r="F505">
        <v>0.13700000000000001</v>
      </c>
      <c r="G505" t="s">
        <v>13</v>
      </c>
    </row>
    <row r="506" spans="1:7" x14ac:dyDescent="0.25">
      <c r="A506">
        <v>34</v>
      </c>
      <c r="B506" t="s">
        <v>253</v>
      </c>
      <c r="C506">
        <v>100</v>
      </c>
      <c r="D506" t="s">
        <v>123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253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253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253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253</v>
      </c>
      <c r="C510">
        <v>140</v>
      </c>
      <c r="D510" t="s">
        <v>114</v>
      </c>
      <c r="E510" t="s">
        <v>12</v>
      </c>
      <c r="F510">
        <v>1.23</v>
      </c>
      <c r="G510" t="s">
        <v>13</v>
      </c>
    </row>
    <row r="511" spans="1:7" x14ac:dyDescent="0.25">
      <c r="A511">
        <v>34</v>
      </c>
      <c r="B511" t="s">
        <v>253</v>
      </c>
      <c r="C511">
        <v>150</v>
      </c>
      <c r="D511" t="s">
        <v>256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257</v>
      </c>
      <c r="C512">
        <v>10</v>
      </c>
      <c r="D512" t="s">
        <v>120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257</v>
      </c>
      <c r="C513">
        <v>20</v>
      </c>
      <c r="D513" t="s">
        <v>258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257</v>
      </c>
      <c r="C514">
        <v>30</v>
      </c>
      <c r="D514" t="s">
        <v>259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257</v>
      </c>
      <c r="C515">
        <v>40</v>
      </c>
      <c r="D515" t="s">
        <v>112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257</v>
      </c>
      <c r="C516">
        <v>50</v>
      </c>
      <c r="D516" t="s">
        <v>110</v>
      </c>
      <c r="E516" t="s">
        <v>111</v>
      </c>
      <c r="F516">
        <v>0.62</v>
      </c>
      <c r="G516" t="s">
        <v>13</v>
      </c>
    </row>
    <row r="517" spans="1:7" x14ac:dyDescent="0.25">
      <c r="A517">
        <v>35</v>
      </c>
      <c r="B517" t="s">
        <v>257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257</v>
      </c>
      <c r="C518">
        <v>70</v>
      </c>
      <c r="D518" t="s">
        <v>113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257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257</v>
      </c>
      <c r="C520">
        <v>90</v>
      </c>
      <c r="D520" t="s">
        <v>96</v>
      </c>
      <c r="E520" t="s">
        <v>12</v>
      </c>
      <c r="F520">
        <v>0.14799999999999999</v>
      </c>
      <c r="G520" t="s">
        <v>13</v>
      </c>
    </row>
    <row r="521" spans="1:7" x14ac:dyDescent="0.25">
      <c r="A521">
        <v>35</v>
      </c>
      <c r="B521" t="s">
        <v>257</v>
      </c>
      <c r="C521">
        <v>100</v>
      </c>
      <c r="D521" t="s">
        <v>123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257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257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257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257</v>
      </c>
      <c r="C525">
        <v>140</v>
      </c>
      <c r="D525" t="s">
        <v>114</v>
      </c>
      <c r="E525" t="s">
        <v>12</v>
      </c>
      <c r="F525">
        <v>1.23</v>
      </c>
      <c r="G525" t="s">
        <v>13</v>
      </c>
    </row>
    <row r="526" spans="1:7" x14ac:dyDescent="0.25">
      <c r="A526">
        <v>35</v>
      </c>
      <c r="B526" t="s">
        <v>257</v>
      </c>
      <c r="C526">
        <v>150</v>
      </c>
      <c r="D526" t="s">
        <v>260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261</v>
      </c>
      <c r="C527">
        <v>10</v>
      </c>
      <c r="D527" t="s">
        <v>262</v>
      </c>
      <c r="E527" t="s">
        <v>14</v>
      </c>
      <c r="F527">
        <v>0.78700000000000003</v>
      </c>
      <c r="G527" t="s">
        <v>15</v>
      </c>
    </row>
    <row r="528" spans="1:7" x14ac:dyDescent="0.25">
      <c r="A528">
        <v>36</v>
      </c>
      <c r="B528" t="s">
        <v>261</v>
      </c>
      <c r="C528">
        <v>20</v>
      </c>
      <c r="D528" t="s">
        <v>263</v>
      </c>
      <c r="E528" t="s">
        <v>11</v>
      </c>
      <c r="F528">
        <v>1</v>
      </c>
      <c r="G528" t="s">
        <v>15</v>
      </c>
    </row>
    <row r="529" spans="1:7" x14ac:dyDescent="0.25">
      <c r="A529">
        <v>36</v>
      </c>
      <c r="B529" t="s">
        <v>261</v>
      </c>
      <c r="C529">
        <v>30</v>
      </c>
      <c r="D529" t="s">
        <v>264</v>
      </c>
      <c r="E529" t="s">
        <v>11</v>
      </c>
      <c r="F529">
        <v>1</v>
      </c>
      <c r="G529" t="s">
        <v>15</v>
      </c>
    </row>
    <row r="530" spans="1:7" x14ac:dyDescent="0.25">
      <c r="A530">
        <v>36</v>
      </c>
      <c r="B530" t="s">
        <v>261</v>
      </c>
      <c r="C530">
        <v>40</v>
      </c>
      <c r="D530" t="s">
        <v>112</v>
      </c>
      <c r="E530" t="s">
        <v>14</v>
      </c>
      <c r="F530">
        <v>0.78700000000000003</v>
      </c>
      <c r="G530" t="s">
        <v>15</v>
      </c>
    </row>
    <row r="531" spans="1:7" x14ac:dyDescent="0.25">
      <c r="A531">
        <v>36</v>
      </c>
      <c r="B531" t="s">
        <v>261</v>
      </c>
      <c r="C531">
        <v>50</v>
      </c>
      <c r="D531" t="s">
        <v>110</v>
      </c>
      <c r="E531" t="s">
        <v>111</v>
      </c>
      <c r="F531">
        <v>0.22600000000000001</v>
      </c>
      <c r="G531" t="s">
        <v>13</v>
      </c>
    </row>
    <row r="532" spans="1:7" x14ac:dyDescent="0.25">
      <c r="A532">
        <v>36</v>
      </c>
      <c r="B532" t="s">
        <v>261</v>
      </c>
      <c r="C532">
        <v>60</v>
      </c>
      <c r="D532" t="s">
        <v>95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261</v>
      </c>
      <c r="C533">
        <v>70</v>
      </c>
      <c r="D533" t="s">
        <v>113</v>
      </c>
      <c r="E533" t="s">
        <v>14</v>
      </c>
      <c r="F533">
        <v>15.696999999999999</v>
      </c>
      <c r="G533" t="s">
        <v>13</v>
      </c>
    </row>
    <row r="534" spans="1:7" x14ac:dyDescent="0.25">
      <c r="A534">
        <v>36</v>
      </c>
      <c r="B534" t="s">
        <v>261</v>
      </c>
      <c r="C534">
        <v>80</v>
      </c>
      <c r="D534" t="s">
        <v>16</v>
      </c>
      <c r="E534" t="s">
        <v>14</v>
      </c>
      <c r="F534">
        <v>97.474999999999994</v>
      </c>
      <c r="G534" t="s">
        <v>13</v>
      </c>
    </row>
    <row r="535" spans="1:7" x14ac:dyDescent="0.25">
      <c r="A535">
        <v>36</v>
      </c>
      <c r="B535" t="s">
        <v>261</v>
      </c>
      <c r="C535">
        <v>90</v>
      </c>
      <c r="D535" t="s">
        <v>96</v>
      </c>
      <c r="E535" t="s">
        <v>12</v>
      </c>
      <c r="F535">
        <v>7.2999999999999995E-2</v>
      </c>
      <c r="G535" t="s">
        <v>13</v>
      </c>
    </row>
    <row r="536" spans="1:7" x14ac:dyDescent="0.25">
      <c r="A536">
        <v>36</v>
      </c>
      <c r="B536" t="s">
        <v>261</v>
      </c>
      <c r="C536">
        <v>100</v>
      </c>
      <c r="D536" t="s">
        <v>123</v>
      </c>
      <c r="E536" t="s">
        <v>11</v>
      </c>
      <c r="F536">
        <v>4</v>
      </c>
      <c r="G536" t="s">
        <v>13</v>
      </c>
    </row>
    <row r="537" spans="1:7" x14ac:dyDescent="0.25">
      <c r="A537">
        <v>36</v>
      </c>
      <c r="B537" t="s">
        <v>261</v>
      </c>
      <c r="C537">
        <v>110</v>
      </c>
      <c r="D537" t="s">
        <v>100</v>
      </c>
      <c r="E537" t="s">
        <v>11</v>
      </c>
      <c r="F537">
        <v>1</v>
      </c>
      <c r="G537" t="s">
        <v>13</v>
      </c>
    </row>
    <row r="538" spans="1:7" x14ac:dyDescent="0.25">
      <c r="A538">
        <v>36</v>
      </c>
      <c r="B538" t="s">
        <v>261</v>
      </c>
      <c r="C538">
        <v>120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261</v>
      </c>
      <c r="C539">
        <v>130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261</v>
      </c>
      <c r="C540">
        <v>140</v>
      </c>
      <c r="D540" t="s">
        <v>114</v>
      </c>
      <c r="E540" t="s">
        <v>12</v>
      </c>
      <c r="F540">
        <v>0.5</v>
      </c>
      <c r="G540" t="s">
        <v>13</v>
      </c>
    </row>
    <row r="541" spans="1:7" x14ac:dyDescent="0.25">
      <c r="A541">
        <v>36</v>
      </c>
      <c r="B541" t="s">
        <v>261</v>
      </c>
      <c r="C541">
        <v>150</v>
      </c>
      <c r="D541" t="s">
        <v>124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265</v>
      </c>
      <c r="C542">
        <v>10</v>
      </c>
      <c r="D542" t="s">
        <v>262</v>
      </c>
      <c r="E542" t="s">
        <v>14</v>
      </c>
      <c r="F542">
        <v>0.94</v>
      </c>
      <c r="G542" t="s">
        <v>15</v>
      </c>
    </row>
    <row r="543" spans="1:7" x14ac:dyDescent="0.25">
      <c r="A543">
        <v>37</v>
      </c>
      <c r="B543" t="s">
        <v>265</v>
      </c>
      <c r="C543">
        <v>20</v>
      </c>
      <c r="D543" t="s">
        <v>266</v>
      </c>
      <c r="E543" t="s">
        <v>11</v>
      </c>
      <c r="F543">
        <v>1</v>
      </c>
      <c r="G543" t="s">
        <v>15</v>
      </c>
    </row>
    <row r="544" spans="1:7" x14ac:dyDescent="0.25">
      <c r="A544">
        <v>37</v>
      </c>
      <c r="B544" t="s">
        <v>265</v>
      </c>
      <c r="C544">
        <v>30</v>
      </c>
      <c r="D544" t="s">
        <v>267</v>
      </c>
      <c r="E544" t="s">
        <v>11</v>
      </c>
      <c r="F544">
        <v>1</v>
      </c>
      <c r="G544" t="s">
        <v>15</v>
      </c>
    </row>
    <row r="545" spans="1:7" x14ac:dyDescent="0.25">
      <c r="A545">
        <v>37</v>
      </c>
      <c r="B545" t="s">
        <v>265</v>
      </c>
      <c r="C545">
        <v>40</v>
      </c>
      <c r="D545" t="s">
        <v>112</v>
      </c>
      <c r="E545" t="s">
        <v>14</v>
      </c>
      <c r="F545">
        <v>0.94</v>
      </c>
      <c r="G545" t="s">
        <v>15</v>
      </c>
    </row>
    <row r="546" spans="1:7" x14ac:dyDescent="0.25">
      <c r="A546">
        <v>37</v>
      </c>
      <c r="B546" t="s">
        <v>265</v>
      </c>
      <c r="C546">
        <v>50</v>
      </c>
      <c r="D546" t="s">
        <v>110</v>
      </c>
      <c r="E546" t="s">
        <v>111</v>
      </c>
      <c r="F546">
        <v>0.27</v>
      </c>
      <c r="G546" t="s">
        <v>13</v>
      </c>
    </row>
    <row r="547" spans="1:7" x14ac:dyDescent="0.25">
      <c r="A547">
        <v>37</v>
      </c>
      <c r="B547" t="s">
        <v>265</v>
      </c>
      <c r="C547">
        <v>60</v>
      </c>
      <c r="D547" t="s">
        <v>95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265</v>
      </c>
      <c r="C548">
        <v>70</v>
      </c>
      <c r="D548" t="s">
        <v>113</v>
      </c>
      <c r="E548" t="s">
        <v>14</v>
      </c>
      <c r="F548">
        <v>16.611999999999998</v>
      </c>
      <c r="G548" t="s">
        <v>13</v>
      </c>
    </row>
    <row r="549" spans="1:7" x14ac:dyDescent="0.25">
      <c r="A549">
        <v>37</v>
      </c>
      <c r="B549" t="s">
        <v>265</v>
      </c>
      <c r="C549">
        <v>80</v>
      </c>
      <c r="D549" t="s">
        <v>16</v>
      </c>
      <c r="E549" t="s">
        <v>14</v>
      </c>
      <c r="F549">
        <v>103.099</v>
      </c>
      <c r="G549" t="s">
        <v>13</v>
      </c>
    </row>
    <row r="550" spans="1:7" x14ac:dyDescent="0.25">
      <c r="A550">
        <v>37</v>
      </c>
      <c r="B550" t="s">
        <v>265</v>
      </c>
      <c r="C550">
        <v>90</v>
      </c>
      <c r="D550" t="s">
        <v>96</v>
      </c>
      <c r="E550" t="s">
        <v>12</v>
      </c>
      <c r="F550">
        <v>8.4000000000000005E-2</v>
      </c>
      <c r="G550" t="s">
        <v>13</v>
      </c>
    </row>
    <row r="551" spans="1:7" x14ac:dyDescent="0.25">
      <c r="A551">
        <v>37</v>
      </c>
      <c r="B551" t="s">
        <v>265</v>
      </c>
      <c r="C551">
        <v>100</v>
      </c>
      <c r="D551" t="s">
        <v>123</v>
      </c>
      <c r="E551" t="s">
        <v>11</v>
      </c>
      <c r="F551">
        <v>4</v>
      </c>
      <c r="G551" t="s">
        <v>13</v>
      </c>
    </row>
    <row r="552" spans="1:7" x14ac:dyDescent="0.25">
      <c r="A552">
        <v>37</v>
      </c>
      <c r="B552" t="s">
        <v>265</v>
      </c>
      <c r="C552">
        <v>110</v>
      </c>
      <c r="D552" t="s">
        <v>100</v>
      </c>
      <c r="E552" t="s">
        <v>11</v>
      </c>
      <c r="F552">
        <v>1</v>
      </c>
      <c r="G552" t="s">
        <v>13</v>
      </c>
    </row>
    <row r="553" spans="1:7" x14ac:dyDescent="0.25">
      <c r="A553">
        <v>37</v>
      </c>
      <c r="B553" t="s">
        <v>265</v>
      </c>
      <c r="C553">
        <v>120</v>
      </c>
      <c r="D553" t="s">
        <v>20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265</v>
      </c>
      <c r="C554">
        <v>130</v>
      </c>
      <c r="D554" t="s">
        <v>21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265</v>
      </c>
      <c r="C555">
        <v>140</v>
      </c>
      <c r="D555" t="s">
        <v>114</v>
      </c>
      <c r="E555" t="s">
        <v>12</v>
      </c>
      <c r="F555">
        <v>0.58099999999999996</v>
      </c>
      <c r="G555" t="s">
        <v>13</v>
      </c>
    </row>
    <row r="556" spans="1:7" x14ac:dyDescent="0.25">
      <c r="A556">
        <v>37</v>
      </c>
      <c r="B556" t="s">
        <v>265</v>
      </c>
      <c r="C556">
        <v>150</v>
      </c>
      <c r="D556" t="s">
        <v>128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268</v>
      </c>
      <c r="C557">
        <v>10</v>
      </c>
      <c r="D557" t="s">
        <v>262</v>
      </c>
      <c r="E557" t="s">
        <v>14</v>
      </c>
      <c r="F557">
        <v>1.0920000000000001</v>
      </c>
      <c r="G557" t="s">
        <v>15</v>
      </c>
    </row>
    <row r="558" spans="1:7" x14ac:dyDescent="0.25">
      <c r="A558">
        <v>38</v>
      </c>
      <c r="B558" t="s">
        <v>268</v>
      </c>
      <c r="C558">
        <v>20</v>
      </c>
      <c r="D558" t="s">
        <v>269</v>
      </c>
      <c r="E558" t="s">
        <v>11</v>
      </c>
      <c r="F558">
        <v>1</v>
      </c>
      <c r="G558" t="s">
        <v>15</v>
      </c>
    </row>
    <row r="559" spans="1:7" x14ac:dyDescent="0.25">
      <c r="A559">
        <v>38</v>
      </c>
      <c r="B559" t="s">
        <v>268</v>
      </c>
      <c r="C559">
        <v>30</v>
      </c>
      <c r="D559" t="s">
        <v>270</v>
      </c>
      <c r="E559" t="s">
        <v>11</v>
      </c>
      <c r="F559">
        <v>1</v>
      </c>
      <c r="G559" t="s">
        <v>15</v>
      </c>
    </row>
    <row r="560" spans="1:7" x14ac:dyDescent="0.25">
      <c r="A560">
        <v>38</v>
      </c>
      <c r="B560" t="s">
        <v>268</v>
      </c>
      <c r="C560">
        <v>40</v>
      </c>
      <c r="D560" t="s">
        <v>112</v>
      </c>
      <c r="E560" t="s">
        <v>14</v>
      </c>
      <c r="F560">
        <v>1.0920000000000001</v>
      </c>
      <c r="G560" t="s">
        <v>15</v>
      </c>
    </row>
    <row r="561" spans="1:7" x14ac:dyDescent="0.25">
      <c r="A561">
        <v>38</v>
      </c>
      <c r="B561" t="s">
        <v>268</v>
      </c>
      <c r="C561">
        <v>50</v>
      </c>
      <c r="D561" t="s">
        <v>110</v>
      </c>
      <c r="E561" t="s">
        <v>111</v>
      </c>
      <c r="F561">
        <v>0.313</v>
      </c>
      <c r="G561" t="s">
        <v>13</v>
      </c>
    </row>
    <row r="562" spans="1:7" x14ac:dyDescent="0.25">
      <c r="A562">
        <v>38</v>
      </c>
      <c r="B562" t="s">
        <v>268</v>
      </c>
      <c r="C562">
        <v>60</v>
      </c>
      <c r="D562" t="s">
        <v>95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268</v>
      </c>
      <c r="C563">
        <v>70</v>
      </c>
      <c r="D563" t="s">
        <v>113</v>
      </c>
      <c r="E563" t="s">
        <v>14</v>
      </c>
      <c r="F563">
        <v>17.526</v>
      </c>
      <c r="G563" t="s">
        <v>13</v>
      </c>
    </row>
    <row r="564" spans="1:7" x14ac:dyDescent="0.25">
      <c r="A564">
        <v>38</v>
      </c>
      <c r="B564" t="s">
        <v>268</v>
      </c>
      <c r="C564">
        <v>80</v>
      </c>
      <c r="D564" t="s">
        <v>16</v>
      </c>
      <c r="E564" t="s">
        <v>14</v>
      </c>
      <c r="F564">
        <v>108.72199999999999</v>
      </c>
      <c r="G564" t="s">
        <v>13</v>
      </c>
    </row>
    <row r="565" spans="1:7" x14ac:dyDescent="0.25">
      <c r="A565">
        <v>38</v>
      </c>
      <c r="B565" t="s">
        <v>268</v>
      </c>
      <c r="C565">
        <v>90</v>
      </c>
      <c r="D565" t="s">
        <v>96</v>
      </c>
      <c r="E565" t="s">
        <v>12</v>
      </c>
      <c r="F565">
        <v>9.4E-2</v>
      </c>
      <c r="G565" t="s">
        <v>13</v>
      </c>
    </row>
    <row r="566" spans="1:7" x14ac:dyDescent="0.25">
      <c r="A566">
        <v>38</v>
      </c>
      <c r="B566" t="s">
        <v>268</v>
      </c>
      <c r="C566">
        <v>100</v>
      </c>
      <c r="D566" t="s">
        <v>123</v>
      </c>
      <c r="E566" t="s">
        <v>11</v>
      </c>
      <c r="F566">
        <v>4</v>
      </c>
      <c r="G566" t="s">
        <v>13</v>
      </c>
    </row>
    <row r="567" spans="1:7" x14ac:dyDescent="0.25">
      <c r="A567">
        <v>38</v>
      </c>
      <c r="B567" t="s">
        <v>268</v>
      </c>
      <c r="C567">
        <v>110</v>
      </c>
      <c r="D567" t="s">
        <v>100</v>
      </c>
      <c r="E567" t="s">
        <v>11</v>
      </c>
      <c r="F567">
        <v>1</v>
      </c>
      <c r="G567" t="s">
        <v>13</v>
      </c>
    </row>
    <row r="568" spans="1:7" x14ac:dyDescent="0.25">
      <c r="A568">
        <v>38</v>
      </c>
      <c r="B568" t="s">
        <v>268</v>
      </c>
      <c r="C568">
        <v>120</v>
      </c>
      <c r="D568" t="s">
        <v>20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268</v>
      </c>
      <c r="C569">
        <v>130</v>
      </c>
      <c r="D569" t="s">
        <v>21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268</v>
      </c>
      <c r="C570">
        <v>140</v>
      </c>
      <c r="D570" t="s">
        <v>114</v>
      </c>
      <c r="E570" t="s">
        <v>12</v>
      </c>
      <c r="F570">
        <v>0.66200000000000003</v>
      </c>
      <c r="G570" t="s">
        <v>13</v>
      </c>
    </row>
    <row r="571" spans="1:7" x14ac:dyDescent="0.25">
      <c r="A571">
        <v>38</v>
      </c>
      <c r="B571" t="s">
        <v>268</v>
      </c>
      <c r="C571">
        <v>150</v>
      </c>
      <c r="D571" t="s">
        <v>132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271</v>
      </c>
      <c r="C572">
        <v>10</v>
      </c>
      <c r="D572" t="s">
        <v>262</v>
      </c>
      <c r="E572" t="s">
        <v>14</v>
      </c>
      <c r="F572">
        <v>1.2450000000000001</v>
      </c>
      <c r="G572" t="s">
        <v>15</v>
      </c>
    </row>
    <row r="573" spans="1:7" x14ac:dyDescent="0.25">
      <c r="A573">
        <v>39</v>
      </c>
      <c r="B573" t="s">
        <v>271</v>
      </c>
      <c r="C573">
        <v>20</v>
      </c>
      <c r="D573" t="s">
        <v>272</v>
      </c>
      <c r="E573" t="s">
        <v>11</v>
      </c>
      <c r="F573">
        <v>1</v>
      </c>
      <c r="G573" t="s">
        <v>15</v>
      </c>
    </row>
    <row r="574" spans="1:7" x14ac:dyDescent="0.25">
      <c r="A574">
        <v>39</v>
      </c>
      <c r="B574" t="s">
        <v>271</v>
      </c>
      <c r="C574">
        <v>30</v>
      </c>
      <c r="D574" t="s">
        <v>273</v>
      </c>
      <c r="E574" t="s">
        <v>11</v>
      </c>
      <c r="F574">
        <v>1</v>
      </c>
      <c r="G574" t="s">
        <v>15</v>
      </c>
    </row>
    <row r="575" spans="1:7" x14ac:dyDescent="0.25">
      <c r="A575">
        <v>39</v>
      </c>
      <c r="B575" t="s">
        <v>271</v>
      </c>
      <c r="C575">
        <v>40</v>
      </c>
      <c r="D575" t="s">
        <v>112</v>
      </c>
      <c r="E575" t="s">
        <v>14</v>
      </c>
      <c r="F575">
        <v>1.2450000000000001</v>
      </c>
      <c r="G575" t="s">
        <v>15</v>
      </c>
    </row>
    <row r="576" spans="1:7" x14ac:dyDescent="0.25">
      <c r="A576">
        <v>39</v>
      </c>
      <c r="B576" t="s">
        <v>271</v>
      </c>
      <c r="C576">
        <v>50</v>
      </c>
      <c r="D576" t="s">
        <v>110</v>
      </c>
      <c r="E576" t="s">
        <v>111</v>
      </c>
      <c r="F576">
        <v>0.35699999999999998</v>
      </c>
      <c r="G576" t="s">
        <v>13</v>
      </c>
    </row>
    <row r="577" spans="1:7" x14ac:dyDescent="0.25">
      <c r="A577">
        <v>39</v>
      </c>
      <c r="B577" t="s">
        <v>271</v>
      </c>
      <c r="C577">
        <v>60</v>
      </c>
      <c r="D577" t="s">
        <v>95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271</v>
      </c>
      <c r="C578">
        <v>70</v>
      </c>
      <c r="D578" t="s">
        <v>113</v>
      </c>
      <c r="E578" t="s">
        <v>14</v>
      </c>
      <c r="F578">
        <v>18.440000000000001</v>
      </c>
      <c r="G578" t="s">
        <v>13</v>
      </c>
    </row>
    <row r="579" spans="1:7" x14ac:dyDescent="0.25">
      <c r="A579">
        <v>39</v>
      </c>
      <c r="B579" t="s">
        <v>271</v>
      </c>
      <c r="C579">
        <v>80</v>
      </c>
      <c r="D579" t="s">
        <v>16</v>
      </c>
      <c r="E579" t="s">
        <v>14</v>
      </c>
      <c r="F579">
        <v>114.346</v>
      </c>
      <c r="G579" t="s">
        <v>13</v>
      </c>
    </row>
    <row r="580" spans="1:7" x14ac:dyDescent="0.25">
      <c r="A580">
        <v>39</v>
      </c>
      <c r="B580" t="s">
        <v>271</v>
      </c>
      <c r="C580">
        <v>90</v>
      </c>
      <c r="D580" t="s">
        <v>96</v>
      </c>
      <c r="E580" t="s">
        <v>12</v>
      </c>
      <c r="F580">
        <v>0.105</v>
      </c>
      <c r="G580" t="s">
        <v>13</v>
      </c>
    </row>
    <row r="581" spans="1:7" x14ac:dyDescent="0.25">
      <c r="A581">
        <v>39</v>
      </c>
      <c r="B581" t="s">
        <v>271</v>
      </c>
      <c r="C581">
        <v>100</v>
      </c>
      <c r="D581" t="s">
        <v>123</v>
      </c>
      <c r="E581" t="s">
        <v>11</v>
      </c>
      <c r="F581">
        <v>4</v>
      </c>
      <c r="G581" t="s">
        <v>13</v>
      </c>
    </row>
    <row r="582" spans="1:7" x14ac:dyDescent="0.25">
      <c r="A582">
        <v>39</v>
      </c>
      <c r="B582" t="s">
        <v>271</v>
      </c>
      <c r="C582">
        <v>110</v>
      </c>
      <c r="D582" t="s">
        <v>100</v>
      </c>
      <c r="E582" t="s">
        <v>11</v>
      </c>
      <c r="F582">
        <v>1</v>
      </c>
      <c r="G582" t="s">
        <v>13</v>
      </c>
    </row>
    <row r="583" spans="1:7" x14ac:dyDescent="0.25">
      <c r="A583">
        <v>39</v>
      </c>
      <c r="B583" t="s">
        <v>271</v>
      </c>
      <c r="C583">
        <v>120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271</v>
      </c>
      <c r="C584">
        <v>130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271</v>
      </c>
      <c r="C585">
        <v>140</v>
      </c>
      <c r="D585" t="s">
        <v>114</v>
      </c>
      <c r="E585" t="s">
        <v>12</v>
      </c>
      <c r="F585">
        <v>0.74299999999999999</v>
      </c>
      <c r="G585" t="s">
        <v>13</v>
      </c>
    </row>
    <row r="586" spans="1:7" x14ac:dyDescent="0.25">
      <c r="A586">
        <v>39</v>
      </c>
      <c r="B586" t="s">
        <v>271</v>
      </c>
      <c r="C586">
        <v>150</v>
      </c>
      <c r="D586" t="s">
        <v>136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274</v>
      </c>
      <c r="C587">
        <v>10</v>
      </c>
      <c r="D587" t="s">
        <v>262</v>
      </c>
      <c r="E587" t="s">
        <v>14</v>
      </c>
      <c r="F587">
        <v>1.5489999999999999</v>
      </c>
      <c r="G587" t="s">
        <v>15</v>
      </c>
    </row>
    <row r="588" spans="1:7" x14ac:dyDescent="0.25">
      <c r="A588">
        <v>40</v>
      </c>
      <c r="B588" t="s">
        <v>274</v>
      </c>
      <c r="C588">
        <v>20</v>
      </c>
      <c r="D588" t="s">
        <v>275</v>
      </c>
      <c r="E588" t="s">
        <v>11</v>
      </c>
      <c r="F588">
        <v>1</v>
      </c>
      <c r="G588" t="s">
        <v>15</v>
      </c>
    </row>
    <row r="589" spans="1:7" x14ac:dyDescent="0.25">
      <c r="A589">
        <v>40</v>
      </c>
      <c r="B589" t="s">
        <v>274</v>
      </c>
      <c r="C589">
        <v>30</v>
      </c>
      <c r="D589" t="s">
        <v>276</v>
      </c>
      <c r="E589" t="s">
        <v>11</v>
      </c>
      <c r="F589">
        <v>1</v>
      </c>
      <c r="G589" t="s">
        <v>15</v>
      </c>
    </row>
    <row r="590" spans="1:7" x14ac:dyDescent="0.25">
      <c r="A590">
        <v>40</v>
      </c>
      <c r="B590" t="s">
        <v>274</v>
      </c>
      <c r="C590">
        <v>40</v>
      </c>
      <c r="D590" t="s">
        <v>112</v>
      </c>
      <c r="E590" t="s">
        <v>14</v>
      </c>
      <c r="F590">
        <v>1.5489999999999999</v>
      </c>
      <c r="G590" t="s">
        <v>15</v>
      </c>
    </row>
    <row r="591" spans="1:7" x14ac:dyDescent="0.25">
      <c r="A591">
        <v>40</v>
      </c>
      <c r="B591" t="s">
        <v>274</v>
      </c>
      <c r="C591">
        <v>50</v>
      </c>
      <c r="D591" t="s">
        <v>110</v>
      </c>
      <c r="E591" t="s">
        <v>111</v>
      </c>
      <c r="F591">
        <v>0.44500000000000001</v>
      </c>
      <c r="G591" t="s">
        <v>13</v>
      </c>
    </row>
    <row r="592" spans="1:7" x14ac:dyDescent="0.25">
      <c r="A592">
        <v>40</v>
      </c>
      <c r="B592" t="s">
        <v>274</v>
      </c>
      <c r="C592">
        <v>60</v>
      </c>
      <c r="D592" t="s">
        <v>95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274</v>
      </c>
      <c r="C593">
        <v>70</v>
      </c>
      <c r="D593" t="s">
        <v>113</v>
      </c>
      <c r="E593" t="s">
        <v>14</v>
      </c>
      <c r="F593">
        <v>20.268999999999998</v>
      </c>
      <c r="G593" t="s">
        <v>13</v>
      </c>
    </row>
    <row r="594" spans="1:7" x14ac:dyDescent="0.25">
      <c r="A594">
        <v>40</v>
      </c>
      <c r="B594" t="s">
        <v>274</v>
      </c>
      <c r="C594">
        <v>80</v>
      </c>
      <c r="D594" t="s">
        <v>16</v>
      </c>
      <c r="E594" t="s">
        <v>14</v>
      </c>
      <c r="F594">
        <v>125.593</v>
      </c>
      <c r="G594" t="s">
        <v>13</v>
      </c>
    </row>
    <row r="595" spans="1:7" x14ac:dyDescent="0.25">
      <c r="A595">
        <v>40</v>
      </c>
      <c r="B595" t="s">
        <v>274</v>
      </c>
      <c r="C595">
        <v>90</v>
      </c>
      <c r="D595" t="s">
        <v>96</v>
      </c>
      <c r="E595" t="s">
        <v>12</v>
      </c>
      <c r="F595">
        <v>0.126</v>
      </c>
      <c r="G595" t="s">
        <v>13</v>
      </c>
    </row>
    <row r="596" spans="1:7" x14ac:dyDescent="0.25">
      <c r="A596">
        <v>40</v>
      </c>
      <c r="B596" t="s">
        <v>274</v>
      </c>
      <c r="C596">
        <v>100</v>
      </c>
      <c r="D596" t="s">
        <v>123</v>
      </c>
      <c r="E596" t="s">
        <v>11</v>
      </c>
      <c r="F596">
        <v>4</v>
      </c>
      <c r="G596" t="s">
        <v>13</v>
      </c>
    </row>
    <row r="597" spans="1:7" x14ac:dyDescent="0.25">
      <c r="A597">
        <v>40</v>
      </c>
      <c r="B597" t="s">
        <v>274</v>
      </c>
      <c r="C597">
        <v>110</v>
      </c>
      <c r="D597" t="s">
        <v>100</v>
      </c>
      <c r="E597" t="s">
        <v>11</v>
      </c>
      <c r="F597">
        <v>1</v>
      </c>
      <c r="G597" t="s">
        <v>13</v>
      </c>
    </row>
    <row r="598" spans="1:7" x14ac:dyDescent="0.25">
      <c r="A598">
        <v>40</v>
      </c>
      <c r="B598" t="s">
        <v>274</v>
      </c>
      <c r="C598">
        <v>120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274</v>
      </c>
      <c r="C599">
        <v>130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274</v>
      </c>
      <c r="C600">
        <v>140</v>
      </c>
      <c r="D600" t="s">
        <v>114</v>
      </c>
      <c r="E600" t="s">
        <v>12</v>
      </c>
      <c r="F600">
        <v>0.90500000000000003</v>
      </c>
      <c r="G600" t="s">
        <v>13</v>
      </c>
    </row>
    <row r="601" spans="1:7" x14ac:dyDescent="0.25">
      <c r="A601">
        <v>40</v>
      </c>
      <c r="B601" t="s">
        <v>274</v>
      </c>
      <c r="C601">
        <v>150</v>
      </c>
      <c r="D601" t="s">
        <v>140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277</v>
      </c>
      <c r="C602">
        <v>10</v>
      </c>
      <c r="D602" t="s">
        <v>262</v>
      </c>
      <c r="E602" t="s">
        <v>14</v>
      </c>
      <c r="F602">
        <v>1.702</v>
      </c>
      <c r="G602" t="s">
        <v>15</v>
      </c>
    </row>
    <row r="603" spans="1:7" x14ac:dyDescent="0.25">
      <c r="A603">
        <v>41</v>
      </c>
      <c r="B603" t="s">
        <v>277</v>
      </c>
      <c r="C603">
        <v>20</v>
      </c>
      <c r="D603" t="s">
        <v>278</v>
      </c>
      <c r="E603" t="s">
        <v>11</v>
      </c>
      <c r="F603">
        <v>1</v>
      </c>
      <c r="G603" t="s">
        <v>15</v>
      </c>
    </row>
    <row r="604" spans="1:7" x14ac:dyDescent="0.25">
      <c r="A604">
        <v>41</v>
      </c>
      <c r="B604" t="s">
        <v>277</v>
      </c>
      <c r="C604">
        <v>30</v>
      </c>
      <c r="D604" t="s">
        <v>279</v>
      </c>
      <c r="E604" t="s">
        <v>11</v>
      </c>
      <c r="F604">
        <v>1</v>
      </c>
      <c r="G604" t="s">
        <v>15</v>
      </c>
    </row>
    <row r="605" spans="1:7" x14ac:dyDescent="0.25">
      <c r="A605">
        <v>41</v>
      </c>
      <c r="B605" t="s">
        <v>277</v>
      </c>
      <c r="C605">
        <v>40</v>
      </c>
      <c r="D605" t="s">
        <v>112</v>
      </c>
      <c r="E605" t="s">
        <v>14</v>
      </c>
      <c r="F605">
        <v>1.702</v>
      </c>
      <c r="G605" t="s">
        <v>15</v>
      </c>
    </row>
    <row r="606" spans="1:7" x14ac:dyDescent="0.25">
      <c r="A606">
        <v>41</v>
      </c>
      <c r="B606" t="s">
        <v>277</v>
      </c>
      <c r="C606">
        <v>50</v>
      </c>
      <c r="D606" t="s">
        <v>110</v>
      </c>
      <c r="E606" t="s">
        <v>111</v>
      </c>
      <c r="F606">
        <v>0.48799999999999999</v>
      </c>
      <c r="G606" t="s">
        <v>13</v>
      </c>
    </row>
    <row r="607" spans="1:7" x14ac:dyDescent="0.25">
      <c r="A607">
        <v>41</v>
      </c>
      <c r="B607" t="s">
        <v>277</v>
      </c>
      <c r="C607">
        <v>60</v>
      </c>
      <c r="D607" t="s">
        <v>95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277</v>
      </c>
      <c r="C608">
        <v>70</v>
      </c>
      <c r="D608" t="s">
        <v>113</v>
      </c>
      <c r="E608" t="s">
        <v>14</v>
      </c>
      <c r="F608">
        <v>21.184000000000001</v>
      </c>
      <c r="G608" t="s">
        <v>13</v>
      </c>
    </row>
    <row r="609" spans="1:7" x14ac:dyDescent="0.25">
      <c r="A609">
        <v>41</v>
      </c>
      <c r="B609" t="s">
        <v>277</v>
      </c>
      <c r="C609">
        <v>80</v>
      </c>
      <c r="D609" t="s">
        <v>16</v>
      </c>
      <c r="E609" t="s">
        <v>14</v>
      </c>
      <c r="F609">
        <v>131.21600000000001</v>
      </c>
      <c r="G609" t="s">
        <v>13</v>
      </c>
    </row>
    <row r="610" spans="1:7" x14ac:dyDescent="0.25">
      <c r="A610">
        <v>41</v>
      </c>
      <c r="B610" t="s">
        <v>277</v>
      </c>
      <c r="C610">
        <v>90</v>
      </c>
      <c r="D610" t="s">
        <v>96</v>
      </c>
      <c r="E610" t="s">
        <v>12</v>
      </c>
      <c r="F610">
        <v>0.13700000000000001</v>
      </c>
      <c r="G610" t="s">
        <v>13</v>
      </c>
    </row>
    <row r="611" spans="1:7" x14ac:dyDescent="0.25">
      <c r="A611">
        <v>41</v>
      </c>
      <c r="B611" t="s">
        <v>277</v>
      </c>
      <c r="C611">
        <v>100</v>
      </c>
      <c r="D611" t="s">
        <v>123</v>
      </c>
      <c r="E611" t="s">
        <v>11</v>
      </c>
      <c r="F611">
        <v>4</v>
      </c>
      <c r="G611" t="s">
        <v>13</v>
      </c>
    </row>
    <row r="612" spans="1:7" x14ac:dyDescent="0.25">
      <c r="A612">
        <v>41</v>
      </c>
      <c r="B612" t="s">
        <v>277</v>
      </c>
      <c r="C612">
        <v>110</v>
      </c>
      <c r="D612" t="s">
        <v>100</v>
      </c>
      <c r="E612" t="s">
        <v>11</v>
      </c>
      <c r="F612">
        <v>1</v>
      </c>
      <c r="G612" t="s">
        <v>13</v>
      </c>
    </row>
    <row r="613" spans="1:7" x14ac:dyDescent="0.25">
      <c r="A613">
        <v>41</v>
      </c>
      <c r="B613" t="s">
        <v>277</v>
      </c>
      <c r="C613">
        <v>120</v>
      </c>
      <c r="D613" t="s">
        <v>20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277</v>
      </c>
      <c r="C614">
        <v>130</v>
      </c>
      <c r="D614" t="s">
        <v>21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277</v>
      </c>
      <c r="C615">
        <v>140</v>
      </c>
      <c r="D615" t="s">
        <v>114</v>
      </c>
      <c r="E615" t="s">
        <v>12</v>
      </c>
      <c r="F615">
        <v>0.98599999999999999</v>
      </c>
      <c r="G615" t="s">
        <v>13</v>
      </c>
    </row>
    <row r="616" spans="1:7" x14ac:dyDescent="0.25">
      <c r="A616">
        <v>41</v>
      </c>
      <c r="B616" t="s">
        <v>277</v>
      </c>
      <c r="C616">
        <v>150</v>
      </c>
      <c r="D616" t="s">
        <v>144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280</v>
      </c>
      <c r="C617">
        <v>10</v>
      </c>
      <c r="D617" t="s">
        <v>262</v>
      </c>
      <c r="E617" t="s">
        <v>14</v>
      </c>
      <c r="F617">
        <v>1.8540000000000001</v>
      </c>
      <c r="G617" t="s">
        <v>15</v>
      </c>
    </row>
    <row r="618" spans="1:7" x14ac:dyDescent="0.25">
      <c r="A618">
        <v>42</v>
      </c>
      <c r="B618" t="s">
        <v>280</v>
      </c>
      <c r="C618">
        <v>20</v>
      </c>
      <c r="D618" t="s">
        <v>281</v>
      </c>
      <c r="E618" t="s">
        <v>11</v>
      </c>
      <c r="F618">
        <v>1</v>
      </c>
      <c r="G618" t="s">
        <v>15</v>
      </c>
    </row>
    <row r="619" spans="1:7" x14ac:dyDescent="0.25">
      <c r="A619">
        <v>42</v>
      </c>
      <c r="B619" t="s">
        <v>280</v>
      </c>
      <c r="C619">
        <v>30</v>
      </c>
      <c r="D619" t="s">
        <v>282</v>
      </c>
      <c r="E619" t="s">
        <v>11</v>
      </c>
      <c r="F619">
        <v>1</v>
      </c>
      <c r="G619" t="s">
        <v>15</v>
      </c>
    </row>
    <row r="620" spans="1:7" x14ac:dyDescent="0.25">
      <c r="A620">
        <v>42</v>
      </c>
      <c r="B620" t="s">
        <v>280</v>
      </c>
      <c r="C620">
        <v>40</v>
      </c>
      <c r="D620" t="s">
        <v>112</v>
      </c>
      <c r="E620" t="s">
        <v>14</v>
      </c>
      <c r="F620">
        <v>1.8540000000000001</v>
      </c>
      <c r="G620" t="s">
        <v>15</v>
      </c>
    </row>
    <row r="621" spans="1:7" x14ac:dyDescent="0.25">
      <c r="A621">
        <v>42</v>
      </c>
      <c r="B621" t="s">
        <v>280</v>
      </c>
      <c r="C621">
        <v>50</v>
      </c>
      <c r="D621" t="s">
        <v>110</v>
      </c>
      <c r="E621" t="s">
        <v>111</v>
      </c>
      <c r="F621">
        <v>0.53200000000000003</v>
      </c>
      <c r="G621" t="s">
        <v>13</v>
      </c>
    </row>
    <row r="622" spans="1:7" x14ac:dyDescent="0.25">
      <c r="A622">
        <v>42</v>
      </c>
      <c r="B622" t="s">
        <v>280</v>
      </c>
      <c r="C622">
        <v>60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280</v>
      </c>
      <c r="C623">
        <v>70</v>
      </c>
      <c r="D623" t="s">
        <v>113</v>
      </c>
      <c r="E623" t="s">
        <v>14</v>
      </c>
      <c r="F623">
        <v>22.097999999999999</v>
      </c>
      <c r="G623" t="s">
        <v>13</v>
      </c>
    </row>
    <row r="624" spans="1:7" x14ac:dyDescent="0.25">
      <c r="A624">
        <v>42</v>
      </c>
      <c r="B624" t="s">
        <v>280</v>
      </c>
      <c r="C624">
        <v>80</v>
      </c>
      <c r="D624" t="s">
        <v>16</v>
      </c>
      <c r="E624" t="s">
        <v>14</v>
      </c>
      <c r="F624">
        <v>136.84</v>
      </c>
      <c r="G624" t="s">
        <v>13</v>
      </c>
    </row>
    <row r="625" spans="1:7" x14ac:dyDescent="0.25">
      <c r="A625">
        <v>42</v>
      </c>
      <c r="B625" t="s">
        <v>280</v>
      </c>
      <c r="C625">
        <v>90</v>
      </c>
      <c r="D625" t="s">
        <v>96</v>
      </c>
      <c r="E625" t="s">
        <v>12</v>
      </c>
      <c r="F625">
        <v>0.14799999999999999</v>
      </c>
      <c r="G625" t="s">
        <v>13</v>
      </c>
    </row>
    <row r="626" spans="1:7" x14ac:dyDescent="0.25">
      <c r="A626">
        <v>42</v>
      </c>
      <c r="B626" t="s">
        <v>280</v>
      </c>
      <c r="C626">
        <v>100</v>
      </c>
      <c r="D626" t="s">
        <v>123</v>
      </c>
      <c r="E626" t="s">
        <v>11</v>
      </c>
      <c r="F626">
        <v>4</v>
      </c>
      <c r="G626" t="s">
        <v>13</v>
      </c>
    </row>
    <row r="627" spans="1:7" x14ac:dyDescent="0.25">
      <c r="A627">
        <v>42</v>
      </c>
      <c r="B627" t="s">
        <v>280</v>
      </c>
      <c r="C627">
        <v>110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42</v>
      </c>
      <c r="B628" t="s">
        <v>280</v>
      </c>
      <c r="C628">
        <v>120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280</v>
      </c>
      <c r="C629">
        <v>130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280</v>
      </c>
      <c r="C630">
        <v>140</v>
      </c>
      <c r="D630" t="s">
        <v>114</v>
      </c>
      <c r="E630" t="s">
        <v>12</v>
      </c>
      <c r="F630">
        <v>1.0669999999999999</v>
      </c>
      <c r="G630" t="s">
        <v>13</v>
      </c>
    </row>
    <row r="631" spans="1:7" x14ac:dyDescent="0.25">
      <c r="A631">
        <v>42</v>
      </c>
      <c r="B631" t="s">
        <v>280</v>
      </c>
      <c r="C631">
        <v>150</v>
      </c>
      <c r="D631" t="s">
        <v>148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283</v>
      </c>
      <c r="C632">
        <v>10</v>
      </c>
      <c r="D632" t="s">
        <v>262</v>
      </c>
      <c r="E632" t="s">
        <v>14</v>
      </c>
      <c r="F632">
        <v>0.78700000000000003</v>
      </c>
      <c r="G632" t="s">
        <v>15</v>
      </c>
    </row>
    <row r="633" spans="1:7" x14ac:dyDescent="0.25">
      <c r="A633">
        <v>43</v>
      </c>
      <c r="B633" t="s">
        <v>283</v>
      </c>
      <c r="C633">
        <v>20</v>
      </c>
      <c r="D633" t="s">
        <v>284</v>
      </c>
      <c r="E633" t="s">
        <v>11</v>
      </c>
      <c r="F633">
        <v>1</v>
      </c>
      <c r="G633" t="s">
        <v>15</v>
      </c>
    </row>
    <row r="634" spans="1:7" x14ac:dyDescent="0.25">
      <c r="A634">
        <v>43</v>
      </c>
      <c r="B634" t="s">
        <v>283</v>
      </c>
      <c r="C634">
        <v>30</v>
      </c>
      <c r="D634" t="s">
        <v>285</v>
      </c>
      <c r="E634" t="s">
        <v>11</v>
      </c>
      <c r="F634">
        <v>1</v>
      </c>
      <c r="G634" t="s">
        <v>15</v>
      </c>
    </row>
    <row r="635" spans="1:7" x14ac:dyDescent="0.25">
      <c r="A635">
        <v>43</v>
      </c>
      <c r="B635" t="s">
        <v>283</v>
      </c>
      <c r="C635">
        <v>40</v>
      </c>
      <c r="D635" t="s">
        <v>112</v>
      </c>
      <c r="E635" t="s">
        <v>14</v>
      </c>
      <c r="F635">
        <v>0.78700000000000003</v>
      </c>
      <c r="G635" t="s">
        <v>15</v>
      </c>
    </row>
    <row r="636" spans="1:7" x14ac:dyDescent="0.25">
      <c r="A636">
        <v>43</v>
      </c>
      <c r="B636" t="s">
        <v>283</v>
      </c>
      <c r="C636">
        <v>50</v>
      </c>
      <c r="D636" t="s">
        <v>110</v>
      </c>
      <c r="E636" t="s">
        <v>111</v>
      </c>
      <c r="F636">
        <v>0.23499999999999999</v>
      </c>
      <c r="G636" t="s">
        <v>13</v>
      </c>
    </row>
    <row r="637" spans="1:7" x14ac:dyDescent="0.25">
      <c r="A637">
        <v>43</v>
      </c>
      <c r="B637" t="s">
        <v>283</v>
      </c>
      <c r="C637">
        <v>60</v>
      </c>
      <c r="D637" t="s">
        <v>95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283</v>
      </c>
      <c r="C638">
        <v>70</v>
      </c>
      <c r="D638" t="s">
        <v>113</v>
      </c>
      <c r="E638" t="s">
        <v>14</v>
      </c>
      <c r="F638">
        <v>16.154</v>
      </c>
      <c r="G638" t="s">
        <v>13</v>
      </c>
    </row>
    <row r="639" spans="1:7" x14ac:dyDescent="0.25">
      <c r="A639">
        <v>43</v>
      </c>
      <c r="B639" t="s">
        <v>283</v>
      </c>
      <c r="C639">
        <v>80</v>
      </c>
      <c r="D639" t="s">
        <v>16</v>
      </c>
      <c r="E639" t="s">
        <v>14</v>
      </c>
      <c r="F639">
        <v>100.28700000000001</v>
      </c>
      <c r="G639" t="s">
        <v>13</v>
      </c>
    </row>
    <row r="640" spans="1:7" x14ac:dyDescent="0.25">
      <c r="A640">
        <v>43</v>
      </c>
      <c r="B640" t="s">
        <v>283</v>
      </c>
      <c r="C640">
        <v>90</v>
      </c>
      <c r="D640" t="s">
        <v>96</v>
      </c>
      <c r="E640" t="s">
        <v>12</v>
      </c>
      <c r="F640">
        <v>7.2999999999999995E-2</v>
      </c>
      <c r="G640" t="s">
        <v>13</v>
      </c>
    </row>
    <row r="641" spans="1:7" x14ac:dyDescent="0.25">
      <c r="A641">
        <v>43</v>
      </c>
      <c r="B641" t="s">
        <v>283</v>
      </c>
      <c r="C641">
        <v>100</v>
      </c>
      <c r="D641" t="s">
        <v>123</v>
      </c>
      <c r="E641" t="s">
        <v>11</v>
      </c>
      <c r="F641">
        <v>4</v>
      </c>
      <c r="G641" t="s">
        <v>13</v>
      </c>
    </row>
    <row r="642" spans="1:7" x14ac:dyDescent="0.25">
      <c r="A642">
        <v>43</v>
      </c>
      <c r="B642" t="s">
        <v>283</v>
      </c>
      <c r="C642">
        <v>110</v>
      </c>
      <c r="D642" t="s">
        <v>100</v>
      </c>
      <c r="E642" t="s">
        <v>11</v>
      </c>
      <c r="F642">
        <v>1</v>
      </c>
      <c r="G642" t="s">
        <v>13</v>
      </c>
    </row>
    <row r="643" spans="1:7" x14ac:dyDescent="0.25">
      <c r="A643">
        <v>43</v>
      </c>
      <c r="B643" t="s">
        <v>283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283</v>
      </c>
      <c r="C644">
        <v>130</v>
      </c>
      <c r="D644" t="s">
        <v>21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283</v>
      </c>
      <c r="C645">
        <v>140</v>
      </c>
      <c r="D645" t="s">
        <v>114</v>
      </c>
      <c r="E645" t="s">
        <v>12</v>
      </c>
      <c r="F645">
        <v>0.5</v>
      </c>
      <c r="G645" t="s">
        <v>13</v>
      </c>
    </row>
    <row r="646" spans="1:7" x14ac:dyDescent="0.25">
      <c r="A646">
        <v>43</v>
      </c>
      <c r="B646" t="s">
        <v>283</v>
      </c>
      <c r="C646">
        <v>150</v>
      </c>
      <c r="D646" t="s">
        <v>152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286</v>
      </c>
      <c r="C647">
        <v>10</v>
      </c>
      <c r="D647" t="s">
        <v>262</v>
      </c>
      <c r="E647" t="s">
        <v>14</v>
      </c>
      <c r="F647">
        <v>0.94</v>
      </c>
      <c r="G647" t="s">
        <v>15</v>
      </c>
    </row>
    <row r="648" spans="1:7" x14ac:dyDescent="0.25">
      <c r="A648">
        <v>44</v>
      </c>
      <c r="B648" t="s">
        <v>286</v>
      </c>
      <c r="C648">
        <v>20</v>
      </c>
      <c r="D648" t="s">
        <v>287</v>
      </c>
      <c r="E648" t="s">
        <v>11</v>
      </c>
      <c r="F648">
        <v>1</v>
      </c>
      <c r="G648" t="s">
        <v>15</v>
      </c>
    </row>
    <row r="649" spans="1:7" x14ac:dyDescent="0.25">
      <c r="A649">
        <v>44</v>
      </c>
      <c r="B649" t="s">
        <v>286</v>
      </c>
      <c r="C649">
        <v>30</v>
      </c>
      <c r="D649" t="s">
        <v>288</v>
      </c>
      <c r="E649" t="s">
        <v>11</v>
      </c>
      <c r="F649">
        <v>1</v>
      </c>
      <c r="G649" t="s">
        <v>15</v>
      </c>
    </row>
    <row r="650" spans="1:7" x14ac:dyDescent="0.25">
      <c r="A650">
        <v>44</v>
      </c>
      <c r="B650" t="s">
        <v>286</v>
      </c>
      <c r="C650">
        <v>40</v>
      </c>
      <c r="D650" t="s">
        <v>112</v>
      </c>
      <c r="E650" t="s">
        <v>14</v>
      </c>
      <c r="F650">
        <v>0.94</v>
      </c>
      <c r="G650" t="s">
        <v>15</v>
      </c>
    </row>
    <row r="651" spans="1:7" x14ac:dyDescent="0.25">
      <c r="A651">
        <v>44</v>
      </c>
      <c r="B651" t="s">
        <v>286</v>
      </c>
      <c r="C651">
        <v>50</v>
      </c>
      <c r="D651" t="s">
        <v>110</v>
      </c>
      <c r="E651" t="s">
        <v>111</v>
      </c>
      <c r="F651">
        <v>0.28100000000000003</v>
      </c>
      <c r="G651" t="s">
        <v>13</v>
      </c>
    </row>
    <row r="652" spans="1:7" x14ac:dyDescent="0.25">
      <c r="A652">
        <v>44</v>
      </c>
      <c r="B652" t="s">
        <v>286</v>
      </c>
      <c r="C652">
        <v>60</v>
      </c>
      <c r="D652" t="s">
        <v>95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286</v>
      </c>
      <c r="C653">
        <v>70</v>
      </c>
      <c r="D653" t="s">
        <v>113</v>
      </c>
      <c r="E653" t="s">
        <v>14</v>
      </c>
      <c r="F653">
        <v>17.068999999999999</v>
      </c>
      <c r="G653" t="s">
        <v>13</v>
      </c>
    </row>
    <row r="654" spans="1:7" x14ac:dyDescent="0.25">
      <c r="A654">
        <v>44</v>
      </c>
      <c r="B654" t="s">
        <v>286</v>
      </c>
      <c r="C654">
        <v>80</v>
      </c>
      <c r="D654" t="s">
        <v>16</v>
      </c>
      <c r="E654" t="s">
        <v>14</v>
      </c>
      <c r="F654">
        <v>105.91</v>
      </c>
      <c r="G654" t="s">
        <v>13</v>
      </c>
    </row>
    <row r="655" spans="1:7" x14ac:dyDescent="0.25">
      <c r="A655">
        <v>44</v>
      </c>
      <c r="B655" t="s">
        <v>286</v>
      </c>
      <c r="C655">
        <v>90</v>
      </c>
      <c r="D655" t="s">
        <v>96</v>
      </c>
      <c r="E655" t="s">
        <v>12</v>
      </c>
      <c r="F655">
        <v>8.4000000000000005E-2</v>
      </c>
      <c r="G655" t="s">
        <v>13</v>
      </c>
    </row>
    <row r="656" spans="1:7" x14ac:dyDescent="0.25">
      <c r="A656">
        <v>44</v>
      </c>
      <c r="B656" t="s">
        <v>286</v>
      </c>
      <c r="C656">
        <v>100</v>
      </c>
      <c r="D656" t="s">
        <v>123</v>
      </c>
      <c r="E656" t="s">
        <v>11</v>
      </c>
      <c r="F656">
        <v>4</v>
      </c>
      <c r="G656" t="s">
        <v>13</v>
      </c>
    </row>
    <row r="657" spans="1:7" x14ac:dyDescent="0.25">
      <c r="A657">
        <v>44</v>
      </c>
      <c r="B657" t="s">
        <v>286</v>
      </c>
      <c r="C657">
        <v>110</v>
      </c>
      <c r="D657" t="s">
        <v>100</v>
      </c>
      <c r="E657" t="s">
        <v>11</v>
      </c>
      <c r="F657">
        <v>1</v>
      </c>
      <c r="G657" t="s">
        <v>13</v>
      </c>
    </row>
    <row r="658" spans="1:7" x14ac:dyDescent="0.25">
      <c r="A658">
        <v>44</v>
      </c>
      <c r="B658" t="s">
        <v>286</v>
      </c>
      <c r="C658">
        <v>120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286</v>
      </c>
      <c r="C659">
        <v>130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286</v>
      </c>
      <c r="C660">
        <v>140</v>
      </c>
      <c r="D660" t="s">
        <v>114</v>
      </c>
      <c r="E660" t="s">
        <v>12</v>
      </c>
      <c r="F660">
        <v>0.58099999999999996</v>
      </c>
      <c r="G660" t="s">
        <v>13</v>
      </c>
    </row>
    <row r="661" spans="1:7" x14ac:dyDescent="0.25">
      <c r="A661">
        <v>44</v>
      </c>
      <c r="B661" t="s">
        <v>286</v>
      </c>
      <c r="C661">
        <v>150</v>
      </c>
      <c r="D661" t="s">
        <v>156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289</v>
      </c>
      <c r="C662">
        <v>10</v>
      </c>
      <c r="D662" t="s">
        <v>262</v>
      </c>
      <c r="E662" t="s">
        <v>14</v>
      </c>
      <c r="F662">
        <v>1.0920000000000001</v>
      </c>
      <c r="G662" t="s">
        <v>15</v>
      </c>
    </row>
    <row r="663" spans="1:7" x14ac:dyDescent="0.25">
      <c r="A663">
        <v>45</v>
      </c>
      <c r="B663" t="s">
        <v>289</v>
      </c>
      <c r="C663">
        <v>20</v>
      </c>
      <c r="D663" t="s">
        <v>290</v>
      </c>
      <c r="E663" t="s">
        <v>11</v>
      </c>
      <c r="F663">
        <v>1</v>
      </c>
      <c r="G663" t="s">
        <v>15</v>
      </c>
    </row>
    <row r="664" spans="1:7" x14ac:dyDescent="0.25">
      <c r="A664">
        <v>45</v>
      </c>
      <c r="B664" t="s">
        <v>289</v>
      </c>
      <c r="C664">
        <v>30</v>
      </c>
      <c r="D664" t="s">
        <v>291</v>
      </c>
      <c r="E664" t="s">
        <v>11</v>
      </c>
      <c r="F664">
        <v>1</v>
      </c>
      <c r="G664" t="s">
        <v>15</v>
      </c>
    </row>
    <row r="665" spans="1:7" x14ac:dyDescent="0.25">
      <c r="A665">
        <v>45</v>
      </c>
      <c r="B665" t="s">
        <v>289</v>
      </c>
      <c r="C665">
        <v>40</v>
      </c>
      <c r="D665" t="s">
        <v>112</v>
      </c>
      <c r="E665" t="s">
        <v>14</v>
      </c>
      <c r="F665">
        <v>1.0920000000000001</v>
      </c>
      <c r="G665" t="s">
        <v>15</v>
      </c>
    </row>
    <row r="666" spans="1:7" x14ac:dyDescent="0.25">
      <c r="A666">
        <v>45</v>
      </c>
      <c r="B666" t="s">
        <v>289</v>
      </c>
      <c r="C666">
        <v>50</v>
      </c>
      <c r="D666" t="s">
        <v>110</v>
      </c>
      <c r="E666" t="s">
        <v>111</v>
      </c>
      <c r="F666">
        <v>0.32600000000000001</v>
      </c>
      <c r="G666" t="s">
        <v>13</v>
      </c>
    </row>
    <row r="667" spans="1:7" x14ac:dyDescent="0.25">
      <c r="A667">
        <v>45</v>
      </c>
      <c r="B667" t="s">
        <v>289</v>
      </c>
      <c r="C667">
        <v>60</v>
      </c>
      <c r="D667" t="s">
        <v>95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289</v>
      </c>
      <c r="C668">
        <v>70</v>
      </c>
      <c r="D668" t="s">
        <v>113</v>
      </c>
      <c r="E668" t="s">
        <v>14</v>
      </c>
      <c r="F668">
        <v>17.983000000000001</v>
      </c>
      <c r="G668" t="s">
        <v>13</v>
      </c>
    </row>
    <row r="669" spans="1:7" x14ac:dyDescent="0.25">
      <c r="A669">
        <v>45</v>
      </c>
      <c r="B669" t="s">
        <v>289</v>
      </c>
      <c r="C669">
        <v>80</v>
      </c>
      <c r="D669" t="s">
        <v>16</v>
      </c>
      <c r="E669" t="s">
        <v>14</v>
      </c>
      <c r="F669">
        <v>111.53400000000001</v>
      </c>
      <c r="G669" t="s">
        <v>13</v>
      </c>
    </row>
    <row r="670" spans="1:7" x14ac:dyDescent="0.25">
      <c r="A670">
        <v>45</v>
      </c>
      <c r="B670" t="s">
        <v>289</v>
      </c>
      <c r="C670">
        <v>90</v>
      </c>
      <c r="D670" t="s">
        <v>96</v>
      </c>
      <c r="E670" t="s">
        <v>12</v>
      </c>
      <c r="F670">
        <v>9.4E-2</v>
      </c>
      <c r="G670" t="s">
        <v>13</v>
      </c>
    </row>
    <row r="671" spans="1:7" x14ac:dyDescent="0.25">
      <c r="A671">
        <v>45</v>
      </c>
      <c r="B671" t="s">
        <v>289</v>
      </c>
      <c r="C671">
        <v>100</v>
      </c>
      <c r="D671" t="s">
        <v>123</v>
      </c>
      <c r="E671" t="s">
        <v>11</v>
      </c>
      <c r="F671">
        <v>4</v>
      </c>
      <c r="G671" t="s">
        <v>13</v>
      </c>
    </row>
    <row r="672" spans="1:7" x14ac:dyDescent="0.25">
      <c r="A672">
        <v>45</v>
      </c>
      <c r="B672" t="s">
        <v>289</v>
      </c>
      <c r="C672">
        <v>110</v>
      </c>
      <c r="D672" t="s">
        <v>100</v>
      </c>
      <c r="E672" t="s">
        <v>11</v>
      </c>
      <c r="F672">
        <v>1</v>
      </c>
      <c r="G672" t="s">
        <v>13</v>
      </c>
    </row>
    <row r="673" spans="1:7" x14ac:dyDescent="0.25">
      <c r="A673">
        <v>45</v>
      </c>
      <c r="B673" t="s">
        <v>289</v>
      </c>
      <c r="C673">
        <v>120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289</v>
      </c>
      <c r="C674">
        <v>130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289</v>
      </c>
      <c r="C675">
        <v>140</v>
      </c>
      <c r="D675" t="s">
        <v>114</v>
      </c>
      <c r="E675" t="s">
        <v>12</v>
      </c>
      <c r="F675">
        <v>0.66200000000000003</v>
      </c>
      <c r="G675" t="s">
        <v>13</v>
      </c>
    </row>
    <row r="676" spans="1:7" x14ac:dyDescent="0.25">
      <c r="A676">
        <v>45</v>
      </c>
      <c r="B676" t="s">
        <v>289</v>
      </c>
      <c r="C676">
        <v>150</v>
      </c>
      <c r="D676" t="s">
        <v>160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292</v>
      </c>
      <c r="C677">
        <v>10</v>
      </c>
      <c r="D677" t="s">
        <v>262</v>
      </c>
      <c r="E677" t="s">
        <v>14</v>
      </c>
      <c r="F677">
        <v>1.2450000000000001</v>
      </c>
      <c r="G677" t="s">
        <v>15</v>
      </c>
    </row>
    <row r="678" spans="1:7" x14ac:dyDescent="0.25">
      <c r="A678">
        <v>46</v>
      </c>
      <c r="B678" t="s">
        <v>292</v>
      </c>
      <c r="C678">
        <v>20</v>
      </c>
      <c r="D678" t="s">
        <v>293</v>
      </c>
      <c r="E678" t="s">
        <v>11</v>
      </c>
      <c r="F678">
        <v>1</v>
      </c>
      <c r="G678" t="s">
        <v>15</v>
      </c>
    </row>
    <row r="679" spans="1:7" x14ac:dyDescent="0.25">
      <c r="A679">
        <v>46</v>
      </c>
      <c r="B679" t="s">
        <v>292</v>
      </c>
      <c r="C679">
        <v>30</v>
      </c>
      <c r="D679" t="s">
        <v>294</v>
      </c>
      <c r="E679" t="s">
        <v>11</v>
      </c>
      <c r="F679">
        <v>1</v>
      </c>
      <c r="G679" t="s">
        <v>15</v>
      </c>
    </row>
    <row r="680" spans="1:7" x14ac:dyDescent="0.25">
      <c r="A680">
        <v>46</v>
      </c>
      <c r="B680" t="s">
        <v>292</v>
      </c>
      <c r="C680">
        <v>40</v>
      </c>
      <c r="D680" t="s">
        <v>112</v>
      </c>
      <c r="E680" t="s">
        <v>14</v>
      </c>
      <c r="F680">
        <v>1.2450000000000001</v>
      </c>
      <c r="G680" t="s">
        <v>15</v>
      </c>
    </row>
    <row r="681" spans="1:7" x14ac:dyDescent="0.25">
      <c r="A681">
        <v>46</v>
      </c>
      <c r="B681" t="s">
        <v>292</v>
      </c>
      <c r="C681">
        <v>50</v>
      </c>
      <c r="D681" t="s">
        <v>110</v>
      </c>
      <c r="E681" t="s">
        <v>111</v>
      </c>
      <c r="F681">
        <v>0.372</v>
      </c>
      <c r="G681" t="s">
        <v>13</v>
      </c>
    </row>
    <row r="682" spans="1:7" x14ac:dyDescent="0.25">
      <c r="A682">
        <v>46</v>
      </c>
      <c r="B682" t="s">
        <v>292</v>
      </c>
      <c r="C682">
        <v>60</v>
      </c>
      <c r="D682" t="s">
        <v>95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292</v>
      </c>
      <c r="C683">
        <v>70</v>
      </c>
      <c r="D683" t="s">
        <v>113</v>
      </c>
      <c r="E683" t="s">
        <v>14</v>
      </c>
      <c r="F683">
        <v>18.898</v>
      </c>
      <c r="G683" t="s">
        <v>13</v>
      </c>
    </row>
    <row r="684" spans="1:7" x14ac:dyDescent="0.25">
      <c r="A684">
        <v>46</v>
      </c>
      <c r="B684" t="s">
        <v>292</v>
      </c>
      <c r="C684">
        <v>80</v>
      </c>
      <c r="D684" t="s">
        <v>16</v>
      </c>
      <c r="E684" t="s">
        <v>14</v>
      </c>
      <c r="F684">
        <v>117.158</v>
      </c>
      <c r="G684" t="s">
        <v>13</v>
      </c>
    </row>
    <row r="685" spans="1:7" x14ac:dyDescent="0.25">
      <c r="A685">
        <v>46</v>
      </c>
      <c r="B685" t="s">
        <v>292</v>
      </c>
      <c r="C685">
        <v>90</v>
      </c>
      <c r="D685" t="s">
        <v>96</v>
      </c>
      <c r="E685" t="s">
        <v>12</v>
      </c>
      <c r="F685">
        <v>0.105</v>
      </c>
      <c r="G685" t="s">
        <v>13</v>
      </c>
    </row>
    <row r="686" spans="1:7" x14ac:dyDescent="0.25">
      <c r="A686">
        <v>46</v>
      </c>
      <c r="B686" t="s">
        <v>292</v>
      </c>
      <c r="C686">
        <v>100</v>
      </c>
      <c r="D686" t="s">
        <v>123</v>
      </c>
      <c r="E686" t="s">
        <v>11</v>
      </c>
      <c r="F686">
        <v>4</v>
      </c>
      <c r="G686" t="s">
        <v>13</v>
      </c>
    </row>
    <row r="687" spans="1:7" x14ac:dyDescent="0.25">
      <c r="A687">
        <v>46</v>
      </c>
      <c r="B687" t="s">
        <v>292</v>
      </c>
      <c r="C687">
        <v>110</v>
      </c>
      <c r="D687" t="s">
        <v>100</v>
      </c>
      <c r="E687" t="s">
        <v>11</v>
      </c>
      <c r="F687">
        <v>1</v>
      </c>
      <c r="G687" t="s">
        <v>13</v>
      </c>
    </row>
    <row r="688" spans="1:7" x14ac:dyDescent="0.25">
      <c r="A688">
        <v>46</v>
      </c>
      <c r="B688" t="s">
        <v>292</v>
      </c>
      <c r="C688">
        <v>120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292</v>
      </c>
      <c r="C689">
        <v>130</v>
      </c>
      <c r="D689" t="s">
        <v>21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292</v>
      </c>
      <c r="C690">
        <v>140</v>
      </c>
      <c r="D690" t="s">
        <v>114</v>
      </c>
      <c r="E690" t="s">
        <v>12</v>
      </c>
      <c r="F690">
        <v>0.74299999999999999</v>
      </c>
      <c r="G690" t="s">
        <v>13</v>
      </c>
    </row>
    <row r="691" spans="1:7" x14ac:dyDescent="0.25">
      <c r="A691">
        <v>46</v>
      </c>
      <c r="B691" t="s">
        <v>292</v>
      </c>
      <c r="C691">
        <v>150</v>
      </c>
      <c r="D691" t="s">
        <v>164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295</v>
      </c>
      <c r="C692">
        <v>10</v>
      </c>
      <c r="D692" t="s">
        <v>262</v>
      </c>
      <c r="E692" t="s">
        <v>14</v>
      </c>
      <c r="F692">
        <v>1.5489999999999999</v>
      </c>
      <c r="G692" t="s">
        <v>15</v>
      </c>
    </row>
    <row r="693" spans="1:7" x14ac:dyDescent="0.25">
      <c r="A693">
        <v>47</v>
      </c>
      <c r="B693" t="s">
        <v>295</v>
      </c>
      <c r="C693">
        <v>20</v>
      </c>
      <c r="D693" t="s">
        <v>296</v>
      </c>
      <c r="E693" t="s">
        <v>11</v>
      </c>
      <c r="F693">
        <v>1</v>
      </c>
      <c r="G693" t="s">
        <v>15</v>
      </c>
    </row>
    <row r="694" spans="1:7" x14ac:dyDescent="0.25">
      <c r="A694">
        <v>47</v>
      </c>
      <c r="B694" t="s">
        <v>295</v>
      </c>
      <c r="C694">
        <v>30</v>
      </c>
      <c r="D694" t="s">
        <v>297</v>
      </c>
      <c r="E694" t="s">
        <v>11</v>
      </c>
      <c r="F694">
        <v>1</v>
      </c>
      <c r="G694" t="s">
        <v>15</v>
      </c>
    </row>
    <row r="695" spans="1:7" x14ac:dyDescent="0.25">
      <c r="A695">
        <v>47</v>
      </c>
      <c r="B695" t="s">
        <v>295</v>
      </c>
      <c r="C695">
        <v>40</v>
      </c>
      <c r="D695" t="s">
        <v>112</v>
      </c>
      <c r="E695" t="s">
        <v>14</v>
      </c>
      <c r="F695">
        <v>1.5489999999999999</v>
      </c>
      <c r="G695" t="s">
        <v>15</v>
      </c>
    </row>
    <row r="696" spans="1:7" x14ac:dyDescent="0.25">
      <c r="A696">
        <v>47</v>
      </c>
      <c r="B696" t="s">
        <v>295</v>
      </c>
      <c r="C696">
        <v>50</v>
      </c>
      <c r="D696" t="s">
        <v>110</v>
      </c>
      <c r="E696" t="s">
        <v>111</v>
      </c>
      <c r="F696">
        <v>0.46300000000000002</v>
      </c>
      <c r="G696" t="s">
        <v>13</v>
      </c>
    </row>
    <row r="697" spans="1:7" x14ac:dyDescent="0.25">
      <c r="A697">
        <v>47</v>
      </c>
      <c r="B697" t="s">
        <v>295</v>
      </c>
      <c r="C697">
        <v>60</v>
      </c>
      <c r="D697" t="s">
        <v>95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295</v>
      </c>
      <c r="C698">
        <v>70</v>
      </c>
      <c r="D698" t="s">
        <v>113</v>
      </c>
      <c r="E698" t="s">
        <v>14</v>
      </c>
      <c r="F698">
        <v>20.725999999999999</v>
      </c>
      <c r="G698" t="s">
        <v>13</v>
      </c>
    </row>
    <row r="699" spans="1:7" x14ac:dyDescent="0.25">
      <c r="A699">
        <v>47</v>
      </c>
      <c r="B699" t="s">
        <v>295</v>
      </c>
      <c r="C699">
        <v>80</v>
      </c>
      <c r="D699" t="s">
        <v>16</v>
      </c>
      <c r="E699" t="s">
        <v>14</v>
      </c>
      <c r="F699">
        <v>128.405</v>
      </c>
      <c r="G699" t="s">
        <v>13</v>
      </c>
    </row>
    <row r="700" spans="1:7" x14ac:dyDescent="0.25">
      <c r="A700">
        <v>47</v>
      </c>
      <c r="B700" t="s">
        <v>295</v>
      </c>
      <c r="C700">
        <v>90</v>
      </c>
      <c r="D700" t="s">
        <v>96</v>
      </c>
      <c r="E700" t="s">
        <v>12</v>
      </c>
      <c r="F700">
        <v>0.126</v>
      </c>
      <c r="G700" t="s">
        <v>13</v>
      </c>
    </row>
    <row r="701" spans="1:7" x14ac:dyDescent="0.25">
      <c r="A701">
        <v>47</v>
      </c>
      <c r="B701" t="s">
        <v>295</v>
      </c>
      <c r="C701">
        <v>100</v>
      </c>
      <c r="D701" t="s">
        <v>123</v>
      </c>
      <c r="E701" t="s">
        <v>11</v>
      </c>
      <c r="F701">
        <v>4</v>
      </c>
      <c r="G701" t="s">
        <v>13</v>
      </c>
    </row>
    <row r="702" spans="1:7" x14ac:dyDescent="0.25">
      <c r="A702">
        <v>47</v>
      </c>
      <c r="B702" t="s">
        <v>295</v>
      </c>
      <c r="C702">
        <v>110</v>
      </c>
      <c r="D702" t="s">
        <v>100</v>
      </c>
      <c r="E702" t="s">
        <v>11</v>
      </c>
      <c r="F702">
        <v>1</v>
      </c>
      <c r="G702" t="s">
        <v>13</v>
      </c>
    </row>
    <row r="703" spans="1:7" x14ac:dyDescent="0.25">
      <c r="A703">
        <v>47</v>
      </c>
      <c r="B703" t="s">
        <v>295</v>
      </c>
      <c r="C703">
        <v>120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295</v>
      </c>
      <c r="C704">
        <v>130</v>
      </c>
      <c r="D704" t="s">
        <v>21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295</v>
      </c>
      <c r="C705">
        <v>140</v>
      </c>
      <c r="D705" t="s">
        <v>114</v>
      </c>
      <c r="E705" t="s">
        <v>12</v>
      </c>
      <c r="F705">
        <v>0.90500000000000003</v>
      </c>
      <c r="G705" t="s">
        <v>13</v>
      </c>
    </row>
    <row r="706" spans="1:7" x14ac:dyDescent="0.25">
      <c r="A706">
        <v>47</v>
      </c>
      <c r="B706" t="s">
        <v>295</v>
      </c>
      <c r="C706">
        <v>150</v>
      </c>
      <c r="D706" t="s">
        <v>168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298</v>
      </c>
      <c r="C707">
        <v>10</v>
      </c>
      <c r="D707" t="s">
        <v>262</v>
      </c>
      <c r="E707" t="s">
        <v>14</v>
      </c>
      <c r="F707">
        <v>1.702</v>
      </c>
      <c r="G707" t="s">
        <v>15</v>
      </c>
    </row>
    <row r="708" spans="1:7" x14ac:dyDescent="0.25">
      <c r="A708">
        <v>48</v>
      </c>
      <c r="B708" t="s">
        <v>298</v>
      </c>
      <c r="C708">
        <v>20</v>
      </c>
      <c r="D708" t="s">
        <v>299</v>
      </c>
      <c r="E708" t="s">
        <v>11</v>
      </c>
      <c r="F708">
        <v>1</v>
      </c>
      <c r="G708" t="s">
        <v>15</v>
      </c>
    </row>
    <row r="709" spans="1:7" x14ac:dyDescent="0.25">
      <c r="A709">
        <v>48</v>
      </c>
      <c r="B709" t="s">
        <v>298</v>
      </c>
      <c r="C709">
        <v>30</v>
      </c>
      <c r="D709" t="s">
        <v>300</v>
      </c>
      <c r="E709" t="s">
        <v>11</v>
      </c>
      <c r="F709">
        <v>1</v>
      </c>
      <c r="G709" t="s">
        <v>15</v>
      </c>
    </row>
    <row r="710" spans="1:7" x14ac:dyDescent="0.25">
      <c r="A710">
        <v>48</v>
      </c>
      <c r="B710" t="s">
        <v>298</v>
      </c>
      <c r="C710">
        <v>40</v>
      </c>
      <c r="D710" t="s">
        <v>112</v>
      </c>
      <c r="E710" t="s">
        <v>14</v>
      </c>
      <c r="F710">
        <v>1.702</v>
      </c>
      <c r="G710" t="s">
        <v>15</v>
      </c>
    </row>
    <row r="711" spans="1:7" x14ac:dyDescent="0.25">
      <c r="A711">
        <v>48</v>
      </c>
      <c r="B711" t="s">
        <v>298</v>
      </c>
      <c r="C711">
        <v>50</v>
      </c>
      <c r="D711" t="s">
        <v>110</v>
      </c>
      <c r="E711" t="s">
        <v>111</v>
      </c>
      <c r="F711">
        <v>0.50800000000000001</v>
      </c>
      <c r="G711" t="s">
        <v>13</v>
      </c>
    </row>
    <row r="712" spans="1:7" x14ac:dyDescent="0.25">
      <c r="A712">
        <v>48</v>
      </c>
      <c r="B712" t="s">
        <v>298</v>
      </c>
      <c r="C712">
        <v>60</v>
      </c>
      <c r="D712" t="s">
        <v>95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298</v>
      </c>
      <c r="C713">
        <v>70</v>
      </c>
      <c r="D713" t="s">
        <v>113</v>
      </c>
      <c r="E713" t="s">
        <v>14</v>
      </c>
      <c r="F713">
        <v>21.640999999999998</v>
      </c>
      <c r="G713" t="s">
        <v>13</v>
      </c>
    </row>
    <row r="714" spans="1:7" x14ac:dyDescent="0.25">
      <c r="A714">
        <v>48</v>
      </c>
      <c r="B714" t="s">
        <v>298</v>
      </c>
      <c r="C714">
        <v>80</v>
      </c>
      <c r="D714" t="s">
        <v>16</v>
      </c>
      <c r="E714" t="s">
        <v>14</v>
      </c>
      <c r="F714">
        <v>134.02799999999999</v>
      </c>
      <c r="G714" t="s">
        <v>13</v>
      </c>
    </row>
    <row r="715" spans="1:7" x14ac:dyDescent="0.25">
      <c r="A715">
        <v>48</v>
      </c>
      <c r="B715" t="s">
        <v>298</v>
      </c>
      <c r="C715">
        <v>90</v>
      </c>
      <c r="D715" t="s">
        <v>96</v>
      </c>
      <c r="E715" t="s">
        <v>12</v>
      </c>
      <c r="F715">
        <v>0.13700000000000001</v>
      </c>
      <c r="G715" t="s">
        <v>13</v>
      </c>
    </row>
    <row r="716" spans="1:7" x14ac:dyDescent="0.25">
      <c r="A716">
        <v>48</v>
      </c>
      <c r="B716" t="s">
        <v>298</v>
      </c>
      <c r="C716">
        <v>100</v>
      </c>
      <c r="D716" t="s">
        <v>123</v>
      </c>
      <c r="E716" t="s">
        <v>11</v>
      </c>
      <c r="F716">
        <v>4</v>
      </c>
      <c r="G716" t="s">
        <v>13</v>
      </c>
    </row>
    <row r="717" spans="1:7" x14ac:dyDescent="0.25">
      <c r="A717">
        <v>48</v>
      </c>
      <c r="B717" t="s">
        <v>298</v>
      </c>
      <c r="C717">
        <v>110</v>
      </c>
      <c r="D717" t="s">
        <v>100</v>
      </c>
      <c r="E717" t="s">
        <v>11</v>
      </c>
      <c r="F717">
        <v>1</v>
      </c>
      <c r="G717" t="s">
        <v>13</v>
      </c>
    </row>
    <row r="718" spans="1:7" x14ac:dyDescent="0.25">
      <c r="A718">
        <v>48</v>
      </c>
      <c r="B718" t="s">
        <v>298</v>
      </c>
      <c r="C718">
        <v>120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298</v>
      </c>
      <c r="C719">
        <v>130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298</v>
      </c>
      <c r="C720">
        <v>140</v>
      </c>
      <c r="D720" t="s">
        <v>114</v>
      </c>
      <c r="E720" t="s">
        <v>12</v>
      </c>
      <c r="F720">
        <v>0.98599999999999999</v>
      </c>
      <c r="G720" t="s">
        <v>13</v>
      </c>
    </row>
    <row r="721" spans="1:7" x14ac:dyDescent="0.25">
      <c r="A721">
        <v>48</v>
      </c>
      <c r="B721" t="s">
        <v>298</v>
      </c>
      <c r="C721">
        <v>150</v>
      </c>
      <c r="D721" t="s">
        <v>172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301</v>
      </c>
      <c r="C722">
        <v>10</v>
      </c>
      <c r="D722" t="s">
        <v>262</v>
      </c>
      <c r="E722" t="s">
        <v>14</v>
      </c>
      <c r="F722">
        <v>1.8540000000000001</v>
      </c>
      <c r="G722" t="s">
        <v>15</v>
      </c>
    </row>
    <row r="723" spans="1:7" x14ac:dyDescent="0.25">
      <c r="A723">
        <v>49</v>
      </c>
      <c r="B723" t="s">
        <v>301</v>
      </c>
      <c r="C723">
        <v>20</v>
      </c>
      <c r="D723" t="s">
        <v>302</v>
      </c>
      <c r="E723" t="s">
        <v>11</v>
      </c>
      <c r="F723">
        <v>1</v>
      </c>
      <c r="G723" t="s">
        <v>15</v>
      </c>
    </row>
    <row r="724" spans="1:7" x14ac:dyDescent="0.25">
      <c r="A724">
        <v>49</v>
      </c>
      <c r="B724" t="s">
        <v>301</v>
      </c>
      <c r="C724">
        <v>30</v>
      </c>
      <c r="D724" t="s">
        <v>303</v>
      </c>
      <c r="E724" t="s">
        <v>11</v>
      </c>
      <c r="F724">
        <v>1</v>
      </c>
      <c r="G724" t="s">
        <v>15</v>
      </c>
    </row>
    <row r="725" spans="1:7" x14ac:dyDescent="0.25">
      <c r="A725">
        <v>49</v>
      </c>
      <c r="B725" t="s">
        <v>301</v>
      </c>
      <c r="C725">
        <v>40</v>
      </c>
      <c r="D725" t="s">
        <v>112</v>
      </c>
      <c r="E725" t="s">
        <v>14</v>
      </c>
      <c r="F725">
        <v>1.8540000000000001</v>
      </c>
      <c r="G725" t="s">
        <v>15</v>
      </c>
    </row>
    <row r="726" spans="1:7" x14ac:dyDescent="0.25">
      <c r="A726">
        <v>49</v>
      </c>
      <c r="B726" t="s">
        <v>301</v>
      </c>
      <c r="C726">
        <v>50</v>
      </c>
      <c r="D726" t="s">
        <v>110</v>
      </c>
      <c r="E726" t="s">
        <v>111</v>
      </c>
      <c r="F726">
        <v>0.55400000000000005</v>
      </c>
      <c r="G726" t="s">
        <v>13</v>
      </c>
    </row>
    <row r="727" spans="1:7" x14ac:dyDescent="0.25">
      <c r="A727">
        <v>49</v>
      </c>
      <c r="B727" t="s">
        <v>301</v>
      </c>
      <c r="C727">
        <v>60</v>
      </c>
      <c r="D727" t="s">
        <v>95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301</v>
      </c>
      <c r="C728">
        <v>70</v>
      </c>
      <c r="D728" t="s">
        <v>113</v>
      </c>
      <c r="E728" t="s">
        <v>14</v>
      </c>
      <c r="F728">
        <v>22.555</v>
      </c>
      <c r="G728" t="s">
        <v>13</v>
      </c>
    </row>
    <row r="729" spans="1:7" x14ac:dyDescent="0.25">
      <c r="A729">
        <v>49</v>
      </c>
      <c r="B729" t="s">
        <v>301</v>
      </c>
      <c r="C729">
        <v>80</v>
      </c>
      <c r="D729" t="s">
        <v>16</v>
      </c>
      <c r="E729" t="s">
        <v>14</v>
      </c>
      <c r="F729">
        <v>139.65199999999999</v>
      </c>
      <c r="G729" t="s">
        <v>13</v>
      </c>
    </row>
    <row r="730" spans="1:7" x14ac:dyDescent="0.25">
      <c r="A730">
        <v>49</v>
      </c>
      <c r="B730" t="s">
        <v>301</v>
      </c>
      <c r="C730">
        <v>90</v>
      </c>
      <c r="D730" t="s">
        <v>96</v>
      </c>
      <c r="E730" t="s">
        <v>12</v>
      </c>
      <c r="F730">
        <v>0.14799999999999999</v>
      </c>
      <c r="G730" t="s">
        <v>13</v>
      </c>
    </row>
    <row r="731" spans="1:7" x14ac:dyDescent="0.25">
      <c r="A731">
        <v>49</v>
      </c>
      <c r="B731" t="s">
        <v>301</v>
      </c>
      <c r="C731">
        <v>100</v>
      </c>
      <c r="D731" t="s">
        <v>123</v>
      </c>
      <c r="E731" t="s">
        <v>11</v>
      </c>
      <c r="F731">
        <v>4</v>
      </c>
      <c r="G731" t="s">
        <v>13</v>
      </c>
    </row>
    <row r="732" spans="1:7" x14ac:dyDescent="0.25">
      <c r="A732">
        <v>49</v>
      </c>
      <c r="B732" t="s">
        <v>301</v>
      </c>
      <c r="C732">
        <v>110</v>
      </c>
      <c r="D732" t="s">
        <v>100</v>
      </c>
      <c r="E732" t="s">
        <v>11</v>
      </c>
      <c r="F732">
        <v>1</v>
      </c>
      <c r="G732" t="s">
        <v>13</v>
      </c>
    </row>
    <row r="733" spans="1:7" x14ac:dyDescent="0.25">
      <c r="A733">
        <v>49</v>
      </c>
      <c r="B733" t="s">
        <v>301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301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301</v>
      </c>
      <c r="C735">
        <v>140</v>
      </c>
      <c r="D735" t="s">
        <v>114</v>
      </c>
      <c r="E735" t="s">
        <v>12</v>
      </c>
      <c r="F735">
        <v>1.0669999999999999</v>
      </c>
      <c r="G735" t="s">
        <v>13</v>
      </c>
    </row>
    <row r="736" spans="1:7" x14ac:dyDescent="0.25">
      <c r="A736">
        <v>49</v>
      </c>
      <c r="B736" t="s">
        <v>301</v>
      </c>
      <c r="C736">
        <v>150</v>
      </c>
      <c r="D736" t="s">
        <v>176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304</v>
      </c>
      <c r="C737">
        <v>10</v>
      </c>
      <c r="D737" t="s">
        <v>262</v>
      </c>
      <c r="E737" t="s">
        <v>14</v>
      </c>
      <c r="F737">
        <v>0.78700000000000003</v>
      </c>
      <c r="G737" t="s">
        <v>15</v>
      </c>
    </row>
    <row r="738" spans="1:7" x14ac:dyDescent="0.25">
      <c r="A738">
        <v>50</v>
      </c>
      <c r="B738" t="s">
        <v>304</v>
      </c>
      <c r="C738">
        <v>20</v>
      </c>
      <c r="D738" t="s">
        <v>305</v>
      </c>
      <c r="E738" t="s">
        <v>11</v>
      </c>
      <c r="F738">
        <v>1</v>
      </c>
      <c r="G738" t="s">
        <v>15</v>
      </c>
    </row>
    <row r="739" spans="1:7" x14ac:dyDescent="0.25">
      <c r="A739">
        <v>50</v>
      </c>
      <c r="B739" t="s">
        <v>304</v>
      </c>
      <c r="C739">
        <v>30</v>
      </c>
      <c r="D739" t="s">
        <v>306</v>
      </c>
      <c r="E739" t="s">
        <v>11</v>
      </c>
      <c r="F739">
        <v>1</v>
      </c>
      <c r="G739" t="s">
        <v>15</v>
      </c>
    </row>
    <row r="740" spans="1:7" x14ac:dyDescent="0.25">
      <c r="A740">
        <v>50</v>
      </c>
      <c r="B740" t="s">
        <v>304</v>
      </c>
      <c r="C740">
        <v>40</v>
      </c>
      <c r="D740" t="s">
        <v>112</v>
      </c>
      <c r="E740" t="s">
        <v>14</v>
      </c>
      <c r="F740">
        <v>0.78700000000000003</v>
      </c>
      <c r="G740" t="s">
        <v>15</v>
      </c>
    </row>
    <row r="741" spans="1:7" x14ac:dyDescent="0.25">
      <c r="A741">
        <v>50</v>
      </c>
      <c r="B741" t="s">
        <v>304</v>
      </c>
      <c r="C741">
        <v>50</v>
      </c>
      <c r="D741" t="s">
        <v>110</v>
      </c>
      <c r="E741" t="s">
        <v>111</v>
      </c>
      <c r="F741">
        <v>0.24399999999999999</v>
      </c>
      <c r="G741" t="s">
        <v>13</v>
      </c>
    </row>
    <row r="742" spans="1:7" x14ac:dyDescent="0.25">
      <c r="A742">
        <v>50</v>
      </c>
      <c r="B742" t="s">
        <v>304</v>
      </c>
      <c r="C742">
        <v>60</v>
      </c>
      <c r="D742" t="s">
        <v>95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304</v>
      </c>
      <c r="C743">
        <v>70</v>
      </c>
      <c r="D743" t="s">
        <v>113</v>
      </c>
      <c r="E743" t="s">
        <v>14</v>
      </c>
      <c r="F743">
        <v>16.611999999999998</v>
      </c>
      <c r="G743" t="s">
        <v>13</v>
      </c>
    </row>
    <row r="744" spans="1:7" x14ac:dyDescent="0.25">
      <c r="A744">
        <v>50</v>
      </c>
      <c r="B744" t="s">
        <v>304</v>
      </c>
      <c r="C744">
        <v>80</v>
      </c>
      <c r="D744" t="s">
        <v>16</v>
      </c>
      <c r="E744" t="s">
        <v>14</v>
      </c>
      <c r="F744">
        <v>103.099</v>
      </c>
      <c r="G744" t="s">
        <v>13</v>
      </c>
    </row>
    <row r="745" spans="1:7" x14ac:dyDescent="0.25">
      <c r="A745">
        <v>50</v>
      </c>
      <c r="B745" t="s">
        <v>304</v>
      </c>
      <c r="C745">
        <v>90</v>
      </c>
      <c r="D745" t="s">
        <v>96</v>
      </c>
      <c r="E745" t="s">
        <v>12</v>
      </c>
      <c r="F745">
        <v>7.2999999999999995E-2</v>
      </c>
      <c r="G745" t="s">
        <v>13</v>
      </c>
    </row>
    <row r="746" spans="1:7" x14ac:dyDescent="0.25">
      <c r="A746">
        <v>50</v>
      </c>
      <c r="B746" t="s">
        <v>304</v>
      </c>
      <c r="C746">
        <v>100</v>
      </c>
      <c r="D746" t="s">
        <v>123</v>
      </c>
      <c r="E746" t="s">
        <v>11</v>
      </c>
      <c r="F746">
        <v>4</v>
      </c>
      <c r="G746" t="s">
        <v>13</v>
      </c>
    </row>
    <row r="747" spans="1:7" x14ac:dyDescent="0.25">
      <c r="A747">
        <v>50</v>
      </c>
      <c r="B747" t="s">
        <v>304</v>
      </c>
      <c r="C747">
        <v>110</v>
      </c>
      <c r="D747" t="s">
        <v>100</v>
      </c>
      <c r="E747" t="s">
        <v>11</v>
      </c>
      <c r="F747">
        <v>1</v>
      </c>
      <c r="G747" t="s">
        <v>13</v>
      </c>
    </row>
    <row r="748" spans="1:7" x14ac:dyDescent="0.25">
      <c r="A748">
        <v>50</v>
      </c>
      <c r="B748" t="s">
        <v>304</v>
      </c>
      <c r="C748">
        <v>120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304</v>
      </c>
      <c r="C749">
        <v>130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304</v>
      </c>
      <c r="C750">
        <v>140</v>
      </c>
      <c r="D750" t="s">
        <v>114</v>
      </c>
      <c r="E750" t="s">
        <v>12</v>
      </c>
      <c r="F750">
        <v>0.5</v>
      </c>
      <c r="G750" t="s">
        <v>13</v>
      </c>
    </row>
    <row r="751" spans="1:7" x14ac:dyDescent="0.25">
      <c r="A751">
        <v>50</v>
      </c>
      <c r="B751" t="s">
        <v>304</v>
      </c>
      <c r="C751">
        <v>150</v>
      </c>
      <c r="D751" t="s">
        <v>180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307</v>
      </c>
      <c r="C752">
        <v>10</v>
      </c>
      <c r="D752" t="s">
        <v>262</v>
      </c>
      <c r="E752" t="s">
        <v>14</v>
      </c>
      <c r="F752">
        <v>0.94</v>
      </c>
      <c r="G752" t="s">
        <v>15</v>
      </c>
    </row>
    <row r="753" spans="1:7" x14ac:dyDescent="0.25">
      <c r="A753">
        <v>51</v>
      </c>
      <c r="B753" t="s">
        <v>307</v>
      </c>
      <c r="C753">
        <v>20</v>
      </c>
      <c r="D753" t="s">
        <v>308</v>
      </c>
      <c r="E753" t="s">
        <v>11</v>
      </c>
      <c r="F753">
        <v>1</v>
      </c>
      <c r="G753" t="s">
        <v>15</v>
      </c>
    </row>
    <row r="754" spans="1:7" x14ac:dyDescent="0.25">
      <c r="A754">
        <v>51</v>
      </c>
      <c r="B754" t="s">
        <v>307</v>
      </c>
      <c r="C754">
        <v>30</v>
      </c>
      <c r="D754" t="s">
        <v>309</v>
      </c>
      <c r="E754" t="s">
        <v>11</v>
      </c>
      <c r="F754">
        <v>1</v>
      </c>
      <c r="G754" t="s">
        <v>15</v>
      </c>
    </row>
    <row r="755" spans="1:7" x14ac:dyDescent="0.25">
      <c r="A755">
        <v>51</v>
      </c>
      <c r="B755" t="s">
        <v>307</v>
      </c>
      <c r="C755">
        <v>40</v>
      </c>
      <c r="D755" t="s">
        <v>112</v>
      </c>
      <c r="E755" t="s">
        <v>14</v>
      </c>
      <c r="F755">
        <v>0.94</v>
      </c>
      <c r="G755" t="s">
        <v>15</v>
      </c>
    </row>
    <row r="756" spans="1:7" x14ac:dyDescent="0.25">
      <c r="A756">
        <v>51</v>
      </c>
      <c r="B756" t="s">
        <v>307</v>
      </c>
      <c r="C756">
        <v>50</v>
      </c>
      <c r="D756" t="s">
        <v>110</v>
      </c>
      <c r="E756" t="s">
        <v>111</v>
      </c>
      <c r="F756">
        <v>0.29199999999999998</v>
      </c>
      <c r="G756" t="s">
        <v>13</v>
      </c>
    </row>
    <row r="757" spans="1:7" x14ac:dyDescent="0.25">
      <c r="A757">
        <v>51</v>
      </c>
      <c r="B757" t="s">
        <v>307</v>
      </c>
      <c r="C757">
        <v>60</v>
      </c>
      <c r="D757" t="s">
        <v>95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307</v>
      </c>
      <c r="C758">
        <v>70</v>
      </c>
      <c r="D758" t="s">
        <v>113</v>
      </c>
      <c r="E758" t="s">
        <v>14</v>
      </c>
      <c r="F758">
        <v>17.526</v>
      </c>
      <c r="G758" t="s">
        <v>13</v>
      </c>
    </row>
    <row r="759" spans="1:7" x14ac:dyDescent="0.25">
      <c r="A759">
        <v>51</v>
      </c>
      <c r="B759" t="s">
        <v>307</v>
      </c>
      <c r="C759">
        <v>80</v>
      </c>
      <c r="D759" t="s">
        <v>16</v>
      </c>
      <c r="E759" t="s">
        <v>14</v>
      </c>
      <c r="F759">
        <v>108.72199999999999</v>
      </c>
      <c r="G759" t="s">
        <v>13</v>
      </c>
    </row>
    <row r="760" spans="1:7" x14ac:dyDescent="0.25">
      <c r="A760">
        <v>51</v>
      </c>
      <c r="B760" t="s">
        <v>307</v>
      </c>
      <c r="C760">
        <v>90</v>
      </c>
      <c r="D760" t="s">
        <v>96</v>
      </c>
      <c r="E760" t="s">
        <v>12</v>
      </c>
      <c r="F760">
        <v>8.4000000000000005E-2</v>
      </c>
      <c r="G760" t="s">
        <v>13</v>
      </c>
    </row>
    <row r="761" spans="1:7" x14ac:dyDescent="0.25">
      <c r="A761">
        <v>51</v>
      </c>
      <c r="B761" t="s">
        <v>307</v>
      </c>
      <c r="C761">
        <v>100</v>
      </c>
      <c r="D761" t="s">
        <v>123</v>
      </c>
      <c r="E761" t="s">
        <v>11</v>
      </c>
      <c r="F761">
        <v>4</v>
      </c>
      <c r="G761" t="s">
        <v>13</v>
      </c>
    </row>
    <row r="762" spans="1:7" x14ac:dyDescent="0.25">
      <c r="A762">
        <v>51</v>
      </c>
      <c r="B762" t="s">
        <v>307</v>
      </c>
      <c r="C762">
        <v>110</v>
      </c>
      <c r="D762" t="s">
        <v>100</v>
      </c>
      <c r="E762" t="s">
        <v>11</v>
      </c>
      <c r="F762">
        <v>1</v>
      </c>
      <c r="G762" t="s">
        <v>13</v>
      </c>
    </row>
    <row r="763" spans="1:7" x14ac:dyDescent="0.25">
      <c r="A763">
        <v>51</v>
      </c>
      <c r="B763" t="s">
        <v>307</v>
      </c>
      <c r="C763">
        <v>120</v>
      </c>
      <c r="D763" t="s">
        <v>20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307</v>
      </c>
      <c r="C764">
        <v>130</v>
      </c>
      <c r="D764" t="s">
        <v>21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307</v>
      </c>
      <c r="C765">
        <v>140</v>
      </c>
      <c r="D765" t="s">
        <v>114</v>
      </c>
      <c r="E765" t="s">
        <v>12</v>
      </c>
      <c r="F765">
        <v>0.58099999999999996</v>
      </c>
      <c r="G765" t="s">
        <v>13</v>
      </c>
    </row>
    <row r="766" spans="1:7" x14ac:dyDescent="0.25">
      <c r="A766">
        <v>51</v>
      </c>
      <c r="B766" t="s">
        <v>307</v>
      </c>
      <c r="C766">
        <v>150</v>
      </c>
      <c r="D766" t="s">
        <v>184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310</v>
      </c>
      <c r="C767">
        <v>10</v>
      </c>
      <c r="D767" t="s">
        <v>262</v>
      </c>
      <c r="E767" t="s">
        <v>14</v>
      </c>
      <c r="F767">
        <v>1.0920000000000001</v>
      </c>
      <c r="G767" t="s">
        <v>15</v>
      </c>
    </row>
    <row r="768" spans="1:7" x14ac:dyDescent="0.25">
      <c r="A768">
        <v>52</v>
      </c>
      <c r="B768" t="s">
        <v>310</v>
      </c>
      <c r="C768">
        <v>20</v>
      </c>
      <c r="D768" t="s">
        <v>311</v>
      </c>
      <c r="E768" t="s">
        <v>11</v>
      </c>
      <c r="F768">
        <v>1</v>
      </c>
      <c r="G768" t="s">
        <v>15</v>
      </c>
    </row>
    <row r="769" spans="1:7" x14ac:dyDescent="0.25">
      <c r="A769">
        <v>52</v>
      </c>
      <c r="B769" t="s">
        <v>310</v>
      </c>
      <c r="C769">
        <v>30</v>
      </c>
      <c r="D769" t="s">
        <v>312</v>
      </c>
      <c r="E769" t="s">
        <v>11</v>
      </c>
      <c r="F769">
        <v>1</v>
      </c>
      <c r="G769" t="s">
        <v>15</v>
      </c>
    </row>
    <row r="770" spans="1:7" x14ac:dyDescent="0.25">
      <c r="A770">
        <v>52</v>
      </c>
      <c r="B770" t="s">
        <v>310</v>
      </c>
      <c r="C770">
        <v>40</v>
      </c>
      <c r="D770" t="s">
        <v>112</v>
      </c>
      <c r="E770" t="s">
        <v>14</v>
      </c>
      <c r="F770">
        <v>1.0920000000000001</v>
      </c>
      <c r="G770" t="s">
        <v>15</v>
      </c>
    </row>
    <row r="771" spans="1:7" x14ac:dyDescent="0.25">
      <c r="A771">
        <v>52</v>
      </c>
      <c r="B771" t="s">
        <v>310</v>
      </c>
      <c r="C771">
        <v>50</v>
      </c>
      <c r="D771" t="s">
        <v>110</v>
      </c>
      <c r="E771" t="s">
        <v>111</v>
      </c>
      <c r="F771">
        <v>0.33900000000000002</v>
      </c>
      <c r="G771" t="s">
        <v>13</v>
      </c>
    </row>
    <row r="772" spans="1:7" x14ac:dyDescent="0.25">
      <c r="A772">
        <v>52</v>
      </c>
      <c r="B772" t="s">
        <v>310</v>
      </c>
      <c r="C772">
        <v>60</v>
      </c>
      <c r="D772" t="s">
        <v>95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310</v>
      </c>
      <c r="C773">
        <v>70</v>
      </c>
      <c r="D773" t="s">
        <v>113</v>
      </c>
      <c r="E773" t="s">
        <v>14</v>
      </c>
      <c r="F773">
        <v>18.440000000000001</v>
      </c>
      <c r="G773" t="s">
        <v>13</v>
      </c>
    </row>
    <row r="774" spans="1:7" x14ac:dyDescent="0.25">
      <c r="A774">
        <v>52</v>
      </c>
      <c r="B774" t="s">
        <v>310</v>
      </c>
      <c r="C774">
        <v>80</v>
      </c>
      <c r="D774" t="s">
        <v>16</v>
      </c>
      <c r="E774" t="s">
        <v>14</v>
      </c>
      <c r="F774">
        <v>114.346</v>
      </c>
      <c r="G774" t="s">
        <v>13</v>
      </c>
    </row>
    <row r="775" spans="1:7" x14ac:dyDescent="0.25">
      <c r="A775">
        <v>52</v>
      </c>
      <c r="B775" t="s">
        <v>310</v>
      </c>
      <c r="C775">
        <v>90</v>
      </c>
      <c r="D775" t="s">
        <v>96</v>
      </c>
      <c r="E775" t="s">
        <v>12</v>
      </c>
      <c r="F775">
        <v>9.4E-2</v>
      </c>
      <c r="G775" t="s">
        <v>13</v>
      </c>
    </row>
    <row r="776" spans="1:7" x14ac:dyDescent="0.25">
      <c r="A776">
        <v>52</v>
      </c>
      <c r="B776" t="s">
        <v>310</v>
      </c>
      <c r="C776">
        <v>100</v>
      </c>
      <c r="D776" t="s">
        <v>123</v>
      </c>
      <c r="E776" t="s">
        <v>11</v>
      </c>
      <c r="F776">
        <v>4</v>
      </c>
      <c r="G776" t="s">
        <v>13</v>
      </c>
    </row>
    <row r="777" spans="1:7" x14ac:dyDescent="0.25">
      <c r="A777">
        <v>52</v>
      </c>
      <c r="B777" t="s">
        <v>310</v>
      </c>
      <c r="C777">
        <v>110</v>
      </c>
      <c r="D777" t="s">
        <v>100</v>
      </c>
      <c r="E777" t="s">
        <v>11</v>
      </c>
      <c r="F777">
        <v>1</v>
      </c>
      <c r="G777" t="s">
        <v>13</v>
      </c>
    </row>
    <row r="778" spans="1:7" x14ac:dyDescent="0.25">
      <c r="A778">
        <v>52</v>
      </c>
      <c r="B778" t="s">
        <v>310</v>
      </c>
      <c r="C778">
        <v>120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310</v>
      </c>
      <c r="C779">
        <v>130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310</v>
      </c>
      <c r="C780">
        <v>140</v>
      </c>
      <c r="D780" t="s">
        <v>114</v>
      </c>
      <c r="E780" t="s">
        <v>12</v>
      </c>
      <c r="F780">
        <v>0.66200000000000003</v>
      </c>
      <c r="G780" t="s">
        <v>13</v>
      </c>
    </row>
    <row r="781" spans="1:7" x14ac:dyDescent="0.25">
      <c r="A781">
        <v>52</v>
      </c>
      <c r="B781" t="s">
        <v>310</v>
      </c>
      <c r="C781">
        <v>150</v>
      </c>
      <c r="D781" t="s">
        <v>188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313</v>
      </c>
      <c r="C782">
        <v>10</v>
      </c>
      <c r="D782" t="s">
        <v>262</v>
      </c>
      <c r="E782" t="s">
        <v>14</v>
      </c>
      <c r="F782">
        <v>1.2450000000000001</v>
      </c>
      <c r="G782" t="s">
        <v>15</v>
      </c>
    </row>
    <row r="783" spans="1:7" x14ac:dyDescent="0.25">
      <c r="A783">
        <v>53</v>
      </c>
      <c r="B783" t="s">
        <v>313</v>
      </c>
      <c r="C783">
        <v>20</v>
      </c>
      <c r="D783" t="s">
        <v>314</v>
      </c>
      <c r="E783" t="s">
        <v>11</v>
      </c>
      <c r="F783">
        <v>1</v>
      </c>
      <c r="G783" t="s">
        <v>15</v>
      </c>
    </row>
    <row r="784" spans="1:7" x14ac:dyDescent="0.25">
      <c r="A784">
        <v>53</v>
      </c>
      <c r="B784" t="s">
        <v>313</v>
      </c>
      <c r="C784">
        <v>30</v>
      </c>
      <c r="D784" t="s">
        <v>315</v>
      </c>
      <c r="E784" t="s">
        <v>11</v>
      </c>
      <c r="F784">
        <v>1</v>
      </c>
      <c r="G784" t="s">
        <v>15</v>
      </c>
    </row>
    <row r="785" spans="1:7" x14ac:dyDescent="0.25">
      <c r="A785">
        <v>53</v>
      </c>
      <c r="B785" t="s">
        <v>313</v>
      </c>
      <c r="C785">
        <v>40</v>
      </c>
      <c r="D785" t="s">
        <v>112</v>
      </c>
      <c r="E785" t="s">
        <v>14</v>
      </c>
      <c r="F785">
        <v>1.2450000000000001</v>
      </c>
      <c r="G785" t="s">
        <v>15</v>
      </c>
    </row>
    <row r="786" spans="1:7" x14ac:dyDescent="0.25">
      <c r="A786">
        <v>53</v>
      </c>
      <c r="B786" t="s">
        <v>313</v>
      </c>
      <c r="C786">
        <v>50</v>
      </c>
      <c r="D786" t="s">
        <v>110</v>
      </c>
      <c r="E786" t="s">
        <v>111</v>
      </c>
      <c r="F786">
        <v>0.38600000000000001</v>
      </c>
      <c r="G786" t="s">
        <v>13</v>
      </c>
    </row>
    <row r="787" spans="1:7" x14ac:dyDescent="0.25">
      <c r="A787">
        <v>53</v>
      </c>
      <c r="B787" t="s">
        <v>313</v>
      </c>
      <c r="C787">
        <v>60</v>
      </c>
      <c r="D787" t="s">
        <v>95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313</v>
      </c>
      <c r="C788">
        <v>70</v>
      </c>
      <c r="D788" t="s">
        <v>113</v>
      </c>
      <c r="E788" t="s">
        <v>14</v>
      </c>
      <c r="F788">
        <v>19.355</v>
      </c>
      <c r="G788" t="s">
        <v>13</v>
      </c>
    </row>
    <row r="789" spans="1:7" x14ac:dyDescent="0.25">
      <c r="A789">
        <v>53</v>
      </c>
      <c r="B789" t="s">
        <v>313</v>
      </c>
      <c r="C789">
        <v>80</v>
      </c>
      <c r="D789" t="s">
        <v>16</v>
      </c>
      <c r="E789" t="s">
        <v>14</v>
      </c>
      <c r="F789">
        <v>119.96899999999999</v>
      </c>
      <c r="G789" t="s">
        <v>13</v>
      </c>
    </row>
    <row r="790" spans="1:7" x14ac:dyDescent="0.25">
      <c r="A790">
        <v>53</v>
      </c>
      <c r="B790" t="s">
        <v>313</v>
      </c>
      <c r="C790">
        <v>90</v>
      </c>
      <c r="D790" t="s">
        <v>96</v>
      </c>
      <c r="E790" t="s">
        <v>12</v>
      </c>
      <c r="F790">
        <v>0.105</v>
      </c>
      <c r="G790" t="s">
        <v>13</v>
      </c>
    </row>
    <row r="791" spans="1:7" x14ac:dyDescent="0.25">
      <c r="A791">
        <v>53</v>
      </c>
      <c r="B791" t="s">
        <v>313</v>
      </c>
      <c r="C791">
        <v>100</v>
      </c>
      <c r="D791" t="s">
        <v>123</v>
      </c>
      <c r="E791" t="s">
        <v>11</v>
      </c>
      <c r="F791">
        <v>4</v>
      </c>
      <c r="G791" t="s">
        <v>13</v>
      </c>
    </row>
    <row r="792" spans="1:7" x14ac:dyDescent="0.25">
      <c r="A792">
        <v>53</v>
      </c>
      <c r="B792" t="s">
        <v>313</v>
      </c>
      <c r="C792">
        <v>110</v>
      </c>
      <c r="D792" t="s">
        <v>100</v>
      </c>
      <c r="E792" t="s">
        <v>11</v>
      </c>
      <c r="F792">
        <v>1</v>
      </c>
      <c r="G792" t="s">
        <v>13</v>
      </c>
    </row>
    <row r="793" spans="1:7" x14ac:dyDescent="0.25">
      <c r="A793">
        <v>53</v>
      </c>
      <c r="B793" t="s">
        <v>313</v>
      </c>
      <c r="C793">
        <v>120</v>
      </c>
      <c r="D793" t="s">
        <v>20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313</v>
      </c>
      <c r="C794">
        <v>130</v>
      </c>
      <c r="D794" t="s">
        <v>21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313</v>
      </c>
      <c r="C795">
        <v>140</v>
      </c>
      <c r="D795" t="s">
        <v>114</v>
      </c>
      <c r="E795" t="s">
        <v>12</v>
      </c>
      <c r="F795">
        <v>0.74299999999999999</v>
      </c>
      <c r="G795" t="s">
        <v>13</v>
      </c>
    </row>
    <row r="796" spans="1:7" x14ac:dyDescent="0.25">
      <c r="A796">
        <v>53</v>
      </c>
      <c r="B796" t="s">
        <v>313</v>
      </c>
      <c r="C796">
        <v>150</v>
      </c>
      <c r="D796" t="s">
        <v>192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316</v>
      </c>
      <c r="C797">
        <v>10</v>
      </c>
      <c r="D797" t="s">
        <v>262</v>
      </c>
      <c r="E797" t="s">
        <v>14</v>
      </c>
      <c r="F797">
        <v>1.5489999999999999</v>
      </c>
      <c r="G797" t="s">
        <v>15</v>
      </c>
    </row>
    <row r="798" spans="1:7" x14ac:dyDescent="0.25">
      <c r="A798">
        <v>54</v>
      </c>
      <c r="B798" t="s">
        <v>316</v>
      </c>
      <c r="C798">
        <v>20</v>
      </c>
      <c r="D798" t="s">
        <v>317</v>
      </c>
      <c r="E798" t="s">
        <v>11</v>
      </c>
      <c r="F798">
        <v>1</v>
      </c>
      <c r="G798" t="s">
        <v>15</v>
      </c>
    </row>
    <row r="799" spans="1:7" x14ac:dyDescent="0.25">
      <c r="A799">
        <v>54</v>
      </c>
      <c r="B799" t="s">
        <v>316</v>
      </c>
      <c r="C799">
        <v>30</v>
      </c>
      <c r="D799" t="s">
        <v>318</v>
      </c>
      <c r="E799" t="s">
        <v>11</v>
      </c>
      <c r="F799">
        <v>1</v>
      </c>
      <c r="G799" t="s">
        <v>15</v>
      </c>
    </row>
    <row r="800" spans="1:7" x14ac:dyDescent="0.25">
      <c r="A800">
        <v>54</v>
      </c>
      <c r="B800" t="s">
        <v>316</v>
      </c>
      <c r="C800">
        <v>40</v>
      </c>
      <c r="D800" t="s">
        <v>112</v>
      </c>
      <c r="E800" t="s">
        <v>14</v>
      </c>
      <c r="F800">
        <v>1.5489999999999999</v>
      </c>
      <c r="G800" t="s">
        <v>15</v>
      </c>
    </row>
    <row r="801" spans="1:7" x14ac:dyDescent="0.25">
      <c r="A801">
        <v>54</v>
      </c>
      <c r="B801" t="s">
        <v>316</v>
      </c>
      <c r="C801">
        <v>50</v>
      </c>
      <c r="D801" t="s">
        <v>110</v>
      </c>
      <c r="E801" t="s">
        <v>111</v>
      </c>
      <c r="F801">
        <v>0.48099999999999998</v>
      </c>
      <c r="G801" t="s">
        <v>13</v>
      </c>
    </row>
    <row r="802" spans="1:7" x14ac:dyDescent="0.25">
      <c r="A802">
        <v>54</v>
      </c>
      <c r="B802" t="s">
        <v>316</v>
      </c>
      <c r="C802">
        <v>60</v>
      </c>
      <c r="D802" t="s">
        <v>95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316</v>
      </c>
      <c r="C803">
        <v>70</v>
      </c>
      <c r="D803" t="s">
        <v>113</v>
      </c>
      <c r="E803" t="s">
        <v>14</v>
      </c>
      <c r="F803">
        <v>21.184000000000001</v>
      </c>
      <c r="G803" t="s">
        <v>13</v>
      </c>
    </row>
    <row r="804" spans="1:7" x14ac:dyDescent="0.25">
      <c r="A804">
        <v>54</v>
      </c>
      <c r="B804" t="s">
        <v>316</v>
      </c>
      <c r="C804">
        <v>80</v>
      </c>
      <c r="D804" t="s">
        <v>16</v>
      </c>
      <c r="E804" t="s">
        <v>14</v>
      </c>
      <c r="F804">
        <v>131.21600000000001</v>
      </c>
      <c r="G804" t="s">
        <v>13</v>
      </c>
    </row>
    <row r="805" spans="1:7" x14ac:dyDescent="0.25">
      <c r="A805">
        <v>54</v>
      </c>
      <c r="B805" t="s">
        <v>316</v>
      </c>
      <c r="C805">
        <v>90</v>
      </c>
      <c r="D805" t="s">
        <v>96</v>
      </c>
      <c r="E805" t="s">
        <v>12</v>
      </c>
      <c r="F805">
        <v>0.126</v>
      </c>
      <c r="G805" t="s">
        <v>13</v>
      </c>
    </row>
    <row r="806" spans="1:7" x14ac:dyDescent="0.25">
      <c r="A806">
        <v>54</v>
      </c>
      <c r="B806" t="s">
        <v>316</v>
      </c>
      <c r="C806">
        <v>100</v>
      </c>
      <c r="D806" t="s">
        <v>123</v>
      </c>
      <c r="E806" t="s">
        <v>11</v>
      </c>
      <c r="F806">
        <v>4</v>
      </c>
      <c r="G806" t="s">
        <v>13</v>
      </c>
    </row>
    <row r="807" spans="1:7" x14ac:dyDescent="0.25">
      <c r="A807">
        <v>54</v>
      </c>
      <c r="B807" t="s">
        <v>316</v>
      </c>
      <c r="C807">
        <v>110</v>
      </c>
      <c r="D807" t="s">
        <v>100</v>
      </c>
      <c r="E807" t="s">
        <v>11</v>
      </c>
      <c r="F807">
        <v>1</v>
      </c>
      <c r="G807" t="s">
        <v>13</v>
      </c>
    </row>
    <row r="808" spans="1:7" x14ac:dyDescent="0.25">
      <c r="A808">
        <v>54</v>
      </c>
      <c r="B808" t="s">
        <v>316</v>
      </c>
      <c r="C808">
        <v>120</v>
      </c>
      <c r="D808" t="s">
        <v>20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316</v>
      </c>
      <c r="C809">
        <v>130</v>
      </c>
      <c r="D809" t="s">
        <v>21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316</v>
      </c>
      <c r="C810">
        <v>140</v>
      </c>
      <c r="D810" t="s">
        <v>114</v>
      </c>
      <c r="E810" t="s">
        <v>12</v>
      </c>
      <c r="F810">
        <v>0.90500000000000003</v>
      </c>
      <c r="G810" t="s">
        <v>13</v>
      </c>
    </row>
    <row r="811" spans="1:7" x14ac:dyDescent="0.25">
      <c r="A811">
        <v>54</v>
      </c>
      <c r="B811" t="s">
        <v>316</v>
      </c>
      <c r="C811">
        <v>150</v>
      </c>
      <c r="D811" t="s">
        <v>196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319</v>
      </c>
      <c r="C812">
        <v>10</v>
      </c>
      <c r="D812" t="s">
        <v>262</v>
      </c>
      <c r="E812" t="s">
        <v>14</v>
      </c>
      <c r="F812">
        <v>1.702</v>
      </c>
      <c r="G812" t="s">
        <v>15</v>
      </c>
    </row>
    <row r="813" spans="1:7" x14ac:dyDescent="0.25">
      <c r="A813">
        <v>55</v>
      </c>
      <c r="B813" t="s">
        <v>319</v>
      </c>
      <c r="C813">
        <v>20</v>
      </c>
      <c r="D813" t="s">
        <v>320</v>
      </c>
      <c r="E813" t="s">
        <v>11</v>
      </c>
      <c r="F813">
        <v>1</v>
      </c>
      <c r="G813" t="s">
        <v>15</v>
      </c>
    </row>
    <row r="814" spans="1:7" x14ac:dyDescent="0.25">
      <c r="A814">
        <v>55</v>
      </c>
      <c r="B814" t="s">
        <v>319</v>
      </c>
      <c r="C814">
        <v>30</v>
      </c>
      <c r="D814" t="s">
        <v>321</v>
      </c>
      <c r="E814" t="s">
        <v>11</v>
      </c>
      <c r="F814">
        <v>1</v>
      </c>
      <c r="G814" t="s">
        <v>15</v>
      </c>
    </row>
    <row r="815" spans="1:7" x14ac:dyDescent="0.25">
      <c r="A815">
        <v>55</v>
      </c>
      <c r="B815" t="s">
        <v>319</v>
      </c>
      <c r="C815">
        <v>40</v>
      </c>
      <c r="D815" t="s">
        <v>112</v>
      </c>
      <c r="E815" t="s">
        <v>14</v>
      </c>
      <c r="F815">
        <v>1.702</v>
      </c>
      <c r="G815" t="s">
        <v>15</v>
      </c>
    </row>
    <row r="816" spans="1:7" x14ac:dyDescent="0.25">
      <c r="A816">
        <v>55</v>
      </c>
      <c r="B816" t="s">
        <v>319</v>
      </c>
      <c r="C816">
        <v>50</v>
      </c>
      <c r="D816" t="s">
        <v>110</v>
      </c>
      <c r="E816" t="s">
        <v>111</v>
      </c>
      <c r="F816">
        <v>0.52900000000000003</v>
      </c>
      <c r="G816" t="s">
        <v>13</v>
      </c>
    </row>
    <row r="817" spans="1:7" x14ac:dyDescent="0.25">
      <c r="A817">
        <v>55</v>
      </c>
      <c r="B817" t="s">
        <v>319</v>
      </c>
      <c r="C817">
        <v>60</v>
      </c>
      <c r="D817" t="s">
        <v>95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319</v>
      </c>
      <c r="C818">
        <v>70</v>
      </c>
      <c r="D818" t="s">
        <v>113</v>
      </c>
      <c r="E818" t="s">
        <v>14</v>
      </c>
      <c r="F818">
        <v>22.097999999999999</v>
      </c>
      <c r="G818" t="s">
        <v>13</v>
      </c>
    </row>
    <row r="819" spans="1:7" x14ac:dyDescent="0.25">
      <c r="A819">
        <v>55</v>
      </c>
      <c r="B819" t="s">
        <v>319</v>
      </c>
      <c r="C819">
        <v>80</v>
      </c>
      <c r="D819" t="s">
        <v>16</v>
      </c>
      <c r="E819" t="s">
        <v>14</v>
      </c>
      <c r="F819">
        <v>136.84</v>
      </c>
      <c r="G819" t="s">
        <v>13</v>
      </c>
    </row>
    <row r="820" spans="1:7" x14ac:dyDescent="0.25">
      <c r="A820">
        <v>55</v>
      </c>
      <c r="B820" t="s">
        <v>319</v>
      </c>
      <c r="C820">
        <v>90</v>
      </c>
      <c r="D820" t="s">
        <v>96</v>
      </c>
      <c r="E820" t="s">
        <v>12</v>
      </c>
      <c r="F820">
        <v>0.13700000000000001</v>
      </c>
      <c r="G820" t="s">
        <v>13</v>
      </c>
    </row>
    <row r="821" spans="1:7" x14ac:dyDescent="0.25">
      <c r="A821">
        <v>55</v>
      </c>
      <c r="B821" t="s">
        <v>319</v>
      </c>
      <c r="C821">
        <v>100</v>
      </c>
      <c r="D821" t="s">
        <v>123</v>
      </c>
      <c r="E821" t="s">
        <v>11</v>
      </c>
      <c r="F821">
        <v>4</v>
      </c>
      <c r="G821" t="s">
        <v>13</v>
      </c>
    </row>
    <row r="822" spans="1:7" x14ac:dyDescent="0.25">
      <c r="A822">
        <v>55</v>
      </c>
      <c r="B822" t="s">
        <v>319</v>
      </c>
      <c r="C822">
        <v>110</v>
      </c>
      <c r="D822" t="s">
        <v>100</v>
      </c>
      <c r="E822" t="s">
        <v>11</v>
      </c>
      <c r="F822">
        <v>1</v>
      </c>
      <c r="G822" t="s">
        <v>13</v>
      </c>
    </row>
    <row r="823" spans="1:7" x14ac:dyDescent="0.25">
      <c r="A823">
        <v>55</v>
      </c>
      <c r="B823" t="s">
        <v>319</v>
      </c>
      <c r="C823">
        <v>120</v>
      </c>
      <c r="D823" t="s">
        <v>20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319</v>
      </c>
      <c r="C824">
        <v>130</v>
      </c>
      <c r="D824" t="s">
        <v>21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319</v>
      </c>
      <c r="C825">
        <v>140</v>
      </c>
      <c r="D825" t="s">
        <v>114</v>
      </c>
      <c r="E825" t="s">
        <v>12</v>
      </c>
      <c r="F825">
        <v>0.98599999999999999</v>
      </c>
      <c r="G825" t="s">
        <v>13</v>
      </c>
    </row>
    <row r="826" spans="1:7" x14ac:dyDescent="0.25">
      <c r="A826">
        <v>55</v>
      </c>
      <c r="B826" t="s">
        <v>319</v>
      </c>
      <c r="C826">
        <v>150</v>
      </c>
      <c r="D826" t="s">
        <v>200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322</v>
      </c>
      <c r="C827">
        <v>10</v>
      </c>
      <c r="D827" t="s">
        <v>262</v>
      </c>
      <c r="E827" t="s">
        <v>14</v>
      </c>
      <c r="F827">
        <v>1.8540000000000001</v>
      </c>
      <c r="G827" t="s">
        <v>15</v>
      </c>
    </row>
    <row r="828" spans="1:7" x14ac:dyDescent="0.25">
      <c r="A828">
        <v>56</v>
      </c>
      <c r="B828" t="s">
        <v>322</v>
      </c>
      <c r="C828">
        <v>20</v>
      </c>
      <c r="D828" t="s">
        <v>323</v>
      </c>
      <c r="E828" t="s">
        <v>11</v>
      </c>
      <c r="F828">
        <v>1</v>
      </c>
      <c r="G828" t="s">
        <v>15</v>
      </c>
    </row>
    <row r="829" spans="1:7" x14ac:dyDescent="0.25">
      <c r="A829">
        <v>56</v>
      </c>
      <c r="B829" t="s">
        <v>322</v>
      </c>
      <c r="C829">
        <v>30</v>
      </c>
      <c r="D829" t="s">
        <v>324</v>
      </c>
      <c r="E829" t="s">
        <v>11</v>
      </c>
      <c r="F829">
        <v>1</v>
      </c>
      <c r="G829" t="s">
        <v>15</v>
      </c>
    </row>
    <row r="830" spans="1:7" x14ac:dyDescent="0.25">
      <c r="A830">
        <v>56</v>
      </c>
      <c r="B830" t="s">
        <v>322</v>
      </c>
      <c r="C830">
        <v>40</v>
      </c>
      <c r="D830" t="s">
        <v>112</v>
      </c>
      <c r="E830" t="s">
        <v>14</v>
      </c>
      <c r="F830">
        <v>1.8540000000000001</v>
      </c>
      <c r="G830" t="s">
        <v>15</v>
      </c>
    </row>
    <row r="831" spans="1:7" x14ac:dyDescent="0.25">
      <c r="A831">
        <v>56</v>
      </c>
      <c r="B831" t="s">
        <v>322</v>
      </c>
      <c r="C831">
        <v>50</v>
      </c>
      <c r="D831" t="s">
        <v>110</v>
      </c>
      <c r="E831" t="s">
        <v>111</v>
      </c>
      <c r="F831">
        <v>0.57599999999999996</v>
      </c>
      <c r="G831" t="s">
        <v>13</v>
      </c>
    </row>
    <row r="832" spans="1:7" x14ac:dyDescent="0.25">
      <c r="A832">
        <v>56</v>
      </c>
      <c r="B832" t="s">
        <v>322</v>
      </c>
      <c r="C832">
        <v>60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322</v>
      </c>
      <c r="C833">
        <v>70</v>
      </c>
      <c r="D833" t="s">
        <v>113</v>
      </c>
      <c r="E833" t="s">
        <v>14</v>
      </c>
      <c r="F833">
        <v>23.012</v>
      </c>
      <c r="G833" t="s">
        <v>13</v>
      </c>
    </row>
    <row r="834" spans="1:7" x14ac:dyDescent="0.25">
      <c r="A834">
        <v>56</v>
      </c>
      <c r="B834" t="s">
        <v>322</v>
      </c>
      <c r="C834">
        <v>80</v>
      </c>
      <c r="D834" t="s">
        <v>16</v>
      </c>
      <c r="E834" t="s">
        <v>14</v>
      </c>
      <c r="F834">
        <v>142.464</v>
      </c>
      <c r="G834" t="s">
        <v>13</v>
      </c>
    </row>
    <row r="835" spans="1:7" x14ac:dyDescent="0.25">
      <c r="A835">
        <v>56</v>
      </c>
      <c r="B835" t="s">
        <v>322</v>
      </c>
      <c r="C835">
        <v>90</v>
      </c>
      <c r="D835" t="s">
        <v>96</v>
      </c>
      <c r="E835" t="s">
        <v>12</v>
      </c>
      <c r="F835">
        <v>0.14799999999999999</v>
      </c>
      <c r="G835" t="s">
        <v>13</v>
      </c>
    </row>
    <row r="836" spans="1:7" x14ac:dyDescent="0.25">
      <c r="A836">
        <v>56</v>
      </c>
      <c r="B836" t="s">
        <v>322</v>
      </c>
      <c r="C836">
        <v>100</v>
      </c>
      <c r="D836" t="s">
        <v>123</v>
      </c>
      <c r="E836" t="s">
        <v>11</v>
      </c>
      <c r="F836">
        <v>4</v>
      </c>
      <c r="G836" t="s">
        <v>13</v>
      </c>
    </row>
    <row r="837" spans="1:7" x14ac:dyDescent="0.25">
      <c r="A837">
        <v>56</v>
      </c>
      <c r="B837" t="s">
        <v>322</v>
      </c>
      <c r="C837">
        <v>110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56</v>
      </c>
      <c r="B838" t="s">
        <v>322</v>
      </c>
      <c r="C838">
        <v>120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322</v>
      </c>
      <c r="C839">
        <v>130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322</v>
      </c>
      <c r="C840">
        <v>140</v>
      </c>
      <c r="D840" t="s">
        <v>114</v>
      </c>
      <c r="E840" t="s">
        <v>12</v>
      </c>
      <c r="F840">
        <v>1.0669999999999999</v>
      </c>
      <c r="G840" t="s">
        <v>13</v>
      </c>
    </row>
    <row r="841" spans="1:7" x14ac:dyDescent="0.25">
      <c r="A841">
        <v>56</v>
      </c>
      <c r="B841" t="s">
        <v>322</v>
      </c>
      <c r="C841">
        <v>150</v>
      </c>
      <c r="D841" t="s">
        <v>204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325</v>
      </c>
      <c r="C842">
        <v>10</v>
      </c>
      <c r="D842" t="s">
        <v>262</v>
      </c>
      <c r="E842" t="s">
        <v>14</v>
      </c>
      <c r="F842">
        <v>0.78700000000000003</v>
      </c>
      <c r="G842" t="s">
        <v>15</v>
      </c>
    </row>
    <row r="843" spans="1:7" x14ac:dyDescent="0.25">
      <c r="A843">
        <v>57</v>
      </c>
      <c r="B843" t="s">
        <v>325</v>
      </c>
      <c r="C843">
        <v>20</v>
      </c>
      <c r="D843" t="s">
        <v>326</v>
      </c>
      <c r="E843" t="s">
        <v>11</v>
      </c>
      <c r="F843">
        <v>1</v>
      </c>
      <c r="G843" t="s">
        <v>15</v>
      </c>
    </row>
    <row r="844" spans="1:7" x14ac:dyDescent="0.25">
      <c r="A844">
        <v>57</v>
      </c>
      <c r="B844" t="s">
        <v>325</v>
      </c>
      <c r="C844">
        <v>30</v>
      </c>
      <c r="D844" t="s">
        <v>327</v>
      </c>
      <c r="E844" t="s">
        <v>11</v>
      </c>
      <c r="F844">
        <v>1</v>
      </c>
      <c r="G844" t="s">
        <v>15</v>
      </c>
    </row>
    <row r="845" spans="1:7" x14ac:dyDescent="0.25">
      <c r="A845">
        <v>57</v>
      </c>
      <c r="B845" t="s">
        <v>325</v>
      </c>
      <c r="C845">
        <v>40</v>
      </c>
      <c r="D845" t="s">
        <v>112</v>
      </c>
      <c r="E845" t="s">
        <v>14</v>
      </c>
      <c r="F845">
        <v>0.78700000000000003</v>
      </c>
      <c r="G845" t="s">
        <v>15</v>
      </c>
    </row>
    <row r="846" spans="1:7" x14ac:dyDescent="0.25">
      <c r="A846">
        <v>57</v>
      </c>
      <c r="B846" t="s">
        <v>325</v>
      </c>
      <c r="C846">
        <v>50</v>
      </c>
      <c r="D846" t="s">
        <v>110</v>
      </c>
      <c r="E846" t="s">
        <v>111</v>
      </c>
      <c r="F846">
        <v>0.25</v>
      </c>
      <c r="G846" t="s">
        <v>13</v>
      </c>
    </row>
    <row r="847" spans="1:7" x14ac:dyDescent="0.25">
      <c r="A847">
        <v>57</v>
      </c>
      <c r="B847" t="s">
        <v>325</v>
      </c>
      <c r="C847">
        <v>60</v>
      </c>
      <c r="D847" t="s">
        <v>95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325</v>
      </c>
      <c r="C848">
        <v>70</v>
      </c>
      <c r="D848" t="s">
        <v>113</v>
      </c>
      <c r="E848" t="s">
        <v>14</v>
      </c>
      <c r="F848">
        <v>16.916</v>
      </c>
      <c r="G848" t="s">
        <v>13</v>
      </c>
    </row>
    <row r="849" spans="1:7" x14ac:dyDescent="0.25">
      <c r="A849">
        <v>57</v>
      </c>
      <c r="B849" t="s">
        <v>325</v>
      </c>
      <c r="C849">
        <v>80</v>
      </c>
      <c r="D849" t="s">
        <v>16</v>
      </c>
      <c r="E849" t="s">
        <v>14</v>
      </c>
      <c r="F849">
        <v>104.973</v>
      </c>
      <c r="G849" t="s">
        <v>13</v>
      </c>
    </row>
    <row r="850" spans="1:7" x14ac:dyDescent="0.25">
      <c r="A850">
        <v>57</v>
      </c>
      <c r="B850" t="s">
        <v>325</v>
      </c>
      <c r="C850">
        <v>90</v>
      </c>
      <c r="D850" t="s">
        <v>96</v>
      </c>
      <c r="E850" t="s">
        <v>12</v>
      </c>
      <c r="F850">
        <v>7.2999999999999995E-2</v>
      </c>
      <c r="G850" t="s">
        <v>13</v>
      </c>
    </row>
    <row r="851" spans="1:7" x14ac:dyDescent="0.25">
      <c r="A851">
        <v>57</v>
      </c>
      <c r="B851" t="s">
        <v>325</v>
      </c>
      <c r="C851">
        <v>100</v>
      </c>
      <c r="D851" t="s">
        <v>123</v>
      </c>
      <c r="E851" t="s">
        <v>11</v>
      </c>
      <c r="F851">
        <v>4</v>
      </c>
      <c r="G851" t="s">
        <v>13</v>
      </c>
    </row>
    <row r="852" spans="1:7" x14ac:dyDescent="0.25">
      <c r="A852">
        <v>57</v>
      </c>
      <c r="B852" t="s">
        <v>325</v>
      </c>
      <c r="C852">
        <v>110</v>
      </c>
      <c r="D852" t="s">
        <v>100</v>
      </c>
      <c r="E852" t="s">
        <v>11</v>
      </c>
      <c r="F852">
        <v>1</v>
      </c>
      <c r="G852" t="s">
        <v>13</v>
      </c>
    </row>
    <row r="853" spans="1:7" x14ac:dyDescent="0.25">
      <c r="A853">
        <v>57</v>
      </c>
      <c r="B853" t="s">
        <v>325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325</v>
      </c>
      <c r="C854">
        <v>130</v>
      </c>
      <c r="D854" t="s">
        <v>21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325</v>
      </c>
      <c r="C855">
        <v>140</v>
      </c>
      <c r="D855" t="s">
        <v>114</v>
      </c>
      <c r="E855" t="s">
        <v>12</v>
      </c>
      <c r="F855">
        <v>1.1759999999999999</v>
      </c>
      <c r="G855" t="s">
        <v>13</v>
      </c>
    </row>
    <row r="856" spans="1:7" x14ac:dyDescent="0.25">
      <c r="A856">
        <v>57</v>
      </c>
      <c r="B856" t="s">
        <v>325</v>
      </c>
      <c r="C856">
        <v>150</v>
      </c>
      <c r="D856" t="s">
        <v>208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328</v>
      </c>
      <c r="C857">
        <v>10</v>
      </c>
      <c r="D857" t="s">
        <v>262</v>
      </c>
      <c r="E857" t="s">
        <v>14</v>
      </c>
      <c r="F857">
        <v>0.94</v>
      </c>
      <c r="G857" t="s">
        <v>15</v>
      </c>
    </row>
    <row r="858" spans="1:7" x14ac:dyDescent="0.25">
      <c r="A858">
        <v>58</v>
      </c>
      <c r="B858" t="s">
        <v>328</v>
      </c>
      <c r="C858">
        <v>20</v>
      </c>
      <c r="D858" t="s">
        <v>329</v>
      </c>
      <c r="E858" t="s">
        <v>11</v>
      </c>
      <c r="F858">
        <v>1</v>
      </c>
      <c r="G858" t="s">
        <v>15</v>
      </c>
    </row>
    <row r="859" spans="1:7" x14ac:dyDescent="0.25">
      <c r="A859">
        <v>58</v>
      </c>
      <c r="B859" t="s">
        <v>328</v>
      </c>
      <c r="C859">
        <v>30</v>
      </c>
      <c r="D859" t="s">
        <v>330</v>
      </c>
      <c r="E859" t="s">
        <v>11</v>
      </c>
      <c r="F859">
        <v>1</v>
      </c>
      <c r="G859" t="s">
        <v>15</v>
      </c>
    </row>
    <row r="860" spans="1:7" x14ac:dyDescent="0.25">
      <c r="A860">
        <v>58</v>
      </c>
      <c r="B860" t="s">
        <v>328</v>
      </c>
      <c r="C860">
        <v>40</v>
      </c>
      <c r="D860" t="s">
        <v>112</v>
      </c>
      <c r="E860" t="s">
        <v>14</v>
      </c>
      <c r="F860">
        <v>0.94</v>
      </c>
      <c r="G860" t="s">
        <v>15</v>
      </c>
    </row>
    <row r="861" spans="1:7" x14ac:dyDescent="0.25">
      <c r="A861">
        <v>58</v>
      </c>
      <c r="B861" t="s">
        <v>328</v>
      </c>
      <c r="C861">
        <v>50</v>
      </c>
      <c r="D861" t="s">
        <v>110</v>
      </c>
      <c r="E861" t="s">
        <v>111</v>
      </c>
      <c r="F861">
        <v>0.29899999999999999</v>
      </c>
      <c r="G861" t="s">
        <v>13</v>
      </c>
    </row>
    <row r="862" spans="1:7" x14ac:dyDescent="0.25">
      <c r="A862">
        <v>58</v>
      </c>
      <c r="B862" t="s">
        <v>328</v>
      </c>
      <c r="C862">
        <v>60</v>
      </c>
      <c r="D862" t="s">
        <v>95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328</v>
      </c>
      <c r="C863">
        <v>70</v>
      </c>
      <c r="D863" t="s">
        <v>113</v>
      </c>
      <c r="E863" t="s">
        <v>14</v>
      </c>
      <c r="F863">
        <v>17.831</v>
      </c>
      <c r="G863" t="s">
        <v>13</v>
      </c>
    </row>
    <row r="864" spans="1:7" x14ac:dyDescent="0.25">
      <c r="A864">
        <v>58</v>
      </c>
      <c r="B864" t="s">
        <v>328</v>
      </c>
      <c r="C864">
        <v>80</v>
      </c>
      <c r="D864" t="s">
        <v>16</v>
      </c>
      <c r="E864" t="s">
        <v>14</v>
      </c>
      <c r="F864">
        <v>110.59699999999999</v>
      </c>
      <c r="G864" t="s">
        <v>13</v>
      </c>
    </row>
    <row r="865" spans="1:7" x14ac:dyDescent="0.25">
      <c r="A865">
        <v>58</v>
      </c>
      <c r="B865" t="s">
        <v>328</v>
      </c>
      <c r="C865">
        <v>90</v>
      </c>
      <c r="D865" t="s">
        <v>96</v>
      </c>
      <c r="E865" t="s">
        <v>12</v>
      </c>
      <c r="F865">
        <v>8.4000000000000005E-2</v>
      </c>
      <c r="G865" t="s">
        <v>13</v>
      </c>
    </row>
    <row r="866" spans="1:7" x14ac:dyDescent="0.25">
      <c r="A866">
        <v>58</v>
      </c>
      <c r="B866" t="s">
        <v>328</v>
      </c>
      <c r="C866">
        <v>100</v>
      </c>
      <c r="D866" t="s">
        <v>123</v>
      </c>
      <c r="E866" t="s">
        <v>11</v>
      </c>
      <c r="F866">
        <v>4</v>
      </c>
      <c r="G866" t="s">
        <v>13</v>
      </c>
    </row>
    <row r="867" spans="1:7" x14ac:dyDescent="0.25">
      <c r="A867">
        <v>58</v>
      </c>
      <c r="B867" t="s">
        <v>328</v>
      </c>
      <c r="C867">
        <v>110</v>
      </c>
      <c r="D867" t="s">
        <v>100</v>
      </c>
      <c r="E867" t="s">
        <v>11</v>
      </c>
      <c r="F867">
        <v>1</v>
      </c>
      <c r="G867" t="s">
        <v>13</v>
      </c>
    </row>
    <row r="868" spans="1:7" x14ac:dyDescent="0.25">
      <c r="A868">
        <v>58</v>
      </c>
      <c r="B868" t="s">
        <v>328</v>
      </c>
      <c r="C868">
        <v>120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328</v>
      </c>
      <c r="C869">
        <v>130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328</v>
      </c>
      <c r="C870">
        <v>140</v>
      </c>
      <c r="D870" t="s">
        <v>114</v>
      </c>
      <c r="E870" t="s">
        <v>12</v>
      </c>
      <c r="F870">
        <v>1.1759999999999999</v>
      </c>
      <c r="G870" t="s">
        <v>13</v>
      </c>
    </row>
    <row r="871" spans="1:7" x14ac:dyDescent="0.25">
      <c r="A871">
        <v>58</v>
      </c>
      <c r="B871" t="s">
        <v>328</v>
      </c>
      <c r="C871">
        <v>150</v>
      </c>
      <c r="D871" t="s">
        <v>212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331</v>
      </c>
      <c r="C872">
        <v>10</v>
      </c>
      <c r="D872" t="s">
        <v>262</v>
      </c>
      <c r="E872" t="s">
        <v>14</v>
      </c>
      <c r="F872">
        <v>1.0920000000000001</v>
      </c>
      <c r="G872" t="s">
        <v>15</v>
      </c>
    </row>
    <row r="873" spans="1:7" x14ac:dyDescent="0.25">
      <c r="A873">
        <v>59</v>
      </c>
      <c r="B873" t="s">
        <v>331</v>
      </c>
      <c r="C873">
        <v>20</v>
      </c>
      <c r="D873" t="s">
        <v>332</v>
      </c>
      <c r="E873" t="s">
        <v>11</v>
      </c>
      <c r="F873">
        <v>1</v>
      </c>
      <c r="G873" t="s">
        <v>15</v>
      </c>
    </row>
    <row r="874" spans="1:7" x14ac:dyDescent="0.25">
      <c r="A874">
        <v>59</v>
      </c>
      <c r="B874" t="s">
        <v>331</v>
      </c>
      <c r="C874">
        <v>30</v>
      </c>
      <c r="D874" t="s">
        <v>333</v>
      </c>
      <c r="E874" t="s">
        <v>11</v>
      </c>
      <c r="F874">
        <v>1</v>
      </c>
      <c r="G874" t="s">
        <v>15</v>
      </c>
    </row>
    <row r="875" spans="1:7" x14ac:dyDescent="0.25">
      <c r="A875">
        <v>59</v>
      </c>
      <c r="B875" t="s">
        <v>331</v>
      </c>
      <c r="C875">
        <v>40</v>
      </c>
      <c r="D875" t="s">
        <v>112</v>
      </c>
      <c r="E875" t="s">
        <v>14</v>
      </c>
      <c r="F875">
        <v>1.0920000000000001</v>
      </c>
      <c r="G875" t="s">
        <v>15</v>
      </c>
    </row>
    <row r="876" spans="1:7" x14ac:dyDescent="0.25">
      <c r="A876">
        <v>59</v>
      </c>
      <c r="B876" t="s">
        <v>331</v>
      </c>
      <c r="C876">
        <v>50</v>
      </c>
      <c r="D876" t="s">
        <v>110</v>
      </c>
      <c r="E876" t="s">
        <v>111</v>
      </c>
      <c r="F876">
        <v>0.34699999999999998</v>
      </c>
      <c r="G876" t="s">
        <v>13</v>
      </c>
    </row>
    <row r="877" spans="1:7" x14ac:dyDescent="0.25">
      <c r="A877">
        <v>59</v>
      </c>
      <c r="B877" t="s">
        <v>331</v>
      </c>
      <c r="C877">
        <v>60</v>
      </c>
      <c r="D877" t="s">
        <v>95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331</v>
      </c>
      <c r="C878">
        <v>70</v>
      </c>
      <c r="D878" t="s">
        <v>113</v>
      </c>
      <c r="E878" t="s">
        <v>14</v>
      </c>
      <c r="F878">
        <v>18.745000000000001</v>
      </c>
      <c r="G878" t="s">
        <v>13</v>
      </c>
    </row>
    <row r="879" spans="1:7" x14ac:dyDescent="0.25">
      <c r="A879">
        <v>59</v>
      </c>
      <c r="B879" t="s">
        <v>331</v>
      </c>
      <c r="C879">
        <v>80</v>
      </c>
      <c r="D879" t="s">
        <v>16</v>
      </c>
      <c r="E879" t="s">
        <v>14</v>
      </c>
      <c r="F879">
        <v>116.22</v>
      </c>
      <c r="G879" t="s">
        <v>13</v>
      </c>
    </row>
    <row r="880" spans="1:7" x14ac:dyDescent="0.25">
      <c r="A880">
        <v>59</v>
      </c>
      <c r="B880" t="s">
        <v>331</v>
      </c>
      <c r="C880">
        <v>90</v>
      </c>
      <c r="D880" t="s">
        <v>96</v>
      </c>
      <c r="E880" t="s">
        <v>12</v>
      </c>
      <c r="F880">
        <v>9.4E-2</v>
      </c>
      <c r="G880" t="s">
        <v>13</v>
      </c>
    </row>
    <row r="881" spans="1:7" x14ac:dyDescent="0.25">
      <c r="A881">
        <v>59</v>
      </c>
      <c r="B881" t="s">
        <v>331</v>
      </c>
      <c r="C881">
        <v>100</v>
      </c>
      <c r="D881" t="s">
        <v>123</v>
      </c>
      <c r="E881" t="s">
        <v>11</v>
      </c>
      <c r="F881">
        <v>4</v>
      </c>
      <c r="G881" t="s">
        <v>13</v>
      </c>
    </row>
    <row r="882" spans="1:7" x14ac:dyDescent="0.25">
      <c r="A882">
        <v>59</v>
      </c>
      <c r="B882" t="s">
        <v>331</v>
      </c>
      <c r="C882">
        <v>110</v>
      </c>
      <c r="D882" t="s">
        <v>100</v>
      </c>
      <c r="E882" t="s">
        <v>11</v>
      </c>
      <c r="F882">
        <v>1</v>
      </c>
      <c r="G882" t="s">
        <v>13</v>
      </c>
    </row>
    <row r="883" spans="1:7" x14ac:dyDescent="0.25">
      <c r="A883">
        <v>59</v>
      </c>
      <c r="B883" t="s">
        <v>331</v>
      </c>
      <c r="C883">
        <v>120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331</v>
      </c>
      <c r="C884">
        <v>130</v>
      </c>
      <c r="D884" t="s">
        <v>21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331</v>
      </c>
      <c r="C885">
        <v>140</v>
      </c>
      <c r="D885" t="s">
        <v>114</v>
      </c>
      <c r="E885" t="s">
        <v>12</v>
      </c>
      <c r="F885">
        <v>1.1759999999999999</v>
      </c>
      <c r="G885" t="s">
        <v>13</v>
      </c>
    </row>
    <row r="886" spans="1:7" x14ac:dyDescent="0.25">
      <c r="A886">
        <v>59</v>
      </c>
      <c r="B886" t="s">
        <v>331</v>
      </c>
      <c r="C886">
        <v>150</v>
      </c>
      <c r="D886" t="s">
        <v>216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334</v>
      </c>
      <c r="C887">
        <v>10</v>
      </c>
      <c r="D887" t="s">
        <v>262</v>
      </c>
      <c r="E887" t="s">
        <v>14</v>
      </c>
      <c r="F887">
        <v>1.2450000000000001</v>
      </c>
      <c r="G887" t="s">
        <v>15</v>
      </c>
    </row>
    <row r="888" spans="1:7" x14ac:dyDescent="0.25">
      <c r="A888">
        <v>60</v>
      </c>
      <c r="B888" t="s">
        <v>334</v>
      </c>
      <c r="C888">
        <v>20</v>
      </c>
      <c r="D888" t="s">
        <v>335</v>
      </c>
      <c r="E888" t="s">
        <v>11</v>
      </c>
      <c r="F888">
        <v>1</v>
      </c>
      <c r="G888" t="s">
        <v>15</v>
      </c>
    </row>
    <row r="889" spans="1:7" x14ac:dyDescent="0.25">
      <c r="A889">
        <v>60</v>
      </c>
      <c r="B889" t="s">
        <v>334</v>
      </c>
      <c r="C889">
        <v>30</v>
      </c>
      <c r="D889" t="s">
        <v>336</v>
      </c>
      <c r="E889" t="s">
        <v>11</v>
      </c>
      <c r="F889">
        <v>1</v>
      </c>
      <c r="G889" t="s">
        <v>15</v>
      </c>
    </row>
    <row r="890" spans="1:7" x14ac:dyDescent="0.25">
      <c r="A890">
        <v>60</v>
      </c>
      <c r="B890" t="s">
        <v>334</v>
      </c>
      <c r="C890">
        <v>40</v>
      </c>
      <c r="D890" t="s">
        <v>112</v>
      </c>
      <c r="E890" t="s">
        <v>14</v>
      </c>
      <c r="F890">
        <v>1.2450000000000001</v>
      </c>
      <c r="G890" t="s">
        <v>15</v>
      </c>
    </row>
    <row r="891" spans="1:7" x14ac:dyDescent="0.25">
      <c r="A891">
        <v>60</v>
      </c>
      <c r="B891" t="s">
        <v>334</v>
      </c>
      <c r="C891">
        <v>50</v>
      </c>
      <c r="D891" t="s">
        <v>110</v>
      </c>
      <c r="E891" t="s">
        <v>111</v>
      </c>
      <c r="F891">
        <v>0.39600000000000002</v>
      </c>
      <c r="G891" t="s">
        <v>13</v>
      </c>
    </row>
    <row r="892" spans="1:7" x14ac:dyDescent="0.25">
      <c r="A892">
        <v>60</v>
      </c>
      <c r="B892" t="s">
        <v>334</v>
      </c>
      <c r="C892">
        <v>60</v>
      </c>
      <c r="D892" t="s">
        <v>95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334</v>
      </c>
      <c r="C893">
        <v>70</v>
      </c>
      <c r="D893" t="s">
        <v>113</v>
      </c>
      <c r="E893" t="s">
        <v>14</v>
      </c>
      <c r="F893">
        <v>19.66</v>
      </c>
      <c r="G893" t="s">
        <v>13</v>
      </c>
    </row>
    <row r="894" spans="1:7" x14ac:dyDescent="0.25">
      <c r="A894">
        <v>60</v>
      </c>
      <c r="B894" t="s">
        <v>334</v>
      </c>
      <c r="C894">
        <v>80</v>
      </c>
      <c r="D894" t="s">
        <v>16</v>
      </c>
      <c r="E894" t="s">
        <v>14</v>
      </c>
      <c r="F894">
        <v>121.84399999999999</v>
      </c>
      <c r="G894" t="s">
        <v>13</v>
      </c>
    </row>
    <row r="895" spans="1:7" x14ac:dyDescent="0.25">
      <c r="A895">
        <v>60</v>
      </c>
      <c r="B895" t="s">
        <v>334</v>
      </c>
      <c r="C895">
        <v>90</v>
      </c>
      <c r="D895" t="s">
        <v>96</v>
      </c>
      <c r="E895" t="s">
        <v>12</v>
      </c>
      <c r="F895">
        <v>0.105</v>
      </c>
      <c r="G895" t="s">
        <v>13</v>
      </c>
    </row>
    <row r="896" spans="1:7" x14ac:dyDescent="0.25">
      <c r="A896">
        <v>60</v>
      </c>
      <c r="B896" t="s">
        <v>334</v>
      </c>
      <c r="C896">
        <v>100</v>
      </c>
      <c r="D896" t="s">
        <v>123</v>
      </c>
      <c r="E896" t="s">
        <v>11</v>
      </c>
      <c r="F896">
        <v>4</v>
      </c>
      <c r="G896" t="s">
        <v>13</v>
      </c>
    </row>
    <row r="897" spans="1:7" x14ac:dyDescent="0.25">
      <c r="A897">
        <v>60</v>
      </c>
      <c r="B897" t="s">
        <v>334</v>
      </c>
      <c r="C897">
        <v>110</v>
      </c>
      <c r="D897" t="s">
        <v>100</v>
      </c>
      <c r="E897" t="s">
        <v>11</v>
      </c>
      <c r="F897">
        <v>1</v>
      </c>
      <c r="G897" t="s">
        <v>13</v>
      </c>
    </row>
    <row r="898" spans="1:7" x14ac:dyDescent="0.25">
      <c r="A898">
        <v>60</v>
      </c>
      <c r="B898" t="s">
        <v>334</v>
      </c>
      <c r="C898">
        <v>120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334</v>
      </c>
      <c r="C899">
        <v>130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334</v>
      </c>
      <c r="C900">
        <v>140</v>
      </c>
      <c r="D900" t="s">
        <v>114</v>
      </c>
      <c r="E900" t="s">
        <v>12</v>
      </c>
      <c r="F900">
        <v>1.1759999999999999</v>
      </c>
      <c r="G900" t="s">
        <v>13</v>
      </c>
    </row>
    <row r="901" spans="1:7" x14ac:dyDescent="0.25">
      <c r="A901">
        <v>60</v>
      </c>
      <c r="B901" t="s">
        <v>334</v>
      </c>
      <c r="C901">
        <v>150</v>
      </c>
      <c r="D901" t="s">
        <v>220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337</v>
      </c>
      <c r="C902">
        <v>10</v>
      </c>
      <c r="D902" t="s">
        <v>262</v>
      </c>
      <c r="E902" t="s">
        <v>14</v>
      </c>
      <c r="F902">
        <v>1.5489999999999999</v>
      </c>
      <c r="G902" t="s">
        <v>15</v>
      </c>
    </row>
    <row r="903" spans="1:7" x14ac:dyDescent="0.25">
      <c r="A903">
        <v>61</v>
      </c>
      <c r="B903" t="s">
        <v>337</v>
      </c>
      <c r="C903">
        <v>20</v>
      </c>
      <c r="D903" t="s">
        <v>338</v>
      </c>
      <c r="E903" t="s">
        <v>11</v>
      </c>
      <c r="F903">
        <v>1</v>
      </c>
      <c r="G903" t="s">
        <v>15</v>
      </c>
    </row>
    <row r="904" spans="1:7" x14ac:dyDescent="0.25">
      <c r="A904">
        <v>61</v>
      </c>
      <c r="B904" t="s">
        <v>337</v>
      </c>
      <c r="C904">
        <v>30</v>
      </c>
      <c r="D904" t="s">
        <v>339</v>
      </c>
      <c r="E904" t="s">
        <v>11</v>
      </c>
      <c r="F904">
        <v>1</v>
      </c>
      <c r="G904" t="s">
        <v>15</v>
      </c>
    </row>
    <row r="905" spans="1:7" x14ac:dyDescent="0.25">
      <c r="A905">
        <v>61</v>
      </c>
      <c r="B905" t="s">
        <v>337</v>
      </c>
      <c r="C905">
        <v>40</v>
      </c>
      <c r="D905" t="s">
        <v>112</v>
      </c>
      <c r="E905" t="s">
        <v>14</v>
      </c>
      <c r="F905">
        <v>1.5489999999999999</v>
      </c>
      <c r="G905" t="s">
        <v>15</v>
      </c>
    </row>
    <row r="906" spans="1:7" x14ac:dyDescent="0.25">
      <c r="A906">
        <v>61</v>
      </c>
      <c r="B906" t="s">
        <v>337</v>
      </c>
      <c r="C906">
        <v>50</v>
      </c>
      <c r="D906" t="s">
        <v>110</v>
      </c>
      <c r="E906" t="s">
        <v>111</v>
      </c>
      <c r="F906">
        <v>0.49299999999999999</v>
      </c>
      <c r="G906" t="s">
        <v>13</v>
      </c>
    </row>
    <row r="907" spans="1:7" x14ac:dyDescent="0.25">
      <c r="A907">
        <v>61</v>
      </c>
      <c r="B907" t="s">
        <v>337</v>
      </c>
      <c r="C907">
        <v>60</v>
      </c>
      <c r="D907" t="s">
        <v>95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337</v>
      </c>
      <c r="C908">
        <v>70</v>
      </c>
      <c r="D908" t="s">
        <v>113</v>
      </c>
      <c r="E908" t="s">
        <v>14</v>
      </c>
      <c r="F908">
        <v>21.488</v>
      </c>
      <c r="G908" t="s">
        <v>13</v>
      </c>
    </row>
    <row r="909" spans="1:7" x14ac:dyDescent="0.25">
      <c r="A909">
        <v>61</v>
      </c>
      <c r="B909" t="s">
        <v>337</v>
      </c>
      <c r="C909">
        <v>80</v>
      </c>
      <c r="D909" t="s">
        <v>16</v>
      </c>
      <c r="E909" t="s">
        <v>14</v>
      </c>
      <c r="F909">
        <v>133.09100000000001</v>
      </c>
      <c r="G909" t="s">
        <v>13</v>
      </c>
    </row>
    <row r="910" spans="1:7" x14ac:dyDescent="0.25">
      <c r="A910">
        <v>61</v>
      </c>
      <c r="B910" t="s">
        <v>337</v>
      </c>
      <c r="C910">
        <v>90</v>
      </c>
      <c r="D910" t="s">
        <v>96</v>
      </c>
      <c r="E910" t="s">
        <v>12</v>
      </c>
      <c r="F910">
        <v>0.126</v>
      </c>
      <c r="G910" t="s">
        <v>13</v>
      </c>
    </row>
    <row r="911" spans="1:7" x14ac:dyDescent="0.25">
      <c r="A911">
        <v>61</v>
      </c>
      <c r="B911" t="s">
        <v>337</v>
      </c>
      <c r="C911">
        <v>100</v>
      </c>
      <c r="D911" t="s">
        <v>123</v>
      </c>
      <c r="E911" t="s">
        <v>11</v>
      </c>
      <c r="F911">
        <v>4</v>
      </c>
      <c r="G911" t="s">
        <v>13</v>
      </c>
    </row>
    <row r="912" spans="1:7" x14ac:dyDescent="0.25">
      <c r="A912">
        <v>61</v>
      </c>
      <c r="B912" t="s">
        <v>337</v>
      </c>
      <c r="C912">
        <v>110</v>
      </c>
      <c r="D912" t="s">
        <v>100</v>
      </c>
      <c r="E912" t="s">
        <v>11</v>
      </c>
      <c r="F912">
        <v>1</v>
      </c>
      <c r="G912" t="s">
        <v>13</v>
      </c>
    </row>
    <row r="913" spans="1:7" x14ac:dyDescent="0.25">
      <c r="A913">
        <v>61</v>
      </c>
      <c r="B913" t="s">
        <v>337</v>
      </c>
      <c r="C913">
        <v>120</v>
      </c>
      <c r="D913" t="s">
        <v>20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337</v>
      </c>
      <c r="C914">
        <v>130</v>
      </c>
      <c r="D914" t="s">
        <v>21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337</v>
      </c>
      <c r="C915">
        <v>140</v>
      </c>
      <c r="D915" t="s">
        <v>114</v>
      </c>
      <c r="E915" t="s">
        <v>12</v>
      </c>
      <c r="F915">
        <v>1.1759999999999999</v>
      </c>
      <c r="G915" t="s">
        <v>13</v>
      </c>
    </row>
    <row r="916" spans="1:7" x14ac:dyDescent="0.25">
      <c r="A916">
        <v>61</v>
      </c>
      <c r="B916" t="s">
        <v>337</v>
      </c>
      <c r="C916">
        <v>150</v>
      </c>
      <c r="D916" t="s">
        <v>224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340</v>
      </c>
      <c r="C917">
        <v>10</v>
      </c>
      <c r="D917" t="s">
        <v>262</v>
      </c>
      <c r="E917" t="s">
        <v>14</v>
      </c>
      <c r="F917">
        <v>1.702</v>
      </c>
      <c r="G917" t="s">
        <v>15</v>
      </c>
    </row>
    <row r="918" spans="1:7" x14ac:dyDescent="0.25">
      <c r="A918">
        <v>62</v>
      </c>
      <c r="B918" t="s">
        <v>340</v>
      </c>
      <c r="C918">
        <v>20</v>
      </c>
      <c r="D918" t="s">
        <v>341</v>
      </c>
      <c r="E918" t="s">
        <v>11</v>
      </c>
      <c r="F918">
        <v>1</v>
      </c>
      <c r="G918" t="s">
        <v>15</v>
      </c>
    </row>
    <row r="919" spans="1:7" x14ac:dyDescent="0.25">
      <c r="A919">
        <v>62</v>
      </c>
      <c r="B919" t="s">
        <v>340</v>
      </c>
      <c r="C919">
        <v>30</v>
      </c>
      <c r="D919" t="s">
        <v>342</v>
      </c>
      <c r="E919" t="s">
        <v>11</v>
      </c>
      <c r="F919">
        <v>1</v>
      </c>
      <c r="G919" t="s">
        <v>15</v>
      </c>
    </row>
    <row r="920" spans="1:7" x14ac:dyDescent="0.25">
      <c r="A920">
        <v>62</v>
      </c>
      <c r="B920" t="s">
        <v>340</v>
      </c>
      <c r="C920">
        <v>40</v>
      </c>
      <c r="D920" t="s">
        <v>112</v>
      </c>
      <c r="E920" t="s">
        <v>14</v>
      </c>
      <c r="F920">
        <v>1.702</v>
      </c>
      <c r="G920" t="s">
        <v>15</v>
      </c>
    </row>
    <row r="921" spans="1:7" x14ac:dyDescent="0.25">
      <c r="A921">
        <v>62</v>
      </c>
      <c r="B921" t="s">
        <v>340</v>
      </c>
      <c r="C921">
        <v>50</v>
      </c>
      <c r="D921" t="s">
        <v>110</v>
      </c>
      <c r="E921" t="s">
        <v>111</v>
      </c>
      <c r="F921">
        <v>0.54200000000000004</v>
      </c>
      <c r="G921" t="s">
        <v>13</v>
      </c>
    </row>
    <row r="922" spans="1:7" x14ac:dyDescent="0.25">
      <c r="A922">
        <v>62</v>
      </c>
      <c r="B922" t="s">
        <v>340</v>
      </c>
      <c r="C922">
        <v>60</v>
      </c>
      <c r="D922" t="s">
        <v>95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340</v>
      </c>
      <c r="C923">
        <v>70</v>
      </c>
      <c r="D923" t="s">
        <v>113</v>
      </c>
      <c r="E923" t="s">
        <v>14</v>
      </c>
      <c r="F923">
        <v>22.402999999999999</v>
      </c>
      <c r="G923" t="s">
        <v>13</v>
      </c>
    </row>
    <row r="924" spans="1:7" x14ac:dyDescent="0.25">
      <c r="A924">
        <v>62</v>
      </c>
      <c r="B924" t="s">
        <v>340</v>
      </c>
      <c r="C924">
        <v>80</v>
      </c>
      <c r="D924" t="s">
        <v>16</v>
      </c>
      <c r="E924" t="s">
        <v>14</v>
      </c>
      <c r="F924">
        <v>138.714</v>
      </c>
      <c r="G924" t="s">
        <v>13</v>
      </c>
    </row>
    <row r="925" spans="1:7" x14ac:dyDescent="0.25">
      <c r="A925">
        <v>62</v>
      </c>
      <c r="B925" t="s">
        <v>340</v>
      </c>
      <c r="C925">
        <v>90</v>
      </c>
      <c r="D925" t="s">
        <v>96</v>
      </c>
      <c r="E925" t="s">
        <v>12</v>
      </c>
      <c r="F925">
        <v>0.13700000000000001</v>
      </c>
      <c r="G925" t="s">
        <v>13</v>
      </c>
    </row>
    <row r="926" spans="1:7" x14ac:dyDescent="0.25">
      <c r="A926">
        <v>62</v>
      </c>
      <c r="B926" t="s">
        <v>340</v>
      </c>
      <c r="C926">
        <v>100</v>
      </c>
      <c r="D926" t="s">
        <v>123</v>
      </c>
      <c r="E926" t="s">
        <v>11</v>
      </c>
      <c r="F926">
        <v>4</v>
      </c>
      <c r="G926" t="s">
        <v>13</v>
      </c>
    </row>
    <row r="927" spans="1:7" x14ac:dyDescent="0.25">
      <c r="A927">
        <v>62</v>
      </c>
      <c r="B927" t="s">
        <v>340</v>
      </c>
      <c r="C927">
        <v>110</v>
      </c>
      <c r="D927" t="s">
        <v>100</v>
      </c>
      <c r="E927" t="s">
        <v>11</v>
      </c>
      <c r="F927">
        <v>1</v>
      </c>
      <c r="G927" t="s">
        <v>13</v>
      </c>
    </row>
    <row r="928" spans="1:7" x14ac:dyDescent="0.25">
      <c r="A928">
        <v>62</v>
      </c>
      <c r="B928" t="s">
        <v>340</v>
      </c>
      <c r="C928">
        <v>120</v>
      </c>
      <c r="D928" t="s">
        <v>20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340</v>
      </c>
      <c r="C929">
        <v>130</v>
      </c>
      <c r="D929" t="s">
        <v>21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340</v>
      </c>
      <c r="C930">
        <v>140</v>
      </c>
      <c r="D930" t="s">
        <v>114</v>
      </c>
      <c r="E930" t="s">
        <v>12</v>
      </c>
      <c r="F930">
        <v>1.1759999999999999</v>
      </c>
      <c r="G930" t="s">
        <v>13</v>
      </c>
    </row>
    <row r="931" spans="1:7" x14ac:dyDescent="0.25">
      <c r="A931">
        <v>62</v>
      </c>
      <c r="B931" t="s">
        <v>340</v>
      </c>
      <c r="C931">
        <v>150</v>
      </c>
      <c r="D931" t="s">
        <v>228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343</v>
      </c>
      <c r="C932">
        <v>10</v>
      </c>
      <c r="D932" t="s">
        <v>262</v>
      </c>
      <c r="E932" t="s">
        <v>14</v>
      </c>
      <c r="F932">
        <v>1.8540000000000001</v>
      </c>
      <c r="G932" t="s">
        <v>15</v>
      </c>
    </row>
    <row r="933" spans="1:7" x14ac:dyDescent="0.25">
      <c r="A933">
        <v>63</v>
      </c>
      <c r="B933" t="s">
        <v>343</v>
      </c>
      <c r="C933">
        <v>20</v>
      </c>
      <c r="D933" t="s">
        <v>344</v>
      </c>
      <c r="E933" t="s">
        <v>11</v>
      </c>
      <c r="F933">
        <v>1</v>
      </c>
      <c r="G933" t="s">
        <v>15</v>
      </c>
    </row>
    <row r="934" spans="1:7" x14ac:dyDescent="0.25">
      <c r="A934">
        <v>63</v>
      </c>
      <c r="B934" t="s">
        <v>343</v>
      </c>
      <c r="C934">
        <v>30</v>
      </c>
      <c r="D934" t="s">
        <v>345</v>
      </c>
      <c r="E934" t="s">
        <v>11</v>
      </c>
      <c r="F934">
        <v>1</v>
      </c>
      <c r="G934" t="s">
        <v>15</v>
      </c>
    </row>
    <row r="935" spans="1:7" x14ac:dyDescent="0.25">
      <c r="A935">
        <v>63</v>
      </c>
      <c r="B935" t="s">
        <v>343</v>
      </c>
      <c r="C935">
        <v>40</v>
      </c>
      <c r="D935" t="s">
        <v>112</v>
      </c>
      <c r="E935" t="s">
        <v>14</v>
      </c>
      <c r="F935">
        <v>1.8540000000000001</v>
      </c>
      <c r="G935" t="s">
        <v>15</v>
      </c>
    </row>
    <row r="936" spans="1:7" x14ac:dyDescent="0.25">
      <c r="A936">
        <v>63</v>
      </c>
      <c r="B936" t="s">
        <v>343</v>
      </c>
      <c r="C936">
        <v>50</v>
      </c>
      <c r="D936" t="s">
        <v>110</v>
      </c>
      <c r="E936" t="s">
        <v>111</v>
      </c>
      <c r="F936">
        <v>0.59</v>
      </c>
      <c r="G936" t="s">
        <v>13</v>
      </c>
    </row>
    <row r="937" spans="1:7" x14ac:dyDescent="0.25">
      <c r="A937">
        <v>63</v>
      </c>
      <c r="B937" t="s">
        <v>343</v>
      </c>
      <c r="C937">
        <v>60</v>
      </c>
      <c r="D937" t="s">
        <v>95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343</v>
      </c>
      <c r="C938">
        <v>70</v>
      </c>
      <c r="D938" t="s">
        <v>113</v>
      </c>
      <c r="E938" t="s">
        <v>14</v>
      </c>
      <c r="F938">
        <v>23.317</v>
      </c>
      <c r="G938" t="s">
        <v>13</v>
      </c>
    </row>
    <row r="939" spans="1:7" x14ac:dyDescent="0.25">
      <c r="A939">
        <v>63</v>
      </c>
      <c r="B939" t="s">
        <v>343</v>
      </c>
      <c r="C939">
        <v>80</v>
      </c>
      <c r="D939" t="s">
        <v>16</v>
      </c>
      <c r="E939" t="s">
        <v>14</v>
      </c>
      <c r="F939">
        <v>144.33799999999999</v>
      </c>
      <c r="G939" t="s">
        <v>13</v>
      </c>
    </row>
    <row r="940" spans="1:7" x14ac:dyDescent="0.25">
      <c r="A940">
        <v>63</v>
      </c>
      <c r="B940" t="s">
        <v>343</v>
      </c>
      <c r="C940">
        <v>90</v>
      </c>
      <c r="D940" t="s">
        <v>96</v>
      </c>
      <c r="E940" t="s">
        <v>12</v>
      </c>
      <c r="F940">
        <v>0.14799999999999999</v>
      </c>
      <c r="G940" t="s">
        <v>13</v>
      </c>
    </row>
    <row r="941" spans="1:7" x14ac:dyDescent="0.25">
      <c r="A941">
        <v>63</v>
      </c>
      <c r="B941" t="s">
        <v>343</v>
      </c>
      <c r="C941">
        <v>100</v>
      </c>
      <c r="D941" t="s">
        <v>123</v>
      </c>
      <c r="E941" t="s">
        <v>11</v>
      </c>
      <c r="F941">
        <v>4</v>
      </c>
      <c r="G941" t="s">
        <v>13</v>
      </c>
    </row>
    <row r="942" spans="1:7" x14ac:dyDescent="0.25">
      <c r="A942">
        <v>63</v>
      </c>
      <c r="B942" t="s">
        <v>343</v>
      </c>
      <c r="C942">
        <v>110</v>
      </c>
      <c r="D942" t="s">
        <v>100</v>
      </c>
      <c r="E942" t="s">
        <v>11</v>
      </c>
      <c r="F942">
        <v>1</v>
      </c>
      <c r="G942" t="s">
        <v>13</v>
      </c>
    </row>
    <row r="943" spans="1:7" x14ac:dyDescent="0.25">
      <c r="A943">
        <v>63</v>
      </c>
      <c r="B943" t="s">
        <v>343</v>
      </c>
      <c r="C943">
        <v>120</v>
      </c>
      <c r="D943" t="s">
        <v>20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343</v>
      </c>
      <c r="C944">
        <v>130</v>
      </c>
      <c r="D944" t="s">
        <v>21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343</v>
      </c>
      <c r="C945">
        <v>140</v>
      </c>
      <c r="D945" t="s">
        <v>114</v>
      </c>
      <c r="E945" t="s">
        <v>12</v>
      </c>
      <c r="F945">
        <v>1.1759999999999999</v>
      </c>
      <c r="G945" t="s">
        <v>13</v>
      </c>
    </row>
    <row r="946" spans="1:7" x14ac:dyDescent="0.25">
      <c r="A946">
        <v>63</v>
      </c>
      <c r="B946" t="s">
        <v>343</v>
      </c>
      <c r="C946">
        <v>150</v>
      </c>
      <c r="D946" t="s">
        <v>232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346</v>
      </c>
      <c r="C947">
        <v>10</v>
      </c>
      <c r="D947" t="s">
        <v>262</v>
      </c>
      <c r="E947" t="s">
        <v>14</v>
      </c>
      <c r="F947">
        <v>2.1589999999999998</v>
      </c>
      <c r="G947" t="s">
        <v>15</v>
      </c>
    </row>
    <row r="948" spans="1:7" x14ac:dyDescent="0.25">
      <c r="A948">
        <v>64</v>
      </c>
      <c r="B948" t="s">
        <v>346</v>
      </c>
      <c r="C948">
        <v>20</v>
      </c>
      <c r="D948" t="s">
        <v>347</v>
      </c>
      <c r="E948" t="s">
        <v>11</v>
      </c>
      <c r="F948">
        <v>1</v>
      </c>
      <c r="G948" t="s">
        <v>15</v>
      </c>
    </row>
    <row r="949" spans="1:7" x14ac:dyDescent="0.25">
      <c r="A949">
        <v>64</v>
      </c>
      <c r="B949" t="s">
        <v>346</v>
      </c>
      <c r="C949">
        <v>30</v>
      </c>
      <c r="D949" t="s">
        <v>348</v>
      </c>
      <c r="E949" t="s">
        <v>11</v>
      </c>
      <c r="F949">
        <v>1</v>
      </c>
      <c r="G949" t="s">
        <v>15</v>
      </c>
    </row>
    <row r="950" spans="1:7" x14ac:dyDescent="0.25">
      <c r="A950">
        <v>64</v>
      </c>
      <c r="B950" t="s">
        <v>346</v>
      </c>
      <c r="C950">
        <v>40</v>
      </c>
      <c r="D950" t="s">
        <v>112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64</v>
      </c>
      <c r="B951" t="s">
        <v>346</v>
      </c>
      <c r="C951">
        <v>50</v>
      </c>
      <c r="D951" t="s">
        <v>110</v>
      </c>
      <c r="E951" t="s">
        <v>111</v>
      </c>
      <c r="F951">
        <v>0.26200000000000001</v>
      </c>
      <c r="G951" t="s">
        <v>13</v>
      </c>
    </row>
    <row r="952" spans="1:7" x14ac:dyDescent="0.25">
      <c r="A952">
        <v>64</v>
      </c>
      <c r="B952" t="s">
        <v>346</v>
      </c>
      <c r="C952">
        <v>60</v>
      </c>
      <c r="D952" t="s">
        <v>95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346</v>
      </c>
      <c r="C953">
        <v>70</v>
      </c>
      <c r="D953" t="s">
        <v>113</v>
      </c>
      <c r="E953" t="s">
        <v>14</v>
      </c>
      <c r="F953">
        <v>17.526</v>
      </c>
      <c r="G953" t="s">
        <v>13</v>
      </c>
    </row>
    <row r="954" spans="1:7" x14ac:dyDescent="0.25">
      <c r="A954">
        <v>64</v>
      </c>
      <c r="B954" t="s">
        <v>346</v>
      </c>
      <c r="C954">
        <v>80</v>
      </c>
      <c r="D954" t="s">
        <v>16</v>
      </c>
      <c r="E954" t="s">
        <v>14</v>
      </c>
      <c r="F954">
        <v>108.72199999999999</v>
      </c>
      <c r="G954" t="s">
        <v>13</v>
      </c>
    </row>
    <row r="955" spans="1:7" x14ac:dyDescent="0.25">
      <c r="A955">
        <v>64</v>
      </c>
      <c r="B955" t="s">
        <v>346</v>
      </c>
      <c r="C955">
        <v>90</v>
      </c>
      <c r="D955" t="s">
        <v>96</v>
      </c>
      <c r="E955" t="s">
        <v>12</v>
      </c>
      <c r="F955">
        <v>7.2999999999999995E-2</v>
      </c>
      <c r="G955" t="s">
        <v>13</v>
      </c>
    </row>
    <row r="956" spans="1:7" x14ac:dyDescent="0.25">
      <c r="A956">
        <v>64</v>
      </c>
      <c r="B956" t="s">
        <v>346</v>
      </c>
      <c r="C956">
        <v>100</v>
      </c>
      <c r="D956" t="s">
        <v>123</v>
      </c>
      <c r="E956" t="s">
        <v>11</v>
      </c>
      <c r="F956">
        <v>4</v>
      </c>
      <c r="G956" t="s">
        <v>13</v>
      </c>
    </row>
    <row r="957" spans="1:7" x14ac:dyDescent="0.25">
      <c r="A957">
        <v>64</v>
      </c>
      <c r="B957" t="s">
        <v>346</v>
      </c>
      <c r="C957">
        <v>110</v>
      </c>
      <c r="D957" t="s">
        <v>100</v>
      </c>
      <c r="E957" t="s">
        <v>11</v>
      </c>
      <c r="F957">
        <v>1</v>
      </c>
      <c r="G957" t="s">
        <v>13</v>
      </c>
    </row>
    <row r="958" spans="1:7" x14ac:dyDescent="0.25">
      <c r="A958">
        <v>64</v>
      </c>
      <c r="B958" t="s">
        <v>346</v>
      </c>
      <c r="C958">
        <v>120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346</v>
      </c>
      <c r="C959">
        <v>130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346</v>
      </c>
      <c r="C960">
        <v>140</v>
      </c>
      <c r="D960" t="s">
        <v>114</v>
      </c>
      <c r="E960" t="s">
        <v>12</v>
      </c>
      <c r="F960">
        <v>1.23</v>
      </c>
      <c r="G960" t="s">
        <v>13</v>
      </c>
    </row>
    <row r="961" spans="1:7" x14ac:dyDescent="0.25">
      <c r="A961">
        <v>64</v>
      </c>
      <c r="B961" t="s">
        <v>346</v>
      </c>
      <c r="C961">
        <v>150</v>
      </c>
      <c r="D961" t="s">
        <v>236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349</v>
      </c>
      <c r="C962">
        <v>10</v>
      </c>
      <c r="D962" t="s">
        <v>262</v>
      </c>
      <c r="E962" t="s">
        <v>14</v>
      </c>
      <c r="F962">
        <v>2.1589999999999998</v>
      </c>
      <c r="G962" t="s">
        <v>15</v>
      </c>
    </row>
    <row r="963" spans="1:7" x14ac:dyDescent="0.25">
      <c r="A963">
        <v>65</v>
      </c>
      <c r="B963" t="s">
        <v>349</v>
      </c>
      <c r="C963">
        <v>20</v>
      </c>
      <c r="D963" t="s">
        <v>350</v>
      </c>
      <c r="E963" t="s">
        <v>11</v>
      </c>
      <c r="F963">
        <v>1</v>
      </c>
      <c r="G963" t="s">
        <v>15</v>
      </c>
    </row>
    <row r="964" spans="1:7" x14ac:dyDescent="0.25">
      <c r="A964">
        <v>65</v>
      </c>
      <c r="B964" t="s">
        <v>349</v>
      </c>
      <c r="C964">
        <v>30</v>
      </c>
      <c r="D964" t="s">
        <v>351</v>
      </c>
      <c r="E964" t="s">
        <v>11</v>
      </c>
      <c r="F964">
        <v>1</v>
      </c>
      <c r="G964" t="s">
        <v>15</v>
      </c>
    </row>
    <row r="965" spans="1:7" x14ac:dyDescent="0.25">
      <c r="A965">
        <v>65</v>
      </c>
      <c r="B965" t="s">
        <v>349</v>
      </c>
      <c r="C965">
        <v>40</v>
      </c>
      <c r="D965" t="s">
        <v>112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65</v>
      </c>
      <c r="B966" t="s">
        <v>349</v>
      </c>
      <c r="C966">
        <v>50</v>
      </c>
      <c r="D966" t="s">
        <v>110</v>
      </c>
      <c r="E966" t="s">
        <v>111</v>
      </c>
      <c r="F966">
        <v>0.313</v>
      </c>
      <c r="G966" t="s">
        <v>13</v>
      </c>
    </row>
    <row r="967" spans="1:7" x14ac:dyDescent="0.25">
      <c r="A967">
        <v>65</v>
      </c>
      <c r="B967" t="s">
        <v>349</v>
      </c>
      <c r="C967">
        <v>60</v>
      </c>
      <c r="D967" t="s">
        <v>95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349</v>
      </c>
      <c r="C968">
        <v>70</v>
      </c>
      <c r="D968" t="s">
        <v>113</v>
      </c>
      <c r="E968" t="s">
        <v>14</v>
      </c>
      <c r="F968">
        <v>18.440000000000001</v>
      </c>
      <c r="G968" t="s">
        <v>13</v>
      </c>
    </row>
    <row r="969" spans="1:7" x14ac:dyDescent="0.25">
      <c r="A969">
        <v>65</v>
      </c>
      <c r="B969" t="s">
        <v>349</v>
      </c>
      <c r="C969">
        <v>80</v>
      </c>
      <c r="D969" t="s">
        <v>16</v>
      </c>
      <c r="E969" t="s">
        <v>14</v>
      </c>
      <c r="F969">
        <v>114.346</v>
      </c>
      <c r="G969" t="s">
        <v>13</v>
      </c>
    </row>
    <row r="970" spans="1:7" x14ac:dyDescent="0.25">
      <c r="A970">
        <v>65</v>
      </c>
      <c r="B970" t="s">
        <v>349</v>
      </c>
      <c r="C970">
        <v>90</v>
      </c>
      <c r="D970" t="s">
        <v>96</v>
      </c>
      <c r="E970" t="s">
        <v>12</v>
      </c>
      <c r="F970">
        <v>8.4000000000000005E-2</v>
      </c>
      <c r="G970" t="s">
        <v>13</v>
      </c>
    </row>
    <row r="971" spans="1:7" x14ac:dyDescent="0.25">
      <c r="A971">
        <v>65</v>
      </c>
      <c r="B971" t="s">
        <v>349</v>
      </c>
      <c r="C971">
        <v>100</v>
      </c>
      <c r="D971" t="s">
        <v>123</v>
      </c>
      <c r="E971" t="s">
        <v>11</v>
      </c>
      <c r="F971">
        <v>4</v>
      </c>
      <c r="G971" t="s">
        <v>13</v>
      </c>
    </row>
    <row r="972" spans="1:7" x14ac:dyDescent="0.25">
      <c r="A972">
        <v>65</v>
      </c>
      <c r="B972" t="s">
        <v>349</v>
      </c>
      <c r="C972">
        <v>110</v>
      </c>
      <c r="D972" t="s">
        <v>100</v>
      </c>
      <c r="E972" t="s">
        <v>11</v>
      </c>
      <c r="F972">
        <v>1</v>
      </c>
      <c r="G972" t="s">
        <v>13</v>
      </c>
    </row>
    <row r="973" spans="1:7" x14ac:dyDescent="0.25">
      <c r="A973">
        <v>65</v>
      </c>
      <c r="B973" t="s">
        <v>349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349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349</v>
      </c>
      <c r="C975">
        <v>140</v>
      </c>
      <c r="D975" t="s">
        <v>114</v>
      </c>
      <c r="E975" t="s">
        <v>12</v>
      </c>
      <c r="F975">
        <v>1.23</v>
      </c>
      <c r="G975" t="s">
        <v>13</v>
      </c>
    </row>
    <row r="976" spans="1:7" x14ac:dyDescent="0.25">
      <c r="A976">
        <v>65</v>
      </c>
      <c r="B976" t="s">
        <v>349</v>
      </c>
      <c r="C976">
        <v>150</v>
      </c>
      <c r="D976" t="s">
        <v>240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352</v>
      </c>
      <c r="C977">
        <v>10</v>
      </c>
      <c r="D977" t="s">
        <v>262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66</v>
      </c>
      <c r="B978" t="s">
        <v>352</v>
      </c>
      <c r="C978">
        <v>20</v>
      </c>
      <c r="D978" t="s">
        <v>353</v>
      </c>
      <c r="E978" t="s">
        <v>11</v>
      </c>
      <c r="F978">
        <v>1</v>
      </c>
      <c r="G978" t="s">
        <v>15</v>
      </c>
    </row>
    <row r="979" spans="1:7" x14ac:dyDescent="0.25">
      <c r="A979">
        <v>66</v>
      </c>
      <c r="B979" t="s">
        <v>352</v>
      </c>
      <c r="C979">
        <v>30</v>
      </c>
      <c r="D979" t="s">
        <v>354</v>
      </c>
      <c r="E979" t="s">
        <v>11</v>
      </c>
      <c r="F979">
        <v>1</v>
      </c>
      <c r="G979" t="s">
        <v>15</v>
      </c>
    </row>
    <row r="980" spans="1:7" x14ac:dyDescent="0.25">
      <c r="A980">
        <v>66</v>
      </c>
      <c r="B980" t="s">
        <v>352</v>
      </c>
      <c r="C980">
        <v>40</v>
      </c>
      <c r="D980" t="s">
        <v>112</v>
      </c>
      <c r="E980" t="s">
        <v>14</v>
      </c>
      <c r="F980">
        <v>2.1589999999999998</v>
      </c>
      <c r="G980" t="s">
        <v>15</v>
      </c>
    </row>
    <row r="981" spans="1:7" x14ac:dyDescent="0.25">
      <c r="A981">
        <v>66</v>
      </c>
      <c r="B981" t="s">
        <v>352</v>
      </c>
      <c r="C981">
        <v>50</v>
      </c>
      <c r="D981" t="s">
        <v>110</v>
      </c>
      <c r="E981" t="s">
        <v>111</v>
      </c>
      <c r="F981">
        <v>0.36499999999999999</v>
      </c>
      <c r="G981" t="s">
        <v>13</v>
      </c>
    </row>
    <row r="982" spans="1:7" x14ac:dyDescent="0.25">
      <c r="A982">
        <v>66</v>
      </c>
      <c r="B982" t="s">
        <v>352</v>
      </c>
      <c r="C982">
        <v>60</v>
      </c>
      <c r="D982" t="s">
        <v>95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352</v>
      </c>
      <c r="C983">
        <v>70</v>
      </c>
      <c r="D983" t="s">
        <v>113</v>
      </c>
      <c r="E983" t="s">
        <v>14</v>
      </c>
      <c r="F983">
        <v>19.355</v>
      </c>
      <c r="G983" t="s">
        <v>13</v>
      </c>
    </row>
    <row r="984" spans="1:7" x14ac:dyDescent="0.25">
      <c r="A984">
        <v>66</v>
      </c>
      <c r="B984" t="s">
        <v>352</v>
      </c>
      <c r="C984">
        <v>80</v>
      </c>
      <c r="D984" t="s">
        <v>16</v>
      </c>
      <c r="E984" t="s">
        <v>14</v>
      </c>
      <c r="F984">
        <v>119.96899999999999</v>
      </c>
      <c r="G984" t="s">
        <v>13</v>
      </c>
    </row>
    <row r="985" spans="1:7" x14ac:dyDescent="0.25">
      <c r="A985">
        <v>66</v>
      </c>
      <c r="B985" t="s">
        <v>352</v>
      </c>
      <c r="C985">
        <v>90</v>
      </c>
      <c r="D985" t="s">
        <v>96</v>
      </c>
      <c r="E985" t="s">
        <v>12</v>
      </c>
      <c r="F985">
        <v>9.4E-2</v>
      </c>
      <c r="G985" t="s">
        <v>13</v>
      </c>
    </row>
    <row r="986" spans="1:7" x14ac:dyDescent="0.25">
      <c r="A986">
        <v>66</v>
      </c>
      <c r="B986" t="s">
        <v>352</v>
      </c>
      <c r="C986">
        <v>100</v>
      </c>
      <c r="D986" t="s">
        <v>123</v>
      </c>
      <c r="E986" t="s">
        <v>11</v>
      </c>
      <c r="F986">
        <v>4</v>
      </c>
      <c r="G986" t="s">
        <v>13</v>
      </c>
    </row>
    <row r="987" spans="1:7" x14ac:dyDescent="0.25">
      <c r="A987">
        <v>66</v>
      </c>
      <c r="B987" t="s">
        <v>352</v>
      </c>
      <c r="C987">
        <v>110</v>
      </c>
      <c r="D987" t="s">
        <v>100</v>
      </c>
      <c r="E987" t="s">
        <v>11</v>
      </c>
      <c r="F987">
        <v>1</v>
      </c>
      <c r="G987" t="s">
        <v>13</v>
      </c>
    </row>
    <row r="988" spans="1:7" x14ac:dyDescent="0.25">
      <c r="A988">
        <v>66</v>
      </c>
      <c r="B988" t="s">
        <v>352</v>
      </c>
      <c r="C988">
        <v>120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352</v>
      </c>
      <c r="C989">
        <v>130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352</v>
      </c>
      <c r="C990">
        <v>140</v>
      </c>
      <c r="D990" t="s">
        <v>114</v>
      </c>
      <c r="E990" t="s">
        <v>12</v>
      </c>
      <c r="F990">
        <v>1.23</v>
      </c>
      <c r="G990" t="s">
        <v>13</v>
      </c>
    </row>
    <row r="991" spans="1:7" x14ac:dyDescent="0.25">
      <c r="A991">
        <v>66</v>
      </c>
      <c r="B991" t="s">
        <v>352</v>
      </c>
      <c r="C991">
        <v>150</v>
      </c>
      <c r="D991" t="s">
        <v>244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355</v>
      </c>
      <c r="C992">
        <v>10</v>
      </c>
      <c r="D992" t="s">
        <v>262</v>
      </c>
      <c r="E992" t="s">
        <v>14</v>
      </c>
      <c r="F992">
        <v>2.1589999999999998</v>
      </c>
      <c r="G992" t="s">
        <v>15</v>
      </c>
    </row>
    <row r="993" spans="1:7" x14ac:dyDescent="0.25">
      <c r="A993">
        <v>67</v>
      </c>
      <c r="B993" t="s">
        <v>355</v>
      </c>
      <c r="C993">
        <v>20</v>
      </c>
      <c r="D993" t="s">
        <v>356</v>
      </c>
      <c r="E993" t="s">
        <v>11</v>
      </c>
      <c r="F993">
        <v>1</v>
      </c>
      <c r="G993" t="s">
        <v>15</v>
      </c>
    </row>
    <row r="994" spans="1:7" x14ac:dyDescent="0.25">
      <c r="A994">
        <v>67</v>
      </c>
      <c r="B994" t="s">
        <v>355</v>
      </c>
      <c r="C994">
        <v>30</v>
      </c>
      <c r="D994" t="s">
        <v>357</v>
      </c>
      <c r="E994" t="s">
        <v>11</v>
      </c>
      <c r="F994">
        <v>1</v>
      </c>
      <c r="G994" t="s">
        <v>15</v>
      </c>
    </row>
    <row r="995" spans="1:7" x14ac:dyDescent="0.25">
      <c r="A995">
        <v>67</v>
      </c>
      <c r="B995" t="s">
        <v>355</v>
      </c>
      <c r="C995">
        <v>40</v>
      </c>
      <c r="D995" t="s">
        <v>112</v>
      </c>
      <c r="E995" t="s">
        <v>14</v>
      </c>
      <c r="F995">
        <v>2.1589999999999998</v>
      </c>
      <c r="G995" t="s">
        <v>15</v>
      </c>
    </row>
    <row r="996" spans="1:7" x14ac:dyDescent="0.25">
      <c r="A996">
        <v>67</v>
      </c>
      <c r="B996" t="s">
        <v>355</v>
      </c>
      <c r="C996">
        <v>50</v>
      </c>
      <c r="D996" t="s">
        <v>110</v>
      </c>
      <c r="E996" t="s">
        <v>111</v>
      </c>
      <c r="F996">
        <v>0.41599999999999998</v>
      </c>
      <c r="G996" t="s">
        <v>13</v>
      </c>
    </row>
    <row r="997" spans="1:7" x14ac:dyDescent="0.25">
      <c r="A997">
        <v>67</v>
      </c>
      <c r="B997" t="s">
        <v>355</v>
      </c>
      <c r="C997">
        <v>60</v>
      </c>
      <c r="D997" t="s">
        <v>95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355</v>
      </c>
      <c r="C998">
        <v>70</v>
      </c>
      <c r="D998" t="s">
        <v>113</v>
      </c>
      <c r="E998" t="s">
        <v>14</v>
      </c>
      <c r="F998">
        <v>20.268999999999998</v>
      </c>
      <c r="G998" t="s">
        <v>13</v>
      </c>
    </row>
    <row r="999" spans="1:7" x14ac:dyDescent="0.25">
      <c r="A999">
        <v>67</v>
      </c>
      <c r="B999" t="s">
        <v>355</v>
      </c>
      <c r="C999">
        <v>80</v>
      </c>
      <c r="D999" t="s">
        <v>16</v>
      </c>
      <c r="E999" t="s">
        <v>14</v>
      </c>
      <c r="F999">
        <v>125.593</v>
      </c>
      <c r="G999" t="s">
        <v>13</v>
      </c>
    </row>
    <row r="1000" spans="1:7" x14ac:dyDescent="0.25">
      <c r="A1000">
        <v>67</v>
      </c>
      <c r="B1000" t="s">
        <v>355</v>
      </c>
      <c r="C1000">
        <v>90</v>
      </c>
      <c r="D1000" t="s">
        <v>96</v>
      </c>
      <c r="E1000" t="s">
        <v>12</v>
      </c>
      <c r="F1000">
        <v>0.105</v>
      </c>
      <c r="G1000" t="s">
        <v>13</v>
      </c>
    </row>
    <row r="1001" spans="1:7" x14ac:dyDescent="0.25">
      <c r="A1001">
        <v>67</v>
      </c>
      <c r="B1001" t="s">
        <v>355</v>
      </c>
      <c r="C1001">
        <v>100</v>
      </c>
      <c r="D1001" t="s">
        <v>123</v>
      </c>
      <c r="E1001" t="s">
        <v>11</v>
      </c>
      <c r="F1001">
        <v>4</v>
      </c>
      <c r="G1001" t="s">
        <v>13</v>
      </c>
    </row>
    <row r="1002" spans="1:7" x14ac:dyDescent="0.25">
      <c r="A1002">
        <v>67</v>
      </c>
      <c r="B1002" t="s">
        <v>355</v>
      </c>
      <c r="C1002">
        <v>110</v>
      </c>
      <c r="D1002" t="s">
        <v>100</v>
      </c>
      <c r="E1002" t="s">
        <v>11</v>
      </c>
      <c r="F1002">
        <v>1</v>
      </c>
      <c r="G1002" t="s">
        <v>13</v>
      </c>
    </row>
    <row r="1003" spans="1:7" x14ac:dyDescent="0.25">
      <c r="A1003">
        <v>67</v>
      </c>
      <c r="B1003" t="s">
        <v>355</v>
      </c>
      <c r="C1003">
        <v>120</v>
      </c>
      <c r="D1003" t="s">
        <v>20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355</v>
      </c>
      <c r="C1004">
        <v>130</v>
      </c>
      <c r="D1004" t="s">
        <v>21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355</v>
      </c>
      <c r="C1005">
        <v>140</v>
      </c>
      <c r="D1005" t="s">
        <v>114</v>
      </c>
      <c r="E1005" t="s">
        <v>12</v>
      </c>
      <c r="F1005">
        <v>1.23</v>
      </c>
      <c r="G1005" t="s">
        <v>13</v>
      </c>
    </row>
    <row r="1006" spans="1:7" x14ac:dyDescent="0.25">
      <c r="A1006">
        <v>67</v>
      </c>
      <c r="B1006" t="s">
        <v>355</v>
      </c>
      <c r="C1006">
        <v>150</v>
      </c>
      <c r="D1006" t="s">
        <v>248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358</v>
      </c>
      <c r="C1007">
        <v>10</v>
      </c>
      <c r="D1007" t="s">
        <v>262</v>
      </c>
      <c r="E1007" t="s">
        <v>14</v>
      </c>
      <c r="F1007">
        <v>2.1589999999999998</v>
      </c>
      <c r="G1007" t="s">
        <v>15</v>
      </c>
    </row>
    <row r="1008" spans="1:7" x14ac:dyDescent="0.25">
      <c r="A1008">
        <v>68</v>
      </c>
      <c r="B1008" t="s">
        <v>358</v>
      </c>
      <c r="C1008">
        <v>20</v>
      </c>
      <c r="D1008" t="s">
        <v>359</v>
      </c>
      <c r="E1008" t="s">
        <v>11</v>
      </c>
      <c r="F1008">
        <v>1</v>
      </c>
      <c r="G1008" t="s">
        <v>15</v>
      </c>
    </row>
    <row r="1009" spans="1:7" x14ac:dyDescent="0.25">
      <c r="A1009">
        <v>68</v>
      </c>
      <c r="B1009" t="s">
        <v>358</v>
      </c>
      <c r="C1009">
        <v>30</v>
      </c>
      <c r="D1009" t="s">
        <v>360</v>
      </c>
      <c r="E1009" t="s">
        <v>11</v>
      </c>
      <c r="F1009">
        <v>1</v>
      </c>
      <c r="G1009" t="s">
        <v>15</v>
      </c>
    </row>
    <row r="1010" spans="1:7" x14ac:dyDescent="0.25">
      <c r="A1010">
        <v>68</v>
      </c>
      <c r="B1010" t="s">
        <v>358</v>
      </c>
      <c r="C1010">
        <v>40</v>
      </c>
      <c r="D1010" t="s">
        <v>112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68</v>
      </c>
      <c r="B1011" t="s">
        <v>358</v>
      </c>
      <c r="C1011">
        <v>50</v>
      </c>
      <c r="D1011" t="s">
        <v>110</v>
      </c>
      <c r="E1011" t="s">
        <v>111</v>
      </c>
      <c r="F1011">
        <v>0.51800000000000002</v>
      </c>
      <c r="G1011" t="s">
        <v>13</v>
      </c>
    </row>
    <row r="1012" spans="1:7" x14ac:dyDescent="0.25">
      <c r="A1012">
        <v>68</v>
      </c>
      <c r="B1012" t="s">
        <v>358</v>
      </c>
      <c r="C1012">
        <v>60</v>
      </c>
      <c r="D1012" t="s">
        <v>95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358</v>
      </c>
      <c r="C1013">
        <v>70</v>
      </c>
      <c r="D1013" t="s">
        <v>113</v>
      </c>
      <c r="E1013" t="s">
        <v>14</v>
      </c>
      <c r="F1013">
        <v>22.097999999999999</v>
      </c>
      <c r="G1013" t="s">
        <v>13</v>
      </c>
    </row>
    <row r="1014" spans="1:7" x14ac:dyDescent="0.25">
      <c r="A1014">
        <v>68</v>
      </c>
      <c r="B1014" t="s">
        <v>358</v>
      </c>
      <c r="C1014">
        <v>80</v>
      </c>
      <c r="D1014" t="s">
        <v>16</v>
      </c>
      <c r="E1014" t="s">
        <v>14</v>
      </c>
      <c r="F1014">
        <v>136.84</v>
      </c>
      <c r="G1014" t="s">
        <v>13</v>
      </c>
    </row>
    <row r="1015" spans="1:7" x14ac:dyDescent="0.25">
      <c r="A1015">
        <v>68</v>
      </c>
      <c r="B1015" t="s">
        <v>358</v>
      </c>
      <c r="C1015">
        <v>90</v>
      </c>
      <c r="D1015" t="s">
        <v>96</v>
      </c>
      <c r="E1015" t="s">
        <v>12</v>
      </c>
      <c r="F1015">
        <v>0.126</v>
      </c>
      <c r="G1015" t="s">
        <v>13</v>
      </c>
    </row>
    <row r="1016" spans="1:7" x14ac:dyDescent="0.25">
      <c r="A1016">
        <v>68</v>
      </c>
      <c r="B1016" t="s">
        <v>358</v>
      </c>
      <c r="C1016">
        <v>100</v>
      </c>
      <c r="D1016" t="s">
        <v>123</v>
      </c>
      <c r="E1016" t="s">
        <v>11</v>
      </c>
      <c r="F1016">
        <v>4</v>
      </c>
      <c r="G1016" t="s">
        <v>13</v>
      </c>
    </row>
    <row r="1017" spans="1:7" x14ac:dyDescent="0.25">
      <c r="A1017">
        <v>68</v>
      </c>
      <c r="B1017" t="s">
        <v>358</v>
      </c>
      <c r="C1017">
        <v>110</v>
      </c>
      <c r="D1017" t="s">
        <v>100</v>
      </c>
      <c r="E1017" t="s">
        <v>11</v>
      </c>
      <c r="F1017">
        <v>1</v>
      </c>
      <c r="G1017" t="s">
        <v>13</v>
      </c>
    </row>
    <row r="1018" spans="1:7" x14ac:dyDescent="0.25">
      <c r="A1018">
        <v>68</v>
      </c>
      <c r="B1018" t="s">
        <v>358</v>
      </c>
      <c r="C1018">
        <v>120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358</v>
      </c>
      <c r="C1019">
        <v>130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358</v>
      </c>
      <c r="C1020">
        <v>140</v>
      </c>
      <c r="D1020" t="s">
        <v>114</v>
      </c>
      <c r="E1020" t="s">
        <v>12</v>
      </c>
      <c r="F1020">
        <v>1.23</v>
      </c>
      <c r="G1020" t="s">
        <v>13</v>
      </c>
    </row>
    <row r="1021" spans="1:7" x14ac:dyDescent="0.25">
      <c r="A1021">
        <v>68</v>
      </c>
      <c r="B1021" t="s">
        <v>358</v>
      </c>
      <c r="C1021">
        <v>150</v>
      </c>
      <c r="D1021" t="s">
        <v>252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361</v>
      </c>
      <c r="C1022">
        <v>10</v>
      </c>
      <c r="D1022" t="s">
        <v>262</v>
      </c>
      <c r="E1022" t="s">
        <v>14</v>
      </c>
      <c r="F1022">
        <v>2.1589999999999998</v>
      </c>
      <c r="G1022" t="s">
        <v>15</v>
      </c>
    </row>
    <row r="1023" spans="1:7" x14ac:dyDescent="0.25">
      <c r="A1023">
        <v>69</v>
      </c>
      <c r="B1023" t="s">
        <v>361</v>
      </c>
      <c r="C1023">
        <v>20</v>
      </c>
      <c r="D1023" t="s">
        <v>362</v>
      </c>
      <c r="E1023" t="s">
        <v>11</v>
      </c>
      <c r="F1023">
        <v>1</v>
      </c>
      <c r="G1023" t="s">
        <v>15</v>
      </c>
    </row>
    <row r="1024" spans="1:7" x14ac:dyDescent="0.25">
      <c r="A1024">
        <v>69</v>
      </c>
      <c r="B1024" t="s">
        <v>361</v>
      </c>
      <c r="C1024">
        <v>30</v>
      </c>
      <c r="D1024" t="s">
        <v>363</v>
      </c>
      <c r="E1024" t="s">
        <v>11</v>
      </c>
      <c r="F1024">
        <v>1</v>
      </c>
      <c r="G1024" t="s">
        <v>15</v>
      </c>
    </row>
    <row r="1025" spans="1:7" x14ac:dyDescent="0.25">
      <c r="A1025">
        <v>69</v>
      </c>
      <c r="B1025" t="s">
        <v>361</v>
      </c>
      <c r="C1025">
        <v>40</v>
      </c>
      <c r="D1025" t="s">
        <v>112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69</v>
      </c>
      <c r="B1026" t="s">
        <v>361</v>
      </c>
      <c r="C1026">
        <v>50</v>
      </c>
      <c r="D1026" t="s">
        <v>110</v>
      </c>
      <c r="E1026" t="s">
        <v>111</v>
      </c>
      <c r="F1026">
        <v>0.56899999999999995</v>
      </c>
      <c r="G1026" t="s">
        <v>13</v>
      </c>
    </row>
    <row r="1027" spans="1:7" x14ac:dyDescent="0.25">
      <c r="A1027">
        <v>69</v>
      </c>
      <c r="B1027" t="s">
        <v>361</v>
      </c>
      <c r="C1027">
        <v>60</v>
      </c>
      <c r="D1027" t="s">
        <v>95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361</v>
      </c>
      <c r="C1028">
        <v>70</v>
      </c>
      <c r="D1028" t="s">
        <v>113</v>
      </c>
      <c r="E1028" t="s">
        <v>14</v>
      </c>
      <c r="F1028">
        <v>23.012</v>
      </c>
      <c r="G1028" t="s">
        <v>13</v>
      </c>
    </row>
    <row r="1029" spans="1:7" x14ac:dyDescent="0.25">
      <c r="A1029">
        <v>69</v>
      </c>
      <c r="B1029" t="s">
        <v>361</v>
      </c>
      <c r="C1029">
        <v>80</v>
      </c>
      <c r="D1029" t="s">
        <v>16</v>
      </c>
      <c r="E1029" t="s">
        <v>14</v>
      </c>
      <c r="F1029">
        <v>142.464</v>
      </c>
      <c r="G1029" t="s">
        <v>13</v>
      </c>
    </row>
    <row r="1030" spans="1:7" x14ac:dyDescent="0.25">
      <c r="A1030">
        <v>69</v>
      </c>
      <c r="B1030" t="s">
        <v>361</v>
      </c>
      <c r="C1030">
        <v>90</v>
      </c>
      <c r="D1030" t="s">
        <v>96</v>
      </c>
      <c r="E1030" t="s">
        <v>12</v>
      </c>
      <c r="F1030">
        <v>0.13700000000000001</v>
      </c>
      <c r="G1030" t="s">
        <v>13</v>
      </c>
    </row>
    <row r="1031" spans="1:7" x14ac:dyDescent="0.25">
      <c r="A1031">
        <v>69</v>
      </c>
      <c r="B1031" t="s">
        <v>361</v>
      </c>
      <c r="C1031">
        <v>100</v>
      </c>
      <c r="D1031" t="s">
        <v>123</v>
      </c>
      <c r="E1031" t="s">
        <v>11</v>
      </c>
      <c r="F1031">
        <v>4</v>
      </c>
      <c r="G1031" t="s">
        <v>13</v>
      </c>
    </row>
    <row r="1032" spans="1:7" x14ac:dyDescent="0.25">
      <c r="A1032">
        <v>69</v>
      </c>
      <c r="B1032" t="s">
        <v>361</v>
      </c>
      <c r="C1032">
        <v>110</v>
      </c>
      <c r="D1032" t="s">
        <v>100</v>
      </c>
      <c r="E1032" t="s">
        <v>11</v>
      </c>
      <c r="F1032">
        <v>1</v>
      </c>
      <c r="G1032" t="s">
        <v>13</v>
      </c>
    </row>
    <row r="1033" spans="1:7" x14ac:dyDescent="0.25">
      <c r="A1033">
        <v>69</v>
      </c>
      <c r="B1033" t="s">
        <v>361</v>
      </c>
      <c r="C1033">
        <v>120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361</v>
      </c>
      <c r="C1034">
        <v>130</v>
      </c>
      <c r="D1034" t="s">
        <v>21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361</v>
      </c>
      <c r="C1035">
        <v>140</v>
      </c>
      <c r="D1035" t="s">
        <v>114</v>
      </c>
      <c r="E1035" t="s">
        <v>12</v>
      </c>
      <c r="F1035">
        <v>1.23</v>
      </c>
      <c r="G1035" t="s">
        <v>13</v>
      </c>
    </row>
    <row r="1036" spans="1:7" x14ac:dyDescent="0.25">
      <c r="A1036">
        <v>69</v>
      </c>
      <c r="B1036" t="s">
        <v>361</v>
      </c>
      <c r="C1036">
        <v>150</v>
      </c>
      <c r="D1036" t="s">
        <v>256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364</v>
      </c>
      <c r="C1037">
        <v>10</v>
      </c>
      <c r="D1037" t="s">
        <v>262</v>
      </c>
      <c r="E1037" t="s">
        <v>14</v>
      </c>
      <c r="F1037">
        <v>2.1589999999999998</v>
      </c>
      <c r="G1037" t="s">
        <v>15</v>
      </c>
    </row>
    <row r="1038" spans="1:7" x14ac:dyDescent="0.25">
      <c r="A1038">
        <v>70</v>
      </c>
      <c r="B1038" t="s">
        <v>364</v>
      </c>
      <c r="C1038">
        <v>20</v>
      </c>
      <c r="D1038" t="s">
        <v>365</v>
      </c>
      <c r="E1038" t="s">
        <v>11</v>
      </c>
      <c r="F1038">
        <v>1</v>
      </c>
      <c r="G1038" t="s">
        <v>15</v>
      </c>
    </row>
    <row r="1039" spans="1:7" x14ac:dyDescent="0.25">
      <c r="A1039">
        <v>70</v>
      </c>
      <c r="B1039" t="s">
        <v>364</v>
      </c>
      <c r="C1039">
        <v>30</v>
      </c>
      <c r="D1039" t="s">
        <v>366</v>
      </c>
      <c r="E1039" t="s">
        <v>11</v>
      </c>
      <c r="F1039">
        <v>1</v>
      </c>
      <c r="G1039" t="s">
        <v>15</v>
      </c>
    </row>
    <row r="1040" spans="1:7" x14ac:dyDescent="0.25">
      <c r="A1040">
        <v>70</v>
      </c>
      <c r="B1040" t="s">
        <v>364</v>
      </c>
      <c r="C1040">
        <v>40</v>
      </c>
      <c r="D1040" t="s">
        <v>112</v>
      </c>
      <c r="E1040" t="s">
        <v>14</v>
      </c>
      <c r="F1040">
        <v>2.1589999999999998</v>
      </c>
      <c r="G1040" t="s">
        <v>15</v>
      </c>
    </row>
    <row r="1041" spans="1:7" x14ac:dyDescent="0.25">
      <c r="A1041">
        <v>70</v>
      </c>
      <c r="B1041" t="s">
        <v>364</v>
      </c>
      <c r="C1041">
        <v>50</v>
      </c>
      <c r="D1041" t="s">
        <v>110</v>
      </c>
      <c r="E1041" t="s">
        <v>111</v>
      </c>
      <c r="F1041">
        <v>0.62</v>
      </c>
      <c r="G1041" t="s">
        <v>13</v>
      </c>
    </row>
    <row r="1042" spans="1:7" x14ac:dyDescent="0.25">
      <c r="A1042">
        <v>70</v>
      </c>
      <c r="B1042" t="s">
        <v>364</v>
      </c>
      <c r="C1042">
        <v>60</v>
      </c>
      <c r="D1042" t="s">
        <v>95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364</v>
      </c>
      <c r="C1043">
        <v>70</v>
      </c>
      <c r="D1043" t="s">
        <v>113</v>
      </c>
      <c r="E1043" t="s">
        <v>14</v>
      </c>
      <c r="F1043">
        <v>23.927</v>
      </c>
      <c r="G1043" t="s">
        <v>13</v>
      </c>
    </row>
    <row r="1044" spans="1:7" x14ac:dyDescent="0.25">
      <c r="A1044">
        <v>70</v>
      </c>
      <c r="B1044" t="s">
        <v>364</v>
      </c>
      <c r="C1044">
        <v>80</v>
      </c>
      <c r="D1044" t="s">
        <v>16</v>
      </c>
      <c r="E1044" t="s">
        <v>14</v>
      </c>
      <c r="F1044">
        <v>148.08699999999999</v>
      </c>
      <c r="G1044" t="s">
        <v>13</v>
      </c>
    </row>
    <row r="1045" spans="1:7" x14ac:dyDescent="0.25">
      <c r="A1045">
        <v>70</v>
      </c>
      <c r="B1045" t="s">
        <v>364</v>
      </c>
      <c r="C1045">
        <v>90</v>
      </c>
      <c r="D1045" t="s">
        <v>96</v>
      </c>
      <c r="E1045" t="s">
        <v>12</v>
      </c>
      <c r="F1045">
        <v>0.14799999999999999</v>
      </c>
      <c r="G1045" t="s">
        <v>13</v>
      </c>
    </row>
    <row r="1046" spans="1:7" x14ac:dyDescent="0.25">
      <c r="A1046">
        <v>70</v>
      </c>
      <c r="B1046" t="s">
        <v>364</v>
      </c>
      <c r="C1046">
        <v>100</v>
      </c>
      <c r="D1046" t="s">
        <v>123</v>
      </c>
      <c r="E1046" t="s">
        <v>11</v>
      </c>
      <c r="F1046">
        <v>4</v>
      </c>
      <c r="G1046" t="s">
        <v>13</v>
      </c>
    </row>
    <row r="1047" spans="1:7" x14ac:dyDescent="0.25">
      <c r="A1047">
        <v>70</v>
      </c>
      <c r="B1047" t="s">
        <v>364</v>
      </c>
      <c r="C1047">
        <v>110</v>
      </c>
      <c r="D1047" t="s">
        <v>100</v>
      </c>
      <c r="E1047" t="s">
        <v>11</v>
      </c>
      <c r="F1047">
        <v>1</v>
      </c>
      <c r="G1047" t="s">
        <v>13</v>
      </c>
    </row>
    <row r="1048" spans="1:7" x14ac:dyDescent="0.25">
      <c r="A1048">
        <v>70</v>
      </c>
      <c r="B1048" t="s">
        <v>364</v>
      </c>
      <c r="C1048">
        <v>120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364</v>
      </c>
      <c r="C1049">
        <v>130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364</v>
      </c>
      <c r="C1050">
        <v>140</v>
      </c>
      <c r="D1050" t="s">
        <v>114</v>
      </c>
      <c r="E1050" t="s">
        <v>12</v>
      </c>
      <c r="F1050">
        <v>1.23</v>
      </c>
      <c r="G1050" t="s">
        <v>13</v>
      </c>
    </row>
    <row r="1051" spans="1:7" x14ac:dyDescent="0.25">
      <c r="A1051">
        <v>70</v>
      </c>
      <c r="B1051" t="s">
        <v>364</v>
      </c>
      <c r="C1051">
        <v>150</v>
      </c>
      <c r="D1051" t="s">
        <v>260</v>
      </c>
      <c r="E1051" t="s">
        <v>11</v>
      </c>
      <c r="F1051">
        <v>1</v>
      </c>
      <c r="G10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opLeftCell="A1029" zoomScale="85" zoomScaleNormal="85" workbookViewId="0">
      <selection activeCell="E1044" sqref="E104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 t="s">
        <v>25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26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9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9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122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112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110</v>
      </c>
      <c r="O9" s="3"/>
      <c r="P9" s="3"/>
      <c r="Q9" s="3">
        <v>0.22600000000000001</v>
      </c>
      <c r="R9" s="3" t="s">
        <v>111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113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7.2999999999999995E-2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123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114</v>
      </c>
      <c r="O18" s="3"/>
      <c r="P18" s="3"/>
      <c r="Q18" s="3">
        <v>0.5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120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125</v>
      </c>
      <c r="D23" s="3"/>
      <c r="E23" s="3" t="s">
        <v>125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112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125</v>
      </c>
      <c r="D24" s="3"/>
      <c r="E24" s="3" t="s">
        <v>125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110</v>
      </c>
      <c r="O24" s="3"/>
      <c r="P24" s="3"/>
      <c r="Q24" s="3">
        <v>0.27</v>
      </c>
      <c r="R24" s="3" t="s">
        <v>111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125</v>
      </c>
      <c r="D25" s="3"/>
      <c r="E25" s="3" t="s">
        <v>125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125</v>
      </c>
      <c r="D26" s="3"/>
      <c r="E26" s="3" t="s">
        <v>125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113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125</v>
      </c>
      <c r="D27" s="3"/>
      <c r="E27" s="3" t="s">
        <v>125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125</v>
      </c>
      <c r="D28" s="3"/>
      <c r="E28" s="3" t="s">
        <v>125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8.4000000000000005E-2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125</v>
      </c>
      <c r="D29" s="3"/>
      <c r="E29" s="3" t="s">
        <v>125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123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125</v>
      </c>
      <c r="D30" s="3"/>
      <c r="E30" s="3" t="s">
        <v>125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114</v>
      </c>
      <c r="O33" s="3"/>
      <c r="P33" s="3"/>
      <c r="Q33" s="3">
        <v>0.58099999999999996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120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112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129</v>
      </c>
      <c r="D39" s="3"/>
      <c r="E39" s="3" t="s">
        <v>129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110</v>
      </c>
      <c r="O39" s="3"/>
      <c r="P39" s="3"/>
      <c r="Q39" s="3">
        <v>0.313</v>
      </c>
      <c r="R39" s="3" t="s">
        <v>111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129</v>
      </c>
      <c r="D40" s="3"/>
      <c r="E40" s="3" t="s">
        <v>129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129</v>
      </c>
      <c r="D41" s="3"/>
      <c r="E41" s="3" t="s">
        <v>129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113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129</v>
      </c>
      <c r="D42" s="3"/>
      <c r="E42" s="3" t="s">
        <v>129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129</v>
      </c>
      <c r="D43" s="3"/>
      <c r="E43" s="3" t="s">
        <v>129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9.4E-2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129</v>
      </c>
      <c r="D44" s="3"/>
      <c r="E44" s="3" t="s">
        <v>129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123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129</v>
      </c>
      <c r="D45" s="3"/>
      <c r="E45" s="3" t="s">
        <v>129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129</v>
      </c>
      <c r="D46" s="3"/>
      <c r="E46" s="3" t="s">
        <v>129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114</v>
      </c>
      <c r="O48" s="3"/>
      <c r="P48" s="3"/>
      <c r="Q48" s="3">
        <v>0.66200000000000003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133</v>
      </c>
      <c r="D50" s="3"/>
      <c r="E50" s="3" t="s">
        <v>133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120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133</v>
      </c>
      <c r="D51" s="3"/>
      <c r="E51" s="3" t="s">
        <v>133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133</v>
      </c>
      <c r="D52" s="3"/>
      <c r="E52" s="3" t="s">
        <v>133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133</v>
      </c>
      <c r="D53" s="3"/>
      <c r="E53" s="3" t="s">
        <v>133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112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133</v>
      </c>
      <c r="D54" s="3"/>
      <c r="E54" s="3" t="s">
        <v>133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110</v>
      </c>
      <c r="O54" s="3"/>
      <c r="P54" s="3"/>
      <c r="Q54" s="3">
        <v>0.35699999999999998</v>
      </c>
      <c r="R54" s="3" t="s">
        <v>111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133</v>
      </c>
      <c r="D55" s="3"/>
      <c r="E55" s="3" t="s">
        <v>133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133</v>
      </c>
      <c r="D56" s="3"/>
      <c r="E56" s="3" t="s">
        <v>133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113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133</v>
      </c>
      <c r="D57" s="3"/>
      <c r="E57" s="3" t="s">
        <v>133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133</v>
      </c>
      <c r="D58" s="3"/>
      <c r="E58" s="3" t="s">
        <v>133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0.105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133</v>
      </c>
      <c r="D59" s="3"/>
      <c r="E59" s="3" t="s">
        <v>133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133</v>
      </c>
      <c r="D60" s="3"/>
      <c r="E60" s="3" t="s">
        <v>133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114</v>
      </c>
      <c r="O63" s="3"/>
      <c r="P63" s="3"/>
      <c r="Q63" s="3">
        <v>0.74299999999999999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137</v>
      </c>
      <c r="D65" s="3"/>
      <c r="E65" s="3" t="s">
        <v>137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120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137</v>
      </c>
      <c r="D66" s="3"/>
      <c r="E66" s="3" t="s">
        <v>137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138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137</v>
      </c>
      <c r="D67" s="3"/>
      <c r="E67" s="3" t="s">
        <v>137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139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137</v>
      </c>
      <c r="D68" s="3"/>
      <c r="E68" s="3" t="s">
        <v>137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112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137</v>
      </c>
      <c r="D69" s="3"/>
      <c r="E69" s="3" t="s">
        <v>137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110</v>
      </c>
      <c r="O69" s="3"/>
      <c r="P69" s="3"/>
      <c r="Q69" s="3">
        <v>0.44500000000000001</v>
      </c>
      <c r="R69" s="3" t="s">
        <v>111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137</v>
      </c>
      <c r="D70" s="3"/>
      <c r="E70" s="3" t="s">
        <v>137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137</v>
      </c>
      <c r="D71" s="3"/>
      <c r="E71" s="3" t="s">
        <v>137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113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137</v>
      </c>
      <c r="D72" s="3"/>
      <c r="E72" s="3" t="s">
        <v>137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137</v>
      </c>
      <c r="D73" s="3"/>
      <c r="E73" s="3" t="s">
        <v>137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0.126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137</v>
      </c>
      <c r="D74" s="3"/>
      <c r="E74" s="3" t="s">
        <v>137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123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137</v>
      </c>
      <c r="D75" s="3"/>
      <c r="E75" s="3" t="s">
        <v>137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137</v>
      </c>
      <c r="D76" s="3"/>
      <c r="E76" s="3" t="s">
        <v>137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137</v>
      </c>
      <c r="D77" s="3"/>
      <c r="E77" s="3" t="s">
        <v>137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137</v>
      </c>
      <c r="D78" s="3"/>
      <c r="E78" s="3" t="s">
        <v>137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114</v>
      </c>
      <c r="O78" s="3"/>
      <c r="P78" s="3"/>
      <c r="Q78" s="3">
        <v>0.90500000000000003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137</v>
      </c>
      <c r="D79" s="3"/>
      <c r="E79" s="3" t="s">
        <v>137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140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141</v>
      </c>
      <c r="D80" s="3"/>
      <c r="E80" s="3" t="s">
        <v>141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120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141</v>
      </c>
      <c r="D81" s="3"/>
      <c r="E81" s="3" t="s">
        <v>141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142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141</v>
      </c>
      <c r="D82" s="3"/>
      <c r="E82" s="3" t="s">
        <v>141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141</v>
      </c>
      <c r="D83" s="3"/>
      <c r="E83" s="3" t="s">
        <v>141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112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141</v>
      </c>
      <c r="D84" s="3"/>
      <c r="E84" s="3" t="s">
        <v>141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110</v>
      </c>
      <c r="O84" s="3"/>
      <c r="P84" s="3"/>
      <c r="Q84" s="3">
        <v>0.48799999999999999</v>
      </c>
      <c r="R84" s="3" t="s">
        <v>111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141</v>
      </c>
      <c r="D85" s="3"/>
      <c r="E85" s="3" t="s">
        <v>141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141</v>
      </c>
      <c r="D86" s="3"/>
      <c r="E86" s="3" t="s">
        <v>141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113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141</v>
      </c>
      <c r="D87" s="3"/>
      <c r="E87" s="3" t="s">
        <v>141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141</v>
      </c>
      <c r="D88" s="3"/>
      <c r="E88" s="3" t="s">
        <v>141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0.13700000000000001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141</v>
      </c>
      <c r="D89" s="3"/>
      <c r="E89" s="3" t="s">
        <v>141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123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141</v>
      </c>
      <c r="D90" s="3"/>
      <c r="E90" s="3" t="s">
        <v>141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141</v>
      </c>
      <c r="D91" s="3"/>
      <c r="E91" s="3" t="s">
        <v>141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141</v>
      </c>
      <c r="D92" s="3"/>
      <c r="E92" s="3" t="s">
        <v>141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141</v>
      </c>
      <c r="D93" s="3"/>
      <c r="E93" s="3" t="s">
        <v>141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114</v>
      </c>
      <c r="O93" s="3"/>
      <c r="P93" s="3"/>
      <c r="Q93" s="3">
        <v>0.98599999999999999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141</v>
      </c>
      <c r="D94" s="3"/>
      <c r="E94" s="3" t="s">
        <v>141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145</v>
      </c>
      <c r="D95" s="3"/>
      <c r="E95" s="3" t="s">
        <v>145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120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145</v>
      </c>
      <c r="D96" s="3"/>
      <c r="E96" s="3" t="s">
        <v>145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145</v>
      </c>
      <c r="D97" s="3"/>
      <c r="E97" s="3" t="s">
        <v>145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147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145</v>
      </c>
      <c r="D98" s="3"/>
      <c r="E98" s="3" t="s">
        <v>145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112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145</v>
      </c>
      <c r="D99" s="3"/>
      <c r="E99" s="3" t="s">
        <v>145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110</v>
      </c>
      <c r="O99" s="3"/>
      <c r="P99" s="3"/>
      <c r="Q99" s="3">
        <v>0.53200000000000003</v>
      </c>
      <c r="R99" s="3" t="s">
        <v>111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145</v>
      </c>
      <c r="D100" s="3"/>
      <c r="E100" s="3" t="s">
        <v>145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145</v>
      </c>
      <c r="D101" s="3"/>
      <c r="E101" s="3" t="s">
        <v>145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113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145</v>
      </c>
      <c r="D102" s="3"/>
      <c r="E102" s="3" t="s">
        <v>145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145</v>
      </c>
      <c r="D103" s="3"/>
      <c r="E103" s="3" t="s">
        <v>145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0.14799999999999999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145</v>
      </c>
      <c r="D104" s="3"/>
      <c r="E104" s="3" t="s">
        <v>145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145</v>
      </c>
      <c r="D105" s="3"/>
      <c r="E105" s="3" t="s">
        <v>145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145</v>
      </c>
      <c r="D106" s="3"/>
      <c r="E106" s="3" t="s">
        <v>145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145</v>
      </c>
      <c r="D107" s="3"/>
      <c r="E107" s="3" t="s">
        <v>145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145</v>
      </c>
      <c r="D108" s="3"/>
      <c r="E108" s="3" t="s">
        <v>145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114</v>
      </c>
      <c r="O108" s="3"/>
      <c r="P108" s="3"/>
      <c r="Q108" s="3">
        <v>1.0669999999999999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145</v>
      </c>
      <c r="D109" s="3"/>
      <c r="E109" s="3" t="s">
        <v>145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120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150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112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110</v>
      </c>
      <c r="O114" s="3"/>
      <c r="P114" s="3"/>
      <c r="Q114" s="3">
        <v>0.23499999999999999</v>
      </c>
      <c r="R114" s="3" t="s">
        <v>111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113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7.2999999999999995E-2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114</v>
      </c>
      <c r="O123" s="3"/>
      <c r="P123" s="3"/>
      <c r="Q123" s="3">
        <v>0.5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120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112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110</v>
      </c>
      <c r="O129" s="3"/>
      <c r="P129" s="3"/>
      <c r="Q129" s="3">
        <v>0.28100000000000003</v>
      </c>
      <c r="R129" s="3" t="s">
        <v>111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113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8.4000000000000005E-2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123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114</v>
      </c>
      <c r="O138" s="3"/>
      <c r="P138" s="3"/>
      <c r="Q138" s="3">
        <v>0.58099999999999996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157</v>
      </c>
      <c r="D140" s="3"/>
      <c r="E140" s="3" t="s">
        <v>157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120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157</v>
      </c>
      <c r="D141" s="3"/>
      <c r="E141" s="3" t="s">
        <v>157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157</v>
      </c>
      <c r="D142" s="3"/>
      <c r="E142" s="3" t="s">
        <v>157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159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157</v>
      </c>
      <c r="D143" s="3"/>
      <c r="E143" s="3" t="s">
        <v>157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112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157</v>
      </c>
      <c r="D144" s="3"/>
      <c r="E144" s="3" t="s">
        <v>157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110</v>
      </c>
      <c r="O144" s="3"/>
      <c r="P144" s="3"/>
      <c r="Q144" s="3">
        <v>0.32600000000000001</v>
      </c>
      <c r="R144" s="3" t="s">
        <v>111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157</v>
      </c>
      <c r="D145" s="3"/>
      <c r="E145" s="3" t="s">
        <v>157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157</v>
      </c>
      <c r="D146" s="3"/>
      <c r="E146" s="3" t="s">
        <v>157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113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157</v>
      </c>
      <c r="D147" s="3"/>
      <c r="E147" s="3" t="s">
        <v>157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157</v>
      </c>
      <c r="D148" s="3"/>
      <c r="E148" s="3" t="s">
        <v>157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9.4E-2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157</v>
      </c>
      <c r="D149" s="3"/>
      <c r="E149" s="3" t="s">
        <v>157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123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157</v>
      </c>
      <c r="D150" s="3"/>
      <c r="E150" s="3" t="s">
        <v>157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157</v>
      </c>
      <c r="D151" s="3"/>
      <c r="E151" s="3" t="s">
        <v>157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157</v>
      </c>
      <c r="D152" s="3"/>
      <c r="E152" s="3" t="s">
        <v>157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157</v>
      </c>
      <c r="D153" s="3"/>
      <c r="E153" s="3" t="s">
        <v>157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114</v>
      </c>
      <c r="O153" s="3"/>
      <c r="P153" s="3"/>
      <c r="Q153" s="3">
        <v>0.66200000000000003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157</v>
      </c>
      <c r="D154" s="3"/>
      <c r="E154" s="3" t="s">
        <v>157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160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161</v>
      </c>
      <c r="D155" s="3"/>
      <c r="E155" s="3" t="s">
        <v>161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120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161</v>
      </c>
      <c r="D156" s="3"/>
      <c r="E156" s="3" t="s">
        <v>161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161</v>
      </c>
      <c r="D157" s="3"/>
      <c r="E157" s="3" t="s">
        <v>161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161</v>
      </c>
      <c r="D158" s="3"/>
      <c r="E158" s="3" t="s">
        <v>161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112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161</v>
      </c>
      <c r="D159" s="3"/>
      <c r="E159" s="3" t="s">
        <v>161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110</v>
      </c>
      <c r="O159" s="3"/>
      <c r="P159" s="3"/>
      <c r="Q159" s="3">
        <v>0.372</v>
      </c>
      <c r="R159" s="3" t="s">
        <v>111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161</v>
      </c>
      <c r="D160" s="3"/>
      <c r="E160" s="3" t="s">
        <v>161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161</v>
      </c>
      <c r="D161" s="3"/>
      <c r="E161" s="3" t="s">
        <v>161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113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161</v>
      </c>
      <c r="D162" s="3"/>
      <c r="E162" s="3" t="s">
        <v>161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161</v>
      </c>
      <c r="D163" s="3"/>
      <c r="E163" s="3" t="s">
        <v>161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0.105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161</v>
      </c>
      <c r="D164" s="3"/>
      <c r="E164" s="3" t="s">
        <v>161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123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161</v>
      </c>
      <c r="D165" s="3"/>
      <c r="E165" s="3" t="s">
        <v>161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161</v>
      </c>
      <c r="D166" s="3"/>
      <c r="E166" s="3" t="s">
        <v>161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161</v>
      </c>
      <c r="D167" s="3"/>
      <c r="E167" s="3" t="s">
        <v>161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161</v>
      </c>
      <c r="D168" s="3"/>
      <c r="E168" s="3" t="s">
        <v>161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114</v>
      </c>
      <c r="O168" s="3"/>
      <c r="P168" s="3"/>
      <c r="Q168" s="3">
        <v>0.74299999999999999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161</v>
      </c>
      <c r="D169" s="3"/>
      <c r="E169" s="3" t="s">
        <v>161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165</v>
      </c>
      <c r="D170" s="3"/>
      <c r="E170" s="3" t="s">
        <v>165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120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165</v>
      </c>
      <c r="D171" s="3"/>
      <c r="E171" s="3" t="s">
        <v>165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165</v>
      </c>
      <c r="D172" s="3"/>
      <c r="E172" s="3" t="s">
        <v>165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167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165</v>
      </c>
      <c r="D173" s="3"/>
      <c r="E173" s="3" t="s">
        <v>165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112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165</v>
      </c>
      <c r="D174" s="3"/>
      <c r="E174" s="3" t="s">
        <v>165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110</v>
      </c>
      <c r="O174" s="3"/>
      <c r="P174" s="3"/>
      <c r="Q174" s="3">
        <v>0.46300000000000002</v>
      </c>
      <c r="R174" s="3" t="s">
        <v>111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165</v>
      </c>
      <c r="D175" s="3"/>
      <c r="E175" s="3" t="s">
        <v>165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165</v>
      </c>
      <c r="D176" s="3"/>
      <c r="E176" s="3" t="s">
        <v>165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113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165</v>
      </c>
      <c r="D177" s="3"/>
      <c r="E177" s="3" t="s">
        <v>165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165</v>
      </c>
      <c r="D178" s="3"/>
      <c r="E178" s="3" t="s">
        <v>165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0.126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165</v>
      </c>
      <c r="D179" s="3"/>
      <c r="E179" s="3" t="s">
        <v>165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165</v>
      </c>
      <c r="D180" s="3"/>
      <c r="E180" s="3" t="s">
        <v>165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165</v>
      </c>
      <c r="D181" s="3"/>
      <c r="E181" s="3" t="s">
        <v>165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165</v>
      </c>
      <c r="D182" s="3"/>
      <c r="E182" s="3" t="s">
        <v>165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165</v>
      </c>
      <c r="D183" s="3"/>
      <c r="E183" s="3" t="s">
        <v>165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114</v>
      </c>
      <c r="O183" s="3"/>
      <c r="P183" s="3"/>
      <c r="Q183" s="3">
        <v>0.90500000000000003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165</v>
      </c>
      <c r="D184" s="3"/>
      <c r="E184" s="3" t="s">
        <v>165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169</v>
      </c>
      <c r="D185" s="3"/>
      <c r="E185" s="3" t="s">
        <v>169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120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169</v>
      </c>
      <c r="D186" s="3"/>
      <c r="E186" s="3" t="s">
        <v>169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170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169</v>
      </c>
      <c r="D187" s="3"/>
      <c r="E187" s="3" t="s">
        <v>169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169</v>
      </c>
      <c r="D188" s="3"/>
      <c r="E188" s="3" t="s">
        <v>169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112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169</v>
      </c>
      <c r="D189" s="3"/>
      <c r="E189" s="3" t="s">
        <v>169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110</v>
      </c>
      <c r="O189" s="3"/>
      <c r="P189" s="3"/>
      <c r="Q189" s="3">
        <v>0.50800000000000001</v>
      </c>
      <c r="R189" s="3" t="s">
        <v>111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169</v>
      </c>
      <c r="D190" s="3"/>
      <c r="E190" s="3" t="s">
        <v>169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169</v>
      </c>
      <c r="D191" s="3"/>
      <c r="E191" s="3" t="s">
        <v>169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113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169</v>
      </c>
      <c r="D192" s="3"/>
      <c r="E192" s="3" t="s">
        <v>169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169</v>
      </c>
      <c r="D193" s="3"/>
      <c r="E193" s="3" t="s">
        <v>169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0.13700000000000001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169</v>
      </c>
      <c r="D194" s="3"/>
      <c r="E194" s="3" t="s">
        <v>169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123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169</v>
      </c>
      <c r="D195" s="3"/>
      <c r="E195" s="3" t="s">
        <v>169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169</v>
      </c>
      <c r="D196" s="3"/>
      <c r="E196" s="3" t="s">
        <v>169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169</v>
      </c>
      <c r="D197" s="3"/>
      <c r="E197" s="3" t="s">
        <v>169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169</v>
      </c>
      <c r="D198" s="3"/>
      <c r="E198" s="3" t="s">
        <v>169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114</v>
      </c>
      <c r="O198" s="3"/>
      <c r="P198" s="3"/>
      <c r="Q198" s="3">
        <v>0.98599999999999999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169</v>
      </c>
      <c r="D199" s="3"/>
      <c r="E199" s="3" t="s">
        <v>169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173</v>
      </c>
      <c r="D200" s="3"/>
      <c r="E200" s="3" t="s">
        <v>173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120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173</v>
      </c>
      <c r="D201" s="3"/>
      <c r="E201" s="3" t="s">
        <v>173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173</v>
      </c>
      <c r="D202" s="3"/>
      <c r="E202" s="3" t="s">
        <v>173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173</v>
      </c>
      <c r="D203" s="3"/>
      <c r="E203" s="3" t="s">
        <v>173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112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173</v>
      </c>
      <c r="D204" s="3"/>
      <c r="E204" s="3" t="s">
        <v>173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110</v>
      </c>
      <c r="O204" s="3"/>
      <c r="P204" s="3"/>
      <c r="Q204" s="3">
        <v>0.55400000000000005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173</v>
      </c>
      <c r="D205" s="3"/>
      <c r="E205" s="3" t="s">
        <v>173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173</v>
      </c>
      <c r="D206" s="3"/>
      <c r="E206" s="3" t="s">
        <v>173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113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173</v>
      </c>
      <c r="D207" s="3"/>
      <c r="E207" s="3" t="s">
        <v>173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173</v>
      </c>
      <c r="D208" s="3"/>
      <c r="E208" s="3" t="s">
        <v>173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0.14799999999999999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173</v>
      </c>
      <c r="D209" s="3"/>
      <c r="E209" s="3" t="s">
        <v>173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173</v>
      </c>
      <c r="D210" s="3"/>
      <c r="E210" s="3" t="s">
        <v>173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173</v>
      </c>
      <c r="D211" s="3"/>
      <c r="E211" s="3" t="s">
        <v>173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173</v>
      </c>
      <c r="D212" s="3"/>
      <c r="E212" s="3" t="s">
        <v>173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173</v>
      </c>
      <c r="D213" s="3"/>
      <c r="E213" s="3" t="s">
        <v>173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114</v>
      </c>
      <c r="O213" s="3"/>
      <c r="P213" s="3"/>
      <c r="Q213" s="3">
        <v>1.0669999999999999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173</v>
      </c>
      <c r="D214" s="3"/>
      <c r="E214" s="3" t="s">
        <v>173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177</v>
      </c>
      <c r="D215" s="3"/>
      <c r="E215" s="3" t="s">
        <v>177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177</v>
      </c>
      <c r="D216" s="3"/>
      <c r="E216" s="3" t="s">
        <v>177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178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177</v>
      </c>
      <c r="D217" s="3"/>
      <c r="E217" s="3" t="s">
        <v>177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179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177</v>
      </c>
      <c r="D218" s="3"/>
      <c r="E218" s="3" t="s">
        <v>177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112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177</v>
      </c>
      <c r="D219" s="3"/>
      <c r="E219" s="3" t="s">
        <v>177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110</v>
      </c>
      <c r="O219" s="3"/>
      <c r="P219" s="3"/>
      <c r="Q219" s="3">
        <v>0.24399999999999999</v>
      </c>
      <c r="R219" s="3" t="s">
        <v>111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177</v>
      </c>
      <c r="D220" s="3"/>
      <c r="E220" s="3" t="s">
        <v>177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177</v>
      </c>
      <c r="D221" s="3"/>
      <c r="E221" s="3" t="s">
        <v>177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113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177</v>
      </c>
      <c r="D222" s="3"/>
      <c r="E222" s="3" t="s">
        <v>177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177</v>
      </c>
      <c r="D223" s="3"/>
      <c r="E223" s="3" t="s">
        <v>177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7.2999999999999995E-2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177</v>
      </c>
      <c r="D224" s="3"/>
      <c r="E224" s="3" t="s">
        <v>177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123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177</v>
      </c>
      <c r="D225" s="3"/>
      <c r="E225" s="3" t="s">
        <v>177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177</v>
      </c>
      <c r="D226" s="3"/>
      <c r="E226" s="3" t="s">
        <v>177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177</v>
      </c>
      <c r="D227" s="3"/>
      <c r="E227" s="3" t="s">
        <v>177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177</v>
      </c>
      <c r="D228" s="3"/>
      <c r="E228" s="3" t="s">
        <v>177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114</v>
      </c>
      <c r="O228" s="3"/>
      <c r="P228" s="3"/>
      <c r="Q228" s="3">
        <v>0.5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177</v>
      </c>
      <c r="D229" s="3"/>
      <c r="E229" s="3" t="s">
        <v>177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180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181</v>
      </c>
      <c r="D230" s="3"/>
      <c r="E230" s="3" t="s">
        <v>181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120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181</v>
      </c>
      <c r="D231" s="3"/>
      <c r="E231" s="3" t="s">
        <v>181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181</v>
      </c>
      <c r="D232" s="3"/>
      <c r="E232" s="3" t="s">
        <v>181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181</v>
      </c>
      <c r="D233" s="3"/>
      <c r="E233" s="3" t="s">
        <v>181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112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181</v>
      </c>
      <c r="D234" s="3"/>
      <c r="E234" s="3" t="s">
        <v>181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110</v>
      </c>
      <c r="O234" s="3"/>
      <c r="P234" s="3"/>
      <c r="Q234" s="3">
        <v>0.29199999999999998</v>
      </c>
      <c r="R234" s="3" t="s">
        <v>111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181</v>
      </c>
      <c r="D235" s="3"/>
      <c r="E235" s="3" t="s">
        <v>181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181</v>
      </c>
      <c r="D236" s="3"/>
      <c r="E236" s="3" t="s">
        <v>181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113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181</v>
      </c>
      <c r="D237" s="3"/>
      <c r="E237" s="3" t="s">
        <v>181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181</v>
      </c>
      <c r="D238" s="3"/>
      <c r="E238" s="3" t="s">
        <v>181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8.4000000000000005E-2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181</v>
      </c>
      <c r="D239" s="3"/>
      <c r="E239" s="3" t="s">
        <v>181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181</v>
      </c>
      <c r="D240" s="3"/>
      <c r="E240" s="3" t="s">
        <v>181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181</v>
      </c>
      <c r="D241" s="3"/>
      <c r="E241" s="3" t="s">
        <v>181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181</v>
      </c>
      <c r="D242" s="3"/>
      <c r="E242" s="3" t="s">
        <v>181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181</v>
      </c>
      <c r="D243" s="3"/>
      <c r="E243" s="3" t="s">
        <v>181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114</v>
      </c>
      <c r="O243" s="3"/>
      <c r="P243" s="3"/>
      <c r="Q243" s="3">
        <v>0.58099999999999996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181</v>
      </c>
      <c r="D244" s="3"/>
      <c r="E244" s="3" t="s">
        <v>181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185</v>
      </c>
      <c r="D245" s="3"/>
      <c r="E245" s="3" t="s">
        <v>185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120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185</v>
      </c>
      <c r="D246" s="3"/>
      <c r="E246" s="3" t="s">
        <v>185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185</v>
      </c>
      <c r="D247" s="3"/>
      <c r="E247" s="3" t="s">
        <v>185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185</v>
      </c>
      <c r="D248" s="3"/>
      <c r="E248" s="3" t="s">
        <v>185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112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185</v>
      </c>
      <c r="D249" s="3"/>
      <c r="E249" s="3" t="s">
        <v>185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110</v>
      </c>
      <c r="O249" s="3"/>
      <c r="P249" s="3"/>
      <c r="Q249" s="3">
        <v>0.33900000000000002</v>
      </c>
      <c r="R249" s="3" t="s">
        <v>111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185</v>
      </c>
      <c r="D250" s="3"/>
      <c r="E250" s="3" t="s">
        <v>185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185</v>
      </c>
      <c r="D251" s="3"/>
      <c r="E251" s="3" t="s">
        <v>185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113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185</v>
      </c>
      <c r="D252" s="3"/>
      <c r="E252" s="3" t="s">
        <v>185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185</v>
      </c>
      <c r="D253" s="3"/>
      <c r="E253" s="3" t="s">
        <v>185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9.4E-2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185</v>
      </c>
      <c r="D254" s="3"/>
      <c r="E254" s="3" t="s">
        <v>185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123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185</v>
      </c>
      <c r="D255" s="3"/>
      <c r="E255" s="3" t="s">
        <v>185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185</v>
      </c>
      <c r="D256" s="3"/>
      <c r="E256" s="3" t="s">
        <v>185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185</v>
      </c>
      <c r="D257" s="3"/>
      <c r="E257" s="3" t="s">
        <v>185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185</v>
      </c>
      <c r="D258" s="3"/>
      <c r="E258" s="3" t="s">
        <v>185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114</v>
      </c>
      <c r="O258" s="3"/>
      <c r="P258" s="3"/>
      <c r="Q258" s="3">
        <v>0.66200000000000003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185</v>
      </c>
      <c r="D259" s="3"/>
      <c r="E259" s="3" t="s">
        <v>185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189</v>
      </c>
      <c r="D260" s="3"/>
      <c r="E260" s="3" t="s">
        <v>189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120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189</v>
      </c>
      <c r="D261" s="3"/>
      <c r="E261" s="3" t="s">
        <v>189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190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189</v>
      </c>
      <c r="D262" s="3"/>
      <c r="E262" s="3" t="s">
        <v>189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191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189</v>
      </c>
      <c r="D263" s="3"/>
      <c r="E263" s="3" t="s">
        <v>189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112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189</v>
      </c>
      <c r="D264" s="3"/>
      <c r="E264" s="3" t="s">
        <v>189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110</v>
      </c>
      <c r="O264" s="3"/>
      <c r="P264" s="3"/>
      <c r="Q264" s="3">
        <v>0.38600000000000001</v>
      </c>
      <c r="R264" s="3" t="s">
        <v>111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189</v>
      </c>
      <c r="D265" s="3"/>
      <c r="E265" s="3" t="s">
        <v>189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189</v>
      </c>
      <c r="D266" s="3"/>
      <c r="E266" s="3" t="s">
        <v>189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113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189</v>
      </c>
      <c r="D267" s="3"/>
      <c r="E267" s="3" t="s">
        <v>189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189</v>
      </c>
      <c r="D268" s="3"/>
      <c r="E268" s="3" t="s">
        <v>189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0.105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189</v>
      </c>
      <c r="D269" s="3"/>
      <c r="E269" s="3" t="s">
        <v>189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123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189</v>
      </c>
      <c r="D270" s="3"/>
      <c r="E270" s="3" t="s">
        <v>189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189</v>
      </c>
      <c r="D271" s="3"/>
      <c r="E271" s="3" t="s">
        <v>189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189</v>
      </c>
      <c r="D272" s="3"/>
      <c r="E272" s="3" t="s">
        <v>189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189</v>
      </c>
      <c r="D273" s="3"/>
      <c r="E273" s="3" t="s">
        <v>189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114</v>
      </c>
      <c r="O273" s="3"/>
      <c r="P273" s="3"/>
      <c r="Q273" s="3">
        <v>0.74299999999999999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189</v>
      </c>
      <c r="D274" s="3"/>
      <c r="E274" s="3" t="s">
        <v>189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193</v>
      </c>
      <c r="D275" s="3"/>
      <c r="E275" s="3" t="s">
        <v>193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120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193</v>
      </c>
      <c r="D276" s="3"/>
      <c r="E276" s="3" t="s">
        <v>193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193</v>
      </c>
      <c r="D277" s="3"/>
      <c r="E277" s="3" t="s">
        <v>193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193</v>
      </c>
      <c r="D278" s="3"/>
      <c r="E278" s="3" t="s">
        <v>193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112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193</v>
      </c>
      <c r="D279" s="3"/>
      <c r="E279" s="3" t="s">
        <v>193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110</v>
      </c>
      <c r="O279" s="3"/>
      <c r="P279" s="3"/>
      <c r="Q279" s="3">
        <v>0.48099999999999998</v>
      </c>
      <c r="R279" s="3" t="s">
        <v>111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193</v>
      </c>
      <c r="D280" s="3"/>
      <c r="E280" s="3" t="s">
        <v>193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193</v>
      </c>
      <c r="D281" s="3"/>
      <c r="E281" s="3" t="s">
        <v>193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113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193</v>
      </c>
      <c r="D282" s="3"/>
      <c r="E282" s="3" t="s">
        <v>193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193</v>
      </c>
      <c r="D283" s="3"/>
      <c r="E283" s="3" t="s">
        <v>193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0.126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193</v>
      </c>
      <c r="D284" s="3"/>
      <c r="E284" s="3" t="s">
        <v>193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123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193</v>
      </c>
      <c r="D285" s="3"/>
      <c r="E285" s="3" t="s">
        <v>193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193</v>
      </c>
      <c r="D286" s="3"/>
      <c r="E286" s="3" t="s">
        <v>193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193</v>
      </c>
      <c r="D287" s="3"/>
      <c r="E287" s="3" t="s">
        <v>193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193</v>
      </c>
      <c r="D288" s="3"/>
      <c r="E288" s="3" t="s">
        <v>193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114</v>
      </c>
      <c r="O288" s="3"/>
      <c r="P288" s="3"/>
      <c r="Q288" s="3">
        <v>0.90500000000000003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193</v>
      </c>
      <c r="D289" s="3"/>
      <c r="E289" s="3" t="s">
        <v>193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197</v>
      </c>
      <c r="D290" s="3"/>
      <c r="E290" s="3" t="s">
        <v>197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120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197</v>
      </c>
      <c r="D291" s="3"/>
      <c r="E291" s="3" t="s">
        <v>197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197</v>
      </c>
      <c r="D292" s="3"/>
      <c r="E292" s="3" t="s">
        <v>197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199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197</v>
      </c>
      <c r="D293" s="3"/>
      <c r="E293" s="3" t="s">
        <v>197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112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197</v>
      </c>
      <c r="D294" s="3"/>
      <c r="E294" s="3" t="s">
        <v>197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110</v>
      </c>
      <c r="O294" s="3"/>
      <c r="P294" s="3"/>
      <c r="Q294" s="3">
        <v>0.52900000000000003</v>
      </c>
      <c r="R294" s="3" t="s">
        <v>111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197</v>
      </c>
      <c r="D295" s="3"/>
      <c r="E295" s="3" t="s">
        <v>197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197</v>
      </c>
      <c r="D296" s="3"/>
      <c r="E296" s="3" t="s">
        <v>197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113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197</v>
      </c>
      <c r="D297" s="3"/>
      <c r="E297" s="3" t="s">
        <v>197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197</v>
      </c>
      <c r="D298" s="3"/>
      <c r="E298" s="3" t="s">
        <v>197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0.13700000000000001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197</v>
      </c>
      <c r="D299" s="3"/>
      <c r="E299" s="3" t="s">
        <v>197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197</v>
      </c>
      <c r="D300" s="3"/>
      <c r="E300" s="3" t="s">
        <v>197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197</v>
      </c>
      <c r="D301" s="3"/>
      <c r="E301" s="3" t="s">
        <v>197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197</v>
      </c>
      <c r="D302" s="3"/>
      <c r="E302" s="3" t="s">
        <v>197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197</v>
      </c>
      <c r="D303" s="3"/>
      <c r="E303" s="3" t="s">
        <v>197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114</v>
      </c>
      <c r="O303" s="3"/>
      <c r="P303" s="3"/>
      <c r="Q303" s="3">
        <v>0.98599999999999999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197</v>
      </c>
      <c r="D304" s="3"/>
      <c r="E304" s="3" t="s">
        <v>197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200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201</v>
      </c>
      <c r="D305" s="3"/>
      <c r="E305" s="3" t="s">
        <v>201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120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201</v>
      </c>
      <c r="D306" s="3"/>
      <c r="E306" s="3" t="s">
        <v>201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201</v>
      </c>
      <c r="D307" s="3"/>
      <c r="E307" s="3" t="s">
        <v>201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201</v>
      </c>
      <c r="D308" s="3"/>
      <c r="E308" s="3" t="s">
        <v>201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112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201</v>
      </c>
      <c r="D309" s="3"/>
      <c r="E309" s="3" t="s">
        <v>201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110</v>
      </c>
      <c r="O309" s="3"/>
      <c r="P309" s="3"/>
      <c r="Q309" s="3">
        <v>0.57599999999999996</v>
      </c>
      <c r="R309" s="3" t="s">
        <v>111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201</v>
      </c>
      <c r="D310" s="3"/>
      <c r="E310" s="3" t="s">
        <v>201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201</v>
      </c>
      <c r="D311" s="3"/>
      <c r="E311" s="3" t="s">
        <v>201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113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201</v>
      </c>
      <c r="D312" s="3"/>
      <c r="E312" s="3" t="s">
        <v>201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201</v>
      </c>
      <c r="D313" s="3"/>
      <c r="E313" s="3" t="s">
        <v>201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0.14799999999999999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201</v>
      </c>
      <c r="D314" s="3"/>
      <c r="E314" s="3" t="s">
        <v>201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201</v>
      </c>
      <c r="D315" s="3"/>
      <c r="E315" s="3" t="s">
        <v>201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201</v>
      </c>
      <c r="D316" s="3"/>
      <c r="E316" s="3" t="s">
        <v>201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201</v>
      </c>
      <c r="D317" s="3"/>
      <c r="E317" s="3" t="s">
        <v>201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201</v>
      </c>
      <c r="D318" s="3"/>
      <c r="E318" s="3" t="s">
        <v>201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114</v>
      </c>
      <c r="O318" s="3"/>
      <c r="P318" s="3"/>
      <c r="Q318" s="3">
        <v>1.0669999999999999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201</v>
      </c>
      <c r="D319" s="3"/>
      <c r="E319" s="3" t="s">
        <v>201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205</v>
      </c>
      <c r="D320" s="3"/>
      <c r="E320" s="3" t="s">
        <v>205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120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205</v>
      </c>
      <c r="D321" s="3"/>
      <c r="E321" s="3" t="s">
        <v>205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205</v>
      </c>
      <c r="D322" s="3"/>
      <c r="E322" s="3" t="s">
        <v>205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207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205</v>
      </c>
      <c r="D323" s="3"/>
      <c r="E323" s="3" t="s">
        <v>205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112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205</v>
      </c>
      <c r="D324" s="3"/>
      <c r="E324" s="3" t="s">
        <v>205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110</v>
      </c>
      <c r="O324" s="3"/>
      <c r="P324" s="3"/>
      <c r="Q324" s="3">
        <v>0.25</v>
      </c>
      <c r="R324" s="3" t="s">
        <v>111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205</v>
      </c>
      <c r="D325" s="3"/>
      <c r="E325" s="3" t="s">
        <v>205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205</v>
      </c>
      <c r="D326" s="3"/>
      <c r="E326" s="3" t="s">
        <v>205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113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205</v>
      </c>
      <c r="D327" s="3"/>
      <c r="E327" s="3" t="s">
        <v>205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205</v>
      </c>
      <c r="D328" s="3"/>
      <c r="E328" s="3" t="s">
        <v>205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7.2999999999999995E-2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205</v>
      </c>
      <c r="D329" s="3"/>
      <c r="E329" s="3" t="s">
        <v>205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123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205</v>
      </c>
      <c r="D330" s="3"/>
      <c r="E330" s="3" t="s">
        <v>205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205</v>
      </c>
      <c r="D331" s="3"/>
      <c r="E331" s="3" t="s">
        <v>205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205</v>
      </c>
      <c r="D332" s="3"/>
      <c r="E332" s="3" t="s">
        <v>205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205</v>
      </c>
      <c r="D333" s="3"/>
      <c r="E333" s="3" t="s">
        <v>205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114</v>
      </c>
      <c r="O333" s="3"/>
      <c r="P333" s="3"/>
      <c r="Q333" s="3">
        <v>1.1759999999999999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205</v>
      </c>
      <c r="D334" s="3"/>
      <c r="E334" s="3" t="s">
        <v>205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209</v>
      </c>
      <c r="D335" s="3"/>
      <c r="E335" s="3" t="s">
        <v>209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120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209</v>
      </c>
      <c r="D336" s="3"/>
      <c r="E336" s="3" t="s">
        <v>209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210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209</v>
      </c>
      <c r="D337" s="3"/>
      <c r="E337" s="3" t="s">
        <v>209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209</v>
      </c>
      <c r="D338" s="3"/>
      <c r="E338" s="3" t="s">
        <v>209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112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209</v>
      </c>
      <c r="D339" s="3"/>
      <c r="E339" s="3" t="s">
        <v>209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110</v>
      </c>
      <c r="O339" s="3"/>
      <c r="P339" s="3"/>
      <c r="Q339" s="3">
        <v>0.29899999999999999</v>
      </c>
      <c r="R339" s="3" t="s">
        <v>111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209</v>
      </c>
      <c r="D340" s="3"/>
      <c r="E340" s="3" t="s">
        <v>209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209</v>
      </c>
      <c r="D341" s="3"/>
      <c r="E341" s="3" t="s">
        <v>209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113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209</v>
      </c>
      <c r="D342" s="3"/>
      <c r="E342" s="3" t="s">
        <v>209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209</v>
      </c>
      <c r="D343" s="3"/>
      <c r="E343" s="3" t="s">
        <v>209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8.4000000000000005E-2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209</v>
      </c>
      <c r="D344" s="3"/>
      <c r="E344" s="3" t="s">
        <v>209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123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209</v>
      </c>
      <c r="D345" s="3"/>
      <c r="E345" s="3" t="s">
        <v>209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209</v>
      </c>
      <c r="D346" s="3"/>
      <c r="E346" s="3" t="s">
        <v>209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209</v>
      </c>
      <c r="D347" s="3"/>
      <c r="E347" s="3" t="s">
        <v>209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209</v>
      </c>
      <c r="D348" s="3"/>
      <c r="E348" s="3" t="s">
        <v>209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114</v>
      </c>
      <c r="O348" s="3"/>
      <c r="P348" s="3"/>
      <c r="Q348" s="3">
        <v>1.1759999999999999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209</v>
      </c>
      <c r="D349" s="3"/>
      <c r="E349" s="3" t="s">
        <v>209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213</v>
      </c>
      <c r="D350" s="3"/>
      <c r="E350" s="3" t="s">
        <v>213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120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213</v>
      </c>
      <c r="D351" s="3"/>
      <c r="E351" s="3" t="s">
        <v>213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213</v>
      </c>
      <c r="D352" s="3"/>
      <c r="E352" s="3" t="s">
        <v>213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213</v>
      </c>
      <c r="D353" s="3"/>
      <c r="E353" s="3" t="s">
        <v>213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112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213</v>
      </c>
      <c r="D354" s="3"/>
      <c r="E354" s="3" t="s">
        <v>213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110</v>
      </c>
      <c r="O354" s="3"/>
      <c r="P354" s="3"/>
      <c r="Q354" s="3">
        <v>0.34699999999999998</v>
      </c>
      <c r="R354" s="3" t="s">
        <v>111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213</v>
      </c>
      <c r="D355" s="3"/>
      <c r="E355" s="3" t="s">
        <v>213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213</v>
      </c>
      <c r="D356" s="3"/>
      <c r="E356" s="3" t="s">
        <v>213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113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213</v>
      </c>
      <c r="D357" s="3"/>
      <c r="E357" s="3" t="s">
        <v>213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213</v>
      </c>
      <c r="D358" s="3"/>
      <c r="E358" s="3" t="s">
        <v>213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9.4E-2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213</v>
      </c>
      <c r="D359" s="3"/>
      <c r="E359" s="3" t="s">
        <v>213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213</v>
      </c>
      <c r="D360" s="3"/>
      <c r="E360" s="3" t="s">
        <v>213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213</v>
      </c>
      <c r="D361" s="3"/>
      <c r="E361" s="3" t="s">
        <v>213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213</v>
      </c>
      <c r="D362" s="3"/>
      <c r="E362" s="3" t="s">
        <v>213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213</v>
      </c>
      <c r="D363" s="3"/>
      <c r="E363" s="3" t="s">
        <v>213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114</v>
      </c>
      <c r="O363" s="3"/>
      <c r="P363" s="3"/>
      <c r="Q363" s="3">
        <v>1.1759999999999999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213</v>
      </c>
      <c r="D364" s="3"/>
      <c r="E364" s="3" t="s">
        <v>213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217</v>
      </c>
      <c r="D365" s="3"/>
      <c r="E365" s="3" t="s">
        <v>217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120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217</v>
      </c>
      <c r="D366" s="3"/>
      <c r="E366" s="3" t="s">
        <v>217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218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217</v>
      </c>
      <c r="D367" s="3"/>
      <c r="E367" s="3" t="s">
        <v>217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219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217</v>
      </c>
      <c r="D368" s="3"/>
      <c r="E368" s="3" t="s">
        <v>217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112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217</v>
      </c>
      <c r="D369" s="3"/>
      <c r="E369" s="3" t="s">
        <v>217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110</v>
      </c>
      <c r="O369" s="3"/>
      <c r="P369" s="3"/>
      <c r="Q369" s="3">
        <v>0.39600000000000002</v>
      </c>
      <c r="R369" s="3" t="s">
        <v>111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217</v>
      </c>
      <c r="D370" s="3"/>
      <c r="E370" s="3" t="s">
        <v>217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217</v>
      </c>
      <c r="D371" s="3"/>
      <c r="E371" s="3" t="s">
        <v>217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113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217</v>
      </c>
      <c r="D372" s="3"/>
      <c r="E372" s="3" t="s">
        <v>217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217</v>
      </c>
      <c r="D373" s="3"/>
      <c r="E373" s="3" t="s">
        <v>217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0.105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217</v>
      </c>
      <c r="D374" s="3"/>
      <c r="E374" s="3" t="s">
        <v>217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123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217</v>
      </c>
      <c r="D375" s="3"/>
      <c r="E375" s="3" t="s">
        <v>217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217</v>
      </c>
      <c r="D376" s="3"/>
      <c r="E376" s="3" t="s">
        <v>217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217</v>
      </c>
      <c r="D377" s="3"/>
      <c r="E377" s="3" t="s">
        <v>217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217</v>
      </c>
      <c r="D378" s="3"/>
      <c r="E378" s="3" t="s">
        <v>217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114</v>
      </c>
      <c r="O378" s="3"/>
      <c r="P378" s="3"/>
      <c r="Q378" s="3">
        <v>1.1759999999999999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217</v>
      </c>
      <c r="D379" s="3"/>
      <c r="E379" s="3" t="s">
        <v>217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221</v>
      </c>
      <c r="D380" s="3"/>
      <c r="E380" s="3" t="s">
        <v>221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120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221</v>
      </c>
      <c r="D381" s="3"/>
      <c r="E381" s="3" t="s">
        <v>221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221</v>
      </c>
      <c r="D382" s="3"/>
      <c r="E382" s="3" t="s">
        <v>221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221</v>
      </c>
      <c r="D383" s="3"/>
      <c r="E383" s="3" t="s">
        <v>221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112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221</v>
      </c>
      <c r="D384" s="3"/>
      <c r="E384" s="3" t="s">
        <v>221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110</v>
      </c>
      <c r="O384" s="3"/>
      <c r="P384" s="3"/>
      <c r="Q384" s="3">
        <v>0.49299999999999999</v>
      </c>
      <c r="R384" s="3" t="s">
        <v>111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221</v>
      </c>
      <c r="D385" s="3"/>
      <c r="E385" s="3" t="s">
        <v>221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221</v>
      </c>
      <c r="D386" s="3"/>
      <c r="E386" s="3" t="s">
        <v>221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113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221</v>
      </c>
      <c r="D387" s="3"/>
      <c r="E387" s="3" t="s">
        <v>221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221</v>
      </c>
      <c r="D388" s="3"/>
      <c r="E388" s="3" t="s">
        <v>221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0.126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221</v>
      </c>
      <c r="D389" s="3"/>
      <c r="E389" s="3" t="s">
        <v>221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123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221</v>
      </c>
      <c r="D390" s="3"/>
      <c r="E390" s="3" t="s">
        <v>221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221</v>
      </c>
      <c r="D391" s="3"/>
      <c r="E391" s="3" t="s">
        <v>221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221</v>
      </c>
      <c r="D392" s="3"/>
      <c r="E392" s="3" t="s">
        <v>221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221</v>
      </c>
      <c r="D393" s="3"/>
      <c r="E393" s="3" t="s">
        <v>221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114</v>
      </c>
      <c r="O393" s="3"/>
      <c r="P393" s="3"/>
      <c r="Q393" s="3">
        <v>1.1759999999999999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221</v>
      </c>
      <c r="D394" s="3"/>
      <c r="E394" s="3" t="s">
        <v>221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225</v>
      </c>
      <c r="D395" s="3"/>
      <c r="E395" s="3" t="s">
        <v>225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120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225</v>
      </c>
      <c r="D396" s="3"/>
      <c r="E396" s="3" t="s">
        <v>225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225</v>
      </c>
      <c r="D397" s="3"/>
      <c r="E397" s="3" t="s">
        <v>225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227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225</v>
      </c>
      <c r="D398" s="3"/>
      <c r="E398" s="3" t="s">
        <v>225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112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225</v>
      </c>
      <c r="D399" s="3"/>
      <c r="E399" s="3" t="s">
        <v>225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110</v>
      </c>
      <c r="O399" s="3"/>
      <c r="P399" s="3"/>
      <c r="Q399" s="3">
        <v>0.54200000000000004</v>
      </c>
      <c r="R399" s="3" t="s">
        <v>111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225</v>
      </c>
      <c r="D400" s="3"/>
      <c r="E400" s="3" t="s">
        <v>225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225</v>
      </c>
      <c r="D401" s="3"/>
      <c r="E401" s="3" t="s">
        <v>225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113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225</v>
      </c>
      <c r="D402" s="3"/>
      <c r="E402" s="3" t="s">
        <v>225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225</v>
      </c>
      <c r="D403" s="3"/>
      <c r="E403" s="3" t="s">
        <v>225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0.13700000000000001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225</v>
      </c>
      <c r="D404" s="3"/>
      <c r="E404" s="3" t="s">
        <v>225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123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225</v>
      </c>
      <c r="D405" s="3"/>
      <c r="E405" s="3" t="s">
        <v>225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225</v>
      </c>
      <c r="D406" s="3"/>
      <c r="E406" s="3" t="s">
        <v>225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225</v>
      </c>
      <c r="D407" s="3"/>
      <c r="E407" s="3" t="s">
        <v>225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225</v>
      </c>
      <c r="D408" s="3"/>
      <c r="E408" s="3" t="s">
        <v>225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114</v>
      </c>
      <c r="O408" s="3"/>
      <c r="P408" s="3"/>
      <c r="Q408" s="3">
        <v>1.1759999999999999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225</v>
      </c>
      <c r="D409" s="3"/>
      <c r="E409" s="3" t="s">
        <v>225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229</v>
      </c>
      <c r="D410" s="3"/>
      <c r="E410" s="3" t="s">
        <v>229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120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229</v>
      </c>
      <c r="D411" s="3"/>
      <c r="E411" s="3" t="s">
        <v>229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230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229</v>
      </c>
      <c r="D412" s="3"/>
      <c r="E412" s="3" t="s">
        <v>229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231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229</v>
      </c>
      <c r="D413" s="3"/>
      <c r="E413" s="3" t="s">
        <v>229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112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229</v>
      </c>
      <c r="D414" s="3"/>
      <c r="E414" s="3" t="s">
        <v>229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110</v>
      </c>
      <c r="O414" s="3"/>
      <c r="P414" s="3"/>
      <c r="Q414" s="3">
        <v>0.59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229</v>
      </c>
      <c r="D415" s="3"/>
      <c r="E415" s="3" t="s">
        <v>229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229</v>
      </c>
      <c r="D416" s="3"/>
      <c r="E416" s="3" t="s">
        <v>229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113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229</v>
      </c>
      <c r="D417" s="3"/>
      <c r="E417" s="3" t="s">
        <v>229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229</v>
      </c>
      <c r="D418" s="3"/>
      <c r="E418" s="3" t="s">
        <v>229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0.14799999999999999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229</v>
      </c>
      <c r="D419" s="3"/>
      <c r="E419" s="3" t="s">
        <v>229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229</v>
      </c>
      <c r="D420" s="3"/>
      <c r="E420" s="3" t="s">
        <v>229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229</v>
      </c>
      <c r="D421" s="3"/>
      <c r="E421" s="3" t="s">
        <v>229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229</v>
      </c>
      <c r="D422" s="3"/>
      <c r="E422" s="3" t="s">
        <v>229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229</v>
      </c>
      <c r="D423" s="3"/>
      <c r="E423" s="3" t="s">
        <v>229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114</v>
      </c>
      <c r="O423" s="3"/>
      <c r="P423" s="3"/>
      <c r="Q423" s="3">
        <v>1.1759999999999999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229</v>
      </c>
      <c r="D424" s="3"/>
      <c r="E424" s="3" t="s">
        <v>229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233</v>
      </c>
      <c r="D425" s="3"/>
      <c r="E425" s="3" t="s">
        <v>233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233</v>
      </c>
      <c r="D426" s="3"/>
      <c r="E426" s="3" t="s">
        <v>233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234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233</v>
      </c>
      <c r="D427" s="3"/>
      <c r="E427" s="3" t="s">
        <v>233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235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233</v>
      </c>
      <c r="D428" s="3"/>
      <c r="E428" s="3" t="s">
        <v>233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112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233</v>
      </c>
      <c r="D429" s="3"/>
      <c r="E429" s="3" t="s">
        <v>233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110</v>
      </c>
      <c r="O429" s="3"/>
      <c r="P429" s="3"/>
      <c r="Q429" s="3">
        <v>0.26200000000000001</v>
      </c>
      <c r="R429" s="3" t="s">
        <v>111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233</v>
      </c>
      <c r="D430" s="3"/>
      <c r="E430" s="3" t="s">
        <v>233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233</v>
      </c>
      <c r="D431" s="3"/>
      <c r="E431" s="3" t="s">
        <v>233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113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233</v>
      </c>
      <c r="D432" s="3"/>
      <c r="E432" s="3" t="s">
        <v>233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233</v>
      </c>
      <c r="D433" s="3"/>
      <c r="E433" s="3" t="s">
        <v>233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7.2999999999999995E-2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233</v>
      </c>
      <c r="D434" s="3"/>
      <c r="E434" s="3" t="s">
        <v>233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123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233</v>
      </c>
      <c r="D435" s="3"/>
      <c r="E435" s="3" t="s">
        <v>233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233</v>
      </c>
      <c r="D436" s="3"/>
      <c r="E436" s="3" t="s">
        <v>233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233</v>
      </c>
      <c r="D437" s="3"/>
      <c r="E437" s="3" t="s">
        <v>233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233</v>
      </c>
      <c r="D438" s="3"/>
      <c r="E438" s="3" t="s">
        <v>233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114</v>
      </c>
      <c r="O438" s="3"/>
      <c r="P438" s="3"/>
      <c r="Q438" s="3">
        <v>1.23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233</v>
      </c>
      <c r="D439" s="3"/>
      <c r="E439" s="3" t="s">
        <v>233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237</v>
      </c>
      <c r="D440" s="3"/>
      <c r="E440" s="3" t="s">
        <v>237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120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237</v>
      </c>
      <c r="D441" s="3"/>
      <c r="E441" s="3" t="s">
        <v>237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237</v>
      </c>
      <c r="D442" s="3"/>
      <c r="E442" s="3" t="s">
        <v>237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239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237</v>
      </c>
      <c r="D443" s="3"/>
      <c r="E443" s="3" t="s">
        <v>237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112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237</v>
      </c>
      <c r="D444" s="3"/>
      <c r="E444" s="3" t="s">
        <v>237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110</v>
      </c>
      <c r="O444" s="3"/>
      <c r="P444" s="3"/>
      <c r="Q444" s="3">
        <v>0.313</v>
      </c>
      <c r="R444" s="3" t="s">
        <v>111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237</v>
      </c>
      <c r="D445" s="3"/>
      <c r="E445" s="3" t="s">
        <v>237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237</v>
      </c>
      <c r="D446" s="3"/>
      <c r="E446" s="3" t="s">
        <v>237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113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237</v>
      </c>
      <c r="D447" s="3"/>
      <c r="E447" s="3" t="s">
        <v>237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237</v>
      </c>
      <c r="D448" s="3"/>
      <c r="E448" s="3" t="s">
        <v>237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8.4000000000000005E-2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237</v>
      </c>
      <c r="D449" s="3"/>
      <c r="E449" s="3" t="s">
        <v>237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123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237</v>
      </c>
      <c r="D450" s="3"/>
      <c r="E450" s="3" t="s">
        <v>237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237</v>
      </c>
      <c r="D451" s="3"/>
      <c r="E451" s="3" t="s">
        <v>237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237</v>
      </c>
      <c r="D452" s="3"/>
      <c r="E452" s="3" t="s">
        <v>237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237</v>
      </c>
      <c r="D453" s="3"/>
      <c r="E453" s="3" t="s">
        <v>237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114</v>
      </c>
      <c r="O453" s="3"/>
      <c r="P453" s="3"/>
      <c r="Q453" s="3">
        <v>1.23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237</v>
      </c>
      <c r="D454" s="3"/>
      <c r="E454" s="3" t="s">
        <v>237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240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241</v>
      </c>
      <c r="D455" s="3"/>
      <c r="E455" s="3" t="s">
        <v>241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120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241</v>
      </c>
      <c r="D456" s="3"/>
      <c r="E456" s="3" t="s">
        <v>241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241</v>
      </c>
      <c r="D457" s="3"/>
      <c r="E457" s="3" t="s">
        <v>241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241</v>
      </c>
      <c r="D458" s="3"/>
      <c r="E458" s="3" t="s">
        <v>241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112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241</v>
      </c>
      <c r="D459" s="3"/>
      <c r="E459" s="3" t="s">
        <v>241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110</v>
      </c>
      <c r="O459" s="3"/>
      <c r="P459" s="3"/>
      <c r="Q459" s="3">
        <v>0.36499999999999999</v>
      </c>
      <c r="R459" s="3" t="s">
        <v>111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241</v>
      </c>
      <c r="D460" s="3"/>
      <c r="E460" s="3" t="s">
        <v>241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241</v>
      </c>
      <c r="D461" s="3"/>
      <c r="E461" s="3" t="s">
        <v>241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113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241</v>
      </c>
      <c r="D462" s="3"/>
      <c r="E462" s="3" t="s">
        <v>241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241</v>
      </c>
      <c r="D463" s="3"/>
      <c r="E463" s="3" t="s">
        <v>241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9.4E-2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241</v>
      </c>
      <c r="D464" s="3"/>
      <c r="E464" s="3" t="s">
        <v>241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123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241</v>
      </c>
      <c r="D465" s="3"/>
      <c r="E465" s="3" t="s">
        <v>241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241</v>
      </c>
      <c r="D466" s="3"/>
      <c r="E466" s="3" t="s">
        <v>241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241</v>
      </c>
      <c r="D467" s="3"/>
      <c r="E467" s="3" t="s">
        <v>241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241</v>
      </c>
      <c r="D468" s="3"/>
      <c r="E468" s="3" t="s">
        <v>241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114</v>
      </c>
      <c r="O468" s="3"/>
      <c r="P468" s="3"/>
      <c r="Q468" s="3">
        <v>1.23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241</v>
      </c>
      <c r="D469" s="3"/>
      <c r="E469" s="3" t="s">
        <v>241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245</v>
      </c>
      <c r="D470" s="3"/>
      <c r="E470" s="3" t="s">
        <v>245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120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245</v>
      </c>
      <c r="D471" s="3"/>
      <c r="E471" s="3" t="s">
        <v>245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246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245</v>
      </c>
      <c r="D472" s="3"/>
      <c r="E472" s="3" t="s">
        <v>245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245</v>
      </c>
      <c r="D473" s="3"/>
      <c r="E473" s="3" t="s">
        <v>245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112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245</v>
      </c>
      <c r="D474" s="3"/>
      <c r="E474" s="3" t="s">
        <v>245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110</v>
      </c>
      <c r="O474" s="3"/>
      <c r="P474" s="3"/>
      <c r="Q474" s="3">
        <v>0.41599999999999998</v>
      </c>
      <c r="R474" s="3" t="s">
        <v>111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245</v>
      </c>
      <c r="D475" s="3"/>
      <c r="E475" s="3" t="s">
        <v>245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245</v>
      </c>
      <c r="D476" s="3"/>
      <c r="E476" s="3" t="s">
        <v>245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113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245</v>
      </c>
      <c r="D477" s="3"/>
      <c r="E477" s="3" t="s">
        <v>245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245</v>
      </c>
      <c r="D478" s="3"/>
      <c r="E478" s="3" t="s">
        <v>245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0.105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245</v>
      </c>
      <c r="D479" s="3"/>
      <c r="E479" s="3" t="s">
        <v>245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245</v>
      </c>
      <c r="D480" s="3"/>
      <c r="E480" s="3" t="s">
        <v>245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245</v>
      </c>
      <c r="D481" s="3"/>
      <c r="E481" s="3" t="s">
        <v>245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245</v>
      </c>
      <c r="D482" s="3"/>
      <c r="E482" s="3" t="s">
        <v>245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245</v>
      </c>
      <c r="D483" s="3"/>
      <c r="E483" s="3" t="s">
        <v>245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114</v>
      </c>
      <c r="O483" s="3"/>
      <c r="P483" s="3"/>
      <c r="Q483" s="3">
        <v>1.23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245</v>
      </c>
      <c r="D484" s="3"/>
      <c r="E484" s="3" t="s">
        <v>245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249</v>
      </c>
      <c r="D485" s="3"/>
      <c r="E485" s="3" t="s">
        <v>249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120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249</v>
      </c>
      <c r="D486" s="3"/>
      <c r="E486" s="3" t="s">
        <v>249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250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249</v>
      </c>
      <c r="D487" s="3"/>
      <c r="E487" s="3" t="s">
        <v>249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251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249</v>
      </c>
      <c r="D488" s="3"/>
      <c r="E488" s="3" t="s">
        <v>249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112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249</v>
      </c>
      <c r="D489" s="3"/>
      <c r="E489" s="3" t="s">
        <v>249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110</v>
      </c>
      <c r="O489" s="3"/>
      <c r="P489" s="3"/>
      <c r="Q489" s="3">
        <v>0.51800000000000002</v>
      </c>
      <c r="R489" s="3" t="s">
        <v>111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249</v>
      </c>
      <c r="D490" s="3"/>
      <c r="E490" s="3" t="s">
        <v>249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249</v>
      </c>
      <c r="D491" s="3"/>
      <c r="E491" s="3" t="s">
        <v>249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113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249</v>
      </c>
      <c r="D492" s="3"/>
      <c r="E492" s="3" t="s">
        <v>249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249</v>
      </c>
      <c r="D493" s="3"/>
      <c r="E493" s="3" t="s">
        <v>249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0.126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249</v>
      </c>
      <c r="D494" s="3"/>
      <c r="E494" s="3" t="s">
        <v>249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123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249</v>
      </c>
      <c r="D495" s="3"/>
      <c r="E495" s="3" t="s">
        <v>249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249</v>
      </c>
      <c r="D496" s="3"/>
      <c r="E496" s="3" t="s">
        <v>249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249</v>
      </c>
      <c r="D497" s="3"/>
      <c r="E497" s="3" t="s">
        <v>249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249</v>
      </c>
      <c r="D498" s="3"/>
      <c r="E498" s="3" t="s">
        <v>249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114</v>
      </c>
      <c r="O498" s="3"/>
      <c r="P498" s="3"/>
      <c r="Q498" s="3">
        <v>1.23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249</v>
      </c>
      <c r="D499" s="3"/>
      <c r="E499" s="3" t="s">
        <v>249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253</v>
      </c>
      <c r="D500" s="3"/>
      <c r="E500" s="3" t="s">
        <v>253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120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253</v>
      </c>
      <c r="D501" s="3"/>
      <c r="E501" s="3" t="s">
        <v>253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254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253</v>
      </c>
      <c r="D502" s="3"/>
      <c r="E502" s="3" t="s">
        <v>253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255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253</v>
      </c>
      <c r="D503" s="3"/>
      <c r="E503" s="3" t="s">
        <v>253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112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253</v>
      </c>
      <c r="D504" s="3"/>
      <c r="E504" s="3" t="s">
        <v>253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110</v>
      </c>
      <c r="O504" s="3"/>
      <c r="P504" s="3"/>
      <c r="Q504" s="3">
        <v>0.56899999999999995</v>
      </c>
      <c r="R504" s="3" t="s">
        <v>111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253</v>
      </c>
      <c r="D505" s="3"/>
      <c r="E505" s="3" t="s">
        <v>253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253</v>
      </c>
      <c r="D506" s="3"/>
      <c r="E506" s="3" t="s">
        <v>253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113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253</v>
      </c>
      <c r="D507" s="3"/>
      <c r="E507" s="3" t="s">
        <v>253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253</v>
      </c>
      <c r="D508" s="3"/>
      <c r="E508" s="3" t="s">
        <v>253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0.13700000000000001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253</v>
      </c>
      <c r="D509" s="3"/>
      <c r="E509" s="3" t="s">
        <v>253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123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253</v>
      </c>
      <c r="D510" s="3"/>
      <c r="E510" s="3" t="s">
        <v>253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253</v>
      </c>
      <c r="D511" s="3"/>
      <c r="E511" s="3" t="s">
        <v>253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253</v>
      </c>
      <c r="D512" s="3"/>
      <c r="E512" s="3" t="s">
        <v>253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253</v>
      </c>
      <c r="D513" s="3"/>
      <c r="E513" s="3" t="s">
        <v>253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114</v>
      </c>
      <c r="O513" s="3"/>
      <c r="P513" s="3"/>
      <c r="Q513" s="3">
        <v>1.23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253</v>
      </c>
      <c r="D514" s="3"/>
      <c r="E514" s="3" t="s">
        <v>253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256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257</v>
      </c>
      <c r="D515" s="3"/>
      <c r="E515" s="3" t="s">
        <v>257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120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257</v>
      </c>
      <c r="D516" s="3"/>
      <c r="E516" s="3" t="s">
        <v>257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258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257</v>
      </c>
      <c r="D517" s="3"/>
      <c r="E517" s="3" t="s">
        <v>257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259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257</v>
      </c>
      <c r="D518" s="3"/>
      <c r="E518" s="3" t="s">
        <v>257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112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257</v>
      </c>
      <c r="D519" s="3"/>
      <c r="E519" s="3" t="s">
        <v>257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110</v>
      </c>
      <c r="O519" s="3"/>
      <c r="P519" s="3"/>
      <c r="Q519" s="3">
        <v>0.62</v>
      </c>
      <c r="R519" s="3" t="s">
        <v>111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257</v>
      </c>
      <c r="D520" s="3"/>
      <c r="E520" s="3" t="s">
        <v>257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257</v>
      </c>
      <c r="D521" s="3"/>
      <c r="E521" s="3" t="s">
        <v>257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113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257</v>
      </c>
      <c r="D522" s="3"/>
      <c r="E522" s="3" t="s">
        <v>257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257</v>
      </c>
      <c r="D523" s="3"/>
      <c r="E523" s="3" t="s">
        <v>257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0.14799999999999999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257</v>
      </c>
      <c r="D524" s="3"/>
      <c r="E524" s="3" t="s">
        <v>257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257</v>
      </c>
      <c r="D525" s="3"/>
      <c r="E525" s="3" t="s">
        <v>257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257</v>
      </c>
      <c r="D526" s="3"/>
      <c r="E526" s="3" t="s">
        <v>257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257</v>
      </c>
      <c r="D527" s="3"/>
      <c r="E527" s="3" t="s">
        <v>257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257</v>
      </c>
      <c r="D528" s="3"/>
      <c r="E528" s="3" t="s">
        <v>257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114</v>
      </c>
      <c r="O528" s="3"/>
      <c r="P528" s="3"/>
      <c r="Q528" s="3">
        <v>1.23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257</v>
      </c>
      <c r="D529" s="3"/>
      <c r="E529" s="3" t="s">
        <v>257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260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261</v>
      </c>
      <c r="D530" s="3"/>
      <c r="E530" s="3" t="s">
        <v>261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262</v>
      </c>
      <c r="O530" s="3"/>
      <c r="P530" s="3"/>
      <c r="Q530" s="3">
        <v>0.78700000000000003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261</v>
      </c>
      <c r="D531" s="3"/>
      <c r="E531" s="3" t="s">
        <v>261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263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261</v>
      </c>
      <c r="D532" s="3"/>
      <c r="E532" s="3" t="s">
        <v>261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264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261</v>
      </c>
      <c r="D533" s="3"/>
      <c r="E533" s="3" t="s">
        <v>261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112</v>
      </c>
      <c r="O533" s="3"/>
      <c r="P533" s="3"/>
      <c r="Q533" s="3">
        <v>0.78700000000000003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261</v>
      </c>
      <c r="D534" s="3"/>
      <c r="E534" s="3" t="s">
        <v>261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110</v>
      </c>
      <c r="O534" s="3"/>
      <c r="P534" s="3"/>
      <c r="Q534" s="3">
        <v>0.22600000000000001</v>
      </c>
      <c r="R534" s="3" t="s">
        <v>111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261</v>
      </c>
      <c r="D535" s="3"/>
      <c r="E535" s="3" t="s">
        <v>261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95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261</v>
      </c>
      <c r="D536" s="3"/>
      <c r="E536" s="3" t="s">
        <v>261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113</v>
      </c>
      <c r="O536" s="3"/>
      <c r="P536" s="3"/>
      <c r="Q536" s="3">
        <v>15.696999999999999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261</v>
      </c>
      <c r="D537" s="3"/>
      <c r="E537" s="3" t="s">
        <v>261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16</v>
      </c>
      <c r="O537" s="3"/>
      <c r="P537" s="3"/>
      <c r="Q537" s="3">
        <v>97.474999999999994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261</v>
      </c>
      <c r="D538" s="3"/>
      <c r="E538" s="3" t="s">
        <v>261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96</v>
      </c>
      <c r="O538" s="3"/>
      <c r="P538" s="3"/>
      <c r="Q538" s="3">
        <v>7.2999999999999995E-2</v>
      </c>
      <c r="R538" s="3" t="s">
        <v>12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261</v>
      </c>
      <c r="D539" s="3"/>
      <c r="E539" s="3" t="s">
        <v>261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123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261</v>
      </c>
      <c r="D540" s="3"/>
      <c r="E540" s="3" t="s">
        <v>261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100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261</v>
      </c>
      <c r="D541" s="3"/>
      <c r="E541" s="3" t="s">
        <v>261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261</v>
      </c>
      <c r="D542" s="3"/>
      <c r="E542" s="3" t="s">
        <v>261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261</v>
      </c>
      <c r="D543" s="3"/>
      <c r="E543" s="3" t="s">
        <v>261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114</v>
      </c>
      <c r="O543" s="3"/>
      <c r="P543" s="3"/>
      <c r="Q543" s="3">
        <v>0.5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261</v>
      </c>
      <c r="D544" s="3"/>
      <c r="E544" s="3" t="s">
        <v>261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124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262</v>
      </c>
      <c r="O545" s="3"/>
      <c r="P545" s="3"/>
      <c r="Q545" s="3">
        <v>0.94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266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267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112</v>
      </c>
      <c r="O548" s="3"/>
      <c r="P548" s="3"/>
      <c r="Q548" s="3">
        <v>0.94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110</v>
      </c>
      <c r="O549" s="3"/>
      <c r="P549" s="3"/>
      <c r="Q549" s="3">
        <v>0.27</v>
      </c>
      <c r="R549" s="3" t="s">
        <v>111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95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265</v>
      </c>
      <c r="D551" s="3"/>
      <c r="E551" s="3" t="s">
        <v>265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113</v>
      </c>
      <c r="O551" s="3"/>
      <c r="P551" s="3"/>
      <c r="Q551" s="3">
        <v>16.611999999999998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265</v>
      </c>
      <c r="D552" s="3"/>
      <c r="E552" s="3" t="s">
        <v>265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16</v>
      </c>
      <c r="O552" s="3"/>
      <c r="P552" s="3"/>
      <c r="Q552" s="3">
        <v>103.099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265</v>
      </c>
      <c r="D553" s="3"/>
      <c r="E553" s="3" t="s">
        <v>265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96</v>
      </c>
      <c r="O553" s="3"/>
      <c r="P553" s="3"/>
      <c r="Q553" s="3">
        <v>8.4000000000000005E-2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265</v>
      </c>
      <c r="D554" s="3"/>
      <c r="E554" s="3" t="s">
        <v>265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123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265</v>
      </c>
      <c r="D555" s="3"/>
      <c r="E555" s="3" t="s">
        <v>265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100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265</v>
      </c>
      <c r="D556" s="3"/>
      <c r="E556" s="3" t="s">
        <v>265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265</v>
      </c>
      <c r="D557" s="3"/>
      <c r="E557" s="3" t="s">
        <v>265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265</v>
      </c>
      <c r="D558" s="3"/>
      <c r="E558" s="3" t="s">
        <v>265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114</v>
      </c>
      <c r="O558" s="3"/>
      <c r="P558" s="3"/>
      <c r="Q558" s="3">
        <v>0.58099999999999996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265</v>
      </c>
      <c r="D559" s="3"/>
      <c r="E559" s="3" t="s">
        <v>265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128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268</v>
      </c>
      <c r="D560" s="3"/>
      <c r="E560" s="3" t="s">
        <v>268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262</v>
      </c>
      <c r="O560" s="3"/>
      <c r="P560" s="3"/>
      <c r="Q560" s="3">
        <v>1.0920000000000001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268</v>
      </c>
      <c r="D561" s="3"/>
      <c r="E561" s="3" t="s">
        <v>268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269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268</v>
      </c>
      <c r="D562" s="3"/>
      <c r="E562" s="3" t="s">
        <v>268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270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268</v>
      </c>
      <c r="D563" s="3"/>
      <c r="E563" s="3" t="s">
        <v>268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112</v>
      </c>
      <c r="O563" s="3"/>
      <c r="P563" s="3"/>
      <c r="Q563" s="3">
        <v>1.0920000000000001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268</v>
      </c>
      <c r="D564" s="3"/>
      <c r="E564" s="3" t="s">
        <v>268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110</v>
      </c>
      <c r="O564" s="3"/>
      <c r="P564" s="3"/>
      <c r="Q564" s="3">
        <v>0.313</v>
      </c>
      <c r="R564" s="3" t="s">
        <v>111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268</v>
      </c>
      <c r="D565" s="3"/>
      <c r="E565" s="3" t="s">
        <v>268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95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268</v>
      </c>
      <c r="D566" s="3"/>
      <c r="E566" s="3" t="s">
        <v>268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113</v>
      </c>
      <c r="O566" s="3"/>
      <c r="P566" s="3"/>
      <c r="Q566" s="3">
        <v>17.526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268</v>
      </c>
      <c r="D567" s="3"/>
      <c r="E567" s="3" t="s">
        <v>268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16</v>
      </c>
      <c r="O567" s="3"/>
      <c r="P567" s="3"/>
      <c r="Q567" s="3">
        <v>108.72199999999999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268</v>
      </c>
      <c r="D568" s="3"/>
      <c r="E568" s="3" t="s">
        <v>268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96</v>
      </c>
      <c r="O568" s="3"/>
      <c r="P568" s="3"/>
      <c r="Q568" s="3">
        <v>9.4E-2</v>
      </c>
      <c r="R568" s="3" t="s">
        <v>12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268</v>
      </c>
      <c r="D569" s="3"/>
      <c r="E569" s="3" t="s">
        <v>268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123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268</v>
      </c>
      <c r="D570" s="3"/>
      <c r="E570" s="3" t="s">
        <v>268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100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268</v>
      </c>
      <c r="D571" s="3"/>
      <c r="E571" s="3" t="s">
        <v>268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268</v>
      </c>
      <c r="D572" s="3"/>
      <c r="E572" s="3" t="s">
        <v>268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268</v>
      </c>
      <c r="D573" s="3"/>
      <c r="E573" s="3" t="s">
        <v>268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114</v>
      </c>
      <c r="O573" s="3"/>
      <c r="P573" s="3"/>
      <c r="Q573" s="3">
        <v>0.66200000000000003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268</v>
      </c>
      <c r="D574" s="3"/>
      <c r="E574" s="3" t="s">
        <v>268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132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271</v>
      </c>
      <c r="D575" s="3"/>
      <c r="E575" s="3" t="s">
        <v>271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262</v>
      </c>
      <c r="O575" s="3"/>
      <c r="P575" s="3"/>
      <c r="Q575" s="3">
        <v>1.2450000000000001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271</v>
      </c>
      <c r="D576" s="3"/>
      <c r="E576" s="3" t="s">
        <v>271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272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271</v>
      </c>
      <c r="D577" s="3"/>
      <c r="E577" s="3" t="s">
        <v>271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273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271</v>
      </c>
      <c r="D578" s="3"/>
      <c r="E578" s="3" t="s">
        <v>271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112</v>
      </c>
      <c r="O578" s="3"/>
      <c r="P578" s="3"/>
      <c r="Q578" s="3">
        <v>1.2450000000000001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271</v>
      </c>
      <c r="D579" s="3"/>
      <c r="E579" s="3" t="s">
        <v>271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110</v>
      </c>
      <c r="O579" s="3"/>
      <c r="P579" s="3"/>
      <c r="Q579" s="3">
        <v>0.35699999999999998</v>
      </c>
      <c r="R579" s="3" t="s">
        <v>111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271</v>
      </c>
      <c r="D580" s="3"/>
      <c r="E580" s="3" t="s">
        <v>271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95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271</v>
      </c>
      <c r="D581" s="3"/>
      <c r="E581" s="3" t="s">
        <v>271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113</v>
      </c>
      <c r="O581" s="3"/>
      <c r="P581" s="3"/>
      <c r="Q581" s="3">
        <v>18.440000000000001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271</v>
      </c>
      <c r="D582" s="3"/>
      <c r="E582" s="3" t="s">
        <v>271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16</v>
      </c>
      <c r="O582" s="3"/>
      <c r="P582" s="3"/>
      <c r="Q582" s="3">
        <v>114.346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271</v>
      </c>
      <c r="D583" s="3"/>
      <c r="E583" s="3" t="s">
        <v>271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96</v>
      </c>
      <c r="O583" s="3"/>
      <c r="P583" s="3"/>
      <c r="Q583" s="3">
        <v>0.105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271</v>
      </c>
      <c r="D584" s="3"/>
      <c r="E584" s="3" t="s">
        <v>271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123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271</v>
      </c>
      <c r="D585" s="3"/>
      <c r="E585" s="3" t="s">
        <v>271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100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271</v>
      </c>
      <c r="D586" s="3"/>
      <c r="E586" s="3" t="s">
        <v>271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271</v>
      </c>
      <c r="D587" s="3"/>
      <c r="E587" s="3" t="s">
        <v>271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271</v>
      </c>
      <c r="D588" s="3"/>
      <c r="E588" s="3" t="s">
        <v>271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114</v>
      </c>
      <c r="O588" s="3"/>
      <c r="P588" s="3"/>
      <c r="Q588" s="3">
        <v>0.74299999999999999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271</v>
      </c>
      <c r="D589" s="3"/>
      <c r="E589" s="3" t="s">
        <v>271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136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274</v>
      </c>
      <c r="D590" s="3"/>
      <c r="E590" s="3" t="s">
        <v>274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262</v>
      </c>
      <c r="O590" s="3"/>
      <c r="P590" s="3"/>
      <c r="Q590" s="3">
        <v>1.5489999999999999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274</v>
      </c>
      <c r="D591" s="3"/>
      <c r="E591" s="3" t="s">
        <v>274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275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274</v>
      </c>
      <c r="D592" s="3"/>
      <c r="E592" s="3" t="s">
        <v>274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276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274</v>
      </c>
      <c r="D593" s="3"/>
      <c r="E593" s="3" t="s">
        <v>274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112</v>
      </c>
      <c r="O593" s="3"/>
      <c r="P593" s="3"/>
      <c r="Q593" s="3">
        <v>1.5489999999999999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274</v>
      </c>
      <c r="D594" s="3"/>
      <c r="E594" s="3" t="s">
        <v>274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110</v>
      </c>
      <c r="O594" s="3"/>
      <c r="P594" s="3"/>
      <c r="Q594" s="3">
        <v>0.44500000000000001</v>
      </c>
      <c r="R594" s="3" t="s">
        <v>111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274</v>
      </c>
      <c r="D595" s="3"/>
      <c r="E595" s="3" t="s">
        <v>274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95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274</v>
      </c>
      <c r="D596" s="3"/>
      <c r="E596" s="3" t="s">
        <v>274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113</v>
      </c>
      <c r="O596" s="3"/>
      <c r="P596" s="3"/>
      <c r="Q596" s="3">
        <v>20.268999999999998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274</v>
      </c>
      <c r="D597" s="3"/>
      <c r="E597" s="3" t="s">
        <v>274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16</v>
      </c>
      <c r="O597" s="3"/>
      <c r="P597" s="3"/>
      <c r="Q597" s="3">
        <v>125.593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274</v>
      </c>
      <c r="D598" s="3"/>
      <c r="E598" s="3" t="s">
        <v>274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96</v>
      </c>
      <c r="O598" s="3"/>
      <c r="P598" s="3"/>
      <c r="Q598" s="3">
        <v>0.126</v>
      </c>
      <c r="R598" s="3" t="s">
        <v>12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274</v>
      </c>
      <c r="D599" s="3"/>
      <c r="E599" s="3" t="s">
        <v>274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123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274</v>
      </c>
      <c r="D600" s="3"/>
      <c r="E600" s="3" t="s">
        <v>274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100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274</v>
      </c>
      <c r="D601" s="3"/>
      <c r="E601" s="3" t="s">
        <v>274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274</v>
      </c>
      <c r="D602" s="3"/>
      <c r="E602" s="3" t="s">
        <v>274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274</v>
      </c>
      <c r="D603" s="3"/>
      <c r="E603" s="3" t="s">
        <v>274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114</v>
      </c>
      <c r="O603" s="3"/>
      <c r="P603" s="3"/>
      <c r="Q603" s="3">
        <v>0.90500000000000003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274</v>
      </c>
      <c r="D604" s="3"/>
      <c r="E604" s="3" t="s">
        <v>274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140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277</v>
      </c>
      <c r="D605" s="3"/>
      <c r="E605" s="3" t="s">
        <v>277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262</v>
      </c>
      <c r="O605" s="3"/>
      <c r="P605" s="3"/>
      <c r="Q605" s="3">
        <v>1.702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277</v>
      </c>
      <c r="D606" s="3"/>
      <c r="E606" s="3" t="s">
        <v>277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278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277</v>
      </c>
      <c r="D607" s="3"/>
      <c r="E607" s="3" t="s">
        <v>277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279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277</v>
      </c>
      <c r="D608" s="3"/>
      <c r="E608" s="3" t="s">
        <v>277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112</v>
      </c>
      <c r="O608" s="3"/>
      <c r="P608" s="3"/>
      <c r="Q608" s="3">
        <v>1.702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277</v>
      </c>
      <c r="D609" s="3"/>
      <c r="E609" s="3" t="s">
        <v>277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110</v>
      </c>
      <c r="O609" s="3"/>
      <c r="P609" s="3"/>
      <c r="Q609" s="3">
        <v>0.48799999999999999</v>
      </c>
      <c r="R609" s="3" t="s">
        <v>111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277</v>
      </c>
      <c r="D610" s="3"/>
      <c r="E610" s="3" t="s">
        <v>277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95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277</v>
      </c>
      <c r="D611" s="3"/>
      <c r="E611" s="3" t="s">
        <v>277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113</v>
      </c>
      <c r="O611" s="3"/>
      <c r="P611" s="3"/>
      <c r="Q611" s="3">
        <v>21.184000000000001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277</v>
      </c>
      <c r="D612" s="3"/>
      <c r="E612" s="3" t="s">
        <v>277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16</v>
      </c>
      <c r="O612" s="3"/>
      <c r="P612" s="3"/>
      <c r="Q612" s="3">
        <v>131.21600000000001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277</v>
      </c>
      <c r="D613" s="3"/>
      <c r="E613" s="3" t="s">
        <v>277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96</v>
      </c>
      <c r="O613" s="3"/>
      <c r="P613" s="3"/>
      <c r="Q613" s="3">
        <v>0.13700000000000001</v>
      </c>
      <c r="R613" s="3" t="s">
        <v>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277</v>
      </c>
      <c r="D614" s="3"/>
      <c r="E614" s="3" t="s">
        <v>277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123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277</v>
      </c>
      <c r="D615" s="3"/>
      <c r="E615" s="3" t="s">
        <v>277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100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277</v>
      </c>
      <c r="D616" s="3"/>
      <c r="E616" s="3" t="s">
        <v>277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277</v>
      </c>
      <c r="D617" s="3"/>
      <c r="E617" s="3" t="s">
        <v>277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21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277</v>
      </c>
      <c r="D618" s="3"/>
      <c r="E618" s="3" t="s">
        <v>277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114</v>
      </c>
      <c r="O618" s="3"/>
      <c r="P618" s="3"/>
      <c r="Q618" s="3">
        <v>0.98599999999999999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277</v>
      </c>
      <c r="D619" s="3"/>
      <c r="E619" s="3" t="s">
        <v>277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144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280</v>
      </c>
      <c r="D620" s="3"/>
      <c r="E620" s="3" t="s">
        <v>280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262</v>
      </c>
      <c r="O620" s="3"/>
      <c r="P620" s="3"/>
      <c r="Q620" s="3">
        <v>1.8540000000000001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280</v>
      </c>
      <c r="D621" s="3"/>
      <c r="E621" s="3" t="s">
        <v>280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281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280</v>
      </c>
      <c r="D622" s="3"/>
      <c r="E622" s="3" t="s">
        <v>280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282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280</v>
      </c>
      <c r="D623" s="3"/>
      <c r="E623" s="3" t="s">
        <v>280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112</v>
      </c>
      <c r="O623" s="3"/>
      <c r="P623" s="3"/>
      <c r="Q623" s="3">
        <v>1.8540000000000001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280</v>
      </c>
      <c r="D624" s="3"/>
      <c r="E624" s="3" t="s">
        <v>280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110</v>
      </c>
      <c r="O624" s="3"/>
      <c r="P624" s="3"/>
      <c r="Q624" s="3">
        <v>0.53200000000000003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280</v>
      </c>
      <c r="D625" s="3"/>
      <c r="E625" s="3" t="s">
        <v>280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280</v>
      </c>
      <c r="D626" s="3"/>
      <c r="E626" s="3" t="s">
        <v>280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113</v>
      </c>
      <c r="O626" s="3"/>
      <c r="P626" s="3"/>
      <c r="Q626" s="3">
        <v>22.097999999999999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280</v>
      </c>
      <c r="D627" s="3"/>
      <c r="E627" s="3" t="s">
        <v>280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16</v>
      </c>
      <c r="O627" s="3"/>
      <c r="P627" s="3"/>
      <c r="Q627" s="3">
        <v>136.84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280</v>
      </c>
      <c r="D628" s="3"/>
      <c r="E628" s="3" t="s">
        <v>280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96</v>
      </c>
      <c r="O628" s="3"/>
      <c r="P628" s="3"/>
      <c r="Q628" s="3">
        <v>0.14799999999999999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280</v>
      </c>
      <c r="D629" s="3"/>
      <c r="E629" s="3" t="s">
        <v>280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123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280</v>
      </c>
      <c r="D630" s="3"/>
      <c r="E630" s="3" t="s">
        <v>280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280</v>
      </c>
      <c r="D631" s="3"/>
      <c r="E631" s="3" t="s">
        <v>280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280</v>
      </c>
      <c r="D632" s="3"/>
      <c r="E632" s="3" t="s">
        <v>280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280</v>
      </c>
      <c r="D633" s="3"/>
      <c r="E633" s="3" t="s">
        <v>280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114</v>
      </c>
      <c r="O633" s="3"/>
      <c r="P633" s="3"/>
      <c r="Q633" s="3">
        <v>1.0669999999999999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280</v>
      </c>
      <c r="D634" s="3"/>
      <c r="E634" s="3" t="s">
        <v>280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148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283</v>
      </c>
      <c r="D635" s="3"/>
      <c r="E635" s="3" t="s">
        <v>283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262</v>
      </c>
      <c r="O635" s="3"/>
      <c r="P635" s="3"/>
      <c r="Q635" s="3">
        <v>0.78700000000000003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283</v>
      </c>
      <c r="D636" s="3"/>
      <c r="E636" s="3" t="s">
        <v>283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284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283</v>
      </c>
      <c r="D637" s="3"/>
      <c r="E637" s="3" t="s">
        <v>283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285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283</v>
      </c>
      <c r="D638" s="3"/>
      <c r="E638" s="3" t="s">
        <v>283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112</v>
      </c>
      <c r="O638" s="3"/>
      <c r="P638" s="3"/>
      <c r="Q638" s="3">
        <v>0.78700000000000003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283</v>
      </c>
      <c r="D639" s="3"/>
      <c r="E639" s="3" t="s">
        <v>283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110</v>
      </c>
      <c r="O639" s="3"/>
      <c r="P639" s="3"/>
      <c r="Q639" s="3">
        <v>0.23499999999999999</v>
      </c>
      <c r="R639" s="3" t="s">
        <v>111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283</v>
      </c>
      <c r="D640" s="3"/>
      <c r="E640" s="3" t="s">
        <v>283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95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283</v>
      </c>
      <c r="D641" s="3"/>
      <c r="E641" s="3" t="s">
        <v>283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113</v>
      </c>
      <c r="O641" s="3"/>
      <c r="P641" s="3"/>
      <c r="Q641" s="3">
        <v>16.154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283</v>
      </c>
      <c r="D642" s="3"/>
      <c r="E642" s="3" t="s">
        <v>283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16</v>
      </c>
      <c r="O642" s="3"/>
      <c r="P642" s="3"/>
      <c r="Q642" s="3">
        <v>100.28700000000001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283</v>
      </c>
      <c r="D643" s="3"/>
      <c r="E643" s="3" t="s">
        <v>283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96</v>
      </c>
      <c r="O643" s="3"/>
      <c r="P643" s="3"/>
      <c r="Q643" s="3">
        <v>7.2999999999999995E-2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283</v>
      </c>
      <c r="D644" s="3"/>
      <c r="E644" s="3" t="s">
        <v>283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123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283</v>
      </c>
      <c r="D645" s="3"/>
      <c r="E645" s="3" t="s">
        <v>283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100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283</v>
      </c>
      <c r="D646" s="3"/>
      <c r="E646" s="3" t="s">
        <v>283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283</v>
      </c>
      <c r="D647" s="3"/>
      <c r="E647" s="3" t="s">
        <v>283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283</v>
      </c>
      <c r="D648" s="3"/>
      <c r="E648" s="3" t="s">
        <v>283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114</v>
      </c>
      <c r="O648" s="3"/>
      <c r="P648" s="3"/>
      <c r="Q648" s="3">
        <v>0.5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283</v>
      </c>
      <c r="D649" s="3"/>
      <c r="E649" s="3" t="s">
        <v>283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152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286</v>
      </c>
      <c r="D650" s="3"/>
      <c r="E650" s="3" t="s">
        <v>286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262</v>
      </c>
      <c r="O650" s="3"/>
      <c r="P650" s="3"/>
      <c r="Q650" s="3">
        <v>0.94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286</v>
      </c>
      <c r="D651" s="3"/>
      <c r="E651" s="3" t="s">
        <v>286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287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286</v>
      </c>
      <c r="D652" s="3"/>
      <c r="E652" s="3" t="s">
        <v>286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288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286</v>
      </c>
      <c r="D653" s="3"/>
      <c r="E653" s="3" t="s">
        <v>286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112</v>
      </c>
      <c r="O653" s="3"/>
      <c r="P653" s="3"/>
      <c r="Q653" s="3">
        <v>0.94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286</v>
      </c>
      <c r="D654" s="3"/>
      <c r="E654" s="3" t="s">
        <v>286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110</v>
      </c>
      <c r="O654" s="3"/>
      <c r="P654" s="3"/>
      <c r="Q654" s="3">
        <v>0.28100000000000003</v>
      </c>
      <c r="R654" s="3" t="s">
        <v>111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286</v>
      </c>
      <c r="D655" s="3"/>
      <c r="E655" s="3" t="s">
        <v>286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286</v>
      </c>
      <c r="D656" s="3"/>
      <c r="E656" s="3" t="s">
        <v>286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113</v>
      </c>
      <c r="O656" s="3"/>
      <c r="P656" s="3"/>
      <c r="Q656" s="3">
        <v>17.068999999999999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286</v>
      </c>
      <c r="D657" s="3"/>
      <c r="E657" s="3" t="s">
        <v>286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16</v>
      </c>
      <c r="O657" s="3"/>
      <c r="P657" s="3"/>
      <c r="Q657" s="3">
        <v>105.91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286</v>
      </c>
      <c r="D658" s="3"/>
      <c r="E658" s="3" t="s">
        <v>286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96</v>
      </c>
      <c r="O658" s="3"/>
      <c r="P658" s="3"/>
      <c r="Q658" s="3">
        <v>8.4000000000000005E-2</v>
      </c>
      <c r="R658" s="3" t="s">
        <v>12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286</v>
      </c>
      <c r="D659" s="3"/>
      <c r="E659" s="3" t="s">
        <v>286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123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286</v>
      </c>
      <c r="D660" s="3"/>
      <c r="E660" s="3" t="s">
        <v>286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100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286</v>
      </c>
      <c r="D661" s="3"/>
      <c r="E661" s="3" t="s">
        <v>286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286</v>
      </c>
      <c r="D662" s="3"/>
      <c r="E662" s="3" t="s">
        <v>286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286</v>
      </c>
      <c r="D663" s="3"/>
      <c r="E663" s="3" t="s">
        <v>286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114</v>
      </c>
      <c r="O663" s="3"/>
      <c r="P663" s="3"/>
      <c r="Q663" s="3">
        <v>0.58099999999999996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286</v>
      </c>
      <c r="D664" s="3"/>
      <c r="E664" s="3" t="s">
        <v>286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156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289</v>
      </c>
      <c r="D665" s="3"/>
      <c r="E665" s="3" t="s">
        <v>289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262</v>
      </c>
      <c r="O665" s="3"/>
      <c r="P665" s="3"/>
      <c r="Q665" s="3">
        <v>1.0920000000000001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289</v>
      </c>
      <c r="D666" s="3"/>
      <c r="E666" s="3" t="s">
        <v>289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290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289</v>
      </c>
      <c r="D667" s="3"/>
      <c r="E667" s="3" t="s">
        <v>289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291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289</v>
      </c>
      <c r="D668" s="3"/>
      <c r="E668" s="3" t="s">
        <v>289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112</v>
      </c>
      <c r="O668" s="3"/>
      <c r="P668" s="3"/>
      <c r="Q668" s="3">
        <v>1.0920000000000001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289</v>
      </c>
      <c r="D669" s="3"/>
      <c r="E669" s="3" t="s">
        <v>289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110</v>
      </c>
      <c r="O669" s="3"/>
      <c r="P669" s="3"/>
      <c r="Q669" s="3">
        <v>0.32600000000000001</v>
      </c>
      <c r="R669" s="3" t="s">
        <v>111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289</v>
      </c>
      <c r="D670" s="3"/>
      <c r="E670" s="3" t="s">
        <v>289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95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289</v>
      </c>
      <c r="D671" s="3"/>
      <c r="E671" s="3" t="s">
        <v>289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113</v>
      </c>
      <c r="O671" s="3"/>
      <c r="P671" s="3"/>
      <c r="Q671" s="3">
        <v>17.983000000000001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289</v>
      </c>
      <c r="D672" s="3"/>
      <c r="E672" s="3" t="s">
        <v>289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16</v>
      </c>
      <c r="O672" s="3"/>
      <c r="P672" s="3"/>
      <c r="Q672" s="3">
        <v>111.53400000000001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289</v>
      </c>
      <c r="D673" s="3"/>
      <c r="E673" s="3" t="s">
        <v>289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96</v>
      </c>
      <c r="O673" s="3"/>
      <c r="P673" s="3"/>
      <c r="Q673" s="3">
        <v>9.4E-2</v>
      </c>
      <c r="R673" s="3" t="s">
        <v>12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289</v>
      </c>
      <c r="D674" s="3"/>
      <c r="E674" s="3" t="s">
        <v>289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123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289</v>
      </c>
      <c r="D675" s="3"/>
      <c r="E675" s="3" t="s">
        <v>289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100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289</v>
      </c>
      <c r="D676" s="3"/>
      <c r="E676" s="3" t="s">
        <v>289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289</v>
      </c>
      <c r="D677" s="3"/>
      <c r="E677" s="3" t="s">
        <v>289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289</v>
      </c>
      <c r="D678" s="3"/>
      <c r="E678" s="3" t="s">
        <v>289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114</v>
      </c>
      <c r="O678" s="3"/>
      <c r="P678" s="3"/>
      <c r="Q678" s="3">
        <v>0.66200000000000003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289</v>
      </c>
      <c r="D679" s="3"/>
      <c r="E679" s="3" t="s">
        <v>289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160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292</v>
      </c>
      <c r="D680" s="3"/>
      <c r="E680" s="3" t="s">
        <v>292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262</v>
      </c>
      <c r="O680" s="3"/>
      <c r="P680" s="3"/>
      <c r="Q680" s="3">
        <v>1.2450000000000001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292</v>
      </c>
      <c r="D681" s="3"/>
      <c r="E681" s="3" t="s">
        <v>292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293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292</v>
      </c>
      <c r="D682" s="3"/>
      <c r="E682" s="3" t="s">
        <v>292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294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292</v>
      </c>
      <c r="D683" s="3"/>
      <c r="E683" s="3" t="s">
        <v>292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112</v>
      </c>
      <c r="O683" s="3"/>
      <c r="P683" s="3"/>
      <c r="Q683" s="3">
        <v>1.2450000000000001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292</v>
      </c>
      <c r="D684" s="3"/>
      <c r="E684" s="3" t="s">
        <v>292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110</v>
      </c>
      <c r="O684" s="3"/>
      <c r="P684" s="3"/>
      <c r="Q684" s="3">
        <v>0.372</v>
      </c>
      <c r="R684" s="3" t="s">
        <v>111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292</v>
      </c>
      <c r="D685" s="3"/>
      <c r="E685" s="3" t="s">
        <v>292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95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292</v>
      </c>
      <c r="D686" s="3"/>
      <c r="E686" s="3" t="s">
        <v>292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113</v>
      </c>
      <c r="O686" s="3"/>
      <c r="P686" s="3"/>
      <c r="Q686" s="3">
        <v>18.898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292</v>
      </c>
      <c r="D687" s="3"/>
      <c r="E687" s="3" t="s">
        <v>292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16</v>
      </c>
      <c r="O687" s="3"/>
      <c r="P687" s="3"/>
      <c r="Q687" s="3">
        <v>117.158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292</v>
      </c>
      <c r="D688" s="3"/>
      <c r="E688" s="3" t="s">
        <v>292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96</v>
      </c>
      <c r="O688" s="3"/>
      <c r="P688" s="3"/>
      <c r="Q688" s="3">
        <v>0.105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292</v>
      </c>
      <c r="D689" s="3"/>
      <c r="E689" s="3" t="s">
        <v>292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123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292</v>
      </c>
      <c r="D690" s="3"/>
      <c r="E690" s="3" t="s">
        <v>292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100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292</v>
      </c>
      <c r="D691" s="3"/>
      <c r="E691" s="3" t="s">
        <v>292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292</v>
      </c>
      <c r="D692" s="3"/>
      <c r="E692" s="3" t="s">
        <v>292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21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292</v>
      </c>
      <c r="D693" s="3"/>
      <c r="E693" s="3" t="s">
        <v>292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114</v>
      </c>
      <c r="O693" s="3"/>
      <c r="P693" s="3"/>
      <c r="Q693" s="3">
        <v>0.74299999999999999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292</v>
      </c>
      <c r="D694" s="3"/>
      <c r="E694" s="3" t="s">
        <v>292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164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295</v>
      </c>
      <c r="D695" s="3"/>
      <c r="E695" s="3" t="s">
        <v>295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262</v>
      </c>
      <c r="O695" s="3"/>
      <c r="P695" s="3"/>
      <c r="Q695" s="3">
        <v>1.5489999999999999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295</v>
      </c>
      <c r="D696" s="3"/>
      <c r="E696" s="3" t="s">
        <v>295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296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295</v>
      </c>
      <c r="D697" s="3"/>
      <c r="E697" s="3" t="s">
        <v>295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297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295</v>
      </c>
      <c r="D698" s="3"/>
      <c r="E698" s="3" t="s">
        <v>295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112</v>
      </c>
      <c r="O698" s="3"/>
      <c r="P698" s="3"/>
      <c r="Q698" s="3">
        <v>1.5489999999999999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295</v>
      </c>
      <c r="D699" s="3"/>
      <c r="E699" s="3" t="s">
        <v>295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110</v>
      </c>
      <c r="O699" s="3"/>
      <c r="P699" s="3"/>
      <c r="Q699" s="3">
        <v>0.46300000000000002</v>
      </c>
      <c r="R699" s="3" t="s">
        <v>111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295</v>
      </c>
      <c r="D700" s="3"/>
      <c r="E700" s="3" t="s">
        <v>295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95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295</v>
      </c>
      <c r="D701" s="3"/>
      <c r="E701" s="3" t="s">
        <v>295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113</v>
      </c>
      <c r="O701" s="3"/>
      <c r="P701" s="3"/>
      <c r="Q701" s="3">
        <v>20.725999999999999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295</v>
      </c>
      <c r="D702" s="3"/>
      <c r="E702" s="3" t="s">
        <v>295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16</v>
      </c>
      <c r="O702" s="3"/>
      <c r="P702" s="3"/>
      <c r="Q702" s="3">
        <v>128.405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295</v>
      </c>
      <c r="D703" s="3"/>
      <c r="E703" s="3" t="s">
        <v>295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96</v>
      </c>
      <c r="O703" s="3"/>
      <c r="P703" s="3"/>
      <c r="Q703" s="3">
        <v>0.126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295</v>
      </c>
      <c r="D704" s="3"/>
      <c r="E704" s="3" t="s">
        <v>295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123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295</v>
      </c>
      <c r="D705" s="3"/>
      <c r="E705" s="3" t="s">
        <v>295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100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295</v>
      </c>
      <c r="D706" s="3"/>
      <c r="E706" s="3" t="s">
        <v>295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295</v>
      </c>
      <c r="D707" s="3"/>
      <c r="E707" s="3" t="s">
        <v>295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295</v>
      </c>
      <c r="D708" s="3"/>
      <c r="E708" s="3" t="s">
        <v>295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114</v>
      </c>
      <c r="O708" s="3"/>
      <c r="P708" s="3"/>
      <c r="Q708" s="3">
        <v>0.90500000000000003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295</v>
      </c>
      <c r="D709" s="3"/>
      <c r="E709" s="3" t="s">
        <v>295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298</v>
      </c>
      <c r="D710" s="3"/>
      <c r="E710" s="3" t="s">
        <v>298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262</v>
      </c>
      <c r="O710" s="3"/>
      <c r="P710" s="3"/>
      <c r="Q710" s="3">
        <v>1.702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298</v>
      </c>
      <c r="D711" s="3"/>
      <c r="E711" s="3" t="s">
        <v>298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299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298</v>
      </c>
      <c r="D712" s="3"/>
      <c r="E712" s="3" t="s">
        <v>298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300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298</v>
      </c>
      <c r="D713" s="3"/>
      <c r="E713" s="3" t="s">
        <v>298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112</v>
      </c>
      <c r="O713" s="3"/>
      <c r="P713" s="3"/>
      <c r="Q713" s="3">
        <v>1.702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298</v>
      </c>
      <c r="D714" s="3"/>
      <c r="E714" s="3" t="s">
        <v>298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110</v>
      </c>
      <c r="O714" s="3"/>
      <c r="P714" s="3"/>
      <c r="Q714" s="3">
        <v>0.50800000000000001</v>
      </c>
      <c r="R714" s="3" t="s">
        <v>111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298</v>
      </c>
      <c r="D715" s="3"/>
      <c r="E715" s="3" t="s">
        <v>298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95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298</v>
      </c>
      <c r="D716" s="3"/>
      <c r="E716" s="3" t="s">
        <v>298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113</v>
      </c>
      <c r="O716" s="3"/>
      <c r="P716" s="3"/>
      <c r="Q716" s="3">
        <v>21.640999999999998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298</v>
      </c>
      <c r="D717" s="3"/>
      <c r="E717" s="3" t="s">
        <v>298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16</v>
      </c>
      <c r="O717" s="3"/>
      <c r="P717" s="3"/>
      <c r="Q717" s="3">
        <v>134.02799999999999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298</v>
      </c>
      <c r="D718" s="3"/>
      <c r="E718" s="3" t="s">
        <v>298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96</v>
      </c>
      <c r="O718" s="3"/>
      <c r="P718" s="3"/>
      <c r="Q718" s="3">
        <v>0.13700000000000001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298</v>
      </c>
      <c r="D719" s="3"/>
      <c r="E719" s="3" t="s">
        <v>298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123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298</v>
      </c>
      <c r="D720" s="3"/>
      <c r="E720" s="3" t="s">
        <v>298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100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298</v>
      </c>
      <c r="D721" s="3"/>
      <c r="E721" s="3" t="s">
        <v>298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298</v>
      </c>
      <c r="D722" s="3"/>
      <c r="E722" s="3" t="s">
        <v>298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298</v>
      </c>
      <c r="D723" s="3"/>
      <c r="E723" s="3" t="s">
        <v>298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114</v>
      </c>
      <c r="O723" s="3"/>
      <c r="P723" s="3"/>
      <c r="Q723" s="3">
        <v>0.98599999999999999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298</v>
      </c>
      <c r="D724" s="3"/>
      <c r="E724" s="3" t="s">
        <v>298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301</v>
      </c>
      <c r="D725" s="3"/>
      <c r="E725" s="3" t="s">
        <v>301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262</v>
      </c>
      <c r="O725" s="3"/>
      <c r="P725" s="3"/>
      <c r="Q725" s="3">
        <v>1.8540000000000001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301</v>
      </c>
      <c r="D726" s="3"/>
      <c r="E726" s="3" t="s">
        <v>301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302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301</v>
      </c>
      <c r="D727" s="3"/>
      <c r="E727" s="3" t="s">
        <v>301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303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301</v>
      </c>
      <c r="D728" s="3"/>
      <c r="E728" s="3" t="s">
        <v>301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112</v>
      </c>
      <c r="O728" s="3"/>
      <c r="P728" s="3"/>
      <c r="Q728" s="3">
        <v>1.8540000000000001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301</v>
      </c>
      <c r="D729" s="3"/>
      <c r="E729" s="3" t="s">
        <v>301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110</v>
      </c>
      <c r="O729" s="3"/>
      <c r="P729" s="3"/>
      <c r="Q729" s="3">
        <v>0.55400000000000005</v>
      </c>
      <c r="R729" s="3" t="s">
        <v>111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301</v>
      </c>
      <c r="D730" s="3"/>
      <c r="E730" s="3" t="s">
        <v>301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95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301</v>
      </c>
      <c r="D731" s="3"/>
      <c r="E731" s="3" t="s">
        <v>301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113</v>
      </c>
      <c r="O731" s="3"/>
      <c r="P731" s="3"/>
      <c r="Q731" s="3">
        <v>22.555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301</v>
      </c>
      <c r="D732" s="3"/>
      <c r="E732" s="3" t="s">
        <v>301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16</v>
      </c>
      <c r="O732" s="3"/>
      <c r="P732" s="3"/>
      <c r="Q732" s="3">
        <v>139.65199999999999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301</v>
      </c>
      <c r="D733" s="3"/>
      <c r="E733" s="3" t="s">
        <v>301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96</v>
      </c>
      <c r="O733" s="3"/>
      <c r="P733" s="3"/>
      <c r="Q733" s="3">
        <v>0.14799999999999999</v>
      </c>
      <c r="R733" s="3" t="s">
        <v>12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301</v>
      </c>
      <c r="D734" s="3"/>
      <c r="E734" s="3" t="s">
        <v>301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123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301</v>
      </c>
      <c r="D735" s="3"/>
      <c r="E735" s="3" t="s">
        <v>301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100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301</v>
      </c>
      <c r="D736" s="3"/>
      <c r="E736" s="3" t="s">
        <v>301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301</v>
      </c>
      <c r="D737" s="3"/>
      <c r="E737" s="3" t="s">
        <v>301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301</v>
      </c>
      <c r="D738" s="3"/>
      <c r="E738" s="3" t="s">
        <v>301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114</v>
      </c>
      <c r="O738" s="3"/>
      <c r="P738" s="3"/>
      <c r="Q738" s="3">
        <v>1.0669999999999999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301</v>
      </c>
      <c r="D739" s="3"/>
      <c r="E739" s="3" t="s">
        <v>301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176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304</v>
      </c>
      <c r="D740" s="3"/>
      <c r="E740" s="3" t="s">
        <v>304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262</v>
      </c>
      <c r="O740" s="3"/>
      <c r="P740" s="3"/>
      <c r="Q740" s="3">
        <v>0.78700000000000003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304</v>
      </c>
      <c r="D741" s="3"/>
      <c r="E741" s="3" t="s">
        <v>304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305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304</v>
      </c>
      <c r="D742" s="3"/>
      <c r="E742" s="3" t="s">
        <v>304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306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304</v>
      </c>
      <c r="D743" s="3"/>
      <c r="E743" s="3" t="s">
        <v>304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112</v>
      </c>
      <c r="O743" s="3"/>
      <c r="P743" s="3"/>
      <c r="Q743" s="3">
        <v>0.78700000000000003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304</v>
      </c>
      <c r="D744" s="3"/>
      <c r="E744" s="3" t="s">
        <v>304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110</v>
      </c>
      <c r="O744" s="3"/>
      <c r="P744" s="3"/>
      <c r="Q744" s="3">
        <v>0.24399999999999999</v>
      </c>
      <c r="R744" s="3" t="s">
        <v>111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304</v>
      </c>
      <c r="D745" s="3"/>
      <c r="E745" s="3" t="s">
        <v>304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95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304</v>
      </c>
      <c r="D746" s="3"/>
      <c r="E746" s="3" t="s">
        <v>304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113</v>
      </c>
      <c r="O746" s="3"/>
      <c r="P746" s="3"/>
      <c r="Q746" s="3">
        <v>16.611999999999998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304</v>
      </c>
      <c r="D747" s="3"/>
      <c r="E747" s="3" t="s">
        <v>304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16</v>
      </c>
      <c r="O747" s="3"/>
      <c r="P747" s="3"/>
      <c r="Q747" s="3">
        <v>103.099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304</v>
      </c>
      <c r="D748" s="3"/>
      <c r="E748" s="3" t="s">
        <v>304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96</v>
      </c>
      <c r="O748" s="3"/>
      <c r="P748" s="3"/>
      <c r="Q748" s="3">
        <v>7.2999999999999995E-2</v>
      </c>
      <c r="R748" s="3" t="s">
        <v>12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304</v>
      </c>
      <c r="D749" s="3"/>
      <c r="E749" s="3" t="s">
        <v>304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123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304</v>
      </c>
      <c r="D750" s="3"/>
      <c r="E750" s="3" t="s">
        <v>304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100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304</v>
      </c>
      <c r="D751" s="3"/>
      <c r="E751" s="3" t="s">
        <v>304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304</v>
      </c>
      <c r="D752" s="3"/>
      <c r="E752" s="3" t="s">
        <v>304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304</v>
      </c>
      <c r="D753" s="3"/>
      <c r="E753" s="3" t="s">
        <v>304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114</v>
      </c>
      <c r="O753" s="3"/>
      <c r="P753" s="3"/>
      <c r="Q753" s="3">
        <v>0.5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304</v>
      </c>
      <c r="D754" s="3"/>
      <c r="E754" s="3" t="s">
        <v>304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180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307</v>
      </c>
      <c r="D755" s="3"/>
      <c r="E755" s="3" t="s">
        <v>307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262</v>
      </c>
      <c r="O755" s="3"/>
      <c r="P755" s="3"/>
      <c r="Q755" s="3">
        <v>0.94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307</v>
      </c>
      <c r="D756" s="3"/>
      <c r="E756" s="3" t="s">
        <v>307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308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307</v>
      </c>
      <c r="D757" s="3"/>
      <c r="E757" s="3" t="s">
        <v>307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309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307</v>
      </c>
      <c r="D758" s="3"/>
      <c r="E758" s="3" t="s">
        <v>307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112</v>
      </c>
      <c r="O758" s="3"/>
      <c r="P758" s="3"/>
      <c r="Q758" s="3">
        <v>0.94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307</v>
      </c>
      <c r="D759" s="3"/>
      <c r="E759" s="3" t="s">
        <v>307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110</v>
      </c>
      <c r="O759" s="3"/>
      <c r="P759" s="3"/>
      <c r="Q759" s="3">
        <v>0.29199999999999998</v>
      </c>
      <c r="R759" s="3" t="s">
        <v>111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307</v>
      </c>
      <c r="D760" s="3"/>
      <c r="E760" s="3" t="s">
        <v>307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95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307</v>
      </c>
      <c r="D761" s="3"/>
      <c r="E761" s="3" t="s">
        <v>307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113</v>
      </c>
      <c r="O761" s="3"/>
      <c r="P761" s="3"/>
      <c r="Q761" s="3">
        <v>17.526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307</v>
      </c>
      <c r="D762" s="3"/>
      <c r="E762" s="3" t="s">
        <v>307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16</v>
      </c>
      <c r="O762" s="3"/>
      <c r="P762" s="3"/>
      <c r="Q762" s="3">
        <v>108.72199999999999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307</v>
      </c>
      <c r="D763" s="3"/>
      <c r="E763" s="3" t="s">
        <v>307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96</v>
      </c>
      <c r="O763" s="3"/>
      <c r="P763" s="3"/>
      <c r="Q763" s="3">
        <v>8.4000000000000005E-2</v>
      </c>
      <c r="R763" s="3" t="s">
        <v>12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307</v>
      </c>
      <c r="D764" s="3"/>
      <c r="E764" s="3" t="s">
        <v>307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123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307</v>
      </c>
      <c r="D765" s="3"/>
      <c r="E765" s="3" t="s">
        <v>307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100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307</v>
      </c>
      <c r="D766" s="3"/>
      <c r="E766" s="3" t="s">
        <v>307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307</v>
      </c>
      <c r="D767" s="3"/>
      <c r="E767" s="3" t="s">
        <v>307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307</v>
      </c>
      <c r="D768" s="3"/>
      <c r="E768" s="3" t="s">
        <v>307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114</v>
      </c>
      <c r="O768" s="3"/>
      <c r="P768" s="3"/>
      <c r="Q768" s="3">
        <v>0.58099999999999996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307</v>
      </c>
      <c r="D769" s="3"/>
      <c r="E769" s="3" t="s">
        <v>307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184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310</v>
      </c>
      <c r="D770" s="3"/>
      <c r="E770" s="3" t="s">
        <v>310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262</v>
      </c>
      <c r="O770" s="3"/>
      <c r="P770" s="3"/>
      <c r="Q770" s="3">
        <v>1.0920000000000001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310</v>
      </c>
      <c r="D771" s="3"/>
      <c r="E771" s="3" t="s">
        <v>310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311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310</v>
      </c>
      <c r="D772" s="3"/>
      <c r="E772" s="3" t="s">
        <v>310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312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310</v>
      </c>
      <c r="D773" s="3"/>
      <c r="E773" s="3" t="s">
        <v>310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112</v>
      </c>
      <c r="O773" s="3"/>
      <c r="P773" s="3"/>
      <c r="Q773" s="3">
        <v>1.0920000000000001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310</v>
      </c>
      <c r="D774" s="3"/>
      <c r="E774" s="3" t="s">
        <v>310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110</v>
      </c>
      <c r="O774" s="3"/>
      <c r="P774" s="3"/>
      <c r="Q774" s="3">
        <v>0.33900000000000002</v>
      </c>
      <c r="R774" s="3" t="s">
        <v>111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310</v>
      </c>
      <c r="D775" s="3"/>
      <c r="E775" s="3" t="s">
        <v>310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95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310</v>
      </c>
      <c r="D776" s="3"/>
      <c r="E776" s="3" t="s">
        <v>310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113</v>
      </c>
      <c r="O776" s="3"/>
      <c r="P776" s="3"/>
      <c r="Q776" s="3">
        <v>18.440000000000001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310</v>
      </c>
      <c r="D777" s="3"/>
      <c r="E777" s="3" t="s">
        <v>310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16</v>
      </c>
      <c r="O777" s="3"/>
      <c r="P777" s="3"/>
      <c r="Q777" s="3">
        <v>114.346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310</v>
      </c>
      <c r="D778" s="3"/>
      <c r="E778" s="3" t="s">
        <v>310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96</v>
      </c>
      <c r="O778" s="3"/>
      <c r="P778" s="3"/>
      <c r="Q778" s="3">
        <v>9.4E-2</v>
      </c>
      <c r="R778" s="3" t="s">
        <v>12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310</v>
      </c>
      <c r="D779" s="3"/>
      <c r="E779" s="3" t="s">
        <v>310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123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310</v>
      </c>
      <c r="D780" s="3"/>
      <c r="E780" s="3" t="s">
        <v>310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100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310</v>
      </c>
      <c r="D781" s="3"/>
      <c r="E781" s="3" t="s">
        <v>310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310</v>
      </c>
      <c r="D782" s="3"/>
      <c r="E782" s="3" t="s">
        <v>310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310</v>
      </c>
      <c r="D783" s="3"/>
      <c r="E783" s="3" t="s">
        <v>310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114</v>
      </c>
      <c r="O783" s="3"/>
      <c r="P783" s="3"/>
      <c r="Q783" s="3">
        <v>0.66200000000000003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310</v>
      </c>
      <c r="D784" s="3"/>
      <c r="E784" s="3" t="s">
        <v>310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188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313</v>
      </c>
      <c r="D785" s="3"/>
      <c r="E785" s="3" t="s">
        <v>313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262</v>
      </c>
      <c r="O785" s="3"/>
      <c r="P785" s="3"/>
      <c r="Q785" s="3">
        <v>1.2450000000000001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313</v>
      </c>
      <c r="D786" s="3"/>
      <c r="E786" s="3" t="s">
        <v>313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314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313</v>
      </c>
      <c r="D787" s="3"/>
      <c r="E787" s="3" t="s">
        <v>313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315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313</v>
      </c>
      <c r="D788" s="3"/>
      <c r="E788" s="3" t="s">
        <v>313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112</v>
      </c>
      <c r="O788" s="3"/>
      <c r="P788" s="3"/>
      <c r="Q788" s="3">
        <v>1.2450000000000001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313</v>
      </c>
      <c r="D789" s="3"/>
      <c r="E789" s="3" t="s">
        <v>313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110</v>
      </c>
      <c r="O789" s="3"/>
      <c r="P789" s="3"/>
      <c r="Q789" s="3">
        <v>0.38600000000000001</v>
      </c>
      <c r="R789" s="3" t="s">
        <v>111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313</v>
      </c>
      <c r="D790" s="3"/>
      <c r="E790" s="3" t="s">
        <v>313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95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313</v>
      </c>
      <c r="D791" s="3"/>
      <c r="E791" s="3" t="s">
        <v>313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113</v>
      </c>
      <c r="O791" s="3"/>
      <c r="P791" s="3"/>
      <c r="Q791" s="3">
        <v>19.355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313</v>
      </c>
      <c r="D792" s="3"/>
      <c r="E792" s="3" t="s">
        <v>313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16</v>
      </c>
      <c r="O792" s="3"/>
      <c r="P792" s="3"/>
      <c r="Q792" s="3">
        <v>119.96899999999999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313</v>
      </c>
      <c r="D793" s="3"/>
      <c r="E793" s="3" t="s">
        <v>313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96</v>
      </c>
      <c r="O793" s="3"/>
      <c r="P793" s="3"/>
      <c r="Q793" s="3">
        <v>0.105</v>
      </c>
      <c r="R793" s="3" t="s">
        <v>12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313</v>
      </c>
      <c r="D794" s="3"/>
      <c r="E794" s="3" t="s">
        <v>313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123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313</v>
      </c>
      <c r="D795" s="3"/>
      <c r="E795" s="3" t="s">
        <v>313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100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313</v>
      </c>
      <c r="D796" s="3"/>
      <c r="E796" s="3" t="s">
        <v>313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313</v>
      </c>
      <c r="D797" s="3"/>
      <c r="E797" s="3" t="s">
        <v>313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313</v>
      </c>
      <c r="D798" s="3"/>
      <c r="E798" s="3" t="s">
        <v>313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114</v>
      </c>
      <c r="O798" s="3"/>
      <c r="P798" s="3"/>
      <c r="Q798" s="3">
        <v>0.74299999999999999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313</v>
      </c>
      <c r="D799" s="3"/>
      <c r="E799" s="3" t="s">
        <v>313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192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316</v>
      </c>
      <c r="D800" s="3"/>
      <c r="E800" s="3" t="s">
        <v>316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262</v>
      </c>
      <c r="O800" s="3"/>
      <c r="P800" s="3"/>
      <c r="Q800" s="3">
        <v>1.5489999999999999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316</v>
      </c>
      <c r="D801" s="3"/>
      <c r="E801" s="3" t="s">
        <v>316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317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316</v>
      </c>
      <c r="D802" s="3"/>
      <c r="E802" s="3" t="s">
        <v>316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318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316</v>
      </c>
      <c r="D803" s="3"/>
      <c r="E803" s="3" t="s">
        <v>316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112</v>
      </c>
      <c r="O803" s="3"/>
      <c r="P803" s="3"/>
      <c r="Q803" s="3">
        <v>1.5489999999999999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316</v>
      </c>
      <c r="D804" s="3"/>
      <c r="E804" s="3" t="s">
        <v>316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110</v>
      </c>
      <c r="O804" s="3"/>
      <c r="P804" s="3"/>
      <c r="Q804" s="3">
        <v>0.48099999999999998</v>
      </c>
      <c r="R804" s="3" t="s">
        <v>111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316</v>
      </c>
      <c r="D805" s="3"/>
      <c r="E805" s="3" t="s">
        <v>316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95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316</v>
      </c>
      <c r="D806" s="3"/>
      <c r="E806" s="3" t="s">
        <v>316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113</v>
      </c>
      <c r="O806" s="3"/>
      <c r="P806" s="3"/>
      <c r="Q806" s="3">
        <v>21.184000000000001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316</v>
      </c>
      <c r="D807" s="3"/>
      <c r="E807" s="3" t="s">
        <v>316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16</v>
      </c>
      <c r="O807" s="3"/>
      <c r="P807" s="3"/>
      <c r="Q807" s="3">
        <v>131.21600000000001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316</v>
      </c>
      <c r="D808" s="3"/>
      <c r="E808" s="3" t="s">
        <v>316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96</v>
      </c>
      <c r="O808" s="3"/>
      <c r="P808" s="3"/>
      <c r="Q808" s="3">
        <v>0.126</v>
      </c>
      <c r="R808" s="3" t="s">
        <v>12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316</v>
      </c>
      <c r="D809" s="3"/>
      <c r="E809" s="3" t="s">
        <v>316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123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316</v>
      </c>
      <c r="D810" s="3"/>
      <c r="E810" s="3" t="s">
        <v>316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100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316</v>
      </c>
      <c r="D811" s="3"/>
      <c r="E811" s="3" t="s">
        <v>316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316</v>
      </c>
      <c r="D812" s="3"/>
      <c r="E812" s="3" t="s">
        <v>316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316</v>
      </c>
      <c r="D813" s="3"/>
      <c r="E813" s="3" t="s">
        <v>316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114</v>
      </c>
      <c r="O813" s="3"/>
      <c r="P813" s="3"/>
      <c r="Q813" s="3">
        <v>0.90500000000000003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316</v>
      </c>
      <c r="D814" s="3"/>
      <c r="E814" s="3" t="s">
        <v>316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196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319</v>
      </c>
      <c r="D815" s="3"/>
      <c r="E815" s="3" t="s">
        <v>319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262</v>
      </c>
      <c r="O815" s="3"/>
      <c r="P815" s="3"/>
      <c r="Q815" s="3">
        <v>1.702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319</v>
      </c>
      <c r="D816" s="3"/>
      <c r="E816" s="3" t="s">
        <v>319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320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319</v>
      </c>
      <c r="D817" s="3"/>
      <c r="E817" s="3" t="s">
        <v>319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321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319</v>
      </c>
      <c r="D818" s="3"/>
      <c r="E818" s="3" t="s">
        <v>319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112</v>
      </c>
      <c r="O818" s="3"/>
      <c r="P818" s="3"/>
      <c r="Q818" s="3">
        <v>1.702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319</v>
      </c>
      <c r="D819" s="3"/>
      <c r="E819" s="3" t="s">
        <v>319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110</v>
      </c>
      <c r="O819" s="3"/>
      <c r="P819" s="3"/>
      <c r="Q819" s="3">
        <v>0.52900000000000003</v>
      </c>
      <c r="R819" s="3" t="s">
        <v>111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319</v>
      </c>
      <c r="D820" s="3"/>
      <c r="E820" s="3" t="s">
        <v>319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319</v>
      </c>
      <c r="D821" s="3"/>
      <c r="E821" s="3" t="s">
        <v>319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113</v>
      </c>
      <c r="O821" s="3"/>
      <c r="P821" s="3"/>
      <c r="Q821" s="3">
        <v>22.097999999999999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319</v>
      </c>
      <c r="D822" s="3"/>
      <c r="E822" s="3" t="s">
        <v>319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16</v>
      </c>
      <c r="O822" s="3"/>
      <c r="P822" s="3"/>
      <c r="Q822" s="3">
        <v>136.84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319</v>
      </c>
      <c r="D823" s="3"/>
      <c r="E823" s="3" t="s">
        <v>319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96</v>
      </c>
      <c r="O823" s="3"/>
      <c r="P823" s="3"/>
      <c r="Q823" s="3">
        <v>0.13700000000000001</v>
      </c>
      <c r="R823" s="3" t="s">
        <v>12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319</v>
      </c>
      <c r="D824" s="3"/>
      <c r="E824" s="3" t="s">
        <v>319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123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319</v>
      </c>
      <c r="D825" s="3"/>
      <c r="E825" s="3" t="s">
        <v>319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100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319</v>
      </c>
      <c r="D826" s="3"/>
      <c r="E826" s="3" t="s">
        <v>319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319</v>
      </c>
      <c r="D827" s="3"/>
      <c r="E827" s="3" t="s">
        <v>319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319</v>
      </c>
      <c r="D828" s="3"/>
      <c r="E828" s="3" t="s">
        <v>319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114</v>
      </c>
      <c r="O828" s="3"/>
      <c r="P828" s="3"/>
      <c r="Q828" s="3">
        <v>0.98599999999999999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319</v>
      </c>
      <c r="D829" s="3"/>
      <c r="E829" s="3" t="s">
        <v>319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200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322</v>
      </c>
      <c r="D830" s="3"/>
      <c r="E830" s="3" t="s">
        <v>322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262</v>
      </c>
      <c r="O830" s="3"/>
      <c r="P830" s="3"/>
      <c r="Q830" s="3">
        <v>1.8540000000000001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322</v>
      </c>
      <c r="D831" s="3"/>
      <c r="E831" s="3" t="s">
        <v>322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323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322</v>
      </c>
      <c r="D832" s="3"/>
      <c r="E832" s="3" t="s">
        <v>322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324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322</v>
      </c>
      <c r="D833" s="3"/>
      <c r="E833" s="3" t="s">
        <v>322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112</v>
      </c>
      <c r="O833" s="3"/>
      <c r="P833" s="3"/>
      <c r="Q833" s="3">
        <v>1.8540000000000001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322</v>
      </c>
      <c r="D834" s="3"/>
      <c r="E834" s="3" t="s">
        <v>322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110</v>
      </c>
      <c r="O834" s="3"/>
      <c r="P834" s="3"/>
      <c r="Q834" s="3">
        <v>0.57599999999999996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322</v>
      </c>
      <c r="D835" s="3"/>
      <c r="E835" s="3" t="s">
        <v>322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322</v>
      </c>
      <c r="D836" s="3"/>
      <c r="E836" s="3" t="s">
        <v>322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113</v>
      </c>
      <c r="O836" s="3"/>
      <c r="P836" s="3"/>
      <c r="Q836" s="3">
        <v>23.012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322</v>
      </c>
      <c r="D837" s="3"/>
      <c r="E837" s="3" t="s">
        <v>322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16</v>
      </c>
      <c r="O837" s="3"/>
      <c r="P837" s="3"/>
      <c r="Q837" s="3">
        <v>142.464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322</v>
      </c>
      <c r="D838" s="3"/>
      <c r="E838" s="3" t="s">
        <v>322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96</v>
      </c>
      <c r="O838" s="3"/>
      <c r="P838" s="3"/>
      <c r="Q838" s="3">
        <v>0.14799999999999999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322</v>
      </c>
      <c r="D839" s="3"/>
      <c r="E839" s="3" t="s">
        <v>322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123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322</v>
      </c>
      <c r="D840" s="3"/>
      <c r="E840" s="3" t="s">
        <v>322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322</v>
      </c>
      <c r="D841" s="3"/>
      <c r="E841" s="3" t="s">
        <v>322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322</v>
      </c>
      <c r="D842" s="3"/>
      <c r="E842" s="3" t="s">
        <v>322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322</v>
      </c>
      <c r="D843" s="3"/>
      <c r="E843" s="3" t="s">
        <v>322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114</v>
      </c>
      <c r="O843" s="3"/>
      <c r="P843" s="3"/>
      <c r="Q843" s="3">
        <v>1.0669999999999999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322</v>
      </c>
      <c r="D844" s="3"/>
      <c r="E844" s="3" t="s">
        <v>322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204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325</v>
      </c>
      <c r="D845" s="3"/>
      <c r="E845" s="3" t="s">
        <v>325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262</v>
      </c>
      <c r="O845" s="3"/>
      <c r="P845" s="3"/>
      <c r="Q845" s="3">
        <v>0.78700000000000003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325</v>
      </c>
      <c r="D846" s="3"/>
      <c r="E846" s="3" t="s">
        <v>325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326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325</v>
      </c>
      <c r="D847" s="3"/>
      <c r="E847" s="3" t="s">
        <v>325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327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325</v>
      </c>
      <c r="D848" s="3"/>
      <c r="E848" s="3" t="s">
        <v>325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112</v>
      </c>
      <c r="O848" s="3"/>
      <c r="P848" s="3"/>
      <c r="Q848" s="3">
        <v>0.78700000000000003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325</v>
      </c>
      <c r="D849" s="3"/>
      <c r="E849" s="3" t="s">
        <v>325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110</v>
      </c>
      <c r="O849" s="3"/>
      <c r="P849" s="3"/>
      <c r="Q849" s="3">
        <v>0.25</v>
      </c>
      <c r="R849" s="3" t="s">
        <v>111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325</v>
      </c>
      <c r="D850" s="3"/>
      <c r="E850" s="3" t="s">
        <v>325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95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325</v>
      </c>
      <c r="D851" s="3"/>
      <c r="E851" s="3" t="s">
        <v>325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113</v>
      </c>
      <c r="O851" s="3"/>
      <c r="P851" s="3"/>
      <c r="Q851" s="3">
        <v>16.916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325</v>
      </c>
      <c r="D852" s="3"/>
      <c r="E852" s="3" t="s">
        <v>325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16</v>
      </c>
      <c r="O852" s="3"/>
      <c r="P852" s="3"/>
      <c r="Q852" s="3">
        <v>104.973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325</v>
      </c>
      <c r="D853" s="3"/>
      <c r="E853" s="3" t="s">
        <v>325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96</v>
      </c>
      <c r="O853" s="3"/>
      <c r="P853" s="3"/>
      <c r="Q853" s="3">
        <v>7.2999999999999995E-2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325</v>
      </c>
      <c r="D854" s="3"/>
      <c r="E854" s="3" t="s">
        <v>325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123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325</v>
      </c>
      <c r="D855" s="3"/>
      <c r="E855" s="3" t="s">
        <v>325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100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325</v>
      </c>
      <c r="D856" s="3"/>
      <c r="E856" s="3" t="s">
        <v>325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325</v>
      </c>
      <c r="D857" s="3"/>
      <c r="E857" s="3" t="s">
        <v>325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325</v>
      </c>
      <c r="D858" s="3"/>
      <c r="E858" s="3" t="s">
        <v>325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114</v>
      </c>
      <c r="O858" s="3"/>
      <c r="P858" s="3"/>
      <c r="Q858" s="3">
        <v>1.1759999999999999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325</v>
      </c>
      <c r="D859" s="3"/>
      <c r="E859" s="3" t="s">
        <v>325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208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328</v>
      </c>
      <c r="D860" s="3"/>
      <c r="E860" s="3" t="s">
        <v>328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262</v>
      </c>
      <c r="O860" s="3"/>
      <c r="P860" s="3"/>
      <c r="Q860" s="3">
        <v>0.94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328</v>
      </c>
      <c r="D861" s="3"/>
      <c r="E861" s="3" t="s">
        <v>328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329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328</v>
      </c>
      <c r="D862" s="3"/>
      <c r="E862" s="3" t="s">
        <v>328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330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328</v>
      </c>
      <c r="D863" s="3"/>
      <c r="E863" s="3" t="s">
        <v>328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112</v>
      </c>
      <c r="O863" s="3"/>
      <c r="P863" s="3"/>
      <c r="Q863" s="3">
        <v>0.94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328</v>
      </c>
      <c r="D864" s="3"/>
      <c r="E864" s="3" t="s">
        <v>328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110</v>
      </c>
      <c r="O864" s="3"/>
      <c r="P864" s="3"/>
      <c r="Q864" s="3">
        <v>0.29899999999999999</v>
      </c>
      <c r="R864" s="3" t="s">
        <v>111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328</v>
      </c>
      <c r="D865" s="3"/>
      <c r="E865" s="3" t="s">
        <v>328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95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328</v>
      </c>
      <c r="D866" s="3"/>
      <c r="E866" s="3" t="s">
        <v>328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113</v>
      </c>
      <c r="O866" s="3"/>
      <c r="P866" s="3"/>
      <c r="Q866" s="3">
        <v>17.831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328</v>
      </c>
      <c r="D867" s="3"/>
      <c r="E867" s="3" t="s">
        <v>328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16</v>
      </c>
      <c r="O867" s="3"/>
      <c r="P867" s="3"/>
      <c r="Q867" s="3">
        <v>110.59699999999999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328</v>
      </c>
      <c r="D868" s="3"/>
      <c r="E868" s="3" t="s">
        <v>328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96</v>
      </c>
      <c r="O868" s="3"/>
      <c r="P868" s="3"/>
      <c r="Q868" s="3">
        <v>8.4000000000000005E-2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328</v>
      </c>
      <c r="D869" s="3"/>
      <c r="E869" s="3" t="s">
        <v>328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123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328</v>
      </c>
      <c r="D870" s="3"/>
      <c r="E870" s="3" t="s">
        <v>328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100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328</v>
      </c>
      <c r="D871" s="3"/>
      <c r="E871" s="3" t="s">
        <v>328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328</v>
      </c>
      <c r="D872" s="3"/>
      <c r="E872" s="3" t="s">
        <v>328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328</v>
      </c>
      <c r="D873" s="3"/>
      <c r="E873" s="3" t="s">
        <v>328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114</v>
      </c>
      <c r="O873" s="3"/>
      <c r="P873" s="3"/>
      <c r="Q873" s="3">
        <v>1.1759999999999999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328</v>
      </c>
      <c r="D874" s="3"/>
      <c r="E874" s="3" t="s">
        <v>328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212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331</v>
      </c>
      <c r="D875" s="3"/>
      <c r="E875" s="3" t="s">
        <v>331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262</v>
      </c>
      <c r="O875" s="3"/>
      <c r="P875" s="3"/>
      <c r="Q875" s="3">
        <v>1.0920000000000001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331</v>
      </c>
      <c r="D876" s="3"/>
      <c r="E876" s="3" t="s">
        <v>331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332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331</v>
      </c>
      <c r="D877" s="3"/>
      <c r="E877" s="3" t="s">
        <v>331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333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331</v>
      </c>
      <c r="D878" s="3"/>
      <c r="E878" s="3" t="s">
        <v>331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112</v>
      </c>
      <c r="O878" s="3"/>
      <c r="P878" s="3"/>
      <c r="Q878" s="3">
        <v>1.0920000000000001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331</v>
      </c>
      <c r="D879" s="3"/>
      <c r="E879" s="3" t="s">
        <v>331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110</v>
      </c>
      <c r="O879" s="3"/>
      <c r="P879" s="3"/>
      <c r="Q879" s="3">
        <v>0.34699999999999998</v>
      </c>
      <c r="R879" s="3" t="s">
        <v>111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331</v>
      </c>
      <c r="D880" s="3"/>
      <c r="E880" s="3" t="s">
        <v>331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95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331</v>
      </c>
      <c r="D881" s="3"/>
      <c r="E881" s="3" t="s">
        <v>331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113</v>
      </c>
      <c r="O881" s="3"/>
      <c r="P881" s="3"/>
      <c r="Q881" s="3">
        <v>18.745000000000001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331</v>
      </c>
      <c r="D882" s="3"/>
      <c r="E882" s="3" t="s">
        <v>331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16</v>
      </c>
      <c r="O882" s="3"/>
      <c r="P882" s="3"/>
      <c r="Q882" s="3">
        <v>116.22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331</v>
      </c>
      <c r="D883" s="3"/>
      <c r="E883" s="3" t="s">
        <v>331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96</v>
      </c>
      <c r="O883" s="3"/>
      <c r="P883" s="3"/>
      <c r="Q883" s="3">
        <v>9.4E-2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331</v>
      </c>
      <c r="D884" s="3"/>
      <c r="E884" s="3" t="s">
        <v>331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123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331</v>
      </c>
      <c r="D885" s="3"/>
      <c r="E885" s="3" t="s">
        <v>331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100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331</v>
      </c>
      <c r="D886" s="3"/>
      <c r="E886" s="3" t="s">
        <v>331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331</v>
      </c>
      <c r="D887" s="3"/>
      <c r="E887" s="3" t="s">
        <v>331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21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331</v>
      </c>
      <c r="D888" s="3"/>
      <c r="E888" s="3" t="s">
        <v>331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114</v>
      </c>
      <c r="O888" s="3"/>
      <c r="P888" s="3"/>
      <c r="Q888" s="3">
        <v>1.1759999999999999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331</v>
      </c>
      <c r="D889" s="3"/>
      <c r="E889" s="3" t="s">
        <v>331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216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334</v>
      </c>
      <c r="D890" s="3"/>
      <c r="E890" s="3" t="s">
        <v>334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262</v>
      </c>
      <c r="O890" s="3"/>
      <c r="P890" s="3"/>
      <c r="Q890" s="3">
        <v>1.2450000000000001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334</v>
      </c>
      <c r="D891" s="3"/>
      <c r="E891" s="3" t="s">
        <v>334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335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334</v>
      </c>
      <c r="D892" s="3"/>
      <c r="E892" s="3" t="s">
        <v>334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336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334</v>
      </c>
      <c r="D893" s="3"/>
      <c r="E893" s="3" t="s">
        <v>334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112</v>
      </c>
      <c r="O893" s="3"/>
      <c r="P893" s="3"/>
      <c r="Q893" s="3">
        <v>1.2450000000000001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334</v>
      </c>
      <c r="D894" s="3"/>
      <c r="E894" s="3" t="s">
        <v>334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110</v>
      </c>
      <c r="O894" s="3"/>
      <c r="P894" s="3"/>
      <c r="Q894" s="3">
        <v>0.39600000000000002</v>
      </c>
      <c r="R894" s="3" t="s">
        <v>111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334</v>
      </c>
      <c r="D895" s="3"/>
      <c r="E895" s="3" t="s">
        <v>334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95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334</v>
      </c>
      <c r="D896" s="3"/>
      <c r="E896" s="3" t="s">
        <v>334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113</v>
      </c>
      <c r="O896" s="3"/>
      <c r="P896" s="3"/>
      <c r="Q896" s="3">
        <v>19.66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334</v>
      </c>
      <c r="D897" s="3"/>
      <c r="E897" s="3" t="s">
        <v>334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16</v>
      </c>
      <c r="O897" s="3"/>
      <c r="P897" s="3"/>
      <c r="Q897" s="3">
        <v>121.84399999999999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334</v>
      </c>
      <c r="D898" s="3"/>
      <c r="E898" s="3" t="s">
        <v>334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96</v>
      </c>
      <c r="O898" s="3"/>
      <c r="P898" s="3"/>
      <c r="Q898" s="3">
        <v>0.105</v>
      </c>
      <c r="R898" s="3" t="s">
        <v>12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334</v>
      </c>
      <c r="D899" s="3"/>
      <c r="E899" s="3" t="s">
        <v>334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123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334</v>
      </c>
      <c r="D900" s="3"/>
      <c r="E900" s="3" t="s">
        <v>334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100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334</v>
      </c>
      <c r="D901" s="3"/>
      <c r="E901" s="3" t="s">
        <v>334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334</v>
      </c>
      <c r="D902" s="3"/>
      <c r="E902" s="3" t="s">
        <v>334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334</v>
      </c>
      <c r="D903" s="3"/>
      <c r="E903" s="3" t="s">
        <v>334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114</v>
      </c>
      <c r="O903" s="3"/>
      <c r="P903" s="3"/>
      <c r="Q903" s="3">
        <v>1.1759999999999999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334</v>
      </c>
      <c r="D904" s="3"/>
      <c r="E904" s="3" t="s">
        <v>334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220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337</v>
      </c>
      <c r="D905" s="3"/>
      <c r="E905" s="3" t="s">
        <v>337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262</v>
      </c>
      <c r="O905" s="3"/>
      <c r="P905" s="3"/>
      <c r="Q905" s="3">
        <v>1.5489999999999999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337</v>
      </c>
      <c r="D906" s="3"/>
      <c r="E906" s="3" t="s">
        <v>337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338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337</v>
      </c>
      <c r="D907" s="3"/>
      <c r="E907" s="3" t="s">
        <v>337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339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337</v>
      </c>
      <c r="D908" s="3"/>
      <c r="E908" s="3" t="s">
        <v>337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112</v>
      </c>
      <c r="O908" s="3"/>
      <c r="P908" s="3"/>
      <c r="Q908" s="3">
        <v>1.5489999999999999</v>
      </c>
      <c r="R908" s="3" t="s">
        <v>14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337</v>
      </c>
      <c r="D909" s="3"/>
      <c r="E909" s="3" t="s">
        <v>337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110</v>
      </c>
      <c r="O909" s="3"/>
      <c r="P909" s="3"/>
      <c r="Q909" s="3">
        <v>0.49299999999999999</v>
      </c>
      <c r="R909" s="3" t="s">
        <v>111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337</v>
      </c>
      <c r="D910" s="3"/>
      <c r="E910" s="3" t="s">
        <v>337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95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337</v>
      </c>
      <c r="D911" s="3"/>
      <c r="E911" s="3" t="s">
        <v>337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113</v>
      </c>
      <c r="O911" s="3"/>
      <c r="P911" s="3"/>
      <c r="Q911" s="3">
        <v>21.488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337</v>
      </c>
      <c r="D912" s="3"/>
      <c r="E912" s="3" t="s">
        <v>337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16</v>
      </c>
      <c r="O912" s="3"/>
      <c r="P912" s="3"/>
      <c r="Q912" s="3">
        <v>133.09100000000001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337</v>
      </c>
      <c r="D913" s="3"/>
      <c r="E913" s="3" t="s">
        <v>337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96</v>
      </c>
      <c r="O913" s="3"/>
      <c r="P913" s="3"/>
      <c r="Q913" s="3">
        <v>0.126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337</v>
      </c>
      <c r="D914" s="3"/>
      <c r="E914" s="3" t="s">
        <v>337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123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337</v>
      </c>
      <c r="D915" s="3"/>
      <c r="E915" s="3" t="s">
        <v>337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100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337</v>
      </c>
      <c r="D916" s="3"/>
      <c r="E916" s="3" t="s">
        <v>337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337</v>
      </c>
      <c r="D917" s="3"/>
      <c r="E917" s="3" t="s">
        <v>337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337</v>
      </c>
      <c r="D918" s="3"/>
      <c r="E918" s="3" t="s">
        <v>337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114</v>
      </c>
      <c r="O918" s="3"/>
      <c r="P918" s="3"/>
      <c r="Q918" s="3">
        <v>1.1759999999999999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337</v>
      </c>
      <c r="D919" s="3"/>
      <c r="E919" s="3" t="s">
        <v>337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224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340</v>
      </c>
      <c r="D920" s="3"/>
      <c r="E920" s="3" t="s">
        <v>340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262</v>
      </c>
      <c r="O920" s="3"/>
      <c r="P920" s="3"/>
      <c r="Q920" s="3">
        <v>1.702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340</v>
      </c>
      <c r="D921" s="3"/>
      <c r="E921" s="3" t="s">
        <v>340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341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340</v>
      </c>
      <c r="D922" s="3"/>
      <c r="E922" s="3" t="s">
        <v>340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342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340</v>
      </c>
      <c r="D923" s="3"/>
      <c r="E923" s="3" t="s">
        <v>340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112</v>
      </c>
      <c r="O923" s="3"/>
      <c r="P923" s="3"/>
      <c r="Q923" s="3">
        <v>1.702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340</v>
      </c>
      <c r="D924" s="3"/>
      <c r="E924" s="3" t="s">
        <v>340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110</v>
      </c>
      <c r="O924" s="3"/>
      <c r="P924" s="3"/>
      <c r="Q924" s="3">
        <v>0.54200000000000004</v>
      </c>
      <c r="R924" s="3" t="s">
        <v>111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340</v>
      </c>
      <c r="D925" s="3"/>
      <c r="E925" s="3" t="s">
        <v>340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95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340</v>
      </c>
      <c r="D926" s="3"/>
      <c r="E926" s="3" t="s">
        <v>340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113</v>
      </c>
      <c r="O926" s="3"/>
      <c r="P926" s="3"/>
      <c r="Q926" s="3">
        <v>22.402999999999999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340</v>
      </c>
      <c r="D927" s="3"/>
      <c r="E927" s="3" t="s">
        <v>340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16</v>
      </c>
      <c r="O927" s="3"/>
      <c r="P927" s="3"/>
      <c r="Q927" s="3">
        <v>138.714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340</v>
      </c>
      <c r="D928" s="3"/>
      <c r="E928" s="3" t="s">
        <v>340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96</v>
      </c>
      <c r="O928" s="3"/>
      <c r="P928" s="3"/>
      <c r="Q928" s="3">
        <v>0.13700000000000001</v>
      </c>
      <c r="R928" s="3" t="s">
        <v>12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340</v>
      </c>
      <c r="D929" s="3"/>
      <c r="E929" s="3" t="s">
        <v>340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123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340</v>
      </c>
      <c r="D930" s="3"/>
      <c r="E930" s="3" t="s">
        <v>340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100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340</v>
      </c>
      <c r="D931" s="3"/>
      <c r="E931" s="3" t="s">
        <v>340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340</v>
      </c>
      <c r="D932" s="3"/>
      <c r="E932" s="3" t="s">
        <v>340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21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340</v>
      </c>
      <c r="D933" s="3"/>
      <c r="E933" s="3" t="s">
        <v>340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114</v>
      </c>
      <c r="O933" s="3"/>
      <c r="P933" s="3"/>
      <c r="Q933" s="3">
        <v>1.1759999999999999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340</v>
      </c>
      <c r="D934" s="3"/>
      <c r="E934" s="3" t="s">
        <v>340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228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343</v>
      </c>
      <c r="D935" s="3"/>
      <c r="E935" s="3" t="s">
        <v>343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262</v>
      </c>
      <c r="O935" s="3"/>
      <c r="P935" s="3"/>
      <c r="Q935" s="3">
        <v>1.8540000000000001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343</v>
      </c>
      <c r="D936" s="3"/>
      <c r="E936" s="3" t="s">
        <v>343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344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343</v>
      </c>
      <c r="D937" s="3"/>
      <c r="E937" s="3" t="s">
        <v>343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345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343</v>
      </c>
      <c r="D938" s="3"/>
      <c r="E938" s="3" t="s">
        <v>343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112</v>
      </c>
      <c r="O938" s="3"/>
      <c r="P938" s="3"/>
      <c r="Q938" s="3">
        <v>1.8540000000000001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343</v>
      </c>
      <c r="D939" s="3"/>
      <c r="E939" s="3" t="s">
        <v>343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110</v>
      </c>
      <c r="O939" s="3"/>
      <c r="P939" s="3"/>
      <c r="Q939" s="3">
        <v>0.59</v>
      </c>
      <c r="R939" s="3" t="s">
        <v>111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343</v>
      </c>
      <c r="D940" s="3"/>
      <c r="E940" s="3" t="s">
        <v>343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95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343</v>
      </c>
      <c r="D941" s="3"/>
      <c r="E941" s="3" t="s">
        <v>343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113</v>
      </c>
      <c r="O941" s="3"/>
      <c r="P941" s="3"/>
      <c r="Q941" s="3">
        <v>23.317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343</v>
      </c>
      <c r="D942" s="3"/>
      <c r="E942" s="3" t="s">
        <v>343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16</v>
      </c>
      <c r="O942" s="3"/>
      <c r="P942" s="3"/>
      <c r="Q942" s="3">
        <v>144.33799999999999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343</v>
      </c>
      <c r="D943" s="3"/>
      <c r="E943" s="3" t="s">
        <v>343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96</v>
      </c>
      <c r="O943" s="3"/>
      <c r="P943" s="3"/>
      <c r="Q943" s="3">
        <v>0.14799999999999999</v>
      </c>
      <c r="R943" s="3" t="s">
        <v>12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343</v>
      </c>
      <c r="D944" s="3"/>
      <c r="E944" s="3" t="s">
        <v>343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123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343</v>
      </c>
      <c r="D945" s="3"/>
      <c r="E945" s="3" t="s">
        <v>343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100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343</v>
      </c>
      <c r="D946" s="3"/>
      <c r="E946" s="3" t="s">
        <v>343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343</v>
      </c>
      <c r="D947" s="3"/>
      <c r="E947" s="3" t="s">
        <v>343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343</v>
      </c>
      <c r="D948" s="3"/>
      <c r="E948" s="3" t="s">
        <v>343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114</v>
      </c>
      <c r="O948" s="3"/>
      <c r="P948" s="3"/>
      <c r="Q948" s="3">
        <v>1.1759999999999999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343</v>
      </c>
      <c r="D949" s="3"/>
      <c r="E949" s="3" t="s">
        <v>343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232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346</v>
      </c>
      <c r="D950" s="3"/>
      <c r="E950" s="3" t="s">
        <v>346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262</v>
      </c>
      <c r="O950" s="3"/>
      <c r="P950" s="3"/>
      <c r="Q950" s="3">
        <v>2.1589999999999998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346</v>
      </c>
      <c r="D951" s="3"/>
      <c r="E951" s="3" t="s">
        <v>346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347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346</v>
      </c>
      <c r="D952" s="3"/>
      <c r="E952" s="3" t="s">
        <v>346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348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346</v>
      </c>
      <c r="D953" s="3"/>
      <c r="E953" s="3" t="s">
        <v>346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112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346</v>
      </c>
      <c r="D954" s="3"/>
      <c r="E954" s="3" t="s">
        <v>346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110</v>
      </c>
      <c r="O954" s="3"/>
      <c r="P954" s="3"/>
      <c r="Q954" s="3">
        <v>0.26200000000000001</v>
      </c>
      <c r="R954" s="3" t="s">
        <v>111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346</v>
      </c>
      <c r="D955" s="3"/>
      <c r="E955" s="3" t="s">
        <v>346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95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346</v>
      </c>
      <c r="D956" s="3"/>
      <c r="E956" s="3" t="s">
        <v>346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113</v>
      </c>
      <c r="O956" s="3"/>
      <c r="P956" s="3"/>
      <c r="Q956" s="3">
        <v>17.526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346</v>
      </c>
      <c r="D957" s="3"/>
      <c r="E957" s="3" t="s">
        <v>346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16</v>
      </c>
      <c r="O957" s="3"/>
      <c r="P957" s="3"/>
      <c r="Q957" s="3">
        <v>108.72199999999999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346</v>
      </c>
      <c r="D958" s="3"/>
      <c r="E958" s="3" t="s">
        <v>346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96</v>
      </c>
      <c r="O958" s="3"/>
      <c r="P958" s="3"/>
      <c r="Q958" s="3">
        <v>7.2999999999999995E-2</v>
      </c>
      <c r="R958" s="3" t="s">
        <v>12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346</v>
      </c>
      <c r="D959" s="3"/>
      <c r="E959" s="3" t="s">
        <v>346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123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346</v>
      </c>
      <c r="D960" s="3"/>
      <c r="E960" s="3" t="s">
        <v>346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100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346</v>
      </c>
      <c r="D961" s="3"/>
      <c r="E961" s="3" t="s">
        <v>346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346</v>
      </c>
      <c r="D962" s="3"/>
      <c r="E962" s="3" t="s">
        <v>346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346</v>
      </c>
      <c r="D963" s="3"/>
      <c r="E963" s="3" t="s">
        <v>346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114</v>
      </c>
      <c r="O963" s="3"/>
      <c r="P963" s="3"/>
      <c r="Q963" s="3">
        <v>1.23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346</v>
      </c>
      <c r="D964" s="3"/>
      <c r="E964" s="3" t="s">
        <v>346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236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349</v>
      </c>
      <c r="D965" s="3"/>
      <c r="E965" s="3" t="s">
        <v>349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262</v>
      </c>
      <c r="O965" s="3"/>
      <c r="P965" s="3"/>
      <c r="Q965" s="3">
        <v>2.1589999999999998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349</v>
      </c>
      <c r="D966" s="3"/>
      <c r="E966" s="3" t="s">
        <v>349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350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349</v>
      </c>
      <c r="D967" s="3"/>
      <c r="E967" s="3" t="s">
        <v>349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351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349</v>
      </c>
      <c r="D968" s="3"/>
      <c r="E968" s="3" t="s">
        <v>349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112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349</v>
      </c>
      <c r="D969" s="3"/>
      <c r="E969" s="3" t="s">
        <v>349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110</v>
      </c>
      <c r="O969" s="3"/>
      <c r="P969" s="3"/>
      <c r="Q969" s="3">
        <v>0.313</v>
      </c>
      <c r="R969" s="3" t="s">
        <v>111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349</v>
      </c>
      <c r="D970" s="3"/>
      <c r="E970" s="3" t="s">
        <v>349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95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349</v>
      </c>
      <c r="D971" s="3"/>
      <c r="E971" s="3" t="s">
        <v>349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113</v>
      </c>
      <c r="O971" s="3"/>
      <c r="P971" s="3"/>
      <c r="Q971" s="3">
        <v>18.440000000000001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349</v>
      </c>
      <c r="D972" s="3"/>
      <c r="E972" s="3" t="s">
        <v>349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16</v>
      </c>
      <c r="O972" s="3"/>
      <c r="P972" s="3"/>
      <c r="Q972" s="3">
        <v>114.346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349</v>
      </c>
      <c r="D973" s="3"/>
      <c r="E973" s="3" t="s">
        <v>349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96</v>
      </c>
      <c r="O973" s="3"/>
      <c r="P973" s="3"/>
      <c r="Q973" s="3">
        <v>8.4000000000000005E-2</v>
      </c>
      <c r="R973" s="3" t="s">
        <v>12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349</v>
      </c>
      <c r="D974" s="3"/>
      <c r="E974" s="3" t="s">
        <v>349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123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349</v>
      </c>
      <c r="D975" s="3"/>
      <c r="E975" s="3" t="s">
        <v>349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100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349</v>
      </c>
      <c r="D976" s="3"/>
      <c r="E976" s="3" t="s">
        <v>349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349</v>
      </c>
      <c r="D977" s="3"/>
      <c r="E977" s="3" t="s">
        <v>349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349</v>
      </c>
      <c r="D978" s="3"/>
      <c r="E978" s="3" t="s">
        <v>349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114</v>
      </c>
      <c r="O978" s="3"/>
      <c r="P978" s="3"/>
      <c r="Q978" s="3">
        <v>1.23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349</v>
      </c>
      <c r="D979" s="3"/>
      <c r="E979" s="3" t="s">
        <v>349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240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352</v>
      </c>
      <c r="D980" s="3"/>
      <c r="E980" s="3" t="s">
        <v>352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262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352</v>
      </c>
      <c r="D981" s="3"/>
      <c r="E981" s="3" t="s">
        <v>352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353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352</v>
      </c>
      <c r="D982" s="3"/>
      <c r="E982" s="3" t="s">
        <v>352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354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352</v>
      </c>
      <c r="D983" s="3"/>
      <c r="E983" s="3" t="s">
        <v>352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112</v>
      </c>
      <c r="O983" s="3"/>
      <c r="P983" s="3"/>
      <c r="Q983" s="3">
        <v>2.1589999999999998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352</v>
      </c>
      <c r="D984" s="3"/>
      <c r="E984" s="3" t="s">
        <v>352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110</v>
      </c>
      <c r="O984" s="3"/>
      <c r="P984" s="3"/>
      <c r="Q984" s="3">
        <v>0.36499999999999999</v>
      </c>
      <c r="R984" s="3" t="s">
        <v>111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352</v>
      </c>
      <c r="D985" s="3"/>
      <c r="E985" s="3" t="s">
        <v>352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95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352</v>
      </c>
      <c r="D986" s="3"/>
      <c r="E986" s="3" t="s">
        <v>352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113</v>
      </c>
      <c r="O986" s="3"/>
      <c r="P986" s="3"/>
      <c r="Q986" s="3">
        <v>19.355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352</v>
      </c>
      <c r="D987" s="3"/>
      <c r="E987" s="3" t="s">
        <v>352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16</v>
      </c>
      <c r="O987" s="3"/>
      <c r="P987" s="3"/>
      <c r="Q987" s="3">
        <v>119.96899999999999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352</v>
      </c>
      <c r="D988" s="3"/>
      <c r="E988" s="3" t="s">
        <v>352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96</v>
      </c>
      <c r="O988" s="3"/>
      <c r="P988" s="3"/>
      <c r="Q988" s="3">
        <v>9.4E-2</v>
      </c>
      <c r="R988" s="3" t="s">
        <v>12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352</v>
      </c>
      <c r="D989" s="3"/>
      <c r="E989" s="3" t="s">
        <v>352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123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352</v>
      </c>
      <c r="D990" s="3"/>
      <c r="E990" s="3" t="s">
        <v>352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100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352</v>
      </c>
      <c r="D991" s="3"/>
      <c r="E991" s="3" t="s">
        <v>352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352</v>
      </c>
      <c r="D992" s="3"/>
      <c r="E992" s="3" t="s">
        <v>352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352</v>
      </c>
      <c r="D993" s="3"/>
      <c r="E993" s="3" t="s">
        <v>352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114</v>
      </c>
      <c r="O993" s="3"/>
      <c r="P993" s="3"/>
      <c r="Q993" s="3">
        <v>1.23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352</v>
      </c>
      <c r="D994" s="3"/>
      <c r="E994" s="3" t="s">
        <v>352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244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355</v>
      </c>
      <c r="D995" s="3"/>
      <c r="E995" s="3" t="s">
        <v>355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262</v>
      </c>
      <c r="O995" s="3"/>
      <c r="P995" s="3"/>
      <c r="Q995" s="3">
        <v>2.1589999999999998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355</v>
      </c>
      <c r="D996" s="3"/>
      <c r="E996" s="3" t="s">
        <v>355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356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355</v>
      </c>
      <c r="D997" s="3"/>
      <c r="E997" s="3" t="s">
        <v>355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357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355</v>
      </c>
      <c r="D998" s="3"/>
      <c r="E998" s="3" t="s">
        <v>355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112</v>
      </c>
      <c r="O998" s="3"/>
      <c r="P998" s="3"/>
      <c r="Q998" s="3">
        <v>2.1589999999999998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355</v>
      </c>
      <c r="D999" s="3"/>
      <c r="E999" s="3" t="s">
        <v>355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110</v>
      </c>
      <c r="O999" s="3"/>
      <c r="P999" s="3"/>
      <c r="Q999" s="3">
        <v>0.41599999999999998</v>
      </c>
      <c r="R999" s="3" t="s">
        <v>111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355</v>
      </c>
      <c r="D1000" s="3"/>
      <c r="E1000" s="3" t="s">
        <v>355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95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355</v>
      </c>
      <c r="D1001" s="3"/>
      <c r="E1001" s="3" t="s">
        <v>355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113</v>
      </c>
      <c r="O1001" s="3"/>
      <c r="P1001" s="3"/>
      <c r="Q1001" s="3">
        <v>20.268999999999998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355</v>
      </c>
      <c r="D1002" s="3"/>
      <c r="E1002" s="3" t="s">
        <v>355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16</v>
      </c>
      <c r="O1002" s="3"/>
      <c r="P1002" s="3"/>
      <c r="Q1002" s="3">
        <v>125.593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355</v>
      </c>
      <c r="D1003" s="3"/>
      <c r="E1003" s="3" t="s">
        <v>355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96</v>
      </c>
      <c r="O1003" s="3"/>
      <c r="P1003" s="3"/>
      <c r="Q1003" s="3">
        <v>0.105</v>
      </c>
      <c r="R1003" s="3" t="s">
        <v>12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355</v>
      </c>
      <c r="D1004" s="3"/>
      <c r="E1004" s="3" t="s">
        <v>355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123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355</v>
      </c>
      <c r="D1005" s="3"/>
      <c r="E1005" s="3" t="s">
        <v>355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100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355</v>
      </c>
      <c r="D1006" s="3"/>
      <c r="E1006" s="3" t="s">
        <v>355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355</v>
      </c>
      <c r="D1007" s="3"/>
      <c r="E1007" s="3" t="s">
        <v>355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355</v>
      </c>
      <c r="D1008" s="3"/>
      <c r="E1008" s="3" t="s">
        <v>355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114</v>
      </c>
      <c r="O1008" s="3"/>
      <c r="P1008" s="3"/>
      <c r="Q1008" s="3">
        <v>1.23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355</v>
      </c>
      <c r="D1009" s="3"/>
      <c r="E1009" s="3" t="s">
        <v>355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248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358</v>
      </c>
      <c r="D1010" s="3"/>
      <c r="E1010" s="3" t="s">
        <v>358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262</v>
      </c>
      <c r="O1010" s="3"/>
      <c r="P1010" s="3"/>
      <c r="Q1010" s="3">
        <v>2.1589999999999998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358</v>
      </c>
      <c r="D1011" s="3"/>
      <c r="E1011" s="3" t="s">
        <v>358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359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358</v>
      </c>
      <c r="D1012" s="3"/>
      <c r="E1012" s="3" t="s">
        <v>358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360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358</v>
      </c>
      <c r="D1013" s="3"/>
      <c r="E1013" s="3" t="s">
        <v>358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112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358</v>
      </c>
      <c r="D1014" s="3"/>
      <c r="E1014" s="3" t="s">
        <v>358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110</v>
      </c>
      <c r="O1014" s="3"/>
      <c r="P1014" s="3"/>
      <c r="Q1014" s="3">
        <v>0.51800000000000002</v>
      </c>
      <c r="R1014" s="3" t="s">
        <v>111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358</v>
      </c>
      <c r="D1015" s="3"/>
      <c r="E1015" s="3" t="s">
        <v>358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95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358</v>
      </c>
      <c r="D1016" s="3"/>
      <c r="E1016" s="3" t="s">
        <v>358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113</v>
      </c>
      <c r="O1016" s="3"/>
      <c r="P1016" s="3"/>
      <c r="Q1016" s="3">
        <v>22.097999999999999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358</v>
      </c>
      <c r="D1017" s="3"/>
      <c r="E1017" s="3" t="s">
        <v>358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16</v>
      </c>
      <c r="O1017" s="3"/>
      <c r="P1017" s="3"/>
      <c r="Q1017" s="3">
        <v>136.84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358</v>
      </c>
      <c r="D1018" s="3"/>
      <c r="E1018" s="3" t="s">
        <v>358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96</v>
      </c>
      <c r="O1018" s="3"/>
      <c r="P1018" s="3"/>
      <c r="Q1018" s="3">
        <v>0.126</v>
      </c>
      <c r="R1018" s="3" t="s">
        <v>12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358</v>
      </c>
      <c r="D1019" s="3"/>
      <c r="E1019" s="3" t="s">
        <v>358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123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358</v>
      </c>
      <c r="D1020" s="3"/>
      <c r="E1020" s="3" t="s">
        <v>358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100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358</v>
      </c>
      <c r="D1021" s="3"/>
      <c r="E1021" s="3" t="s">
        <v>358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358</v>
      </c>
      <c r="D1022" s="3"/>
      <c r="E1022" s="3" t="s">
        <v>358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358</v>
      </c>
      <c r="D1023" s="3"/>
      <c r="E1023" s="3" t="s">
        <v>358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114</v>
      </c>
      <c r="O1023" s="3"/>
      <c r="P1023" s="3"/>
      <c r="Q1023" s="3">
        <v>1.23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358</v>
      </c>
      <c r="D1024" s="3"/>
      <c r="E1024" s="3" t="s">
        <v>358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252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361</v>
      </c>
      <c r="D1025" s="3"/>
      <c r="E1025" s="3" t="s">
        <v>361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262</v>
      </c>
      <c r="O1025" s="3"/>
      <c r="P1025" s="3"/>
      <c r="Q1025" s="3">
        <v>2.1589999999999998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361</v>
      </c>
      <c r="D1026" s="3"/>
      <c r="E1026" s="3" t="s">
        <v>361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362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361</v>
      </c>
      <c r="D1027" s="3"/>
      <c r="E1027" s="3" t="s">
        <v>361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363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361</v>
      </c>
      <c r="D1028" s="3"/>
      <c r="E1028" s="3" t="s">
        <v>361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112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361</v>
      </c>
      <c r="D1029" s="3"/>
      <c r="E1029" s="3" t="s">
        <v>361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110</v>
      </c>
      <c r="O1029" s="3"/>
      <c r="P1029" s="3"/>
      <c r="Q1029" s="3">
        <v>0.56899999999999995</v>
      </c>
      <c r="R1029" s="3" t="s">
        <v>111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361</v>
      </c>
      <c r="D1030" s="3"/>
      <c r="E1030" s="3" t="s">
        <v>361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95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361</v>
      </c>
      <c r="D1031" s="3"/>
      <c r="E1031" s="3" t="s">
        <v>361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113</v>
      </c>
      <c r="O1031" s="3"/>
      <c r="P1031" s="3"/>
      <c r="Q1031" s="3">
        <v>23.012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361</v>
      </c>
      <c r="D1032" s="3"/>
      <c r="E1032" s="3" t="s">
        <v>361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16</v>
      </c>
      <c r="O1032" s="3"/>
      <c r="P1032" s="3"/>
      <c r="Q1032" s="3">
        <v>142.464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361</v>
      </c>
      <c r="D1033" s="3"/>
      <c r="E1033" s="3" t="s">
        <v>361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96</v>
      </c>
      <c r="O1033" s="3"/>
      <c r="P1033" s="3"/>
      <c r="Q1033" s="3">
        <v>0.13700000000000001</v>
      </c>
      <c r="R1033" s="3" t="s">
        <v>12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361</v>
      </c>
      <c r="D1034" s="3"/>
      <c r="E1034" s="3" t="s">
        <v>361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123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361</v>
      </c>
      <c r="D1035" s="3"/>
      <c r="E1035" s="3" t="s">
        <v>361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100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361</v>
      </c>
      <c r="D1036" s="3"/>
      <c r="E1036" s="3" t="s">
        <v>361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361</v>
      </c>
      <c r="D1037" s="3"/>
      <c r="E1037" s="3" t="s">
        <v>361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361</v>
      </c>
      <c r="D1038" s="3"/>
      <c r="E1038" s="3" t="s">
        <v>361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114</v>
      </c>
      <c r="O1038" s="3"/>
      <c r="P1038" s="3"/>
      <c r="Q1038" s="3">
        <v>1.23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361</v>
      </c>
      <c r="D1039" s="3"/>
      <c r="E1039" s="3" t="s">
        <v>361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256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364</v>
      </c>
      <c r="D1040" s="3"/>
      <c r="E1040" s="3" t="s">
        <v>364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262</v>
      </c>
      <c r="O1040" s="3"/>
      <c r="P1040" s="3"/>
      <c r="Q1040" s="3">
        <v>2.1589999999999998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364</v>
      </c>
      <c r="D1041" s="3"/>
      <c r="E1041" s="3" t="s">
        <v>364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365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364</v>
      </c>
      <c r="D1042" s="3"/>
      <c r="E1042" s="3" t="s">
        <v>364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366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364</v>
      </c>
      <c r="D1043" s="3"/>
      <c r="E1043" s="3" t="s">
        <v>364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112</v>
      </c>
      <c r="O1043" s="3"/>
      <c r="P1043" s="3"/>
      <c r="Q1043" s="3">
        <v>2.1589999999999998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364</v>
      </c>
      <c r="D1044" s="3"/>
      <c r="E1044" s="3" t="s">
        <v>364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110</v>
      </c>
      <c r="O1044" s="3"/>
      <c r="P1044" s="3"/>
      <c r="Q1044" s="3">
        <v>0.62</v>
      </c>
      <c r="R1044" s="3" t="s">
        <v>111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364</v>
      </c>
      <c r="D1045" s="3"/>
      <c r="E1045" s="3" t="s">
        <v>364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95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364</v>
      </c>
      <c r="D1046" s="3"/>
      <c r="E1046" s="3" t="s">
        <v>364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113</v>
      </c>
      <c r="O1046" s="3"/>
      <c r="P1046" s="3"/>
      <c r="Q1046" s="3">
        <v>23.927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364</v>
      </c>
      <c r="D1047" s="3"/>
      <c r="E1047" s="3" t="s">
        <v>364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16</v>
      </c>
      <c r="O1047" s="3"/>
      <c r="P1047" s="3"/>
      <c r="Q1047" s="3">
        <v>148.08699999999999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364</v>
      </c>
      <c r="D1048" s="3"/>
      <c r="E1048" s="3" t="s">
        <v>364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96</v>
      </c>
      <c r="O1048" s="3"/>
      <c r="P1048" s="3"/>
      <c r="Q1048" s="3">
        <v>0.14799999999999999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364</v>
      </c>
      <c r="D1049" s="3"/>
      <c r="E1049" s="3" t="s">
        <v>364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123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364</v>
      </c>
      <c r="D1050" s="3"/>
      <c r="E1050" s="3" t="s">
        <v>364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100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364</v>
      </c>
      <c r="D1051" s="3"/>
      <c r="E1051" s="3" t="s">
        <v>364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364</v>
      </c>
      <c r="D1052" s="3"/>
      <c r="E1052" s="3" t="s">
        <v>364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364</v>
      </c>
      <c r="D1053" s="3"/>
      <c r="E1053" s="3" t="s">
        <v>364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114</v>
      </c>
      <c r="O1053" s="3"/>
      <c r="P1053" s="3"/>
      <c r="Q1053" s="3">
        <v>1.23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364</v>
      </c>
      <c r="D1054" s="3"/>
      <c r="E1054" s="3" t="s">
        <v>364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260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2025-10-11T09:44:46Z</dcterms:modified>
</cp:coreProperties>
</file>