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<sst xmlns="http://schemas.openxmlformats.org/spreadsheetml/2006/main" count="40544" uniqueCount="34294">
  <si>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</si>
  <si>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</si>
  <si>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</si>
  <si>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</si>
  <si>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</si>
  <si>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</si>
  <si>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</si>
  <si>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</si>
  <si>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</si>
  <si>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</si>
  <si>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</si>
  <si>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</si>
  <si>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</si>
  <si>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</si>
  <si>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</si>
  <si>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</si>
  <si>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</si>
  <si>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</si>
  <si>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</si>
  <si>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</si>
  <si>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</si>
  <si>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</si>
  <si>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</si>
  <si>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</si>
  <si>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</si>
  <si>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</si>
  <si>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</si>
  <si>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</si>
  <si>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</si>
  <si>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</si>
  <si>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</si>
  <si>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</si>
  <si>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</si>
  <si>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</si>
  <si>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</si>
  <si>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</si>
  <si>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</si>
  <si>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</si>
  <si>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</si>
  <si>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</si>
  <si>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</si>
  <si>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</si>
  <si>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</si>
  <si>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</si>
  <si>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</si>
  <si>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</si>
  <si>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</si>
  <si>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</si>
  <si>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</si>
  <si>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</si>
  <si>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</si>
  <si>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</si>
  <si>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</si>
  <si>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</si>
  <si>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</si>
  <si>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</si>
  <si>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</si>
  <si>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</si>
  <si>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</si>
  <si>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</si>
  <si>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</si>
  <si>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</si>
  <si>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</si>
  <si>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</si>
  <si>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</si>
  <si>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</si>
  <si>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</si>
  <si>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</si>
  <si>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</si>
  <si>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</si>
  <si>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</si>
  <si>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</si>
  <si>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</si>
  <si>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</si>
  <si>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</si>
  <si>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</si>
  <si>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</si>
  <si>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</si>
  <si>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</si>
  <si>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</si>
  <si>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</si>
  <si>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</si>
  <si>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</si>
  <si>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</si>
  <si>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</si>
  <si>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</si>
  <si>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</si>
  <si>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</si>
  <si>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</si>
  <si>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</si>
  <si>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</si>
  <si>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</si>
  <si>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</si>
  <si>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</si>
  <si>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</si>
  <si>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</si>
  <si>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</si>
  <si>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</si>
  <si>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</si>
  <si>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</si>
  <si>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</si>
  <si>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</si>
  <si>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</si>
  <si>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</si>
  <si>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</si>
  <si>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</si>
  <si>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</si>
  <si>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</si>
  <si>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</si>
  <si>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</si>
  <si>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</si>
  <si>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</si>
  <si>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</si>
  <si>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</si>
  <si>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</si>
  <si>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</si>
  <si>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</si>
  <si>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</si>
  <si>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</si>
  <si>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</si>
  <si>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</si>
  <si>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</si>
  <si>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</si>
  <si>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</si>
  <si>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</si>
  <si>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</si>
  <si>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</si>
  <si>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</si>
  <si>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</si>
  <si>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</si>
  <si>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</si>
  <si>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</si>
  <si>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</si>
  <si>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</si>
  <si>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</si>
  <si>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</si>
  <si>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</si>
  <si>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</si>
  <si>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</si>
  <si>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</si>
  <si>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</si>
  <si>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</si>
  <si>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</si>
  <si>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</si>
  <si>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</si>
  <si>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</si>
  <si>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</si>
  <si>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</si>
  <si>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</si>
  <si>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</si>
  <si>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</si>
  <si>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</si>
  <si>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</si>
  <si>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</si>
  <si>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</si>
  <si>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</si>
  <si>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</si>
  <si>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</si>
  <si>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</si>
  <si>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</si>
  <si>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</si>
  <si>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</si>
  <si>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</si>
  <si>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</si>
  <si>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</si>
  <si>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</si>
  <si>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</si>
  <si>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</si>
  <si>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</si>
  <si>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</si>
  <si>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</si>
  <si>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</si>
  <si>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</si>
  <si>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</si>
  <si>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</si>
  <si>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</si>
  <si>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</si>
  <si>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</si>
  <si>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</si>
  <si>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</si>
  <si>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</si>
  <si>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</si>
  <si>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</si>
  <si>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</si>
  <si>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</si>
  <si>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</si>
  <si>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</si>
  <si>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</si>
  <si>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</si>
  <si>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</si>
  <si>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</si>
  <si>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</si>
  <si>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</si>
  <si>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</si>
  <si>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</si>
  <si>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</si>
  <si>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</si>
  <si>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</si>
  <si>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</si>
  <si>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</si>
  <si>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</si>
  <si>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</si>
  <si>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</si>
  <si>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</si>
  <si>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</si>
  <si>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</si>
  <si>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</si>
  <si>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</si>
  <si>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</si>
  <si>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</si>
  <si>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</si>
  <si>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</si>
  <si>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</si>
  <si>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</si>
  <si>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</si>
  <si>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</si>
  <si>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</si>
  <si>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</si>
  <si>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</si>
  <si>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</si>
  <si>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</si>
  <si>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</si>
  <si>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</si>
  <si>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</si>
  <si>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</si>
  <si>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</si>
  <si>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</si>
  <si>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</si>
  <si>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</si>
  <si>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</si>
  <si>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</si>
  <si>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</si>
  <si>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</si>
  <si>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</si>
  <si>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</si>
  <si>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</si>
  <si>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</si>
  <si>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</si>
  <si>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</si>
  <si>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</si>
  <si>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</si>
  <si>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</si>
  <si>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</si>
  <si>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</si>
  <si>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</si>
  <si>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</si>
  <si>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</si>
  <si>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</si>
  <si>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</si>
  <si>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</si>
  <si>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</si>
  <si>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</si>
  <si>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</si>
  <si>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</si>
  <si>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</si>
  <si>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</si>
  <si>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</si>
  <si>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</si>
  <si>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</si>
  <si>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</si>
  <si>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</si>
  <si>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</si>
  <si>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</si>
  <si>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</si>
  <si>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</si>
  <si>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</si>
  <si>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</si>
  <si>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</si>
  <si>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</si>
  <si>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</si>
  <si>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</si>
  <si>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</si>
  <si>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</si>
  <si>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</si>
  <si>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</si>
  <si>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</si>
  <si>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</si>
  <si>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</si>
  <si>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</si>
  <si>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</si>
  <si>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</si>
  <si>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</si>
  <si>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</si>
  <si>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</si>
  <si>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</si>
  <si>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</si>
  <si>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</si>
  <si>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</si>
  <si>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</si>
  <si>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</si>
  <si>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</si>
  <si>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</si>
  <si>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</si>
  <si>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</si>
  <si>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</si>
  <si>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</si>
  <si>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</si>
  <si>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</si>
  <si>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</si>
  <si>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</si>
  <si>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</si>
  <si>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</si>
  <si>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</si>
  <si>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</si>
  <si>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</si>
  <si>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</si>
  <si>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</si>
  <si>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</si>
  <si>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</si>
  <si>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</si>
  <si>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</si>
  <si>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</si>
  <si>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</si>
  <si>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</si>
  <si>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</si>
  <si>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</si>
  <si>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</si>
  <si>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</si>
  <si>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</si>
  <si>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</si>
  <si>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</si>
  <si>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</si>
  <si>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</si>
  <si>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</si>
  <si>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</si>
  <si>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</si>
  <si>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</si>
  <si>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</si>
  <si>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</si>
  <si>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</si>
  <si>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</si>
  <si>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</si>
  <si>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</si>
  <si>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</si>
  <si>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</si>
  <si>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</si>
  <si>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</si>
  <si>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</si>
  <si>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</si>
  <si>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</si>
  <si>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</si>
  <si>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</si>
  <si>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</si>
  <si>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</si>
  <si>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</si>
  <si>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</si>
  <si>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</si>
  <si>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</si>
  <si>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</si>
  <si>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</si>
  <si>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</si>
  <si>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</si>
  <si>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</si>
  <si>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</si>
  <si>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</si>
  <si>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</si>
  <si>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</si>
  <si>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</si>
  <si>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</si>
  <si>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</si>
  <si>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</si>
  <si>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</si>
  <si>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</si>
  <si>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</si>
  <si>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</si>
  <si>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</si>
  <si>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</si>
  <si>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</si>
  <si>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</si>
  <si>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</si>
  <si>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</si>
  <si>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</si>
  <si>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</si>
  <si>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</si>
  <si>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</si>
  <si>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</si>
  <si>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</si>
  <si>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</si>
  <si>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</si>
  <si>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</si>
  <si>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</si>
  <si>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</si>
  <si>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</si>
  <si>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</si>
  <si>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</si>
  <si>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</si>
  <si>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</si>
  <si>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</si>
  <si>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</si>
  <si>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</si>
  <si>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</si>
  <si>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</si>
  <si>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</si>
  <si>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</si>
  <si>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</si>
  <si>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</si>
  <si>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</si>
  <si>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</si>
  <si>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</si>
  <si>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</si>
  <si>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</si>
  <si>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</si>
  <si>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</si>
  <si>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</si>
  <si>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</si>
  <si>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</si>
  <si>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</si>
  <si>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</si>
  <si>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</si>
  <si>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</si>
  <si>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</si>
  <si>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</si>
  <si>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</si>
  <si>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</si>
  <si>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</si>
  <si>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</si>
  <si>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</si>
  <si>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</si>
  <si>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</si>
  <si>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</si>
  <si>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</si>
  <si>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</si>
  <si>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</si>
  <si>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</si>
  <si>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</si>
  <si>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</si>
  <si>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</si>
  <si>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</si>
  <si>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</si>
  <si>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</si>
  <si>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</si>
  <si>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</si>
  <si>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</si>
  <si>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</si>
  <si>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</si>
  <si>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</si>
  <si>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</si>
  <si>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</si>
  <si>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</si>
  <si>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</si>
  <si>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</si>
  <si>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</si>
  <si>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</si>
  <si>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</si>
  <si>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</si>
  <si>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</si>
  <si>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</si>
  <si>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</si>
  <si>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</si>
  <si>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</si>
  <si>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</si>
  <si>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</si>
  <si>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</si>
  <si>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</si>
  <si>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</si>
  <si>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</si>
  <si>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</si>
  <si>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</si>
  <si>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</si>
  <si>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</si>
  <si>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</si>
  <si>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</si>
  <si>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</si>
  <si>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</si>
  <si>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</si>
  <si>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</si>
  <si>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</si>
  <si>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</si>
  <si>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</si>
  <si>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</si>
  <si>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</si>
  <si>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</si>
  <si>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</si>
  <si>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</si>
  <si>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</si>
  <si>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</si>
  <si>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</si>
  <si>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</si>
  <si>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</si>
  <si>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</si>
  <si>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</si>
  <si>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</si>
  <si>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</si>
  <si>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</si>
  <si>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</si>
  <si>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</si>
  <si>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</si>
  <si>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</si>
  <si>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</si>
  <si>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</si>
  <si>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</si>
  <si>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</si>
  <si>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</si>
  <si>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</si>
  <si>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</si>
  <si>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</si>
  <si>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</si>
  <si>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</si>
  <si>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</si>
  <si>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</si>
  <si>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</si>
  <si>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</si>
  <si>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</si>
  <si>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</si>
  <si>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</si>
  <si>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</si>
  <si>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</si>
  <si>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</si>
  <si>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</si>
  <si>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</si>
  <si>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</si>
  <si>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</si>
  <si>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</si>
  <si>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</si>
  <si>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</si>
  <si>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</si>
  <si>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</si>
  <si>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</si>
  <si>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</si>
  <si>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</si>
  <si>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</si>
  <si>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</si>
  <si>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</si>
  <si>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</si>
  <si>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</si>
  <si>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</si>
  <si>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</si>
  <si>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</si>
  <si>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</si>
  <si>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</si>
  <si>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</si>
  <si>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</si>
  <si>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</si>
  <si>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</si>
  <si>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</si>
  <si>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</si>
  <si>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</si>
  <si>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</si>
  <si>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</si>
  <si>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</si>
  <si>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</si>
  <si>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</si>
  <si>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</si>
  <si>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</si>
  <si>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</si>
  <si>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</si>
  <si>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</si>
  <si>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</si>
  <si>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</si>
  <si>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</si>
  <si>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</si>
  <si>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</si>
  <si>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</si>
  <si>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</si>
  <si>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</si>
  <si>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</si>
  <si>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</si>
  <si>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</si>
  <si>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</si>
  <si>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</si>
  <si>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</si>
  <si>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</si>
  <si>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</si>
  <si>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</si>
  <si>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</si>
  <si>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</si>
  <si>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</si>
  <si>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</si>
  <si>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</si>
  <si>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</si>
  <si>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</si>
  <si>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</si>
  <si>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</si>
  <si>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</si>
  <si>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</si>
  <si>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</si>
  <si>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</si>
  <si>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</si>
  <si>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</si>
  <si>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</si>
  <si>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</si>
  <si>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</si>
  <si>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</si>
  <si>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</si>
  <si>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</si>
  <si>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</si>
  <si>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</si>
  <si>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</si>
  <si>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</si>
  <si>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</si>
  <si>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</si>
  <si>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</si>
  <si>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</si>
  <si>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</si>
  <si>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</si>
  <si>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</si>
  <si>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</si>
  <si>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</si>
  <si>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</si>
  <si>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</si>
  <si>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</si>
  <si>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</si>
  <si>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</si>
  <si>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</si>
  <si>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</si>
  <si>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</si>
  <si>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</si>
  <si>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</si>
  <si>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</si>
  <si>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</si>
  <si>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</si>
  <si>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</si>
  <si>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</si>
  <si>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</si>
  <si>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</si>
  <si>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</si>
  <si>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</si>
  <si>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</si>
  <si>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</si>
  <si>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</si>
  <si>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</si>
  <si>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</si>
  <si>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</si>
  <si>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</si>
  <si>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</si>
  <si>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</si>
  <si>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</si>
  <si>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</si>
  <si>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</si>
  <si>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</si>
  <si>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</si>
  <si>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</si>
  <si>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</si>
  <si>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</si>
  <si>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</si>
  <si>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</si>
  <si>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</si>
  <si>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</si>
  <si>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</si>
  <si>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</si>
  <si>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</si>
  <si>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</si>
  <si>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</si>
  <si>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</si>
  <si>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</si>
  <si>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</si>
  <si>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</si>
  <si>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</si>
  <si>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</si>
  <si>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</si>
  <si>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</si>
  <si>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</si>
  <si>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</si>
  <si>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</si>
  <si>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</si>
  <si>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</si>
  <si>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</si>
  <si>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</si>
  <si>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</si>
  <si>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</si>
  <si>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</si>
  <si>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</si>
  <si>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</si>
  <si>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</si>
  <si>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</si>
  <si>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</si>
  <si>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</si>
  <si>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</si>
  <si>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</si>
  <si>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</si>
  <si>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</si>
  <si>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</si>
  <si>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</si>
  <si>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</si>
  <si>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</si>
  <si>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</si>
  <si>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</si>
  <si>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</si>
  <si>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</si>
  <si>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</si>
  <si>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</si>
  <si>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</si>
  <si>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</si>
  <si>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</si>
  <si>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</si>
  <si>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</si>
  <si>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</si>
  <si>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</si>
  <si>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</si>
  <si>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</si>
  <si>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</si>
  <si>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</si>
  <si>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</si>
  <si>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</si>
  <si>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</si>
  <si>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</si>
  <si>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</si>
  <si>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</si>
  <si>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</si>
  <si>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</si>
  <si>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</si>
  <si>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</si>
  <si>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</si>
  <si>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</si>
  <si>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</si>
  <si>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</si>
  <si>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</si>
  <si>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</si>
  <si>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</si>
  <si>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</si>
  <si>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</si>
  <si>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</si>
  <si>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</si>
  <si>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</si>
  <si>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</si>
  <si>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</si>
  <si>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</si>
  <si>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</si>
  <si>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</si>
  <si>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</si>
  <si>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</si>
  <si>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</si>
  <si>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</si>
  <si>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</si>
  <si>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</si>
  <si>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</si>
  <si>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</si>
  <si>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</si>
  <si>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</si>
  <si>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</si>
  <si>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</si>
  <si>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</si>
  <si>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</si>
  <si>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</si>
  <si>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</si>
  <si>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</si>
  <si>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</si>
  <si>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</si>
  <si>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</si>
  <si>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</si>
  <si>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</si>
  <si>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</si>
  <si>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</si>
  <si>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</si>
  <si>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</si>
  <si>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</si>
  <si>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</si>
  <si>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</si>
  <si>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</si>
  <si>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</si>
  <si>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</si>
  <si>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</si>
  <si>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</si>
  <si>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</si>
  <si>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</si>
  <si>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</si>
  <si>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</si>
  <si>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</si>
  <si>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</si>
  <si>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</si>
  <si>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</si>
  <si>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</si>
  <si>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</si>
  <si>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</si>
  <si>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</si>
  <si>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</si>
  <si>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</si>
  <si>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</si>
  <si>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</si>
  <si>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</si>
  <si>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</si>
  <si>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</si>
  <si>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</si>
  <si>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</si>
  <si>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</si>
  <si>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</si>
  <si>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</si>
  <si>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</si>
  <si>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</si>
  <si>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</si>
  <si>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</si>
  <si>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</si>
  <si>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</si>
  <si>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</si>
  <si>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</si>
  <si>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</si>
  <si>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</si>
  <si>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</si>
  <si>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</si>
  <si>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</si>
  <si>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</si>
  <si>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</si>
  <si>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</si>
  <si>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</si>
  <si>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</si>
  <si>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</si>
  <si>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</si>
  <si>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</si>
  <si>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</si>
  <si>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</si>
  <si>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</si>
  <si>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</si>
  <si>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</si>
  <si>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</si>
  <si>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</si>
  <si>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</si>
  <si>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</si>
  <si>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</si>
  <si>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</si>
  <si>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</si>
  <si>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</si>
  <si>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</si>
  <si>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</si>
  <si>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</si>
  <si>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</si>
  <si>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</si>
  <si>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</si>
  <si>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</si>
  <si>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</si>
  <si>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</si>
  <si>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</si>
  <si>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</si>
  <si>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</si>
  <si>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</si>
  <si>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</si>
  <si>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</si>
  <si>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</si>
  <si>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</si>
  <si>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</si>
  <si>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</si>
  <si>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</si>
  <si>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</si>
  <si>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</si>
  <si>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</si>
  <si>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</si>
  <si>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</si>
  <si>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</si>
  <si>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</si>
  <si>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</si>
  <si>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</si>
  <si>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</si>
  <si>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</si>
  <si>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</si>
  <si>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</si>
  <si>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</si>
  <si>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</si>
  <si>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</si>
  <si>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</si>
  <si>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</si>
  <si>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</si>
  <si>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</si>
  <si>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</si>
  <si>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</si>
  <si>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</si>
  <si>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</si>
  <si>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</si>
  <si>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</si>
  <si>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</si>
  <si>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</si>
  <si>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</si>
  <si>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</si>
  <si>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</si>
  <si>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</si>
  <si>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</si>
  <si>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</si>
  <si>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</si>
  <si>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</si>
  <si>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</si>
  <si>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</si>
  <si>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</si>
  <si>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</si>
  <si>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</si>
  <si>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</si>
  <si>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</si>
  <si>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</si>
  <si>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</si>
  <si>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</si>
  <si>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</si>
  <si>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</si>
  <si>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</si>
  <si>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</si>
  <si>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</si>
  <si>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</si>
  <si>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</si>
  <si>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</si>
  <si>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</si>
  <si>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</si>
  <si>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</si>
  <si>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</si>
  <si>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</si>
  <si>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</si>
  <si>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</si>
  <si>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</si>
  <si>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</si>
  <si>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</si>
  <si>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</si>
  <si>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</si>
  <si>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</si>
  <si>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</si>
  <si>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</si>
  <si>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</si>
  <si>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</si>
  <si>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</si>
  <si>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</si>
  <si>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</si>
  <si>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</si>
  <si>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</si>
  <si>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</si>
  <si>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</si>
  <si>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</si>
  <si>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</si>
  <si>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</si>
  <si>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</si>
  <si>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</si>
  <si>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</si>
  <si>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</si>
  <si>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</si>
  <si>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</si>
  <si>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</si>
  <si>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</si>
  <si>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</si>
  <si>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</si>
  <si>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</si>
  <si>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</si>
  <si>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</si>
  <si>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</si>
  <si>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</si>
  <si>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</si>
  <si>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</si>
  <si>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</si>
  <si>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</si>
  <si>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</si>
  <si>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</si>
  <si>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</si>
  <si>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</si>
  <si>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</si>
  <si>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</si>
  <si>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</si>
  <si>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</si>
  <si>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</si>
  <si>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</si>
  <si>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</si>
  <si>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</si>
  <si>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</si>
  <si>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</si>
  <si>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</si>
  <si>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</si>
  <si>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</si>
  <si>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</si>
  <si>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</si>
  <si>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</si>
  <si>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</si>
  <si>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</si>
  <si>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</si>
  <si>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</si>
  <si>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</si>
  <si>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</si>
  <si>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</si>
  <si>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</si>
  <si>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</si>
  <si>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</si>
  <si>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</si>
  <si>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</si>
  <si>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</si>
  <si>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</si>
  <si>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</si>
  <si>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</si>
  <si>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</si>
  <si>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</si>
  <si>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</si>
  <si>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</si>
  <si>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</si>
  <si>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</si>
  <si>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</si>
  <si>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</si>
  <si>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</si>
  <si>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</si>
  <si>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</si>
  <si>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</si>
  <si>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</si>
  <si>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</si>
  <si>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</si>
  <si>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</si>
  <si>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</si>
  <si>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</si>
  <si>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</si>
  <si>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</si>
  <si>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</si>
  <si>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</si>
  <si>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</si>
  <si>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</si>
  <si>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</si>
  <si>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</si>
  <si>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</si>
  <si>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</si>
  <si>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</si>
  <si>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</si>
  <si>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</si>
  <si>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</si>
  <si>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</si>
  <si>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</si>
  <si>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</si>
  <si>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</si>
  <si>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</si>
  <si>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</si>
  <si>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</si>
  <si>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</si>
  <si>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</si>
  <si>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</si>
  <si>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</si>
  <si>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</si>
  <si>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</si>
  <si>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</si>
  <si>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</si>
  <si>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</si>
  <si>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</si>
  <si>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</si>
  <si>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</si>
  <si>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</si>
  <si>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</si>
  <si>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</si>
  <si>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</si>
  <si>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</si>
  <si>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</si>
  <si>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</si>
  <si>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</si>
  <si>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</si>
  <si>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</si>
  <si>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</si>
  <si>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</si>
  <si>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</si>
  <si>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</si>
  <si>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</si>
  <si>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</si>
  <si>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</si>
  <si>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</si>
  <si>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</si>
  <si>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</si>
  <si>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</si>
  <si>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</si>
  <si>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</si>
  <si>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</si>
  <si>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</si>
  <si>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</si>
  <si>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</si>
  <si>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</si>
  <si>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</si>
  <si>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</si>
  <si>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</si>
  <si>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</si>
  <si>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</si>
  <si>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</si>
  <si>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</si>
  <si>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</si>
  <si>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</si>
  <si>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</si>
  <si>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</si>
  <si>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</si>
  <si>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</si>
  <si>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</si>
  <si>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</si>
  <si>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</si>
  <si>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</si>
  <si>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</si>
  <si>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</si>
  <si>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</si>
  <si>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</si>
  <si>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</si>
  <si>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</si>
  <si>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</si>
  <si>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</si>
  <si>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</si>
  <si>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</si>
  <si>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</si>
  <si>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</si>
  <si>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</si>
  <si>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</si>
  <si>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</si>
  <si>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</si>
  <si>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</si>
  <si>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</si>
  <si>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</si>
  <si>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</si>
  <si>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</si>
  <si>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</si>
  <si>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</si>
  <si>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</si>
  <si>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</si>
  <si>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</si>
  <si>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</si>
  <si>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</si>
  <si>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</si>
  <si>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</si>
  <si>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</si>
  <si>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</si>
  <si>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</si>
  <si>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</si>
  <si>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</si>
  <si>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</si>
  <si>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</si>
  <si>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</si>
  <si>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</si>
  <si>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</si>
  <si>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</si>
  <si>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</si>
  <si>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</si>
  <si>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</si>
  <si>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</si>
  <si>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</si>
  <si>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</si>
  <si>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</si>
  <si>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</si>
  <si>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</si>
  <si>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</si>
  <si>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</si>
  <si>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</si>
  <si>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</si>
  <si>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</si>
  <si>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</si>
  <si>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</si>
  <si>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</si>
  <si>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</si>
  <si>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</si>
  <si>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</si>
  <si>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</si>
  <si>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</si>
  <si>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</si>
  <si>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</si>
  <si>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</si>
  <si>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</si>
  <si>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</si>
  <si>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</si>
  <si>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</si>
  <si>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</si>
  <si>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</si>
  <si>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</si>
  <si>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</si>
  <si>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</si>
  <si>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</si>
  <si>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</si>
  <si>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</si>
  <si>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</si>
  <si>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</si>
  <si>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</si>
  <si>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</si>
  <si>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</si>
  <si>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</si>
  <si>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</si>
  <si>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</si>
  <si>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</si>
  <si>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</si>
  <si>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</si>
  <si>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</si>
  <si>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</si>
  <si>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</si>
  <si>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</si>
  <si>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</si>
  <si>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</si>
  <si>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</si>
  <si>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</si>
  <si>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</si>
  <si>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</si>
  <si>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</si>
  <si>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</si>
  <si>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</si>
  <si>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</si>
  <si>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</si>
  <si>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</si>
  <si>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</si>
  <si>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</si>
  <si>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</si>
  <si>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</si>
  <si>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</si>
  <si>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</si>
  <si>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</si>
  <si>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</si>
  <si>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</si>
  <si>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</si>
  <si>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</si>
  <si>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</si>
  <si>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</si>
  <si>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</si>
  <si>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</si>
  <si>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</si>
  <si>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</si>
  <si>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</si>
  <si>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</si>
  <si>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</si>
  <si>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</si>
  <si>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</si>
  <si>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</si>
  <si>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</si>
  <si>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</si>
  <si>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</si>
  <si>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</si>
  <si>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</si>
  <si>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</si>
  <si>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</si>
  <si>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</si>
  <si>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</si>
  <si>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</si>
  <si>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</si>
  <si>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</si>
  <si>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</si>
  <si>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</si>
  <si>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</si>
  <si>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</si>
  <si>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</si>
  <si>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</si>
  <si>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</si>
  <si>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</si>
  <si>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</si>
  <si>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</si>
  <si>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</si>
  <si>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</si>
  <si>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</si>
  <si>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</si>
  <si>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</si>
  <si>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</si>
  <si>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</si>
  <si>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</si>
  <si>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</si>
  <si>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</si>
  <si>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</si>
  <si>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</si>
  <si>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</si>
  <si>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</si>
  <si>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</si>
  <si>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</si>
  <si>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</si>
  <si>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</si>
  <si>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</si>
  <si>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</si>
  <si>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</si>
  <si>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</si>
  <si>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</si>
  <si>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</si>
  <si>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</si>
  <si>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</si>
  <si>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</si>
  <si>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</si>
  <si>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</si>
  <si>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</si>
  <si>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</si>
  <si>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</si>
  <si>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</si>
  <si>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</si>
  <si>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</si>
  <si>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</si>
  <si>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</si>
  <si>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</si>
  <si>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</si>
  <si>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</si>
  <si>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</si>
  <si>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</si>
  <si>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</si>
  <si>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</si>
  <si>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</si>
  <si>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</si>
  <si>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</si>
  <si>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</si>
  <si>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</si>
  <si>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</si>
  <si>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</si>
  <si>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</si>
  <si>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</si>
  <si>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</si>
  <si>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</si>
  <si>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</si>
  <si>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</si>
  <si>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</si>
  <si>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</si>
  <si>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</si>
  <si>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</si>
  <si>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</si>
  <si>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</si>
  <si>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</si>
  <si>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</si>
  <si>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</si>
  <si>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</si>
  <si>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</si>
  <si>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</si>
  <si>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</si>
  <si>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</si>
  <si>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</si>
  <si>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</si>
  <si>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</si>
  <si>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</si>
  <si>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</si>
  <si>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</si>
  <si>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</si>
  <si>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</si>
  <si>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</si>
  <si>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</si>
  <si>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</si>
  <si>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</si>
  <si>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</si>
  <si>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</si>
  <si>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</si>
  <si>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</si>
  <si>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</si>
  <si>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</si>
  <si>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</si>
  <si>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</si>
  <si>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</si>
  <si>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</si>
  <si>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</si>
  <si>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</si>
  <si>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</si>
  <si>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</si>
  <si>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</si>
  <si>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</si>
  <si>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</si>
  <si>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</si>
  <si>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</si>
  <si>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</si>
  <si>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</si>
  <si>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</si>
  <si>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</si>
  <si>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</si>
  <si>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</si>
  <si>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</si>
  <si>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</si>
  <si>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</si>
  <si>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</si>
  <si>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</si>
  <si>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</si>
  <si>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</si>
  <si>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</si>
  <si>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</si>
  <si>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</si>
  <si>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</si>
  <si>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</si>
  <si>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</si>
  <si>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</si>
  <si>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</si>
  <si>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</si>
  <si>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</si>
  <si>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</si>
  <si>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</si>
  <si>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</si>
  <si>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</si>
  <si>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</si>
  <si>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</si>
  <si>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</si>
  <si>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</si>
  <si>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</si>
  <si>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</si>
  <si>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</si>
  <si>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</si>
  <si>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</si>
  <si>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</si>
  <si>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</si>
  <si>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</si>
  <si>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</si>
  <si>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</si>
  <si>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</si>
  <si>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</si>
  <si>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</si>
  <si>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</si>
  <si>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</si>
  <si>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</si>
  <si>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</si>
  <si>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</si>
  <si>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</si>
  <si>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</si>
  <si>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</si>
  <si>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</si>
  <si>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</si>
  <si>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</si>
  <si>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</si>
  <si>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</si>
  <si>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</si>
  <si>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</si>
  <si>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</si>
  <si>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</si>
  <si>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</si>
  <si>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</si>
  <si>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</si>
  <si>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</si>
  <si>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</si>
  <si>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</si>
  <si>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</si>
  <si>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</si>
  <si>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</si>
  <si>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</si>
  <si>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</si>
  <si>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</si>
  <si>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</si>
  <si>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</si>
  <si>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</si>
  <si>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</si>
  <si>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</si>
  <si>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</si>
  <si>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</si>
  <si>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</si>
  <si>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</si>
  <si>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</si>
  <si>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</si>
  <si>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</si>
  <si>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</si>
  <si>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</si>
  <si>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</si>
  <si>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</si>
  <si>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</si>
  <si>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</si>
  <si>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</si>
  <si>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</si>
  <si>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</si>
  <si>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</si>
  <si>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</si>
  <si>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</si>
  <si>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</si>
  <si>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</si>
  <si>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</si>
  <si>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</si>
  <si>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</si>
  <si>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</si>
  <si>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</si>
  <si>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</si>
  <si>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</si>
  <si>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</si>
  <si>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</si>
  <si>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</si>
  <si>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</si>
  <si>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</si>
  <si>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</si>
  <si>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</si>
  <si>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</si>
  <si>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</si>
  <si>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</si>
  <si>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</si>
  <si>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</si>
  <si>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</si>
  <si>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</si>
  <si>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</si>
  <si>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</si>
  <si>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</si>
  <si>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</si>
  <si>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</si>
  <si>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</si>
  <si>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</si>
  <si>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</si>
  <si>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</si>
  <si>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</si>
  <si>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</si>
  <si>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</si>
  <si>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</si>
  <si>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</si>
  <si>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</si>
  <si>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</si>
  <si>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</si>
  <si>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</si>
  <si>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</si>
  <si>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</si>
  <si>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</si>
  <si>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</si>
  <si>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</si>
  <si>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</si>
  <si>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</si>
  <si>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</si>
  <si>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</si>
  <si>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</si>
  <si>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</si>
  <si>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</si>
  <si>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</si>
  <si>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</si>
  <si>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</si>
  <si>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</si>
  <si>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</si>
  <si>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</si>
  <si>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</si>
  <si>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</si>
  <si>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</si>
  <si>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</si>
  <si>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</si>
  <si>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</si>
  <si>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</si>
  <si>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</si>
  <si>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</si>
  <si>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</si>
  <si>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</si>
  <si>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</si>
  <si>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</si>
  <si>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</si>
  <si>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</si>
  <si>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</si>
  <si>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</si>
  <si>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</si>
  <si>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</si>
  <si>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</si>
  <si>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</si>
  <si>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</si>
  <si>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</si>
  <si>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</si>
  <si>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</si>
  <si>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</si>
  <si>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</si>
  <si>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</si>
  <si>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</si>
  <si>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</si>
  <si>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</si>
  <si>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</si>
  <si>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</si>
  <si>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</si>
  <si>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</si>
  <si>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</si>
  <si>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</si>
  <si>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</si>
  <si>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</si>
  <si>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</si>
  <si>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</si>
  <si>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</si>
  <si>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</si>
  <si>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</si>
  <si>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</si>
  <si>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</si>
  <si>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</si>
  <si>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</si>
  <si>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</si>
  <si>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</si>
  <si>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</si>
  <si>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</si>
  <si>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</si>
  <si>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</si>
  <si>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</si>
  <si>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</si>
  <si>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</si>
  <si>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</si>
  <si>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</si>
  <si>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</si>
  <si>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</si>
  <si>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</si>
  <si>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</si>
  <si>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</si>
  <si>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</si>
  <si>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</si>
  <si>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</si>
  <si>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</si>
  <si>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</si>
  <si>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</si>
  <si>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</si>
  <si>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</si>
  <si>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</si>
  <si>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</si>
  <si>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</si>
  <si>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</si>
  <si>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</si>
  <si>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</si>
  <si>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</si>
  <si>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</si>
  <si>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</si>
  <si>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</si>
  <si>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</si>
  <si>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</si>
  <si>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</si>
  <si>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</si>
  <si>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</si>
  <si>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</si>
  <si>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</si>
  <si>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</si>
  <si>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</si>
  <si>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</si>
  <si>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</si>
  <si>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</si>
  <si>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</si>
  <si>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</si>
  <si>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</si>
  <si>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</si>
  <si>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</si>
  <si>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</si>
  <si>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</si>
  <si>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</si>
  <si>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</si>
  <si>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</si>
  <si>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</si>
  <si>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</si>
  <si>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</si>
  <si>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</si>
  <si>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</si>
  <si>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</si>
  <si>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</si>
  <si>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</si>
  <si>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</si>
  <si>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</si>
  <si>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</si>
  <si>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</si>
  <si>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</si>
  <si>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</si>
  <si>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</si>
  <si>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</si>
  <si>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</si>
  <si>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</si>
  <si>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</si>
  <si>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</si>
  <si>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</si>
  <si>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</si>
  <si>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</si>
  <si>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</si>
  <si>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</si>
  <si>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</si>
  <si>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</si>
  <si>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</si>
  <si>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</si>
  <si>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</si>
  <si>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</si>
  <si>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</si>
  <si>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</si>
  <si>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</si>
  <si>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</si>
  <si>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</si>
  <si>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</si>
  <si>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</si>
  <si>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</si>
  <si>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</si>
  <si>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</si>
  <si>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</si>
  <si>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</si>
  <si>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</si>
  <si>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</si>
  <si>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</si>
  <si>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</si>
  <si>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</si>
  <si>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</si>
  <si>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</si>
  <si>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</si>
  <si>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</si>
  <si>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</si>
  <si>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</si>
  <si>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</si>
  <si>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</si>
  <si>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</si>
  <si>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</si>
  <si>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</si>
  <si>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</si>
  <si>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</si>
  <si>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</si>
  <si>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</si>
  <si>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</si>
  <si>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</si>
  <si>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</si>
  <si>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</si>
  <si>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</si>
  <si>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</si>
  <si>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</si>
  <si>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</si>
  <si>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</si>
  <si>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</si>
  <si>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</si>
  <si>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</si>
  <si>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</si>
  <si>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</si>
  <si>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</si>
  <si>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</si>
  <si>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</si>
  <si>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</si>
  <si>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</si>
  <si>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</si>
  <si>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</si>
  <si>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</si>
  <si>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</si>
  <si>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</si>
  <si>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</si>
  <si>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</si>
  <si>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</si>
  <si>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</si>
  <si>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</si>
  <si>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</si>
  <si>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</si>
  <si>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</si>
  <si>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</si>
  <si>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</si>
  <si>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</si>
  <si>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</si>
  <si>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</si>
  <si>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</si>
  <si>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</si>
  <si>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</si>
  <si>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</si>
  <si>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</si>
  <si>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</si>
  <si>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</si>
  <si>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</si>
  <si>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</si>
  <si>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</si>
  <si>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</si>
  <si>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</si>
  <si>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</si>
  <si>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</si>
  <si>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</si>
  <si>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</si>
  <si>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</si>
  <si>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</si>
  <si>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</si>
  <si>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</si>
  <si>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</si>
  <si>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</si>
  <si>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</si>
  <si>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</si>
  <si>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</si>
  <si>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</si>
  <si>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</si>
  <si>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</si>
  <si>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</si>
  <si>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</si>
  <si>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</si>
  <si>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</si>
  <si>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</si>
  <si>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</si>
  <si>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</si>
  <si>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</si>
  <si>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</si>
  <si>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</si>
  <si>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</si>
  <si>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</si>
  <si>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</si>
  <si>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</si>
  <si>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</si>
  <si>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</si>
  <si>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</si>
  <si>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</si>
  <si>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</si>
  <si>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</si>
  <si>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</si>
  <si>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</si>
  <si>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</si>
  <si>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</si>
  <si>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</si>
  <si>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</si>
  <si>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</si>
  <si>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</si>
  <si>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</si>
  <si>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</si>
  <si>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</si>
  <si>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</si>
  <si>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</si>
  <si>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</si>
  <si>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</si>
  <si>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</si>
  <si>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</si>
  <si>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</si>
  <si>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</si>
  <si>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</si>
  <si>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</si>
  <si>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</si>
  <si>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</si>
  <si>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</si>
  <si>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</si>
  <si>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</si>
  <si>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</si>
  <si>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</si>
  <si>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</si>
  <si>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</si>
  <si>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</si>
  <si>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</si>
  <si>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</si>
  <si>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</si>
  <si>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</si>
  <si>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</si>
  <si>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</si>
  <si>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</si>
  <si>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</si>
  <si>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</si>
  <si>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</si>
  <si>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</si>
  <si>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</si>
  <si>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</si>
  <si>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</si>
  <si>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</si>
  <si>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</si>
  <si>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</si>
  <si>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</si>
  <si>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</si>
  <si>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</si>
  <si>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</si>
  <si>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</si>
  <si>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</si>
  <si>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</si>
  <si>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</si>
  <si>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</si>
  <si>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</si>
  <si>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</si>
  <si>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</si>
  <si>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</si>
  <si>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</si>
  <si>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</si>
  <si>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</si>
  <si>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</si>
  <si>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</si>
  <si>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</si>
  <si>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</si>
  <si>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</si>
  <si>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</si>
  <si>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</si>
  <si>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</si>
  <si>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</si>
  <si>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</si>
  <si>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</si>
  <si>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</si>
  <si>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</si>
  <si>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</si>
  <si>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</si>
  <si>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</si>
  <si>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</si>
  <si>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</si>
  <si>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</si>
  <si>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</si>
  <si>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</si>
  <si>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</si>
  <si>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</si>
  <si>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</si>
  <si>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</si>
  <si>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</si>
  <si>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</si>
  <si>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</si>
  <si>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</si>
  <si>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</si>
  <si>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</si>
  <si>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</si>
  <si>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</si>
  <si>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</si>
  <si>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</si>
  <si>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</si>
  <si>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</si>
  <si>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</si>
  <si>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</si>
  <si>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</si>
  <si>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</si>
  <si>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</si>
  <si>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</si>
  <si>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</si>
  <si>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</si>
  <si>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</si>
  <si>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</si>
  <si>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</si>
  <si>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</si>
  <si>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</si>
  <si>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</si>
  <si>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</si>
  <si>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</si>
  <si>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</si>
  <si>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</si>
  <si>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</si>
  <si>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</si>
  <si>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</si>
  <si>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</si>
  <si>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</si>
  <si>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</si>
  <si>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</si>
  <si>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</si>
  <si>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</si>
  <si>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</si>
  <si>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</si>
  <si>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</si>
  <si>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</si>
  <si>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</si>
  <si>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</si>
  <si>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</si>
  <si>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</si>
  <si>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</si>
  <si>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</si>
  <si>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</si>
  <si>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</si>
  <si>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</si>
  <si>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</si>
  <si>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</si>
  <si>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</si>
  <si>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</si>
  <si>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</si>
  <si>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</si>
  <si>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</si>
  <si>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</si>
  <si>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</si>
  <si>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</si>
  <si>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</si>
  <si>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</si>
  <si>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</si>
  <si>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</si>
  <si>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</si>
  <si>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</si>
  <si>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</si>
  <si>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</si>
  <si>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</si>
  <si>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</si>
  <si>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</si>
  <si>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</si>
  <si>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</si>
  <si>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</si>
  <si>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</si>
  <si>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</si>
  <si>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</si>
  <si>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</si>
  <si>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</si>
  <si>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</si>
  <si>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</si>
  <si>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</si>
  <si>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</si>
  <si>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</si>
  <si>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</si>
  <si>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</si>
  <si>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</si>
  <si>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</si>
  <si>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</si>
  <si>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</si>
  <si>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</si>
  <si>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</si>
  <si>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</si>
  <si>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</si>
  <si>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</si>
  <si>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</si>
  <si>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</si>
  <si>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</si>
  <si>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</si>
  <si>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</si>
  <si>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</si>
  <si>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</si>
  <si>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</si>
  <si>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</si>
  <si>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</si>
  <si>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</si>
  <si>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</si>
  <si>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</si>
  <si>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</si>
  <si>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</si>
  <si>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</si>
  <si>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</si>
  <si>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</si>
  <si>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</si>
  <si>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</si>
  <si>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</si>
  <si>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</si>
  <si>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</si>
  <si>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</si>
  <si>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</si>
  <si>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</si>
  <si>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</si>
  <si>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</si>
  <si>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</si>
  <si>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</si>
  <si>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</si>
  <si>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</si>
  <si>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</si>
  <si>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</si>
  <si>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</si>
  <si>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</si>
  <si>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</si>
  <si>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</si>
  <si>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</si>
  <si>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</si>
  <si>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</si>
  <si>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</si>
  <si>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</si>
  <si>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</si>
  <si>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</si>
  <si>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</si>
  <si>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</si>
  <si>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</si>
  <si>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</si>
  <si>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</si>
  <si>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</si>
  <si>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</si>
  <si>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</si>
  <si>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</si>
  <si>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</si>
  <si>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</si>
  <si>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</si>
  <si>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</si>
  <si>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</si>
  <si>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</si>
  <si>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</si>
  <si>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</si>
  <si>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</si>
  <si>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</si>
  <si>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</si>
  <si>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</si>
  <si>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</si>
  <si>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</si>
  <si>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</si>
  <si>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</si>
  <si>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</si>
  <si>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</si>
  <si>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</si>
  <si>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</si>
  <si>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</si>
  <si>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</si>
  <si>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</si>
  <si>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</si>
  <si>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</si>
  <si>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</si>
  <si>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</si>
  <si>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</si>
  <si>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</si>
  <si>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</si>
  <si>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</si>
  <si>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</si>
  <si>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</si>
  <si>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</si>
  <si>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</si>
  <si>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</si>
  <si>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</si>
  <si>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</si>
  <si>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</si>
  <si>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</si>
  <si>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</si>
  <si>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</si>
  <si>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</si>
  <si>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</si>
  <si>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</si>
  <si>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</si>
  <si>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</si>
  <si>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</si>
  <si>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</si>
  <si>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</si>
  <si>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</si>
  <si>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</si>
  <si>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</si>
  <si>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</si>
  <si>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</si>
  <si>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</si>
  <si>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</si>
  <si>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</si>
  <si>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</si>
  <si>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</si>
  <si>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</si>
  <si>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</si>
  <si>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</si>
  <si>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</si>
  <si>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</si>
  <si>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</si>
  <si>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</si>
  <si>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</si>
  <si>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</si>
  <si>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</si>
  <si>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</si>
  <si>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</si>
  <si>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</si>
  <si>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</si>
  <si>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</si>
  <si>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</si>
  <si>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</si>
  <si>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</si>
  <si>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</si>
  <si>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</si>
  <si>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</si>
  <si>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</si>
  <si>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</si>
  <si>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</si>
  <si>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</si>
  <si>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</si>
  <si>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</si>
  <si>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</si>
  <si>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</si>
  <si>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</si>
  <si>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</si>
  <si>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</si>
  <si>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</si>
  <si>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</si>
  <si>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</si>
  <si>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</si>
  <si>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</si>
  <si>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</si>
  <si>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</si>
  <si>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</si>
  <si>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</si>
  <si>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</si>
  <si>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</si>
  <si>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</si>
  <si>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</si>
  <si>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</si>
  <si>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</si>
  <si>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</si>
  <si>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</si>
  <si>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</si>
  <si>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</si>
  <si>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</si>
  <si>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</si>
  <si>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</si>
  <si>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</si>
  <si>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</si>
  <si>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</si>
  <si>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</si>
  <si>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</si>
  <si>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</si>
  <si>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</si>
  <si>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</si>
  <si>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</si>
  <si>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</si>
  <si>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</si>
  <si>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</si>
  <si>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</si>
  <si>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</si>
  <si>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</si>
  <si>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</si>
  <si>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</si>
  <si>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</si>
  <si>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</si>
  <si>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</si>
  <si>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</si>
  <si>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</si>
  <si>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</si>
  <si>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</si>
  <si>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</si>
  <si>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</si>
  <si>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</si>
  <si>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</si>
  <si>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</si>
  <si>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</si>
  <si>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</si>
  <si>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</si>
  <si>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</si>
  <si>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</si>
  <si>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</si>
  <si>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</si>
  <si>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</si>
  <si>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</si>
  <si>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</si>
  <si>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</si>
  <si>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</si>
  <si>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</si>
  <si>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</si>
  <si>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</si>
  <si>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</si>
  <si>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</si>
  <si>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</si>
  <si>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</si>
  <si>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</si>
  <si>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</si>
  <si>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</si>
  <si>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</si>
  <si>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</si>
  <si>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</si>
  <si>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</si>
  <si>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</si>
  <si>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</si>
  <si>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</si>
  <si>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</si>
  <si>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</si>
  <si>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</si>
  <si>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</si>
  <si>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</si>
  <si>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</si>
  <si>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</si>
  <si>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</si>
  <si>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</si>
  <si>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</si>
  <si>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</si>
  <si>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</si>
  <si>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</si>
  <si>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</si>
  <si>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</si>
  <si>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</si>
  <si>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</si>
  <si>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</si>
  <si>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</si>
  <si>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</si>
  <si>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</si>
  <si>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</si>
  <si>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</si>
  <si>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</si>
  <si>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</si>
  <si>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</si>
  <si>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</si>
  <si>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</si>
  <si>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</si>
  <si>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</si>
  <si>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</si>
  <si>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</si>
  <si>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</si>
  <si>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</si>
  <si>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</si>
  <si>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</si>
  <si>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</si>
  <si>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</si>
  <si>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</si>
  <si>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</si>
  <si>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</si>
  <si>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</si>
  <si>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</si>
  <si>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</si>
  <si>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</si>
  <si>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</si>
  <si>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</si>
  <si>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</si>
  <si>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</si>
  <si>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</si>
  <si>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</si>
  <si>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</si>
  <si>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</si>
  <si>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</si>
  <si>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</si>
  <si>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</si>
  <si>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</si>
  <si>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</si>
  <si>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</si>
  <si>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</si>
  <si>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</si>
  <si>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</si>
  <si>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</si>
  <si>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</si>
  <si>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</si>
  <si>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</si>
  <si>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</si>
  <si>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</si>
  <si>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</si>
  <si>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</si>
  <si>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</si>
  <si>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</si>
  <si>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</si>
  <si>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</si>
  <si>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</si>
  <si>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</si>
  <si>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</si>
  <si>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</si>
  <si>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</si>
  <si>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</si>
  <si>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</si>
  <si>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</si>
  <si>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</si>
  <si>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</si>
  <si>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</si>
  <si>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</si>
  <si>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</si>
  <si>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</si>
  <si>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</si>
  <si>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</si>
  <si>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</si>
  <si>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</si>
  <si>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</si>
  <si>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</si>
  <si>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</si>
  <si>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</si>
  <si>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</si>
  <si>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</si>
  <si>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</si>
  <si>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</si>
  <si>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</si>
  <si>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</si>
  <si>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</si>
  <si>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</si>
  <si>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</si>
  <si>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</si>
  <si>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</si>
  <si>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</si>
  <si>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</si>
  <si>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</si>
  <si>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</si>
  <si>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</si>
  <si>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</si>
  <si>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</si>
  <si>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</si>
  <si>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</si>
  <si>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</si>
  <si>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</si>
  <si>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</si>
  <si>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</si>
  <si>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</si>
  <si>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</si>
  <si>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</si>
  <si>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</si>
  <si>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</si>
  <si>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</si>
  <si>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</si>
  <si>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</si>
  <si>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</si>
  <si>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</si>
  <si>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</si>
  <si>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</si>
  <si>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</si>
  <si>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</si>
  <si>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</si>
  <si>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</si>
  <si>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</si>
  <si>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</si>
  <si>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</si>
  <si>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</si>
  <si>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</si>
  <si>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</si>
  <si>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</si>
  <si>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</si>
  <si>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</si>
  <si>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</si>
  <si>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</si>
  <si>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</si>
  <si>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</si>
  <si>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</si>
  <si>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</si>
  <si>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</si>
  <si>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</si>
  <si>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</si>
  <si>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</si>
  <si>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</si>
  <si>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</si>
  <si>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</si>
  <si>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</si>
  <si>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</si>
  <si>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</si>
  <si>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</si>
  <si>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</si>
  <si>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</si>
  <si>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</si>
  <si>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</si>
  <si>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</si>
  <si>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</si>
  <si>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</si>
  <si>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</si>
  <si>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</si>
  <si>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</si>
  <si>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</si>
  <si>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</si>
  <si>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</si>
  <si>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</si>
  <si>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</si>
  <si>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</si>
  <si>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</si>
  <si>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</si>
  <si>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</si>
  <si>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</si>
  <si>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</si>
  <si>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</si>
  <si>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</si>
  <si>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</si>
  <si>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</si>
  <si>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</si>
  <si>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</si>
  <si>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</si>
  <si>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</si>
  <si>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</si>
  <si>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</si>
  <si>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</si>
  <si>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</si>
  <si>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</si>
  <si>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</si>
  <si>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</si>
  <si>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</si>
  <si>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</si>
  <si>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</si>
  <si>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</si>
  <si>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</si>
  <si>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</si>
  <si>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</si>
  <si>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</si>
  <si>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</si>
  <si>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</si>
  <si>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</si>
  <si>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</si>
  <si>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</si>
  <si>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</si>
  <si>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</si>
  <si>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</si>
  <si>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</si>
  <si>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</si>
  <si>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</si>
  <si>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</si>
  <si>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</si>
  <si>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</si>
  <si>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</si>
  <si>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</si>
  <si>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</si>
  <si>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</si>
  <si>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</si>
  <si>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</si>
  <si>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</si>
  <si>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</si>
  <si>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</si>
  <si>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</si>
  <si>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</si>
  <si>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</si>
  <si>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</si>
  <si>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</si>
  <si>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</si>
  <si>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</si>
  <si>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</si>
  <si>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</si>
  <si>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</si>
  <si>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</si>
  <si>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</si>
  <si>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</si>
  <si>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</si>
  <si>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</si>
  <si>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</si>
  <si>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</si>
  <si>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</si>
  <si>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</si>
  <si>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</si>
  <si>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</si>
  <si>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</si>
  <si>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</si>
  <si>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</si>
  <si>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</si>
  <si>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</si>
  <si>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</si>
  <si>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</si>
  <si>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</si>
  <si>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</si>
  <si>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</si>
  <si>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</si>
  <si>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</si>
  <si>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</si>
  <si>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</si>
  <si>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</si>
  <si>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</si>
  <si>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</si>
  <si>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</si>
  <si>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</si>
  <si>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</si>
  <si>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</si>
  <si>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</si>
  <si>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</si>
  <si>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</si>
  <si>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</si>
  <si>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</si>
  <si>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</si>
  <si>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</si>
  <si>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</si>
  <si>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</si>
  <si>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</si>
  <si>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</si>
  <si>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</si>
  <si>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</si>
  <si>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</si>
  <si>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</si>
  <si>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</si>
  <si>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</si>
  <si>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</si>
  <si>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</si>
  <si>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</si>
  <si>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</si>
  <si>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</si>
  <si>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</si>
  <si>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</si>
  <si>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</si>
  <si>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</si>
  <si>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</si>
  <si>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</si>
  <si>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</si>
  <si>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</si>
  <si>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</si>
  <si>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</si>
  <si>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</si>
  <si>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</si>
  <si>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</si>
  <si>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</si>
  <si>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</si>
  <si>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</si>
  <si>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</si>
  <si>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</si>
  <si>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</si>
  <si>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</si>
  <si>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</si>
  <si>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</si>
  <si>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</si>
  <si>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</si>
  <si>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</si>
  <si>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</si>
  <si>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</si>
  <si>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</si>
  <si>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</si>
  <si>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</si>
  <si>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</si>
  <si>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</si>
  <si>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</si>
  <si>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</si>
  <si>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</si>
  <si>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</si>
  <si>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</si>
  <si>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</si>
  <si>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</si>
  <si>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</si>
  <si>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</si>
  <si>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</si>
  <si>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</si>
  <si>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</si>
  <si>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</si>
  <si>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</si>
  <si>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</si>
  <si>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</si>
  <si>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</si>
  <si>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</si>
  <si>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</si>
  <si>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</si>
  <si>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</si>
  <si>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</si>
  <si>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</si>
  <si>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</si>
  <si>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</si>
  <si>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</si>
  <si>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</si>
  <si>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</si>
  <si>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</si>
  <si>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</si>
  <si>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</si>
  <si>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</si>
  <si>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</si>
  <si>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</si>
  <si>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</si>
  <si>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</si>
  <si>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</si>
  <si>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</si>
  <si>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</si>
  <si>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</si>
  <si>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</si>
  <si>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</si>
  <si>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</si>
  <si>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</si>
  <si>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</si>
  <si>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</si>
  <si>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</si>
  <si>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</si>
  <si>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</si>
  <si>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</si>
  <si>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</si>
  <si>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</si>
  <si>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</si>
  <si>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</si>
  <si>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</si>
  <si>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</si>
  <si>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</si>
  <si>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</si>
  <si>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</si>
  <si>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</si>
  <si>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</si>
  <si>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</si>
  <si>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</si>
  <si>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</si>
  <si>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</si>
  <si>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</si>
  <si>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</si>
  <si>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</si>
  <si>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</si>
  <si>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</si>
  <si>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</si>
  <si>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</si>
  <si>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</si>
  <si>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</si>
  <si>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</si>
  <si>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</si>
  <si>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</si>
  <si>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</si>
  <si>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</si>
  <si>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</si>
  <si>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</si>
  <si>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</si>
  <si>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</si>
  <si>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</si>
  <si>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</si>
  <si>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</si>
  <si>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</si>
  <si>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</si>
  <si>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</si>
  <si>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</si>
  <si>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</si>
  <si>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</si>
  <si>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</si>
  <si>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</si>
  <si>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</si>
  <si>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</si>
  <si>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</si>
  <si>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</si>
  <si>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</si>
  <si>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</si>
  <si>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</si>
  <si>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</si>
  <si>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</si>
  <si>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</si>
  <si>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</si>
  <si>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</si>
  <si>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</si>
  <si>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</si>
  <si>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</si>
  <si>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</si>
  <si>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</si>
  <si>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</si>
  <si>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</si>
  <si>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</si>
  <si>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</si>
  <si>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</si>
  <si>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</si>
  <si>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</si>
  <si>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</si>
  <si>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</si>
  <si>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</si>
  <si>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</si>
  <si>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</si>
  <si>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</si>
  <si>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</si>
  <si>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</si>
  <si>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</si>
  <si>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</si>
  <si>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</si>
  <si>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</si>
  <si>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</si>
  <si>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</si>
  <si>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</si>
  <si>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</si>
  <si>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</si>
  <si>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</si>
  <si>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</si>
  <si>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</si>
  <si>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</si>
  <si>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</si>
  <si>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</si>
  <si>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</si>
  <si>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</si>
  <si>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</si>
  <si>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</si>
  <si>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</si>
  <si>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</si>
  <si>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</si>
  <si>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</si>
  <si>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</si>
  <si>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</si>
  <si>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</si>
  <si>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</si>
  <si>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</si>
  <si>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</si>
  <si>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</si>
  <si>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</si>
  <si>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</si>
  <si>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</si>
  <si>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</si>
  <si>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</si>
  <si>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</si>
  <si>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</si>
  <si>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</si>
  <si>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</si>
  <si>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</si>
  <si>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</si>
  <si>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</si>
  <si>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</si>
  <si>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</si>
  <si>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</si>
  <si>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</si>
  <si>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</si>
  <si>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</si>
  <si>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</si>
  <si>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</si>
  <si>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</si>
  <si>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</si>
  <si>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</si>
  <si>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</si>
  <si>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</si>
  <si>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</si>
  <si>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</si>
  <si>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</si>
  <si>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</si>
  <si>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</si>
  <si>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</si>
  <si>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</si>
  <si>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</si>
  <si>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</si>
  <si>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</si>
  <si>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</si>
  <si>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</si>
  <si>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</si>
  <si>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</si>
  <si>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</si>
  <si>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</si>
  <si>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</si>
  <si>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</si>
  <si>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</si>
  <si>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</si>
  <si>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</si>
  <si>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</si>
  <si>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</si>
  <si>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</si>
  <si>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</si>
  <si>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</si>
  <si>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</si>
  <si>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</si>
  <si>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</si>
  <si>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</si>
  <si>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</si>
  <si>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</si>
  <si>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</si>
  <si>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</si>
  <si>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</si>
  <si>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</si>
  <si>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</si>
  <si>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</si>
  <si>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</si>
  <si>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</si>
  <si>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</si>
  <si>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</si>
  <si>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</si>
  <si>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</si>
  <si>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</si>
  <si>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</si>
  <si>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</si>
  <si>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</si>
  <si>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</si>
  <si>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</si>
  <si>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</si>
  <si>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</si>
  <si>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</si>
  <si>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</si>
  <si>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</si>
  <si>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</si>
  <si>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</si>
  <si>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</si>
  <si>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</si>
  <si>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</si>
  <si>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</si>
  <si>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</si>
  <si>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</si>
  <si>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</si>
  <si>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</si>
  <si>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</si>
  <si>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</si>
  <si>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</si>
  <si>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</si>
  <si>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</si>
  <si>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</si>
  <si>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</si>
  <si>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</si>
  <si>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</si>
  <si>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</si>
  <si>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</si>
  <si>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</si>
  <si>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</si>
  <si>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</si>
  <si>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</si>
  <si>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</si>
  <si>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</si>
  <si>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</si>
  <si>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</si>
  <si>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</si>
  <si>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</si>
  <si>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</si>
  <si>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</si>
  <si>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</si>
  <si>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</si>
  <si>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</si>
  <si>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</si>
  <si>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</si>
  <si>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</si>
  <si>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</si>
  <si>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</si>
  <si>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</si>
  <si>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</si>
  <si>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</si>
  <si>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</si>
  <si>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</si>
  <si>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</si>
  <si>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</si>
  <si>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</si>
  <si>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</si>
  <si>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</si>
  <si>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</si>
  <si>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</si>
  <si>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</si>
  <si>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</si>
  <si>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</si>
  <si>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</si>
  <si>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</si>
  <si>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</si>
  <si>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</si>
  <si>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</si>
  <si>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</si>
  <si>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</si>
  <si>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</si>
  <si>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</si>
  <si>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</si>
  <si>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</si>
  <si>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</si>
  <si>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</si>
  <si>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</si>
  <si>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</si>
  <si>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</si>
  <si>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</si>
  <si>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</si>
  <si>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</si>
  <si>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</si>
  <si>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</si>
  <si>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</si>
  <si>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</si>
  <si>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</si>
  <si>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</si>
  <si>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</si>
  <si>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</si>
  <si>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</si>
  <si>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</si>
  <si>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</si>
  <si>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</si>
  <si>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</si>
  <si>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</si>
  <si>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</si>
  <si>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</si>
  <si>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</si>
  <si>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</si>
  <si>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</si>
  <si>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</si>
  <si>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</si>
  <si>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</si>
  <si>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</si>
  <si>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</si>
  <si>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</si>
  <si>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</si>
  <si>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</si>
  <si>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</si>
  <si>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</si>
  <si>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</si>
  <si>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</si>
  <si>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</si>
  <si>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</si>
  <si>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</si>
  <si>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</si>
  <si>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</si>
  <si>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</si>
  <si>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</si>
  <si>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</si>
  <si>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</si>
  <si>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</si>
  <si>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</si>
  <si>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</si>
  <si>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</si>
  <si>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</si>
  <si>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</si>
  <si>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</si>
  <si>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</si>
  <si>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</si>
  <si>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</si>
  <si>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</si>
  <si>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</si>
  <si>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</si>
  <si>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</si>
  <si>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</si>
  <si>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</si>
  <si>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</si>
  <si>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</si>
  <si>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</si>
  <si>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</si>
  <si>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</si>
  <si>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</si>
  <si>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</si>
  <si>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</si>
  <si>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</si>
  <si>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</si>
  <si>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</si>
  <si>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</si>
  <si>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</si>
  <si>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</si>
  <si>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</si>
  <si>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</si>
  <si>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</si>
  <si>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</si>
  <si>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</si>
  <si>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</si>
  <si>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</si>
  <si>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</si>
  <si>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</si>
  <si>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</si>
  <si>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</si>
  <si>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</si>
  <si>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</si>
  <si>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</si>
  <si>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</si>
  <si>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</si>
  <si>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</si>
  <si>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</si>
  <si>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</si>
  <si>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</si>
  <si>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</si>
  <si>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</si>
  <si>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</si>
  <si>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</si>
  <si>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</si>
  <si>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</si>
  <si>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</si>
  <si>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</si>
  <si>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</si>
  <si>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</si>
  <si>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</si>
  <si>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</si>
  <si>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</si>
  <si>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</si>
  <si>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</si>
  <si>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</si>
  <si>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</si>
  <si>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</si>
  <si>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</si>
  <si>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</si>
  <si>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</si>
  <si>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</si>
  <si>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</si>
  <si>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</si>
  <si>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</si>
  <si>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</si>
  <si>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</si>
  <si>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</si>
  <si>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</si>
  <si>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</si>
  <si>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</si>
  <si>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</si>
  <si>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</si>
  <si>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</si>
  <si>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</si>
  <si>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</si>
  <si>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</si>
  <si>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</si>
  <si>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</si>
  <si>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</si>
  <si>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</si>
  <si>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</si>
  <si>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</si>
  <si>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</si>
  <si>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</si>
  <si>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</si>
  <si>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</si>
  <si>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</si>
  <si>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</si>
  <si>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</si>
  <si>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</si>
  <si>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</si>
  <si>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</si>
  <si>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</si>
  <si>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</si>
  <si>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</si>
  <si>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</si>
  <si>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</si>
  <si>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</si>
  <si>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</si>
  <si>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</si>
  <si>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</si>
  <si>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</si>
  <si>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</si>
  <si>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</si>
  <si>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</si>
  <si>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</si>
  <si>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</si>
  <si>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</si>
  <si>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</si>
  <si>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</si>
  <si>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</si>
  <si>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</si>
  <si>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</si>
  <si>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</si>
  <si>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</si>
  <si>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</si>
  <si>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</si>
  <si>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</si>
  <si>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</si>
  <si>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</si>
  <si>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</si>
  <si>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</si>
  <si>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</si>
  <si>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</si>
  <si>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</si>
  <si>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</si>
  <si>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</si>
  <si>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</si>
  <si>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</si>
  <si>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</si>
  <si>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</si>
  <si>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</si>
  <si>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</si>
  <si>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</si>
  <si>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</si>
  <si>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</si>
  <si>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</si>
  <si>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</si>
  <si>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</si>
  <si>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</si>
  <si>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</si>
  <si>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</si>
  <si>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</si>
  <si>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</si>
  <si>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</si>
  <si>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</si>
  <si>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</si>
  <si>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</si>
  <si>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</si>
  <si>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</si>
  <si>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</si>
  <si>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</si>
  <si>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</si>
  <si>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</si>
  <si>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</si>
  <si>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</si>
  <si>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</si>
  <si>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</si>
  <si>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</si>
  <si>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</si>
  <si>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</si>
  <si>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</si>
  <si>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</si>
  <si>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</si>
  <si>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</si>
  <si>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</si>
  <si>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</si>
  <si>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</si>
  <si>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</si>
  <si>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</si>
  <si>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</si>
  <si>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</si>
  <si>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</si>
  <si>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</si>
  <si>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</si>
  <si>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</si>
  <si>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</si>
  <si>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</si>
  <si>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</si>
  <si>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</si>
  <si>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</si>
  <si>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</si>
  <si>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</si>
  <si>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</si>
  <si>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</si>
  <si>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</si>
  <si>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</si>
  <si>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</si>
  <si>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</si>
  <si>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</si>
  <si>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</si>
  <si>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</si>
  <si>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</si>
  <si>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</si>
  <si>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</si>
  <si>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</si>
  <si>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</si>
  <si>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</si>
  <si>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</si>
  <si>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</si>
  <si>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</si>
  <si>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</si>
  <si>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</si>
  <si>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</si>
  <si>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</si>
  <si>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</si>
  <si>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</si>
  <si>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</si>
  <si>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</si>
  <si>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</si>
  <si>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</si>
  <si>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</si>
  <si>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</si>
  <si>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</si>
  <si>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</si>
  <si>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</si>
  <si>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</si>
  <si>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</si>
  <si>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</si>
  <si>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</si>
  <si>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</si>
  <si>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</si>
  <si>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</si>
  <si>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</si>
  <si>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</si>
  <si>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</si>
  <si>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</si>
  <si>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</si>
  <si>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</si>
  <si>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</si>
  <si>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</si>
  <si>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</si>
  <si>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</si>
  <si>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</si>
  <si>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</si>
  <si>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</si>
  <si>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</si>
  <si>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</si>
  <si>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</si>
  <si>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</si>
  <si>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</si>
  <si>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</si>
  <si>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</si>
  <si>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</si>
  <si>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</si>
  <si>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</si>
  <si>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</si>
  <si>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</si>
  <si>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</si>
  <si>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</si>
  <si>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</si>
  <si>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</si>
  <si>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</si>
  <si>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</si>
  <si>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</si>
  <si>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</si>
  <si>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</si>
  <si>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</si>
  <si>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</si>
  <si>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</si>
  <si>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</si>
  <si>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</si>
  <si>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</si>
  <si>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</si>
  <si>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</si>
  <si>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</si>
  <si>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</si>
  <si>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</si>
  <si>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</si>
  <si>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</si>
  <si>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</si>
  <si>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</si>
  <si>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</si>
  <si>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</si>
  <si>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</si>
  <si>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</si>
  <si>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</si>
  <si>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</si>
  <si>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</si>
  <si>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</si>
  <si>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</si>
  <si>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</si>
  <si>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</si>
  <si>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</si>
  <si>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</si>
  <si>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</si>
  <si>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</si>
  <si>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</si>
  <si>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</si>
  <si>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</si>
  <si>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</si>
  <si>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</si>
  <si>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</si>
  <si>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</si>
  <si>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</si>
  <si>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</si>
  <si>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</si>
  <si>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</si>
  <si>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</si>
  <si>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</si>
  <si>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</si>
  <si>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</si>
  <si>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</si>
  <si>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</si>
  <si>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</si>
  <si>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</si>
  <si>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</si>
  <si>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</si>
  <si>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</si>
  <si>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</si>
  <si>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</si>
  <si>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</si>
  <si>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</si>
  <si>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</si>
  <si>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</si>
  <si>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</si>
  <si>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</si>
  <si>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</si>
  <si>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</si>
  <si>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</si>
  <si>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</si>
  <si>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</si>
  <si>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</si>
  <si>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</si>
  <si>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</si>
  <si>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</si>
  <si>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</si>
  <si>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</si>
  <si>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</si>
  <si>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</si>
  <si>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</si>
  <si>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</si>
  <si>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</si>
  <si>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</si>
  <si>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</si>
  <si>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</si>
  <si>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</si>
  <si>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</si>
  <si>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</si>
  <si>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</si>
  <si>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</si>
  <si>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</si>
  <si>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</si>
  <si>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</si>
  <si>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</si>
  <si>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</si>
  <si>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</si>
  <si>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</si>
  <si>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</si>
  <si>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</si>
  <si>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</si>
  <si>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</si>
  <si>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</si>
  <si>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</si>
  <si>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</si>
  <si>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</si>
  <si>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</si>
  <si>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</si>
  <si>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</si>
  <si>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</si>
  <si>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</si>
  <si>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</si>
  <si>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</si>
  <si>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</si>
  <si>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</si>
  <si>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</si>
  <si>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</si>
  <si>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</si>
  <si>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</si>
  <si>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</si>
  <si>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</si>
  <si>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</si>
  <si>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</si>
  <si>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</si>
  <si>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</si>
  <si>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</si>
  <si>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</si>
  <si>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</si>
  <si>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</si>
  <si>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</si>
  <si>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</si>
  <si>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</si>
  <si>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</si>
  <si>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</si>
  <si>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</si>
  <si>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</si>
  <si>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</si>
  <si>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</si>
  <si>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</si>
  <si>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</si>
  <si>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</si>
  <si>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</si>
  <si>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</si>
  <si>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</si>
  <si>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</si>
  <si>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</si>
  <si>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</si>
  <si>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</si>
  <si>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</si>
  <si>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</si>
  <si>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</si>
  <si>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</si>
  <si>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</si>
  <si>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</si>
  <si>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</si>
  <si>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</si>
  <si>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</si>
  <si>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</si>
  <si>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</si>
  <si>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</si>
  <si>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</si>
  <si>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</si>
  <si>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</si>
  <si>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</si>
  <si>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</si>
  <si>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</si>
  <si>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</si>
  <si>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</si>
  <si>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</si>
  <si>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</si>
  <si>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</si>
  <si>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</si>
  <si>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</si>
  <si>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</si>
  <si>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</si>
  <si>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</si>
  <si>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</si>
  <si>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</si>
  <si>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</si>
  <si>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</si>
  <si>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</si>
  <si>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</si>
  <si>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</si>
  <si>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</si>
  <si>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</si>
  <si>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</si>
  <si>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</si>
  <si>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</si>
  <si>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</si>
  <si>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</si>
  <si>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</si>
  <si>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</si>
  <si>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</si>
  <si>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</si>
  <si>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</si>
  <si>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</si>
  <si>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</si>
  <si>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</si>
  <si>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</si>
  <si>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</si>
  <si>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</si>
  <si>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</si>
  <si>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</si>
  <si>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</si>
  <si>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</si>
  <si>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</si>
  <si>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</si>
  <si>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</si>
  <si>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</si>
  <si>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</si>
  <si>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</si>
  <si>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</si>
  <si>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</si>
  <si>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</si>
  <si>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</si>
  <si>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</si>
  <si>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</si>
  <si>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</si>
  <si>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</si>
  <si>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</si>
  <si>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</si>
  <si>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</si>
  <si>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</si>
  <si>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</si>
  <si>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</si>
  <si>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</si>
  <si>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</si>
  <si>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</si>
  <si>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</si>
  <si>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</si>
  <si>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</si>
  <si>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</si>
  <si>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</si>
  <si>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</si>
  <si>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</si>
  <si>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</si>
  <si>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</si>
  <si>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</si>
  <si>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</si>
  <si>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</si>
  <si>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</si>
  <si>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</si>
  <si>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</si>
  <si>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</si>
  <si>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</si>
  <si>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</si>
  <si>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</si>
  <si>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</si>
  <si>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</si>
  <si>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</si>
  <si>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</si>
  <si>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</si>
  <si>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</si>
  <si>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</si>
  <si>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</si>
  <si>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</si>
  <si>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</si>
  <si>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</si>
  <si>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</si>
  <si>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</si>
  <si>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</si>
  <si>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</si>
  <si>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</si>
  <si>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</si>
  <si>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</si>
  <si>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</si>
  <si>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</si>
  <si>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</si>
  <si>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</si>
  <si>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</si>
  <si>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</si>
  <si>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</si>
  <si>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</si>
  <si>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</si>
  <si>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</si>
  <si>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</si>
  <si>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</si>
  <si>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</si>
  <si>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</si>
  <si>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</si>
  <si>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</si>
  <si>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</si>
  <si>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</si>
  <si>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</si>
  <si>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</si>
  <si>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</si>
  <si>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</si>
  <si>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</si>
  <si>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</si>
  <si>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</si>
  <si>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</si>
  <si>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</si>
  <si>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</si>
  <si>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</si>
  <si>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</si>
  <si>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</si>
  <si>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</si>
  <si>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</si>
  <si>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</si>
  <si>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</si>
  <si>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</si>
  <si>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</si>
  <si>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</si>
  <si>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</si>
  <si>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</si>
  <si>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</si>
  <si>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</si>
  <si>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</si>
  <si>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</si>
  <si>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</si>
  <si>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</si>
  <si>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</si>
  <si>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</si>
  <si>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</si>
  <si>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</si>
  <si>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</si>
  <si>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</si>
  <si>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</si>
  <si>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</si>
  <si>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</si>
  <si>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</si>
  <si>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</si>
  <si>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</si>
  <si>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</si>
  <si>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</si>
  <si>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</si>
  <si>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</si>
  <si>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</si>
  <si>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</si>
  <si>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</si>
  <si>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</si>
  <si>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</si>
  <si>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</si>
  <si>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</si>
  <si>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</si>
  <si>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</si>
  <si>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</si>
  <si>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</si>
  <si>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</si>
  <si>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</si>
  <si>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</si>
  <si>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</si>
  <si>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</si>
  <si>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</si>
  <si>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</si>
  <si>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</si>
  <si>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</si>
  <si>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</si>
  <si>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</si>
  <si>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</si>
  <si>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</si>
  <si>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</si>
  <si>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</si>
  <si>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</si>
  <si>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</si>
  <si>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</si>
  <si>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</si>
  <si>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</si>
  <si>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</si>
  <si>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</si>
  <si>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</si>
  <si>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</si>
  <si>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</si>
  <si>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</si>
  <si>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</si>
  <si>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</si>
  <si>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</si>
  <si>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</si>
  <si>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</si>
  <si>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</si>
  <si>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</si>
  <si>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</si>
  <si>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</si>
  <si>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</si>
  <si>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</si>
  <si>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</si>
  <si>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</si>
  <si>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</si>
  <si>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</si>
  <si>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</si>
  <si>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</si>
  <si>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</si>
  <si>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</si>
  <si>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</si>
  <si>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</si>
  <si>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</si>
  <si>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</si>
  <si>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</si>
  <si>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</si>
  <si>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</si>
  <si>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</si>
  <si>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</si>
  <si>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</si>
  <si>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</si>
  <si>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</si>
  <si>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</si>
  <si>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</si>
  <si>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</si>
  <si>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</si>
  <si>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</si>
  <si>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</si>
  <si>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</si>
  <si>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</si>
  <si>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</si>
  <si>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</si>
  <si>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</si>
  <si>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</si>
  <si>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</si>
  <si>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</si>
  <si>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</si>
  <si>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</si>
  <si>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</si>
  <si>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</si>
  <si>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</si>
  <si>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</si>
  <si>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</si>
  <si>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</si>
  <si>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</si>
  <si>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</si>
  <si>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</si>
  <si>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</si>
  <si>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</si>
  <si>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</si>
  <si>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</si>
  <si>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</si>
  <si>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</si>
  <si>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</si>
  <si>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</si>
  <si>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</si>
  <si>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</si>
  <si>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</si>
  <si>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</si>
  <si>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</si>
  <si>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</si>
  <si>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</si>
  <si>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</si>
  <si>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</si>
  <si>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</si>
  <si>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</si>
  <si>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</si>
  <si>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</si>
  <si>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</si>
  <si>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</si>
  <si>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</si>
  <si>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</si>
  <si>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</si>
  <si>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</si>
  <si>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</si>
  <si>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</si>
  <si>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</si>
  <si>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</si>
  <si>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</si>
  <si>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</si>
  <si>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</si>
  <si>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</si>
  <si>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</si>
  <si>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</si>
  <si>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</si>
  <si>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</si>
  <si>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</si>
  <si>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</si>
  <si>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</si>
  <si>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</si>
  <si>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</si>
  <si>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</si>
  <si>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</si>
  <si>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</si>
  <si>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</si>
  <si>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</si>
  <si>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</si>
  <si>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</si>
  <si>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</si>
  <si>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</si>
  <si>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</si>
  <si>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</si>
  <si>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</si>
  <si>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</si>
  <si>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</si>
  <si>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</si>
  <si>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</si>
  <si>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</si>
  <si>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</si>
  <si>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</si>
  <si>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</si>
  <si>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</si>
  <si>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</si>
  <si>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</si>
  <si>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</si>
  <si>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</si>
  <si>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</si>
  <si>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</si>
  <si>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</si>
  <si>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</si>
  <si>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</si>
  <si>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</si>
  <si>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</si>
  <si>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</si>
  <si>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</si>
  <si>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</si>
  <si>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</si>
  <si>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</si>
  <si>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</si>
  <si>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</si>
  <si>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</si>
  <si>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</si>
  <si>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</si>
  <si>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</si>
  <si>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</si>
  <si>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</si>
  <si>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</si>
  <si>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</si>
  <si>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</si>
  <si>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</si>
  <si>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</si>
  <si>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</si>
  <si>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</si>
  <si>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</si>
  <si>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</si>
  <si>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</si>
  <si>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</si>
  <si>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</si>
  <si>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</si>
  <si>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</si>
  <si>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</si>
  <si>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</si>
  <si>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</si>
  <si>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</si>
  <si>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</si>
  <si>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</si>
  <si>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</si>
  <si>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</si>
  <si>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</si>
  <si>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</si>
  <si>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</si>
  <si>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</si>
  <si>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</si>
  <si>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</si>
  <si>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</si>
  <si>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</si>
  <si>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</si>
  <si>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</si>
  <si>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</si>
  <si>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</si>
  <si>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</si>
  <si>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</si>
  <si>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</si>
  <si>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</si>
  <si>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</si>
  <si>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</si>
  <si>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</si>
  <si>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</si>
  <si>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</si>
  <si>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</si>
  <si>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</si>
  <si>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</si>
  <si>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</si>
  <si>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</si>
  <si>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</si>
  <si>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</si>
  <si>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</si>
  <si>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</si>
  <si>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</si>
  <si>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</si>
  <si>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</si>
  <si>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</si>
  <si>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</si>
  <si>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</si>
  <si>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</si>
  <si>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</si>
  <si>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</si>
  <si>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</si>
  <si>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</si>
  <si>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</si>
  <si>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</si>
  <si>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</si>
  <si>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</si>
  <si>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</si>
  <si>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</si>
  <si>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</si>
  <si>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</si>
  <si>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</si>
  <si>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</si>
  <si>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</si>
  <si>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</si>
  <si>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</si>
  <si>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</si>
  <si>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</si>
  <si>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</si>
  <si>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</si>
  <si>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</si>
  <si>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</si>
  <si>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</si>
  <si>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</si>
  <si>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</si>
  <si>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</si>
  <si>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</si>
  <si>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</si>
  <si>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</si>
  <si>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</si>
  <si>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</si>
  <si>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</si>
  <si>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</si>
  <si>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</si>
  <si>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</si>
  <si>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</si>
  <si>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</si>
  <si>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</si>
  <si>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</si>
  <si>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</si>
  <si>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</si>
  <si>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</si>
  <si>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</si>
  <si>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</si>
  <si>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</si>
  <si>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</si>
  <si>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</si>
  <si>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</si>
  <si>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</si>
  <si>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</si>
  <si>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</si>
  <si>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</si>
  <si>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</si>
  <si>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</si>
  <si>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</si>
  <si>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</si>
  <si>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</si>
  <si>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</si>
  <si>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</si>
  <si>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</si>
  <si>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</si>
  <si>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</si>
  <si>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</si>
  <si>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</si>
  <si>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</si>
  <si>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</si>
  <si>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</si>
  <si>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</si>
  <si>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</si>
  <si>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</si>
  <si>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</si>
  <si>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</si>
  <si>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</si>
  <si>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</si>
  <si>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</si>
  <si>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</si>
  <si>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</si>
  <si>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</si>
  <si>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</si>
  <si>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</si>
  <si>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</si>
  <si>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</si>
  <si>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</si>
  <si>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</si>
  <si>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</si>
  <si>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</si>
  <si>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</si>
  <si>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</si>
  <si>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</si>
  <si>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</si>
  <si>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</si>
  <si>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</si>
  <si>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</si>
  <si>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</si>
  <si>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</si>
  <si>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</si>
  <si>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</si>
  <si>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</si>
  <si>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</si>
  <si>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</si>
  <si>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</si>
  <si>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</si>
  <si>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</si>
  <si>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</si>
  <si>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</si>
  <si>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</si>
  <si>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</si>
  <si>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</si>
  <si>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</si>
  <si>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</si>
  <si>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</si>
  <si>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</si>
  <si>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</si>
  <si>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</si>
  <si>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</si>
  <si>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</si>
  <si>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</si>
  <si>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</si>
  <si>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</si>
  <si>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</si>
  <si>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</si>
  <si>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</si>
  <si>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</si>
  <si>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</si>
  <si>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</si>
  <si>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</si>
  <si>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</si>
  <si>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</si>
  <si>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</si>
  <si>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</si>
  <si>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</si>
  <si>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</si>
  <si>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</si>
  <si>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</si>
  <si>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</si>
  <si>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</si>
  <si>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</si>
  <si>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</si>
  <si>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</si>
  <si>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</si>
  <si>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</si>
  <si>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</si>
  <si>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</si>
  <si>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</si>
  <si>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</si>
  <si>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</si>
  <si>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</si>
  <si>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</si>
  <si>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</si>
  <si>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</si>
  <si>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</si>
  <si>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</si>
  <si>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</si>
  <si>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</si>
  <si>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</si>
  <si>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</si>
  <si>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</si>
  <si>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</si>
  <si>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</si>
  <si>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</si>
  <si>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</si>
  <si>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</si>
  <si>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</si>
  <si>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</si>
  <si>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</si>
  <si>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</si>
  <si>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</si>
  <si>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</si>
  <si>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</si>
  <si>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</si>
  <si>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</si>
  <si>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</si>
  <si>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</si>
  <si>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</si>
  <si>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</si>
  <si>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</si>
  <si>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</si>
  <si>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</si>
  <si>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</si>
  <si>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</si>
  <si>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</si>
  <si>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</si>
  <si>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</si>
  <si>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</si>
  <si>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</si>
  <si>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</si>
  <si>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</si>
  <si>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</si>
  <si>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</si>
  <si>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</si>
  <si>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</si>
  <si>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</si>
  <si>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</si>
  <si>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</si>
  <si>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</si>
  <si>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</si>
  <si>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</si>
  <si>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</si>
  <si>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</si>
  <si>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</si>
  <si>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</si>
  <si>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</si>
  <si>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</si>
  <si>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</si>
  <si>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</si>
  <si>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</si>
  <si>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</si>
  <si>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</si>
  <si>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</si>
  <si>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</si>
  <si>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</si>
  <si>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</si>
  <si>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</si>
  <si>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</si>
  <si>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</si>
  <si>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</si>
  <si>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</si>
  <si>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</si>
  <si>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</si>
  <si>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</si>
  <si>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</si>
  <si>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</si>
  <si>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</si>
  <si>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</si>
  <si>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</si>
  <si>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</si>
  <si>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</si>
  <si>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</si>
  <si>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</si>
  <si>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</si>
  <si>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</si>
  <si>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</si>
  <si>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</si>
  <si>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</si>
  <si>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</si>
  <si>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</si>
  <si>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</si>
  <si>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</si>
  <si>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</si>
  <si>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</si>
  <si>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</si>
  <si>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</si>
  <si>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</si>
  <si>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</si>
  <si>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</si>
  <si>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</si>
  <si>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</si>
  <si>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</si>
  <si>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</si>
  <si>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</si>
  <si>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</si>
  <si>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</si>
  <si>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</si>
  <si>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</si>
  <si>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</si>
  <si>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</si>
  <si>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</si>
  <si>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</si>
  <si>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</si>
  <si>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</si>
  <si>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</si>
  <si>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</si>
  <si>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</si>
  <si>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</si>
  <si>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</si>
  <si>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</si>
  <si>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</si>
  <si>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</si>
  <si>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</si>
  <si>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</si>
  <si>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</si>
  <si>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</si>
  <si>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</si>
  <si>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</si>
  <si>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</si>
  <si>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</si>
  <si>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</si>
  <si>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</si>
  <si>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</si>
  <si>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</si>
  <si>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</si>
  <si>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</si>
  <si>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</si>
  <si>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</si>
  <si>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</si>
  <si>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</si>
  <si>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</si>
  <si>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</si>
  <si>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</si>
  <si>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</si>
  <si>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</si>
  <si>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</si>
  <si>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</si>
  <si>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</si>
  <si>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</si>
  <si>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</si>
  <si>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</si>
  <si>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</si>
  <si>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</si>
  <si>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</si>
  <si>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</si>
  <si>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</si>
  <si>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</si>
  <si>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</si>
  <si>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</si>
  <si>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</si>
  <si>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</si>
  <si>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</si>
  <si>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</si>
  <si>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</si>
  <si>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</si>
  <si>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</si>
  <si>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</si>
  <si>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</si>
  <si>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</si>
  <si>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</si>
  <si>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</si>
  <si>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</si>
  <si>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</si>
  <si>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</si>
  <si>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</si>
  <si>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</si>
  <si>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</si>
  <si>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</si>
  <si>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</si>
  <si>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</si>
  <si>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</si>
  <si>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</si>
  <si>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</si>
  <si>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</si>
  <si>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</si>
  <si>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</si>
  <si>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</si>
  <si>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</si>
  <si>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</si>
  <si>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</si>
  <si>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</si>
  <si>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</si>
  <si>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</si>
  <si>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</si>
  <si>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</si>
  <si>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</si>
  <si>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</si>
  <si>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</si>
  <si>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</si>
  <si>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</si>
  <si>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</si>
  <si>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</si>
  <si>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</si>
  <si>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</si>
  <si>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</si>
  <si>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</si>
  <si>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</si>
  <si>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</si>
  <si>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</si>
  <si>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</si>
  <si>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</si>
  <si>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</si>
  <si>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</si>
  <si>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</si>
  <si>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</si>
  <si>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</si>
  <si>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</si>
  <si>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</si>
  <si>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</si>
  <si>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</si>
  <si>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</si>
  <si>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</si>
  <si>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</si>
  <si>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</si>
  <si>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</si>
  <si>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</si>
  <si>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</si>
  <si>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</si>
  <si>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</si>
  <si>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</si>
  <si>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</si>
  <si>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</si>
  <si>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</si>
  <si>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</si>
  <si>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</si>
  <si>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</si>
  <si>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</si>
  <si>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</si>
  <si>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</si>
  <si>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</si>
  <si>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</si>
  <si>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</si>
  <si>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</si>
  <si>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</si>
  <si>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</si>
  <si>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</si>
  <si>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</si>
  <si>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</si>
  <si>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</si>
  <si>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</si>
  <si>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</si>
  <si>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</si>
  <si>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</si>
  <si>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</si>
  <si>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</si>
  <si>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</si>
  <si>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</si>
  <si>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</si>
  <si>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</si>
  <si>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</si>
  <si>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</si>
  <si>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</si>
  <si>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</si>
  <si>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</si>
  <si>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</si>
  <si>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</si>
  <si>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</si>
  <si>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</si>
  <si>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</si>
  <si>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</si>
  <si>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</si>
  <si>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</si>
  <si>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</si>
  <si>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</si>
  <si>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</si>
  <si>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</si>
  <si>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</si>
  <si>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</si>
  <si>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</si>
  <si>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</si>
  <si>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</si>
  <si>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</si>
  <si>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</si>
  <si>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</si>
  <si>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</si>
  <si>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</si>
  <si>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</si>
  <si>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</si>
  <si>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</si>
  <si>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</si>
  <si>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</si>
  <si>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</si>
  <si>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</si>
  <si>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</si>
  <si>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</si>
  <si>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</si>
  <si>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</si>
  <si>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</si>
  <si>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</si>
  <si>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</si>
  <si>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</si>
  <si>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</si>
  <si>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</si>
  <si>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</si>
  <si>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</si>
  <si>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</si>
  <si>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</si>
  <si>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</si>
  <si>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</si>
  <si>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</si>
  <si>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</si>
  <si>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</si>
  <si>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</si>
  <si>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</si>
  <si>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</si>
  <si>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</si>
  <si>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</si>
  <si>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</si>
  <si>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</si>
  <si>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</si>
  <si>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</si>
  <si>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</si>
  <si>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</si>
  <si>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</si>
  <si>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</si>
  <si>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</si>
  <si>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</si>
  <si>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</si>
  <si>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</si>
  <si>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</si>
  <si>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</si>
  <si>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</si>
  <si>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</si>
  <si>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</si>
  <si>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</si>
  <si>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</si>
  <si>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</si>
  <si>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</si>
  <si>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</si>
  <si>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</si>
  <si>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</si>
  <si>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</si>
  <si>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</si>
  <si>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</si>
  <si>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</si>
  <si>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</si>
  <si>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</si>
  <si>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</si>
  <si>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</si>
  <si>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</si>
  <si>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</si>
  <si>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</si>
  <si>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</si>
  <si>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</si>
  <si>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</si>
  <si>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</si>
  <si>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</si>
  <si>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</si>
  <si>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</si>
  <si>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</si>
  <si>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</si>
  <si>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</si>
  <si>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</si>
  <si>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</si>
  <si>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</si>
  <si>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</si>
  <si>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</si>
  <si>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</si>
  <si>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</si>
  <si>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</si>
  <si>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</si>
  <si>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</si>
  <si>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</si>
  <si>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</si>
  <si>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</si>
  <si>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</si>
  <si>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</si>
  <si>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</si>
  <si>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</si>
  <si>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</si>
  <si>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</si>
  <si>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</si>
  <si>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</si>
  <si>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</si>
  <si>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</si>
  <si>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</si>
  <si>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</si>
  <si>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</si>
  <si>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</si>
  <si>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</si>
  <si>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</si>
  <si>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</si>
  <si>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</si>
  <si>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</si>
  <si>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</si>
  <si>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</si>
  <si>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</si>
  <si>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</si>
  <si>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</si>
  <si>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</si>
  <si>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</si>
  <si>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</si>
  <si>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</si>
  <si>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</si>
  <si>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</si>
  <si>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</si>
  <si>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</si>
  <si>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</si>
  <si>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</si>
  <si>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</si>
  <si>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</si>
  <si>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</si>
  <si>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</si>
  <si>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</si>
  <si>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</si>
  <si>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</si>
  <si>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</si>
  <si>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</si>
  <si>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</si>
  <si>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</si>
  <si>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</si>
  <si>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</si>
  <si>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</si>
  <si>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</si>
  <si>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</si>
  <si>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</si>
  <si>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</si>
  <si>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</si>
  <si>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</si>
  <si>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</si>
  <si>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</si>
  <si>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</si>
  <si>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</si>
  <si>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</si>
  <si>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</si>
  <si>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</si>
  <si>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</si>
  <si>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</si>
  <si>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</si>
  <si>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</si>
  <si>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</si>
  <si>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</si>
  <si>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</si>
  <si>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</si>
  <si>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</si>
  <si>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</si>
  <si>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</si>
  <si>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</si>
  <si>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</si>
  <si>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</si>
  <si>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</si>
  <si>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</si>
  <si>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</si>
  <si>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</si>
  <si>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</si>
  <si>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</si>
  <si>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</si>
  <si>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</si>
  <si>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</si>
  <si>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</si>
  <si>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</si>
  <si>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</si>
  <si>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</si>
  <si>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</si>
  <si>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</si>
  <si>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</si>
  <si>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</si>
  <si>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</si>
  <si>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</si>
  <si>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</si>
  <si>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</si>
  <si>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</si>
  <si>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</si>
  <si>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</si>
  <si>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</si>
  <si>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</si>
  <si>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</si>
  <si>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</si>
  <si>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</si>
  <si>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</si>
  <si>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</si>
  <si>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</si>
  <si>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</si>
  <si>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</si>
  <si>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</si>
  <si>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</si>
  <si>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</si>
  <si>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</si>
  <si>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</si>
  <si>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</si>
  <si>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</si>
  <si>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</si>
  <si>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</si>
  <si>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</si>
  <si>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</si>
  <si>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</si>
  <si>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</si>
  <si>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</si>
  <si>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</si>
  <si>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</si>
  <si>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</si>
  <si>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</si>
  <si>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</si>
  <si>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</si>
  <si>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</si>
  <si>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</si>
  <si>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</si>
  <si>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</si>
  <si>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</si>
  <si>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</si>
  <si>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</si>
  <si>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</si>
  <si>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</si>
  <si>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</si>
  <si>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</si>
  <si>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</si>
  <si>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</si>
  <si>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</si>
  <si>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</si>
  <si>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</si>
  <si>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</si>
  <si>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</si>
  <si>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</si>
  <si>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</si>
  <si>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</si>
  <si>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</si>
  <si>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</si>
  <si>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</si>
  <si>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</si>
  <si>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</si>
  <si>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</si>
  <si>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</si>
  <si>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</si>
  <si>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</si>
  <si>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</si>
  <si>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</si>
  <si>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</si>
  <si>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</si>
  <si>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</si>
  <si>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</si>
  <si>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</si>
  <si>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</si>
  <si>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</si>
  <si>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</si>
  <si>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</si>
  <si>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</si>
  <si>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</si>
  <si>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</si>
  <si>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</si>
  <si>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</si>
  <si>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</si>
  <si>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</si>
  <si>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</si>
  <si>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</si>
  <si>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</si>
  <si>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</si>
  <si>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</si>
  <si>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</si>
  <si>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</si>
  <si>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</si>
  <si>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</si>
  <si>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</si>
  <si>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</si>
  <si>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</si>
  <si>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</si>
  <si>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</si>
  <si>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</si>
  <si>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</si>
  <si>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</si>
  <si>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</si>
  <si>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</si>
  <si>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</si>
  <si>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</si>
  <si>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</si>
  <si>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</si>
  <si>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</si>
  <si>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</si>
  <si>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</si>
  <si>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</si>
  <si>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</si>
  <si>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</si>
  <si>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</si>
  <si>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</si>
  <si>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</si>
  <si>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</si>
  <si>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</si>
  <si>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</si>
  <si>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</si>
  <si>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</si>
  <si>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</si>
  <si>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</si>
  <si>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</si>
  <si>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</si>
  <si>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</si>
  <si>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</si>
  <si>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</si>
  <si>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</si>
  <si>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</si>
  <si>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</si>
  <si>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</si>
  <si>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</si>
  <si>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</si>
  <si>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</si>
  <si>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</si>
  <si>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</si>
  <si>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</si>
  <si>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</si>
  <si>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</si>
  <si>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</si>
  <si>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</si>
  <si>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</si>
  <si>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</si>
  <si>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</si>
  <si>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</si>
  <si>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</si>
  <si>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</si>
  <si>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</si>
  <si>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</si>
  <si>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</si>
  <si>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</si>
  <si>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</si>
  <si>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</si>
  <si>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</si>
  <si>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</si>
  <si>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</si>
  <si>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</si>
  <si>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</si>
  <si>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</si>
  <si>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</si>
  <si>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</si>
  <si>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</si>
  <si>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</si>
  <si>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</si>
  <si>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</si>
  <si>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</si>
  <si>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</si>
  <si>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</si>
  <si>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</si>
  <si>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</si>
  <si>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</si>
  <si>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</si>
  <si>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</si>
  <si>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</si>
  <si>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</si>
  <si>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</si>
  <si>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</si>
  <si>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</si>
  <si>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</si>
  <si>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</si>
  <si>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</si>
  <si>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</si>
  <si>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</si>
  <si>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</si>
  <si>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</si>
  <si>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</si>
  <si>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</si>
  <si>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</si>
  <si>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</si>
  <si>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</si>
  <si>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</si>
  <si>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</si>
  <si>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</si>
  <si>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</si>
  <si>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</si>
  <si>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</si>
  <si>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</si>
  <si>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</si>
  <si>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</si>
  <si>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</si>
  <si>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</si>
  <si>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</si>
  <si>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</si>
  <si>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</si>
  <si>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</si>
  <si>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</si>
  <si>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</si>
  <si>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</si>
  <si>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</si>
  <si>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</si>
  <si>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</si>
  <si>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</si>
  <si>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</si>
  <si>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</si>
  <si>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</si>
  <si>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</si>
  <si>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</si>
  <si>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</si>
  <si>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</si>
  <si>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</si>
  <si>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</si>
  <si>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</si>
  <si>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</si>
  <si>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</si>
  <si>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</si>
  <si>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</si>
  <si>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</si>
  <si>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</si>
  <si>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</si>
  <si>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</si>
  <si>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</si>
  <si>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</si>
  <si>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</si>
  <si>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</si>
  <si>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</si>
  <si>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</si>
  <si>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</si>
  <si>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</si>
  <si>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</si>
  <si>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</si>
  <si>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</si>
  <si>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</si>
  <si>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</si>
  <si>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</si>
  <si>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</si>
  <si>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</si>
  <si>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</si>
  <si>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</si>
  <si>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</si>
  <si>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</si>
  <si>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</si>
  <si>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</si>
  <si>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</si>
  <si>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</si>
  <si>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</si>
  <si>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</si>
  <si>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</si>
  <si>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</si>
  <si>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</si>
  <si>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</si>
  <si>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</si>
  <si>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</si>
  <si>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</si>
  <si>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</si>
  <si>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</si>
  <si>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</si>
  <si>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</si>
  <si>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</si>
  <si>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</si>
  <si>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</si>
  <si>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</si>
  <si>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</si>
  <si>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</si>
  <si>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</si>
  <si>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</si>
  <si>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</si>
  <si>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</si>
  <si>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</si>
  <si>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</si>
  <si>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</si>
  <si>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</si>
  <si>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</si>
  <si>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</si>
  <si>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</si>
  <si>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</si>
  <si>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</si>
  <si>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</si>
  <si>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</si>
  <si>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</si>
  <si>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</si>
  <si>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</si>
  <si>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</si>
  <si>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</si>
  <si>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</si>
  <si>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</si>
  <si>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</si>
  <si>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</si>
  <si>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</si>
  <si>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</si>
  <si>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</si>
  <si>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</si>
  <si>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</si>
  <si>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</si>
  <si>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</si>
  <si>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</si>
  <si>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</si>
  <si>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</si>
  <si>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</si>
  <si>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</si>
  <si>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</si>
  <si>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</si>
  <si>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</si>
  <si>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</si>
  <si>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</si>
  <si>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</si>
  <si>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</si>
  <si>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</si>
  <si>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</si>
  <si>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</si>
  <si>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</si>
  <si>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</si>
  <si>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</si>
  <si>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</si>
  <si>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</si>
  <si>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</si>
  <si>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</si>
  <si>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</si>
  <si>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</si>
  <si>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</si>
  <si>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</si>
  <si>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</si>
  <si>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</si>
  <si>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</si>
  <si>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</si>
  <si>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</si>
  <si>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</si>
  <si>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</si>
  <si>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</si>
  <si>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</si>
  <si>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</si>
  <si>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</si>
  <si>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</si>
  <si>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</si>
  <si>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</si>
  <si>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</si>
  <si>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</si>
  <si>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</si>
  <si>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</si>
  <si>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</si>
  <si>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</si>
  <si>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</si>
  <si>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</si>
  <si>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</si>
  <si>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</si>
  <si>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</si>
  <si>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</si>
  <si>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</si>
  <si>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</si>
  <si>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</si>
  <si>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</si>
  <si>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</si>
  <si>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</si>
  <si>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</si>
  <si>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</si>
  <si>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</si>
  <si>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</si>
  <si>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</si>
  <si>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</si>
  <si>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</si>
  <si>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</si>
  <si>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</si>
  <si>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</si>
  <si>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</si>
  <si>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</si>
  <si>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</si>
  <si>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</si>
  <si>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</si>
  <si>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</si>
  <si>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</si>
  <si>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</si>
  <si>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</si>
  <si>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</si>
  <si>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</si>
  <si>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</si>
  <si>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</si>
  <si>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</si>
  <si>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</si>
  <si>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</si>
  <si>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</si>
  <si>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</si>
  <si>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</si>
  <si>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</si>
  <si>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</si>
  <si>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</si>
  <si>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</si>
  <si>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</si>
  <si>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</si>
  <si>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</si>
  <si>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</si>
  <si>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</si>
  <si>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</si>
  <si>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</si>
  <si>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</si>
  <si>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</si>
  <si>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</si>
  <si>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</si>
  <si>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</si>
  <si>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</si>
  <si>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</si>
  <si>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</si>
  <si>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</si>
  <si>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</si>
  <si>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</si>
  <si>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</si>
  <si>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</si>
  <si>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</si>
  <si>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</si>
  <si>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</si>
  <si>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</si>
  <si>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</si>
  <si>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</si>
  <si>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</si>
  <si>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</si>
  <si>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</si>
  <si>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</si>
  <si>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</si>
  <si>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</si>
  <si>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</si>
  <si>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</si>
  <si>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</si>
  <si>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</si>
  <si>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</si>
  <si>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</si>
  <si>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</si>
  <si>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</si>
  <si>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</si>
  <si>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</si>
  <si>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</si>
  <si>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</si>
  <si>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</si>
  <si>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</si>
  <si>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</si>
  <si>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</si>
  <si>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</si>
  <si>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</si>
  <si>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</si>
  <si>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</si>
  <si>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</si>
  <si>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</si>
  <si>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</si>
  <si>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</si>
  <si>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</si>
  <si>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</si>
  <si>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</si>
  <si>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</si>
  <si>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</si>
  <si>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</si>
  <si>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</si>
  <si>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</si>
  <si>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</si>
  <si>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</si>
  <si>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</si>
  <si>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</si>
  <si>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</si>
  <si>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</si>
  <si>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</si>
  <si>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</si>
  <si>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</si>
  <si>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</si>
  <si>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</si>
  <si>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</si>
  <si>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</si>
  <si>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</si>
  <si>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</si>
  <si>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</si>
  <si>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</si>
  <si>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</si>
  <si>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</si>
  <si>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</si>
  <si>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</si>
  <si>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</si>
  <si>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</si>
  <si>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</si>
  <si>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</si>
  <si>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</si>
  <si>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</si>
  <si>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</si>
  <si>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</si>
  <si>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</si>
  <si>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</si>
  <si>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</si>
  <si>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</si>
  <si>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</si>
  <si>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</si>
  <si>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</si>
  <si>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</si>
  <si>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</si>
  <si>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</si>
  <si>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</si>
  <si>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</si>
  <si>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</si>
  <si>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</si>
  <si>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</si>
  <si>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</si>
  <si>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</si>
  <si>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</si>
  <si>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</si>
  <si>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</si>
  <si>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</si>
  <si>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</si>
  <si>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</si>
  <si>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</si>
  <si>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</si>
  <si>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</si>
  <si>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</si>
  <si>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</si>
  <si>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</si>
  <si>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</si>
  <si>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</si>
  <si>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</si>
  <si>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</si>
  <si>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</si>
  <si>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</si>
  <si>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</si>
  <si>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</si>
  <si>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</si>
  <si>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</si>
  <si>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</si>
  <si>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</si>
  <si>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</si>
  <si>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</si>
  <si>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</si>
  <si>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</si>
  <si>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</si>
  <si>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</si>
  <si>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</si>
  <si>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</si>
  <si>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</si>
  <si>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</si>
  <si>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</si>
  <si>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</si>
  <si>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</si>
  <si>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</si>
  <si>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</si>
  <si>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</si>
  <si>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</si>
  <si>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</si>
  <si>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</si>
  <si>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</si>
  <si>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</si>
  <si>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</si>
  <si>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</si>
  <si>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</si>
  <si>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</si>
  <si>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</si>
  <si>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</si>
  <si>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</si>
  <si>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</si>
  <si>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</si>
  <si>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</si>
  <si>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</si>
  <si>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</si>
  <si>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</si>
  <si>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</si>
  <si>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</si>
  <si>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</si>
  <si>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</si>
  <si>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</si>
  <si>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</si>
  <si>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</si>
  <si>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</si>
  <si>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</si>
  <si>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</si>
  <si>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</si>
  <si>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</si>
  <si>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</si>
  <si>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</si>
  <si>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</si>
  <si>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</si>
  <si>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</si>
  <si>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</si>
  <si>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</si>
  <si>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</si>
  <si>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</si>
  <si>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</si>
  <si>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</si>
  <si>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</si>
  <si>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</si>
  <si>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</si>
  <si>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</si>
  <si>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</si>
  <si>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</si>
  <si>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</si>
  <si>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</si>
  <si>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</si>
  <si>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</si>
  <si>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</si>
  <si>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</si>
  <si>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</si>
  <si>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</si>
  <si>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</si>
  <si>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</si>
  <si>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</si>
  <si>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</si>
  <si>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</si>
  <si>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</si>
  <si>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</si>
  <si>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</si>
  <si>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</si>
  <si>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</si>
  <si>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</si>
  <si>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</si>
  <si>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</si>
  <si>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</si>
  <si>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</si>
  <si>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</si>
  <si>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</si>
  <si>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</si>
  <si>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</si>
  <si>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</si>
  <si>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</si>
  <si>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</si>
  <si>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</si>
  <si>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</si>
  <si>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</si>
  <si>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</si>
  <si>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</si>
  <si>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</si>
  <si>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</si>
  <si>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</si>
  <si>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</si>
  <si>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</si>
  <si>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</si>
  <si>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</si>
  <si>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</si>
  <si>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</si>
  <si>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</si>
  <si>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</si>
  <si>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</si>
  <si>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</si>
  <si>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</si>
  <si>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</si>
  <si>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</si>
  <si>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</si>
  <si>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</si>
  <si>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</si>
  <si>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</si>
  <si>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</si>
  <si>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</si>
  <si>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</si>
  <si>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</si>
  <si>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</si>
  <si>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</si>
  <si>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</si>
  <si>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</si>
  <si>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</si>
  <si>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</si>
  <si>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</si>
  <si>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</si>
  <si>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</si>
  <si>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</si>
  <si>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</si>
  <si>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</si>
  <si>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</si>
  <si>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</si>
  <si>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</si>
  <si>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</si>
  <si>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</si>
  <si>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</si>
  <si>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</si>
  <si>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</si>
  <si>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</si>
  <si>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</si>
  <si>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</si>
  <si>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</si>
  <si>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</si>
  <si>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</si>
  <si>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</si>
  <si>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</si>
  <si>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</si>
  <si>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</si>
  <si>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</si>
  <si>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</si>
  <si>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</si>
  <si>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</si>
  <si>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</si>
  <si>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</si>
  <si>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</si>
  <si>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</si>
  <si>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</si>
  <si>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</si>
  <si>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</si>
  <si>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</si>
  <si>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</si>
  <si>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</si>
  <si>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</si>
  <si>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</si>
  <si>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</si>
  <si>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</si>
  <si>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</si>
  <si>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</si>
  <si>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</si>
  <si>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</si>
  <si>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</si>
  <si>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</si>
  <si>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</si>
  <si>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</si>
  <si>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</si>
  <si>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</si>
  <si>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</si>
  <si>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</si>
  <si>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</si>
  <si>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</si>
  <si>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</si>
  <si>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</si>
  <si>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</si>
  <si>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</si>
  <si>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</si>
  <si>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</si>
  <si>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</si>
  <si>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</si>
  <si>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</si>
  <si>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</si>
  <si>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</si>
  <si>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</si>
  <si>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</si>
  <si>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</si>
  <si>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</si>
  <si>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</si>
  <si>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</si>
  <si>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</si>
  <si>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</si>
  <si>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</si>
  <si>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</si>
  <si>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</si>
  <si>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</si>
  <si>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</si>
  <si>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</si>
  <si>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</si>
  <si>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</si>
  <si>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</si>
  <si>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</si>
  <si>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</si>
  <si>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</si>
  <si>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</si>
  <si>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</si>
  <si>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</si>
  <si>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</si>
  <si>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</si>
  <si>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</si>
  <si>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</si>
  <si>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</si>
  <si>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</si>
  <si>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</si>
  <si>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</si>
  <si>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</si>
  <si>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</si>
  <si>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</si>
  <si>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</si>
  <si>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</si>
  <si>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</si>
  <si>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</si>
  <si>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</si>
  <si>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</si>
  <si>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</si>
  <si>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</si>
  <si>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</si>
  <si>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</si>
  <si>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</si>
  <si>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</si>
  <si>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</si>
  <si>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</si>
  <si>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</si>
  <si>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</si>
  <si>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</si>
  <si>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</si>
  <si>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</si>
  <si>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</si>
  <si>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</si>
  <si>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</si>
  <si>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</si>
  <si>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</si>
  <si>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</si>
  <si>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</si>
  <si>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</si>
  <si>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</si>
  <si>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</si>
  <si>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</si>
  <si>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</si>
  <si>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</si>
  <si>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</si>
  <si>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</si>
  <si>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</si>
  <si>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</si>
  <si>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</si>
  <si>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</si>
  <si>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</si>
  <si>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</si>
  <si>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</si>
  <si>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</si>
  <si>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</si>
  <si>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</si>
  <si>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</si>
  <si>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</si>
  <si>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</si>
  <si>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</si>
  <si>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</si>
  <si>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</si>
  <si>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</si>
  <si>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</si>
  <si>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</si>
  <si>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</si>
  <si>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</si>
  <si>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</si>
  <si>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</si>
  <si>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</si>
  <si>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</si>
  <si>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</si>
  <si>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</si>
  <si>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</si>
  <si>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</si>
  <si>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</si>
  <si>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</si>
  <si>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</si>
  <si>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</si>
  <si>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</si>
  <si>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</si>
  <si>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</si>
  <si>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</si>
  <si>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</si>
  <si>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</si>
  <si>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</si>
  <si>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</si>
  <si>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</si>
  <si>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</si>
  <si>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</si>
  <si>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</si>
  <si>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</si>
  <si>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</si>
  <si>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</si>
  <si>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</si>
  <si>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</si>
  <si>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</si>
  <si>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</si>
  <si>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</si>
  <si>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</si>
  <si>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</si>
  <si>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</si>
  <si>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</si>
  <si>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</si>
  <si>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</si>
  <si>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</si>
  <si>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</si>
  <si>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</si>
  <si>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</si>
  <si>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</si>
  <si>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</si>
  <si>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</si>
  <si>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</si>
  <si>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</si>
  <si>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</si>
  <si>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</si>
  <si>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</si>
  <si>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</si>
  <si>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</si>
  <si>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</si>
  <si>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</si>
  <si>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</si>
  <si>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</si>
  <si>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</si>
  <si>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</si>
  <si>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</si>
  <si>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</si>
  <si>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</si>
  <si>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</si>
  <si>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</si>
  <si>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</si>
  <si>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</si>
  <si>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</si>
  <si>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</si>
  <si>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</si>
  <si>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</si>
  <si>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</si>
  <si>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</si>
  <si>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</si>
  <si>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</si>
  <si>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</si>
  <si>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</si>
  <si>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</si>
  <si>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</si>
  <si>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</si>
  <si>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</si>
  <si>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</si>
  <si>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</si>
  <si>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</si>
  <si>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</si>
  <si>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</si>
  <si>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</si>
  <si>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</si>
  <si>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</si>
  <si>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</si>
  <si>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</si>
  <si>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</si>
  <si>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</si>
  <si>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</si>
  <si>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</si>
  <si>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</si>
  <si>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</si>
  <si>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</si>
  <si>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</si>
  <si>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</si>
  <si>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</si>
  <si>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</si>
  <si>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</si>
  <si>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</si>
  <si>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</si>
  <si>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</si>
  <si>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</si>
  <si>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</si>
  <si>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</si>
  <si>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</si>
  <si>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</si>
  <si>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</si>
  <si>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</si>
  <si>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</si>
  <si>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</si>
  <si>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</si>
  <si>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</si>
  <si>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</si>
  <si>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</si>
  <si>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</si>
  <si>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</si>
  <si>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</si>
  <si>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</si>
  <si>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</si>
  <si>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</si>
  <si>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</si>
  <si>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</si>
  <si>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</si>
  <si>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</si>
  <si>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</si>
  <si>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</si>
  <si>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</si>
  <si>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</si>
  <si>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</si>
  <si>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</si>
  <si>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</si>
  <si>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</si>
  <si>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</si>
  <si>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</si>
  <si>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</si>
  <si>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</si>
  <si>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</si>
  <si>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</si>
  <si>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</si>
  <si>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</si>
  <si>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</si>
  <si>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</si>
  <si>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</si>
  <si>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</si>
  <si>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</si>
  <si>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</si>
  <si>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</si>
  <si>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</si>
  <si>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</si>
  <si>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</si>
  <si>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</si>
  <si>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</si>
  <si>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</si>
  <si>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</si>
  <si>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</si>
  <si>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</si>
  <si>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</si>
  <si>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</si>
  <si>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</si>
  <si>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</si>
  <si>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</si>
  <si>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</si>
  <si>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</si>
  <si>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</si>
  <si>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</si>
  <si>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</si>
  <si>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</si>
  <si>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</si>
  <si>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</si>
  <si>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</si>
  <si>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</si>
  <si>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</si>
  <si>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</si>
  <si>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</si>
  <si>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</si>
  <si>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</si>
  <si>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</si>
  <si>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</si>
  <si>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</si>
  <si>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</si>
  <si>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</si>
  <si>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</si>
  <si>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</si>
  <si>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</si>
  <si>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</si>
  <si>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</si>
  <si>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</si>
  <si>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</si>
  <si>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</si>
  <si>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</si>
  <si>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</si>
  <si>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</si>
  <si>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</si>
  <si>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</si>
  <si>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</si>
  <si>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</si>
  <si>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</si>
  <si>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</si>
  <si>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</si>
  <si>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</si>
  <si>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</si>
  <si>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</si>
  <si>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</si>
  <si>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</si>
  <si>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</si>
  <si>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</si>
  <si>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</si>
  <si>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</si>
  <si>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</si>
  <si>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</si>
  <si>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</si>
  <si>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</si>
  <si>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</si>
  <si>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</si>
  <si>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</si>
  <si>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</si>
  <si>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</si>
  <si>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</si>
  <si>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</si>
  <si>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</si>
  <si>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</si>
  <si>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</si>
  <si>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</si>
  <si>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</si>
  <si>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</si>
  <si>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</si>
  <si>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</si>
  <si>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</si>
  <si>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</si>
  <si>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</si>
  <si>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</si>
  <si>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</si>
  <si>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</si>
  <si>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</si>
  <si>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</si>
  <si>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</si>
  <si>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</si>
  <si>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</si>
  <si>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</si>
  <si>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</si>
  <si>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</si>
  <si>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</si>
  <si>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</si>
  <si>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</si>
  <si>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</si>
  <si>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</si>
  <si>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</si>
  <si>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</si>
  <si>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</si>
  <si>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</si>
  <si>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</si>
  <si>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</si>
  <si>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</si>
  <si>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</si>
  <si>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</si>
  <si>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</si>
  <si>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</si>
  <si>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</si>
  <si>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</si>
  <si>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</si>
  <si>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</si>
  <si>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</si>
  <si>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</si>
  <si>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</si>
  <si>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</si>
  <si>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</si>
  <si>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</si>
  <si>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</si>
  <si>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</si>
  <si>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</si>
  <si>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</si>
  <si>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</si>
  <si>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</si>
  <si>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</si>
  <si>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</si>
  <si>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</si>
  <si>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</si>
  <si>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</si>
  <si>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</si>
  <si>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</si>
  <si>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</si>
  <si>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</si>
  <si>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</si>
  <si>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</si>
  <si>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</si>
  <si>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</si>
  <si>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</si>
  <si>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</si>
  <si>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</si>
  <si>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</si>
  <si>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</si>
  <si>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</si>
  <si>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</si>
  <si>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</si>
  <si>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</si>
  <si>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</si>
  <si>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</si>
  <si>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</si>
  <si>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</si>
  <si>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</si>
  <si>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</si>
  <si>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</si>
  <si>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</si>
  <si>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</si>
  <si>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</si>
  <si>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</si>
  <si>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</si>
  <si>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</si>
  <si>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</si>
  <si>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</si>
  <si>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</si>
  <si>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</si>
  <si>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</si>
  <si>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</si>
  <si>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</si>
  <si>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</si>
  <si>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</si>
  <si>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</si>
  <si>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</si>
  <si>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</si>
  <si>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</si>
  <si>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</si>
  <si>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</si>
  <si>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</si>
  <si>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</si>
  <si>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</si>
  <si>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</si>
  <si>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</si>
  <si>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</si>
  <si>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</si>
  <si>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</si>
  <si>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</si>
  <si>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</si>
  <si>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</si>
  <si>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</si>
  <si>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</si>
  <si>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</si>
  <si>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</si>
  <si>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</si>
  <si>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</si>
  <si>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</si>
  <si>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</si>
  <si>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</si>
  <si>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</si>
  <si>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</si>
  <si>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</si>
  <si>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</si>
  <si>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</si>
  <si>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</si>
  <si>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</si>
  <si>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</si>
  <si>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</si>
  <si>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</si>
  <si>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</si>
  <si>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</si>
  <si>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</si>
  <si>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</si>
  <si>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</si>
  <si>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</si>
  <si>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</si>
  <si>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</si>
  <si>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</si>
  <si>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</si>
  <si>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</si>
  <si>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</si>
  <si>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</si>
  <si>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</si>
  <si>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</si>
  <si>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</si>
  <si>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</si>
  <si>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</si>
  <si>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</si>
  <si>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</si>
  <si>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</si>
  <si>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</si>
  <si>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</si>
  <si>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</si>
  <si>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</si>
  <si>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</si>
  <si>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</si>
  <si>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</si>
  <si>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</si>
  <si>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</si>
  <si>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</si>
  <si>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</si>
  <si>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</si>
  <si>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</si>
  <si>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</si>
  <si>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</si>
  <si>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</si>
  <si>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</si>
  <si>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</si>
  <si>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</si>
  <si>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</si>
  <si>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</si>
  <si>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</si>
  <si>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</si>
  <si>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</si>
  <si>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</si>
  <si>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</si>
  <si>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</si>
  <si>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</si>
  <si>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</si>
  <si>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</si>
  <si>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</si>
  <si>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</si>
  <si>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</si>
  <si>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</si>
  <si>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</si>
  <si>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</si>
  <si>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</si>
  <si>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</si>
  <si>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</si>
  <si>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</si>
  <si>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</si>
  <si>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</si>
  <si>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</si>
  <si>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</si>
  <si>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</si>
  <si>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</si>
  <si>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</si>
  <si>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</si>
  <si>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</si>
  <si>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</si>
  <si>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</si>
  <si>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</si>
  <si>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</si>
  <si>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</si>
  <si>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</si>
  <si>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</si>
  <si>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</si>
  <si>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</si>
  <si>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</si>
  <si>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</si>
  <si>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</si>
  <si>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</si>
  <si>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</si>
  <si>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</si>
  <si>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</si>
  <si>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</si>
  <si>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</si>
  <si>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</si>
  <si>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</si>
  <si>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</si>
  <si>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</si>
  <si>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</si>
  <si>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</si>
  <si>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</si>
  <si>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</si>
  <si>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</si>
  <si>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</si>
  <si>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</si>
  <si>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</si>
  <si>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</si>
  <si>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</si>
  <si>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</si>
  <si>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</si>
  <si>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</si>
  <si>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</si>
  <si>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</si>
  <si>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</si>
  <si>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</si>
  <si>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</si>
  <si>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</si>
  <si>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</si>
  <si>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</si>
  <si>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</si>
  <si>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</si>
  <si>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</si>
  <si>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</si>
  <si>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</si>
  <si>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</si>
  <si>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</si>
  <si>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</si>
  <si>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</si>
  <si>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</si>
  <si>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</si>
  <si>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</si>
  <si>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</si>
  <si>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</si>
  <si>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</si>
  <si>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</si>
  <si>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</si>
  <si>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</si>
  <si>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</si>
  <si>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</si>
  <si>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</si>
  <si>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</si>
  <si>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</si>
  <si>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</si>
  <si>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</si>
  <si>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</si>
  <si>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</si>
  <si>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</si>
  <si>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</si>
  <si>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</si>
  <si>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</si>
  <si>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</si>
  <si>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</si>
  <si>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</si>
  <si>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</si>
  <si>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</si>
  <si>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</si>
  <si>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</si>
  <si>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</si>
  <si>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</si>
  <si>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</si>
  <si>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</si>
  <si>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</si>
  <si>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</si>
  <si>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</si>
  <si>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</si>
  <si>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</si>
  <si>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</si>
  <si>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</si>
  <si>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</si>
  <si>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</si>
  <si>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</si>
  <si>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</si>
  <si>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</si>
  <si>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</si>
  <si>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</si>
  <si>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</si>
  <si>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</si>
  <si>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</si>
  <si>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</si>
  <si>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</si>
  <si>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</si>
  <si>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</si>
  <si>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</si>
  <si>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</si>
  <si>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</si>
  <si>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</si>
  <si>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</si>
  <si>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</si>
  <si>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</si>
  <si>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</si>
  <si>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</si>
  <si>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</si>
  <si>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</si>
  <si>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</si>
  <si>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</si>
  <si>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</si>
  <si>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</si>
  <si>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</si>
  <si>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</si>
  <si>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</si>
  <si>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</si>
  <si>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</si>
  <si>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</si>
  <si>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</si>
  <si>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</si>
  <si>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</si>
  <si>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</si>
  <si>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</si>
  <si>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</si>
  <si>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</si>
  <si>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</si>
  <si>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</si>
  <si>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</si>
  <si>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</si>
  <si>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</si>
  <si>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</si>
  <si>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</si>
  <si>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</si>
  <si>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</si>
  <si>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</si>
  <si>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</si>
  <si>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</si>
  <si>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</si>
  <si>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</si>
  <si>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</si>
  <si>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</si>
  <si>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</si>
  <si>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</si>
  <si>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</si>
  <si>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</si>
  <si>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</si>
  <si>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</si>
  <si>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</si>
  <si>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</si>
  <si>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</si>
  <si>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</si>
  <si>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</si>
  <si>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</si>
  <si>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</si>
  <si>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</si>
  <si>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</si>
  <si>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</si>
  <si>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</si>
  <si>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</si>
  <si>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</si>
  <si>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</si>
  <si>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</si>
  <si>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</si>
  <si>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</si>
  <si>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</si>
  <si>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</si>
  <si>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</si>
  <si>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</si>
  <si>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</si>
  <si>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</si>
  <si>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</si>
  <si>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</si>
  <si>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</si>
  <si>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</si>
  <si>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</si>
  <si>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</si>
  <si>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</si>
  <si>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</si>
  <si>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</si>
  <si>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</si>
  <si>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</si>
  <si>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</si>
  <si>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</si>
  <si>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</si>
  <si>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</si>
  <si>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</si>
  <si>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</si>
  <si>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</si>
  <si>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</si>
  <si>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</si>
  <si>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</si>
  <si>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</si>
  <si>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</si>
  <si>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</si>
  <si>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</si>
  <si>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</si>
  <si>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</si>
  <si>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</si>
  <si>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</si>
  <si>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</si>
  <si>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</si>
  <si>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</si>
  <si>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</si>
  <si>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</si>
  <si>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</si>
  <si>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</si>
  <si>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</si>
  <si>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</si>
  <si>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</si>
  <si>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</si>
  <si>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</si>
  <si>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</si>
  <si>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</si>
  <si>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</si>
  <si>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</si>
  <si>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</si>
  <si>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</si>
  <si>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</si>
  <si>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</si>
  <si>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</si>
  <si>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</si>
  <si>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</si>
  <si>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</si>
  <si>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</si>
  <si>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</si>
  <si>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</si>
  <si>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</si>
  <si>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</si>
  <si>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</si>
  <si>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</si>
  <si>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</si>
  <si>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</si>
  <si>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</si>
  <si>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</si>
  <si>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</si>
  <si>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</si>
  <si>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</si>
  <si>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</si>
  <si>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</si>
  <si>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</si>
  <si>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</si>
  <si>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</si>
  <si>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</si>
  <si>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</si>
  <si>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</si>
  <si>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</si>
  <si>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</si>
  <si>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</si>
  <si>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</si>
  <si>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</si>
  <si>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</si>
  <si>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</si>
  <si>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</si>
  <si>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</si>
  <si>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</si>
  <si>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</si>
  <si>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</si>
  <si>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</si>
  <si>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</si>
  <si>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</si>
  <si>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</si>
  <si>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</si>
  <si>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</si>
  <si>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</si>
  <si>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</si>
  <si>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</si>
  <si>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</si>
  <si>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</si>
  <si>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</si>
  <si>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</si>
  <si>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</si>
  <si>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</si>
  <si>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</si>
  <si>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</si>
  <si>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</si>
  <si>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</si>
  <si>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</si>
  <si>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</si>
  <si>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</si>
  <si>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</si>
  <si>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</si>
  <si>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</si>
  <si>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</si>
  <si>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</si>
  <si>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</si>
  <si>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</si>
  <si>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</si>
  <si>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</si>
  <si>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</si>
  <si>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</si>
  <si>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</si>
  <si>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</si>
  <si>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</si>
  <si>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</si>
  <si>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</si>
  <si>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</si>
  <si>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</si>
  <si>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</si>
  <si>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</si>
  <si>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</si>
  <si>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</si>
  <si>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</si>
  <si>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</si>
  <si>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</si>
  <si>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</si>
  <si>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</si>
  <si>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</si>
  <si>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</si>
  <si>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</si>
  <si>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</si>
  <si>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</si>
  <si>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</si>
  <si>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</si>
  <si>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</si>
  <si>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</si>
  <si>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</si>
  <si>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</si>
  <si>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</si>
  <si>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</si>
  <si>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</si>
  <si>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</si>
  <si>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</si>
  <si>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</si>
  <si>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</si>
  <si>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</si>
  <si>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</si>
  <si>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</si>
  <si>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</si>
  <si>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</si>
  <si>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</si>
  <si>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</si>
  <si>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</si>
  <si>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</si>
  <si>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</si>
  <si>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</si>
  <si>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</si>
  <si>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</si>
  <si>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</si>
  <si>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</si>
  <si>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</si>
  <si>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</si>
  <si>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</si>
  <si>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</si>
  <si>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</si>
  <si>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</si>
  <si>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</si>
  <si>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</si>
  <si>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</si>
  <si>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</si>
  <si>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</si>
  <si>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</si>
  <si>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</si>
  <si>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</si>
  <si>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</si>
  <si>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</si>
  <si>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</si>
  <si>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</si>
  <si>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</si>
  <si>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</si>
  <si>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</si>
  <si>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</si>
  <si>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</si>
  <si>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</si>
  <si>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</si>
  <si>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</si>
  <si>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</si>
  <si>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</si>
  <si>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</si>
  <si>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</si>
  <si>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</si>
  <si>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</si>
  <si>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</si>
  <si>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</si>
  <si>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</si>
  <si>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</si>
  <si>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</si>
  <si>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</si>
  <si>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</si>
  <si>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</si>
  <si>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</si>
  <si>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</si>
  <si>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</si>
  <si>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</si>
  <si>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</si>
  <si>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</si>
  <si>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</si>
  <si>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</si>
  <si>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</si>
  <si>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</si>
  <si>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</si>
  <si>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</si>
  <si>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</si>
  <si>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</si>
  <si>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</si>
  <si>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</si>
  <si>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</si>
  <si>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</si>
  <si>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</si>
  <si>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</si>
  <si>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</si>
  <si>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</si>
  <si>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</si>
  <si>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</si>
  <si>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</si>
  <si>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</si>
  <si>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</si>
  <si>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</si>
  <si>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</si>
  <si>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</si>
  <si>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</si>
  <si>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</si>
  <si>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</si>
  <si>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</si>
  <si>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</si>
  <si>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</si>
  <si>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</si>
  <si>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</si>
  <si>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</si>
  <si>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</si>
  <si>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</si>
  <si>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</si>
  <si>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</si>
  <si>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</si>
  <si>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</si>
  <si>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</si>
  <si>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</si>
  <si>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</si>
  <si>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</si>
  <si>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</si>
  <si>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</si>
  <si>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</si>
  <si>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</si>
  <si>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</si>
  <si>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</si>
  <si>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</si>
  <si>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</si>
  <si>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</si>
  <si>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</si>
  <si>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</si>
  <si>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</si>
  <si>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</si>
  <si>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</si>
  <si>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</si>
  <si>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</si>
  <si>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</si>
  <si>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</si>
  <si>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</si>
  <si>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</si>
  <si>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</si>
  <si>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</si>
  <si>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</si>
  <si>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</si>
  <si>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</si>
  <si>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</si>
  <si>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</si>
  <si>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</si>
  <si>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</si>
  <si>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</si>
  <si>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</si>
  <si>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</si>
  <si>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</si>
  <si>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</si>
  <si>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</si>
  <si>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</si>
  <si>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</si>
  <si>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</si>
  <si>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</si>
  <si>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</si>
  <si>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</si>
  <si>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</si>
  <si>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</si>
  <si>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</si>
  <si>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</si>
  <si>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</si>
  <si>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</si>
  <si>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</si>
  <si>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</si>
  <si>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</si>
  <si>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</si>
  <si>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</si>
  <si>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</si>
  <si>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</si>
  <si>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</si>
  <si>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</si>
  <si>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</si>
  <si>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</si>
  <si>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</si>
  <si>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</si>
  <si>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</si>
  <si>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</si>
  <si>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</si>
  <si>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</si>
  <si>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</si>
  <si>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</si>
  <si>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</si>
  <si>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</si>
  <si>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</si>
  <si>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</si>
  <si>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</si>
  <si>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</si>
  <si>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</si>
  <si>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</si>
  <si>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</si>
  <si>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</si>
  <si>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</si>
  <si>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</si>
  <si>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</si>
  <si>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</si>
  <si>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</si>
  <si>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</si>
  <si>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</si>
  <si>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</si>
  <si>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</si>
  <si>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</si>
  <si>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</si>
  <si>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</si>
  <si>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</si>
  <si>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</si>
  <si>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</si>
  <si>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</si>
  <si>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</si>
  <si>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</si>
  <si>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</si>
  <si>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</si>
  <si>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</si>
  <si>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</si>
  <si>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</si>
  <si>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</si>
  <si>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</si>
  <si>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</si>
  <si>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</si>
  <si>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</si>
  <si>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</si>
  <si>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</si>
  <si>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</si>
  <si>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</si>
  <si>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</si>
  <si>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</si>
  <si>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</si>
  <si>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</si>
  <si>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</si>
  <si>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</si>
  <si>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</si>
  <si>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</si>
  <si>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</si>
  <si>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</si>
  <si>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</si>
  <si>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</si>
  <si>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</si>
  <si>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</si>
  <si>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</si>
  <si>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</si>
  <si>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</si>
  <si>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</si>
  <si>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</si>
  <si>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</si>
  <si>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</si>
  <si>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</si>
  <si>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</si>
  <si>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</si>
  <si>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</si>
  <si>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</si>
  <si>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</si>
  <si>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</si>
  <si>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</si>
  <si>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</si>
  <si>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</si>
  <si>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</si>
  <si>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</si>
  <si>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</si>
  <si>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</si>
  <si>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</si>
  <si>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</si>
  <si>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</si>
  <si>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</si>
  <si>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</si>
  <si>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</si>
  <si>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</si>
  <si>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</si>
  <si>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</si>
  <si>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</si>
  <si>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</si>
  <si>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</si>
  <si>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</si>
  <si>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</si>
  <si>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</si>
  <si>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</si>
  <si>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</si>
  <si>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</si>
  <si>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</si>
  <si>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</si>
  <si>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</si>
  <si>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</si>
  <si>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</si>
  <si>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</si>
  <si>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</si>
  <si>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</si>
  <si>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</si>
  <si>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</si>
  <si>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</si>
  <si>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</si>
  <si>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</si>
  <si>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</si>
  <si>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</si>
  <si>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</si>
  <si>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</si>
  <si>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</si>
  <si>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</si>
  <si>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</si>
  <si>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</si>
  <si>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</si>
  <si>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</si>
  <si>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</si>
  <si>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</si>
  <si>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</si>
  <si>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</si>
  <si>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</si>
  <si>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</si>
  <si>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</si>
  <si>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</si>
  <si>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</si>
  <si>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</si>
  <si>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</si>
  <si>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</si>
  <si>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</si>
  <si>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</si>
  <si>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</si>
  <si>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</si>
  <si>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</si>
  <si>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</si>
  <si>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</si>
  <si>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</si>
  <si>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</si>
  <si>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</si>
  <si>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</si>
  <si>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</si>
  <si>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</si>
  <si>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</si>
  <si>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</si>
  <si>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</si>
  <si>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</si>
  <si>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</si>
  <si>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</si>
  <si>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</si>
  <si>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</si>
  <si>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</si>
  <si>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</si>
  <si>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</si>
  <si>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</si>
  <si>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</si>
  <si>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</si>
  <si>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</si>
  <si>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</si>
  <si>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</si>
  <si>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</si>
  <si>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</si>
  <si>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</si>
  <si>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</si>
  <si>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</si>
  <si>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</si>
  <si>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</si>
  <si>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</si>
  <si>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</si>
  <si>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</si>
  <si>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</si>
  <si>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</si>
  <si>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</si>
  <si>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</si>
  <si>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</si>
  <si>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</si>
  <si>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</si>
  <si>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</si>
  <si>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</si>
  <si>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</si>
  <si>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</si>
  <si>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</si>
  <si>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</si>
  <si>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</si>
  <si>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</si>
  <si>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</si>
  <si>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</si>
  <si>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</si>
  <si>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</si>
  <si>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</si>
  <si>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</si>
  <si>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</si>
  <si>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</si>
  <si>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</si>
  <si>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</si>
  <si>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</si>
  <si>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</si>
  <si>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</si>
  <si>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</si>
  <si>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</si>
  <si>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</si>
  <si>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</si>
  <si>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</si>
  <si>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</si>
  <si>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</si>
  <si>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</si>
  <si>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</si>
  <si>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</si>
  <si>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</si>
  <si>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</si>
  <si>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</si>
  <si>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</si>
  <si>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</si>
  <si>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</si>
  <si>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</si>
  <si>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</si>
  <si>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</si>
  <si>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</si>
  <si>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</si>
  <si>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</si>
  <si>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</si>
  <si>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</si>
  <si>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</si>
  <si>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</si>
  <si>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</si>
  <si>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</si>
  <si>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</si>
  <si>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</si>
  <si>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</si>
  <si>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</si>
  <si>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</si>
  <si>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</si>
  <si>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</si>
  <si>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</si>
  <si>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</si>
  <si>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</si>
  <si>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</si>
  <si>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</si>
  <si>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</si>
  <si>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</si>
  <si>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</si>
  <si>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</si>
  <si>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</si>
  <si>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</si>
  <si>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</si>
  <si>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</si>
  <si>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</si>
  <si>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</si>
  <si>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</si>
  <si>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</si>
  <si>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</si>
  <si>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</si>
  <si>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</si>
  <si>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</si>
  <si>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</si>
  <si>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</si>
  <si>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</si>
  <si>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</si>
  <si>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</si>
  <si>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</si>
  <si>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</si>
  <si>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</si>
  <si>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</si>
  <si>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</si>
  <si>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</si>
  <si>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</si>
  <si>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</si>
  <si>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</si>
  <si>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</si>
  <si>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</si>
  <si>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</si>
  <si>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</si>
  <si>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</si>
  <si>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</si>
  <si>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</si>
  <si>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</si>
  <si>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</si>
  <si>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</si>
  <si>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</si>
  <si>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</si>
  <si>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</si>
  <si>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</si>
  <si>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</si>
  <si>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</si>
  <si>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</si>
  <si>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</si>
  <si>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</si>
  <si>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</si>
  <si>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</si>
  <si>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</si>
  <si>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</si>
  <si>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</si>
  <si>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</si>
  <si>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</si>
  <si>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</si>
  <si>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</si>
  <si>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</si>
  <si>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</si>
  <si>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</si>
  <si>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</si>
  <si>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</si>
  <si>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</si>
  <si>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</si>
  <si>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</si>
  <si>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</si>
  <si>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</si>
  <si>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</si>
  <si>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</si>
  <si>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</si>
  <si>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</si>
  <si>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</si>
  <si>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</si>
  <si>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</si>
  <si>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</si>
  <si>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</si>
  <si>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</si>
  <si>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</si>
  <si>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</si>
  <si>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</si>
  <si>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</si>
  <si>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</si>
  <si>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</si>
  <si>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</si>
  <si>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</si>
  <si>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</si>
  <si>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</si>
  <si>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</si>
  <si>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</si>
  <si>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</si>
  <si>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</si>
  <si>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</si>
  <si>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</si>
  <si>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</si>
  <si>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</si>
  <si>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</si>
  <si>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</si>
  <si>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</si>
  <si>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</si>
  <si>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</si>
  <si>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</si>
  <si>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</si>
  <si>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</si>
  <si>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</si>
  <si>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</si>
  <si>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</si>
  <si>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</si>
  <si>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</si>
  <si>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</si>
  <si>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</si>
  <si>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</si>
  <si>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</si>
  <si>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</si>
  <si>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</si>
  <si>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</si>
  <si>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</si>
  <si>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</si>
  <si>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</si>
  <si>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</si>
  <si>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</si>
  <si>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</si>
  <si>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</si>
  <si>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</si>
  <si>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</si>
  <si>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</si>
  <si>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</si>
  <si>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</si>
  <si>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</si>
  <si>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</si>
  <si>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</si>
  <si>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</si>
  <si>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</si>
  <si>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</si>
  <si>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</si>
  <si>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</si>
  <si>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</si>
  <si>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</si>
  <si>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</si>
  <si>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</si>
  <si>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</si>
  <si>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</si>
  <si>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</si>
  <si>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</si>
  <si>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</si>
  <si>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</si>
  <si>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</si>
  <si>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</si>
  <si>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</si>
  <si>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</si>
  <si>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</si>
  <si>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</si>
  <si>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</si>
  <si>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</si>
  <si>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</si>
  <si>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</si>
  <si>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</si>
  <si>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</si>
  <si>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</si>
  <si>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</si>
  <si>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</si>
  <si>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</si>
  <si>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</si>
  <si>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</si>
  <si>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</si>
  <si>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</si>
  <si>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</si>
  <si>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</si>
  <si>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</si>
  <si>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</si>
  <si>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</si>
  <si>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</si>
  <si>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</si>
  <si>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</si>
  <si>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</si>
  <si>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</si>
  <si>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</si>
  <si>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</si>
  <si>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</si>
  <si>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</si>
  <si>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</si>
  <si>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</si>
  <si>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</si>
  <si>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</si>
  <si>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</si>
  <si>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</si>
  <si>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</si>
  <si>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</si>
  <si>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</si>
  <si>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</si>
  <si>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</si>
  <si>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</si>
  <si>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</si>
  <si>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</si>
  <si>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</si>
  <si>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</si>
  <si>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</si>
  <si>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</si>
  <si>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</si>
  <si>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</si>
  <si>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</si>
  <si>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</si>
  <si>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</si>
  <si>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</si>
  <si>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</si>
  <si>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</si>
  <si>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</si>
  <si>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</si>
  <si>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</si>
  <si>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</si>
  <si>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</si>
  <si>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</si>
  <si>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</si>
  <si>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</si>
  <si>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</si>
  <si>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</si>
  <si>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</si>
  <si>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</si>
  <si>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</si>
  <si>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</si>
  <si>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</si>
  <si>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</si>
  <si>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</si>
  <si>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</si>
  <si>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</si>
  <si>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</si>
  <si>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</si>
  <si>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</si>
  <si>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</si>
  <si>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</si>
  <si>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</si>
  <si>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</si>
  <si>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</si>
  <si>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</si>
  <si>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</si>
  <si>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</si>
  <si>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</si>
  <si>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</si>
  <si>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</si>
  <si>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</si>
  <si>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</si>
  <si>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</si>
  <si>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</si>
  <si>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</si>
  <si>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</si>
  <si>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</si>
  <si>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</si>
  <si>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</si>
  <si>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</si>
  <si>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</si>
  <si>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</si>
  <si>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</si>
  <si>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</si>
  <si>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</si>
  <si>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</si>
  <si>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</si>
  <si>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</si>
  <si>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</si>
  <si>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</si>
  <si>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</si>
  <si>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</si>
  <si>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</si>
  <si>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</si>
  <si>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</si>
  <si>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</si>
  <si>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</si>
  <si>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</si>
  <si>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</si>
  <si>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</si>
  <si>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</si>
  <si>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</si>
  <si>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</si>
  <si>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</si>
  <si>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</si>
  <si>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</si>
  <si>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</si>
  <si>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</si>
  <si>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</si>
  <si>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</si>
  <si>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</si>
  <si>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</si>
  <si>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</si>
  <si>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</si>
  <si>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</si>
  <si>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</si>
  <si>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</si>
  <si>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</si>
  <si>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</si>
  <si>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</si>
  <si>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</si>
  <si>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</si>
  <si>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</si>
  <si>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</si>
  <si>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</si>
  <si>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</si>
  <si>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</si>
  <si>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</si>
  <si>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</si>
  <si>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</si>
  <si>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</si>
  <si>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</si>
  <si>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</si>
  <si>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</si>
  <si>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</si>
  <si>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</si>
  <si>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</si>
  <si>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</si>
  <si>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</si>
  <si>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</si>
  <si>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</si>
  <si>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</si>
  <si>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</si>
  <si>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</si>
  <si>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</si>
  <si>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</si>
  <si>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</si>
  <si>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</si>
  <si>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</si>
  <si>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</si>
  <si>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</si>
  <si>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</si>
  <si>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</si>
  <si>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</si>
  <si>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</si>
  <si>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</si>
  <si>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</si>
  <si>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</si>
  <si>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</si>
  <si>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</si>
  <si>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</si>
  <si>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</si>
  <si>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</si>
  <si>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</si>
  <si>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</si>
  <si>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</si>
  <si>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</si>
  <si>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</si>
  <si>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</si>
  <si>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</si>
  <si>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</si>
  <si>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</si>
  <si>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</si>
  <si>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</si>
  <si>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</si>
  <si>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</si>
  <si>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</si>
  <si>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</si>
  <si>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</si>
  <si>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</si>
  <si>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</si>
  <si>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</si>
  <si>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</si>
  <si>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</si>
  <si>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</si>
  <si>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</si>
  <si>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</si>
  <si>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</si>
  <si>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</si>
  <si>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</si>
  <si>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</si>
  <si>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</si>
  <si>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</si>
  <si>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</si>
  <si>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</si>
  <si>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</si>
  <si>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</si>
  <si>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</si>
  <si>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</si>
  <si>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</si>
  <si>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</si>
  <si>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</si>
  <si>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</si>
  <si>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</si>
  <si>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</si>
  <si>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</si>
  <si>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</si>
  <si>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</si>
  <si>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</si>
  <si>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</si>
  <si>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</si>
  <si>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</si>
  <si>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</si>
  <si>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</si>
  <si>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</si>
  <si>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</si>
  <si>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</si>
  <si>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</si>
  <si>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</si>
  <si>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</si>
  <si>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</si>
  <si>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</si>
  <si>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</si>
  <si>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</si>
  <si>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</si>
  <si>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</si>
  <si>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</si>
  <si>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</si>
  <si>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</si>
  <si>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</si>
  <si>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</si>
  <si>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</si>
  <si>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</si>
  <si>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</si>
  <si>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</si>
  <si>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</si>
  <si>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</si>
  <si>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</si>
  <si>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</si>
  <si>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</si>
  <si>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</si>
  <si>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</si>
  <si>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</si>
  <si>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</si>
  <si>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</si>
  <si>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</si>
  <si>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</si>
  <si>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</si>
  <si>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</si>
  <si>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</si>
  <si>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</si>
  <si>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</si>
  <si>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</si>
  <si>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</si>
  <si>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</si>
  <si>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</si>
  <si>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</si>
  <si>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</si>
  <si>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</si>
  <si>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</si>
  <si>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</si>
  <si>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</si>
  <si>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</si>
  <si>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</si>
  <si>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</si>
  <si>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</si>
  <si>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</si>
  <si>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</si>
  <si>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</si>
  <si>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</si>
  <si>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</si>
  <si>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</si>
  <si>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</si>
  <si>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</si>
  <si>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</si>
  <si>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</si>
  <si>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</si>
  <si>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</si>
  <si>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</si>
  <si>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</si>
  <si>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</si>
  <si>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</si>
  <si>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</si>
  <si>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</si>
  <si>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</si>
  <si>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</si>
  <si>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</si>
  <si>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</si>
  <si>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</si>
  <si>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</si>
  <si>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</si>
  <si>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</si>
  <si>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</si>
  <si>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</si>
  <si>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</si>
  <si>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</si>
  <si>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</si>
  <si>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</si>
  <si>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</si>
  <si>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</si>
  <si>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</si>
  <si>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</si>
  <si>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</si>
  <si>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</si>
  <si>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</si>
  <si>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</si>
  <si>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</si>
  <si>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</si>
  <si>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</si>
  <si>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</si>
  <si>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</si>
  <si>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</si>
  <si>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</si>
  <si>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</si>
  <si>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</si>
  <si>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</si>
  <si>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</si>
  <si>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</si>
  <si>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</si>
  <si>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</si>
  <si>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</si>
  <si>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</si>
  <si>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</si>
  <si>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</si>
  <si>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</si>
  <si>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</si>
  <si>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</si>
  <si>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</si>
  <si>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</si>
  <si>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</si>
  <si>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</si>
  <si>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</si>
  <si>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</si>
  <si>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</si>
  <si>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</si>
  <si>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</si>
  <si>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</si>
  <si>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</si>
  <si>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</si>
  <si>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</si>
  <si>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</si>
  <si>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</si>
  <si>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</si>
  <si>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</si>
  <si>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</si>
  <si>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</si>
  <si>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</si>
  <si>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</si>
  <si>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</si>
  <si>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</si>
  <si>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</si>
  <si>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</si>
  <si>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</si>
  <si>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</si>
  <si>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</si>
  <si>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</si>
  <si>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</si>
  <si>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</si>
  <si>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</si>
  <si>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</si>
  <si>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</si>
  <si>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</si>
  <si>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</si>
  <si>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</si>
  <si>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</si>
  <si>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</si>
  <si>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</si>
  <si>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</si>
  <si>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</si>
  <si>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</si>
  <si>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</si>
  <si>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</si>
  <si>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</si>
  <si>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</si>
  <si>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</si>
  <si>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</si>
  <si>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</si>
  <si>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</si>
  <si>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</si>
  <si>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</si>
  <si>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</si>
  <si>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</si>
  <si>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</si>
  <si>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</si>
  <si>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</si>
  <si>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</si>
  <si>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</si>
  <si>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</si>
  <si>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</si>
  <si>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</si>
  <si>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</si>
  <si>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</si>
  <si>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</si>
  <si>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</si>
  <si>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</si>
  <si>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</si>
  <si>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</si>
  <si>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</si>
  <si>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</si>
  <si>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</si>
  <si>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</si>
  <si>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</si>
  <si>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</si>
  <si>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</si>
  <si>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</si>
  <si>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</si>
  <si>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</si>
  <si>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</si>
  <si>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</si>
  <si>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</si>
  <si>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</si>
  <si>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</si>
  <si>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</si>
  <si>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</si>
  <si>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</si>
  <si>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</si>
  <si>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</si>
  <si>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</si>
  <si>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</si>
  <si>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</si>
  <si>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</si>
  <si>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</si>
  <si>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</si>
  <si>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</si>
  <si>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</si>
  <si>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</si>
  <si>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</si>
  <si>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</si>
  <si>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</si>
  <si>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</si>
  <si>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</si>
  <si>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</si>
  <si>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</si>
  <si>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</si>
  <si>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</si>
  <si>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</si>
  <si>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</si>
  <si>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</si>
  <si>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</si>
  <si>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</si>
  <si>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</si>
  <si>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</si>
  <si>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</si>
  <si>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</si>
  <si>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</si>
  <si>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</si>
  <si>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</si>
  <si>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</si>
  <si>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</si>
  <si>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</si>
  <si>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</si>
  <si>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</si>
  <si>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</si>
  <si>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</si>
  <si>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</si>
  <si>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</si>
  <si>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</si>
  <si>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</si>
  <si>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</si>
  <si>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</si>
  <si>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</si>
  <si>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</si>
  <si>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</si>
  <si>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</si>
  <si>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</si>
  <si>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</si>
  <si>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</si>
  <si>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</si>
  <si>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</si>
  <si>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</si>
  <si>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</si>
  <si>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</si>
  <si>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</si>
  <si>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</si>
  <si>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</si>
  <si>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</si>
  <si>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</si>
  <si>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</si>
  <si>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</si>
  <si>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</si>
  <si>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</si>
  <si>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</si>
  <si>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</si>
  <si>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</si>
  <si>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</si>
  <si>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</si>
  <si>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</si>
  <si>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</si>
  <si>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</si>
  <si>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</si>
  <si>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</si>
  <si>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</si>
  <si>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</si>
  <si>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</si>
  <si>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</si>
  <si>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</si>
  <si>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</si>
  <si>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</si>
  <si>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</si>
  <si>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</si>
  <si>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</si>
  <si>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</si>
  <si>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</si>
  <si>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</si>
  <si>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</si>
  <si>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</si>
  <si>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</si>
  <si>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</si>
  <si>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</si>
  <si>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</si>
  <si>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</si>
  <si>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</si>
  <si>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</si>
  <si>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</si>
  <si>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</si>
  <si>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</si>
  <si>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</si>
  <si>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</si>
  <si>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</si>
  <si>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</si>
  <si>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</si>
  <si>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</si>
  <si>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</si>
  <si>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</si>
  <si>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</si>
  <si>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</si>
  <si>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</si>
  <si>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</si>
  <si>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</si>
  <si>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</si>
  <si>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</si>
  <si>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</si>
  <si>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</si>
  <si>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</si>
  <si>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</si>
  <si>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</si>
  <si>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</si>
  <si>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</si>
  <si>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</si>
  <si>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</si>
  <si>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</si>
  <si>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</si>
  <si>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</si>
  <si>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</si>
  <si>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</si>
  <si>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</si>
  <si>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</si>
  <si>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</si>
  <si>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</si>
  <si>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</si>
  <si>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</si>
  <si>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</si>
  <si>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</si>
  <si>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</si>
  <si>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</si>
  <si>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</si>
  <si>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</si>
  <si>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</si>
  <si>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</si>
  <si>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</si>
  <si>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</si>
  <si>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</si>
  <si>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</si>
  <si>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</si>
  <si>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</si>
  <si>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</si>
  <si>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</si>
  <si>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</si>
  <si>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</si>
  <si>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</si>
  <si>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</si>
  <si>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</si>
  <si>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</si>
  <si>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</si>
  <si>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</si>
  <si>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</si>
  <si>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</si>
  <si>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</si>
  <si>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</si>
  <si>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</si>
  <si>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</si>
  <si>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</si>
  <si>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</si>
  <si>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</si>
  <si>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</si>
  <si>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</si>
  <si>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</si>
  <si>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</si>
  <si>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</si>
  <si>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</si>
  <si>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</si>
  <si>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</si>
  <si>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</si>
  <si>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</si>
  <si>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</si>
  <si>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</si>
  <si>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</si>
  <si>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</si>
  <si>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</si>
  <si>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</si>
  <si>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</si>
  <si>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</si>
  <si>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</si>
  <si>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</si>
  <si>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</si>
  <si>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</si>
  <si>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</si>
  <si>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</si>
  <si>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</si>
  <si>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</si>
  <si>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</si>
  <si>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</si>
  <si>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</si>
  <si>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</si>
  <si>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</si>
  <si>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</si>
  <si>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</si>
  <si>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</si>
  <si>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</si>
  <si>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</si>
  <si>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</si>
  <si>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</si>
  <si>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</si>
  <si>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</si>
  <si>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</si>
  <si>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</si>
  <si>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</si>
  <si>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</si>
  <si>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</si>
  <si>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</si>
  <si>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</si>
  <si>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</si>
  <si>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</si>
  <si>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</si>
  <si>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</si>
  <si>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</si>
  <si>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</si>
  <si>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</si>
  <si>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</si>
  <si>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</si>
  <si>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</si>
  <si>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</si>
  <si>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</si>
  <si>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</si>
  <si>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</si>
  <si>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</si>
  <si>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</si>
  <si>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</si>
  <si>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</si>
  <si>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</si>
  <si>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</si>
  <si>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</si>
  <si>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</si>
  <si>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</si>
  <si>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</si>
  <si>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</si>
  <si>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</si>
  <si>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</si>
  <si>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</si>
  <si>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</si>
  <si>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</si>
  <si>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</si>
  <si>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</si>
  <si>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</si>
  <si>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</si>
  <si>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</si>
  <si>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</si>
  <si>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</si>
  <si>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</si>
  <si>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</si>
  <si>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</si>
  <si>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</si>
  <si>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</si>
  <si>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</si>
  <si>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</si>
  <si>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</si>
  <si>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</si>
  <si>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</si>
  <si>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</si>
  <si>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</si>
  <si>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</si>
  <si>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</si>
  <si>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</si>
  <si>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</si>
  <si>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</si>
  <si>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</si>
  <si>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</si>
  <si>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</si>
  <si>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</si>
  <si>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</si>
  <si>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</si>
  <si>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</si>
  <si>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</si>
  <si>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</si>
  <si>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</si>
  <si>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</si>
  <si>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</si>
  <si>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</si>
  <si>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</si>
  <si>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</si>
  <si>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</si>
  <si>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</si>
  <si>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</si>
  <si>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</si>
  <si>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</si>
  <si>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</si>
  <si>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</si>
  <si>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</si>
  <si>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</si>
  <si>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</si>
  <si>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</si>
  <si>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</si>
  <si>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</si>
  <si>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</si>
  <si>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</si>
  <si>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</si>
  <si>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</si>
  <si>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</si>
  <si>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</si>
  <si>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</si>
  <si>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</si>
  <si>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</si>
  <si>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</si>
  <si>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</si>
  <si>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</si>
  <si>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</si>
  <si>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</si>
  <si>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</si>
  <si>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</si>
  <si>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</si>
  <si>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</si>
  <si>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</si>
  <si>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</si>
  <si>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</si>
  <si>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</si>
  <si>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</si>
  <si>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</si>
  <si>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</si>
  <si>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</si>
  <si>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</si>
  <si>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</si>
  <si>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</si>
  <si>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</si>
  <si>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</si>
  <si>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</si>
  <si>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</si>
  <si>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</si>
  <si>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</si>
  <si>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</si>
  <si>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</si>
  <si>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</si>
  <si>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</si>
  <si>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</si>
  <si>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</si>
  <si>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</si>
  <si>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</si>
  <si>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</si>
  <si>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</si>
  <si>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</si>
  <si>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</si>
  <si>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</si>
  <si>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</si>
  <si>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</si>
  <si>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</si>
  <si>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</si>
  <si>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</si>
  <si>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</si>
  <si>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</si>
  <si>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</si>
  <si>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</si>
  <si>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</si>
  <si>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</si>
  <si>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</si>
  <si>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</si>
  <si>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</si>
  <si>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</si>
  <si>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</si>
  <si>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</si>
  <si>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</si>
  <si>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</si>
  <si>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</si>
  <si>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</si>
  <si>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</si>
  <si>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</si>
  <si>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</si>
  <si>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</si>
  <si>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</si>
  <si>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</si>
  <si>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</si>
  <si>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</si>
  <si>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</si>
  <si>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</si>
  <si>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</si>
  <si>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</si>
  <si>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</si>
  <si>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</si>
  <si>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</si>
  <si>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</si>
  <si>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</si>
  <si>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</si>
  <si>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</si>
  <si>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</si>
  <si>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</si>
  <si>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</si>
  <si>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</si>
  <si>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</si>
  <si>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</si>
  <si>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</si>
  <si>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</si>
  <si>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</si>
  <si>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</si>
  <si>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</si>
  <si>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</si>
  <si>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</si>
  <si>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</si>
  <si>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</si>
  <si>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</si>
  <si>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</si>
  <si>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</si>
  <si>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</si>
  <si>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</si>
  <si>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</si>
  <si>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</si>
  <si>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</si>
  <si>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</si>
  <si>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</si>
  <si>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</si>
  <si>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</si>
  <si>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</si>
  <si>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</si>
  <si>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</si>
  <si>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</si>
  <si>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</si>
  <si>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</si>
  <si>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</si>
  <si>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</si>
  <si>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</si>
  <si>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</si>
  <si>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</si>
  <si>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</si>
  <si>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</si>
  <si>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</si>
  <si>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</si>
  <si>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</si>
  <si>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</si>
  <si>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</si>
  <si>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</si>
  <si>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</si>
  <si>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</si>
  <si>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</si>
  <si>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</si>
  <si>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</si>
  <si>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</si>
  <si>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</si>
  <si>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</si>
  <si>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</si>
  <si>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</si>
  <si>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</si>
  <si>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</si>
  <si>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</si>
  <si>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</si>
  <si>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</si>
  <si>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</si>
  <si>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</si>
  <si>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</si>
  <si>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</si>
  <si>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</si>
  <si>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</si>
  <si>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</si>
  <si>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</si>
  <si>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</si>
  <si>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</si>
  <si>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</si>
  <si>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</si>
  <si>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</si>
  <si>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</si>
  <si>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</si>
  <si>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</si>
  <si>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</si>
  <si>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</si>
  <si>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</si>
  <si>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</si>
  <si>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</si>
  <si>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</si>
  <si>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</si>
  <si>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</si>
  <si>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</si>
  <si>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</si>
  <si>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</si>
  <si>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</si>
  <si>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</si>
  <si>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</si>
  <si>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</si>
  <si>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</si>
  <si>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</si>
  <si>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</si>
  <si>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</si>
  <si>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</si>
  <si>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</si>
  <si>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</si>
  <si>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</si>
  <si>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</si>
  <si>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</si>
  <si>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</si>
  <si>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</si>
  <si>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</si>
  <si>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</si>
  <si>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</si>
  <si>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</si>
  <si>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</si>
  <si>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</si>
  <si>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</si>
  <si>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</si>
  <si>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</si>
  <si>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</si>
  <si>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</si>
  <si>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</si>
  <si>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</si>
  <si>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</si>
  <si>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</si>
  <si>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</si>
  <si>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</si>
  <si>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</si>
  <si>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</si>
  <si>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</si>
  <si>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</si>
  <si>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</si>
  <si>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</si>
  <si>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</si>
  <si>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</si>
  <si>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</si>
  <si>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</si>
  <si>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</si>
  <si>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</si>
  <si>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</si>
  <si>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</si>
  <si>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</si>
  <si>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</si>
  <si>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</si>
  <si>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</si>
  <si>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</si>
  <si>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</si>
  <si>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</si>
  <si>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</si>
  <si>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</si>
  <si>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</si>
  <si>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</si>
  <si>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</si>
  <si>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</si>
  <si>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</si>
  <si>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</si>
  <si>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</si>
  <si>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</si>
  <si>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</si>
  <si>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</si>
  <si>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</si>
  <si>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</si>
  <si>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</si>
  <si>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</si>
  <si>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</si>
  <si>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</si>
  <si>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</si>
  <si>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</si>
  <si>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</si>
  <si>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</si>
  <si>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</si>
  <si>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</si>
  <si>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</si>
  <si>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</si>
  <si>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</si>
  <si>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</si>
  <si>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</si>
  <si>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</si>
  <si>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</si>
  <si>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</si>
  <si>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</si>
  <si>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</si>
  <si>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</si>
  <si>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</si>
  <si>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</si>
  <si>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</si>
  <si>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</si>
  <si>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</si>
  <si>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</si>
  <si>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</si>
  <si>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</si>
  <si>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</si>
  <si>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</si>
  <si>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</si>
  <si>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</si>
  <si>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</si>
  <si>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</si>
  <si>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</si>
  <si>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</si>
  <si>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</si>
  <si>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</si>
  <si>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</si>
  <si>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</si>
  <si>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</si>
  <si>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</si>
  <si>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</si>
  <si>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</si>
  <si>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</si>
  <si>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</si>
  <si>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</si>
  <si>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</si>
  <si>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</si>
  <si>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</si>
  <si>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</si>
  <si>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</si>
  <si>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</si>
  <si>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</si>
  <si>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</si>
  <si>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</si>
  <si>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</si>
  <si>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</si>
  <si>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</si>
  <si>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</si>
  <si>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</si>
  <si>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</si>
  <si>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</si>
  <si>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</si>
  <si>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</si>
  <si>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</si>
  <si>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</si>
  <si>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</si>
  <si>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</si>
  <si>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</si>
  <si>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</si>
  <si>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</si>
  <si>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</si>
  <si>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</si>
  <si>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</si>
  <si>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</si>
  <si>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</si>
  <si>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</si>
  <si>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</si>
  <si>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</si>
  <si>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</si>
  <si>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</si>
  <si>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</si>
  <si>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</si>
  <si>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</si>
  <si>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</si>
  <si>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</si>
  <si>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</si>
  <si>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</si>
  <si>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</si>
  <si>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</si>
  <si>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</si>
  <si>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</si>
  <si>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</si>
  <si>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</si>
  <si>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</si>
  <si>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</si>
  <si>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</si>
  <si>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</si>
  <si>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</si>
  <si>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</si>
  <si>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</si>
  <si>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</si>
  <si>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</si>
  <si>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</si>
  <si>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</si>
  <si>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</si>
  <si>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</si>
  <si>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</si>
  <si>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</si>
  <si>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</si>
  <si>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</si>
  <si>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</si>
  <si>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</si>
  <si>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</si>
  <si>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</si>
  <si>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</si>
  <si>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</si>
  <si>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</si>
  <si>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</si>
  <si>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</si>
  <si>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</si>
  <si>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</si>
  <si>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</si>
  <si>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</si>
  <si>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</si>
  <si>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</si>
  <si>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</si>
  <si>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</si>
  <si>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</si>
  <si>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</si>
  <si>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</si>
  <si>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</si>
  <si>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</si>
  <si>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</si>
  <si>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</si>
  <si>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</si>
  <si>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</si>
  <si>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</si>
  <si>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</si>
  <si>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</si>
  <si>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</si>
  <si>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</si>
  <si>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</si>
  <si>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</si>
  <si>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</si>
  <si>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</si>
  <si>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</si>
  <si>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</si>
  <si>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</si>
  <si>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</si>
  <si>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</si>
  <si>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</si>
  <si>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</si>
  <si>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</si>
  <si>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</si>
  <si>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</si>
  <si>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</si>
  <si>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</si>
  <si>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</si>
  <si>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</si>
  <si>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</si>
  <si>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</si>
  <si>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</si>
  <si>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</si>
  <si>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</si>
  <si>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</si>
  <si>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</si>
  <si>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</si>
  <si>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</si>
  <si>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</si>
  <si>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</si>
  <si>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</si>
  <si>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</si>
  <si>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</si>
  <si>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</si>
  <si>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</si>
  <si>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</si>
  <si>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</si>
  <si>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</si>
  <si>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</si>
  <si>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</si>
  <si>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</si>
  <si>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</si>
  <si>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</si>
  <si>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</si>
  <si>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</si>
  <si>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</si>
  <si>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</si>
  <si>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</si>
  <si>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</si>
  <si>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</si>
  <si>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</si>
  <si>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</si>
  <si>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</si>
  <si>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</si>
  <si>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</si>
  <si>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</si>
  <si>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</si>
  <si>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</si>
  <si>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</si>
  <si>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</si>
  <si>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</si>
  <si>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</si>
  <si>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</si>
  <si>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</si>
  <si>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</si>
  <si>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</si>
  <si>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</si>
  <si>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</si>
  <si>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</si>
  <si>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</si>
  <si>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</si>
  <si>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</si>
  <si>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</si>
  <si>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</si>
  <si>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</si>
  <si>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</si>
  <si>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</si>
  <si>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</si>
  <si>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</si>
  <si>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</si>
  <si>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</si>
  <si>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</si>
  <si>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</si>
  <si>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</si>
  <si>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</si>
  <si>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</si>
  <si>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</si>
  <si>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</si>
  <si>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</si>
  <si>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</si>
  <si>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</si>
  <si>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</si>
  <si>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</si>
  <si>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</si>
  <si>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</si>
  <si>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</si>
  <si>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</si>
  <si>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</si>
  <si>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</si>
  <si>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</si>
  <si>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</si>
  <si>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</si>
  <si>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</si>
  <si>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</si>
  <si>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</si>
  <si>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</si>
  <si>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</si>
  <si>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</si>
  <si>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</si>
  <si>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</si>
  <si>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</si>
  <si>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</si>
  <si>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</si>
  <si>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</si>
  <si>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</si>
  <si>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</si>
  <si>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</si>
  <si>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</si>
  <si>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</si>
  <si>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</si>
  <si>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</si>
  <si>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</si>
  <si>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</si>
  <si>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</si>
  <si>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</si>
  <si>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</si>
  <si>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</si>
  <si>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</si>
  <si>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</si>
  <si>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</si>
  <si>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</si>
  <si>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</si>
  <si>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</si>
  <si>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</si>
  <si>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</si>
  <si>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</si>
  <si>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</si>
  <si>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</si>
  <si>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</si>
  <si>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</si>
  <si>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</si>
  <si>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</si>
  <si>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</si>
  <si>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</si>
  <si>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</si>
  <si>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</si>
  <si>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</si>
  <si>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</si>
  <si>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</si>
  <si>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</si>
  <si>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</si>
  <si>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</si>
  <si>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</si>
  <si>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</si>
  <si>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</si>
  <si>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</si>
  <si>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</si>
  <si>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</si>
  <si>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</si>
  <si>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</si>
  <si>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</si>
  <si>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</si>
  <si>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</si>
  <si>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</si>
  <si>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</si>
  <si>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</si>
  <si>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</si>
  <si>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</si>
  <si>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</si>
  <si>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</si>
  <si>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</si>
  <si>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</si>
  <si>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</si>
  <si>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</si>
  <si>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</si>
  <si>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</si>
  <si>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</si>
  <si>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</si>
  <si>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</si>
  <si>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</si>
  <si>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</si>
  <si>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</si>
  <si>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</si>
  <si>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</si>
  <si>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</si>
  <si>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</si>
  <si>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</si>
  <si>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</si>
  <si>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</si>
  <si>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</si>
  <si>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</si>
  <si>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</si>
  <si>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</si>
  <si>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</si>
  <si>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</si>
  <si>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</si>
  <si>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</si>
  <si>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</si>
  <si>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</si>
  <si>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</si>
  <si>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</si>
  <si>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</si>
  <si>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</si>
  <si>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</si>
  <si>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</si>
  <si>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</si>
  <si>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</si>
  <si>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</si>
  <si>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</si>
  <si>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</si>
  <si>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</si>
  <si>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</si>
  <si>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</si>
  <si>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</si>
  <si>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</si>
  <si>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</si>
  <si>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</si>
  <si>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</si>
  <si>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</si>
  <si>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</si>
  <si>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</si>
  <si>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</si>
  <si>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</si>
  <si>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</si>
  <si>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</si>
  <si>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</si>
  <si>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</si>
  <si>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</si>
  <si>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</si>
  <si>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</si>
  <si>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</si>
  <si>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</si>
  <si>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</si>
  <si>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</si>
  <si>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</si>
  <si>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</si>
  <si>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</si>
  <si>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</si>
  <si>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</si>
  <si>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</si>
  <si>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</si>
  <si>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</si>
  <si>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</si>
  <si>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</si>
  <si>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</si>
  <si>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</si>
  <si>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</si>
  <si>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</si>
  <si>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</si>
  <si>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</si>
  <si>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</si>
  <si>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</si>
  <si>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</si>
  <si>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</si>
  <si>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</si>
  <si>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</si>
  <si>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</si>
  <si>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</si>
  <si>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</si>
  <si>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</si>
  <si>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</si>
  <si>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</si>
  <si>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</si>
  <si>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</si>
  <si>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</si>
  <si>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</si>
  <si>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</si>
  <si>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</si>
  <si>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</si>
  <si>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</si>
  <si>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</si>
  <si>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</si>
  <si>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</si>
  <si>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</si>
  <si>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</si>
  <si>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</si>
  <si>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</si>
  <si>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</si>
  <si>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</si>
  <si>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</si>
  <si>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</si>
  <si>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</si>
  <si>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</si>
  <si>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</si>
  <si>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</si>
  <si>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</si>
  <si>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</si>
  <si>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</si>
  <si>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</si>
  <si>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</si>
  <si>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</si>
  <si>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</si>
  <si>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</si>
  <si>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</si>
  <si>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</si>
  <si>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</si>
  <si>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</si>
  <si>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</si>
  <si>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</si>
  <si>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</si>
  <si>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</si>
  <si>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</si>
  <si>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</si>
  <si>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</si>
  <si>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</si>
  <si>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</si>
  <si>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</si>
  <si>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</si>
  <si>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</si>
  <si>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</si>
  <si>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</si>
  <si>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</si>
  <si>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</si>
  <si>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</si>
  <si>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</si>
  <si>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</si>
  <si>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</si>
  <si>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</si>
  <si>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</si>
  <si>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</si>
  <si>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</si>
  <si>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</si>
  <si>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</si>
  <si>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</si>
  <si>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</si>
  <si>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</si>
  <si>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</si>
  <si>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</si>
  <si>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</si>
  <si>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</si>
  <si>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</si>
  <si>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</si>
  <si>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</si>
  <si>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</si>
  <si>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</si>
  <si>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</si>
  <si>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</si>
  <si>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</si>
  <si>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</si>
  <si>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</si>
  <si>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</si>
  <si>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</si>
  <si>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</si>
  <si>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</si>
  <si>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</si>
  <si>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</si>
  <si>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</si>
  <si>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</si>
  <si>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</si>
  <si>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</si>
  <si>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</si>
  <si>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</si>
  <si>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</si>
  <si>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</si>
  <si>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</si>
  <si>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</si>
  <si>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</si>
  <si>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</si>
  <si>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</si>
  <si>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</si>
  <si>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</si>
  <si>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</si>
  <si>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</si>
  <si>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</si>
  <si>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</si>
  <si>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</si>
  <si>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</si>
  <si>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</si>
  <si>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</si>
  <si>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</si>
  <si>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</si>
  <si>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</si>
  <si>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</si>
  <si>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</si>
  <si>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</si>
  <si>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</si>
  <si>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</si>
  <si>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</si>
  <si>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</si>
  <si>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</si>
  <si>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</si>
  <si>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</si>
  <si>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</si>
  <si>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</si>
  <si>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</si>
  <si>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</si>
  <si>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</si>
  <si>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</si>
  <si>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</si>
  <si>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</si>
  <si>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</si>
  <si>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</si>
  <si>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</si>
  <si>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</si>
  <si>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</si>
  <si>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</si>
  <si>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</si>
  <si>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</si>
  <si>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</si>
  <si>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</si>
  <si>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</si>
  <si>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</si>
  <si>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</si>
  <si>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</si>
  <si>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</si>
  <si>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</si>
  <si>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</si>
  <si>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</si>
  <si>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</si>
  <si>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</si>
  <si>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</si>
  <si>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</si>
  <si>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</si>
  <si>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</si>
  <si>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</si>
  <si>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</si>
  <si>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</si>
  <si>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</si>
  <si>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</si>
  <si>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</si>
  <si>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</si>
  <si>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</si>
  <si>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</si>
  <si>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</si>
  <si>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</si>
  <si>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</si>
  <si>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</si>
  <si>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</si>
  <si>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</si>
  <si>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</si>
  <si>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</si>
  <si>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</si>
  <si>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</si>
  <si>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</si>
  <si>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</si>
  <si>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</si>
  <si>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</si>
  <si>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</si>
  <si>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</si>
  <si>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</si>
  <si>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</si>
  <si>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</si>
  <si>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</si>
  <si>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</si>
  <si>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</si>
  <si>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</si>
  <si>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</si>
  <si>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</si>
  <si>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</si>
  <si>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</si>
  <si>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</si>
  <si>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</si>
  <si>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</si>
  <si>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</si>
  <si>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</si>
  <si>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</si>
  <si>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</si>
  <si>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</si>
  <si>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</si>
  <si>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</si>
  <si>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</si>
  <si>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</si>
  <si>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</si>
  <si>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</si>
  <si>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</si>
  <si>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</si>
  <si>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</si>
  <si>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</si>
  <si>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</si>
  <si>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</si>
  <si>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</si>
  <si>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</si>
  <si>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</si>
  <si>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</si>
  <si>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</si>
  <si>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</si>
  <si>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</si>
  <si>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</si>
  <si>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</si>
  <si>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</si>
  <si>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</si>
  <si>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</si>
  <si>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</si>
  <si>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</si>
  <si>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</si>
  <si>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</si>
  <si>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</si>
  <si>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</si>
  <si>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</si>
  <si>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</si>
  <si>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</si>
  <si>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</si>
  <si>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</si>
  <si>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</si>
  <si>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</si>
  <si>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</si>
  <si>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</si>
  <si>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</si>
  <si>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</si>
  <si>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</si>
  <si>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</si>
  <si>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</si>
  <si>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</si>
  <si>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</si>
  <si>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</si>
  <si>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</si>
  <si>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</si>
  <si>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</si>
  <si>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</si>
  <si>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</si>
  <si>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</si>
  <si>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</si>
  <si>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</si>
  <si>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</si>
  <si>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</si>
  <si>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</si>
  <si>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</si>
  <si>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</si>
  <si>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</si>
  <si>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</si>
  <si>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</si>
  <si>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</si>
  <si>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</si>
  <si>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</si>
  <si>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</si>
  <si>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</si>
  <si>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</si>
  <si>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</si>
  <si>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</si>
  <si>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</si>
  <si>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</si>
  <si>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</si>
  <si>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</si>
  <si>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</si>
  <si>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</si>
  <si>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</si>
  <si>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</si>
  <si>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</si>
  <si>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</si>
  <si>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</si>
  <si>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</si>
  <si>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</si>
  <si>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</si>
  <si>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</si>
  <si>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</si>
  <si>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</si>
  <si>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</si>
  <si>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</si>
  <si>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</si>
  <si>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</si>
  <si>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</si>
  <si>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</si>
  <si>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</si>
  <si>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</si>
  <si>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</si>
  <si>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</si>
  <si>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</si>
  <si>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</si>
  <si>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</si>
  <si>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</si>
  <si>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</si>
  <si>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</si>
  <si>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</si>
  <si>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</si>
  <si>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</si>
  <si>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</si>
  <si>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</si>
  <si>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</si>
  <si>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</si>
  <si>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</si>
  <si>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</si>
  <si>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</si>
  <si>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</si>
  <si>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</si>
  <si>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</si>
  <si>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</si>
  <si>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</si>
  <si>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</si>
  <si>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</si>
  <si>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</si>
  <si>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</si>
  <si>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</si>
  <si>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</si>
  <si>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</si>
  <si>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</si>
  <si>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</si>
  <si>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</si>
  <si>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</si>
  <si>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</si>
  <si>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</si>
  <si>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</si>
  <si>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</si>
  <si>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</si>
  <si>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</si>
  <si>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</si>
  <si>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</si>
  <si>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</si>
  <si>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</si>
  <si>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</si>
  <si>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</si>
  <si>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</si>
  <si>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</si>
  <si>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</si>
  <si>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</si>
  <si>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</si>
  <si>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</si>
  <si>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</si>
  <si>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</si>
  <si>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</si>
  <si>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</si>
  <si>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</si>
  <si>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</si>
  <si>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</si>
  <si>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</si>
  <si>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</si>
  <si>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</si>
  <si>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</si>
  <si>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</si>
  <si>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</si>
  <si>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</si>
  <si>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</si>
  <si>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</si>
  <si>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</si>
  <si>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</si>
  <si>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</si>
  <si>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</si>
  <si>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</si>
  <si>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</si>
  <si>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</si>
  <si>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</si>
  <si>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</si>
  <si>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</si>
  <si>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</si>
  <si>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</si>
  <si>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</si>
  <si>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</si>
  <si>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</si>
  <si>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</si>
  <si>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</si>
  <si>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</si>
  <si>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</si>
  <si>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</si>
  <si>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</si>
  <si>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</si>
  <si>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</si>
  <si>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</si>
  <si>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</si>
  <si>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</si>
  <si>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</si>
  <si>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</si>
  <si>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</si>
  <si>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</si>
  <si>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</si>
  <si>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</si>
  <si>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</si>
  <si>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</si>
  <si>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</si>
  <si>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</si>
  <si>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</si>
  <si>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</si>
  <si>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</si>
  <si>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</si>
  <si>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</si>
  <si>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</si>
  <si>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</si>
  <si>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</si>
  <si>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</si>
  <si>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</si>
  <si>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</si>
  <si>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</si>
  <si>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</si>
  <si>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</si>
  <si>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</si>
  <si>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</si>
  <si>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</si>
  <si>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</si>
  <si>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</si>
  <si>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</si>
  <si>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</si>
  <si>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</si>
  <si>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</si>
  <si>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</si>
  <si>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</si>
  <si>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</si>
  <si>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</si>
  <si>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</si>
  <si>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</si>
  <si>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</si>
  <si>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</si>
  <si>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</si>
  <si>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</si>
  <si>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</si>
  <si>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</si>
  <si>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</si>
  <si>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</si>
  <si>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</si>
  <si>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</si>
  <si>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</si>
  <si>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</si>
  <si>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</si>
  <si>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</si>
  <si>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</si>
  <si>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</si>
  <si>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</si>
  <si>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</si>
  <si>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</si>
  <si>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</si>
  <si>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</si>
  <si>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</si>
  <si>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</si>
  <si>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</si>
  <si>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</si>
  <si>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</si>
  <si>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</si>
  <si>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</si>
  <si>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</si>
  <si>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</si>
  <si>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</si>
  <si>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</si>
  <si>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</si>
  <si>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</si>
  <si>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</si>
  <si>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</si>
  <si>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</si>
  <si>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</si>
  <si>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</si>
  <si>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</si>
  <si>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</si>
  <si>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</si>
  <si>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</si>
  <si>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</si>
  <si>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</si>
  <si>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</si>
  <si>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</si>
  <si>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</si>
  <si>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</si>
  <si>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</si>
  <si>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</si>
  <si>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</si>
  <si>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</si>
  <si>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</si>
  <si>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</si>
  <si>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</si>
  <si>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</si>
  <si>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</si>
  <si>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</si>
  <si>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</si>
  <si>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</si>
  <si>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</si>
  <si>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</si>
  <si>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</si>
  <si>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</si>
  <si>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</si>
  <si>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</si>
  <si>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</si>
  <si>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</si>
  <si>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</si>
  <si>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</si>
  <si>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</si>
  <si>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</si>
  <si>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</si>
  <si>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</si>
  <si>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</si>
  <si>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</si>
  <si>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</si>
  <si>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</si>
  <si>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</si>
  <si>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</si>
  <si>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</si>
  <si>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</si>
  <si>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</si>
  <si>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</si>
  <si>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</si>
  <si>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</si>
  <si>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</si>
  <si>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</si>
  <si>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</si>
  <si>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</si>
  <si>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</si>
  <si>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</si>
  <si>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</si>
  <si>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</si>
  <si>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</si>
  <si>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</si>
  <si>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</si>
  <si>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</si>
  <si>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</si>
  <si>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</si>
  <si>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</si>
  <si>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</si>
  <si>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</si>
  <si>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</si>
  <si>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</si>
  <si>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</si>
  <si>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</si>
  <si>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</si>
  <si>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</si>
  <si>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</si>
  <si>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</si>
  <si>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</si>
  <si>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</si>
  <si>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</si>
  <si>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</si>
  <si>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</si>
  <si>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</si>
  <si>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</si>
  <si>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</si>
  <si>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</si>
  <si>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</si>
  <si>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</si>
  <si>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</si>
  <si>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</si>
  <si>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</si>
  <si>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</si>
  <si>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</si>
  <si>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</si>
  <si>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</si>
  <si>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</si>
  <si>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</si>
  <si>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</si>
  <si>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</si>
  <si>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</si>
  <si>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</si>
  <si>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</si>
  <si>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</si>
  <si>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</si>
  <si>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</si>
  <si>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</si>
  <si>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</si>
  <si>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</si>
  <si>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</si>
  <si>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</si>
  <si>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</si>
  <si>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</si>
  <si>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</si>
  <si>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</si>
  <si>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</si>
  <si>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</si>
  <si>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</si>
  <si>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</si>
  <si>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</si>
  <si>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</si>
  <si>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</si>
  <si>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</si>
  <si>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</si>
  <si>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</si>
  <si>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</si>
  <si>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</si>
  <si>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</si>
  <si>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</si>
  <si>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</si>
  <si>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</si>
  <si>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</si>
  <si>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</si>
  <si>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</si>
  <si>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</si>
  <si>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</si>
  <si>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</si>
  <si>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</si>
  <si>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</si>
  <si>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</si>
  <si>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</si>
  <si>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</si>
  <si>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</si>
  <si>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</si>
  <si>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</si>
  <si>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</si>
  <si>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</si>
  <si>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</si>
  <si>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</si>
  <si>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</si>
  <si>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</si>
  <si>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</si>
  <si>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</si>
  <si>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</si>
  <si>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</si>
  <si>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</si>
  <si>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</si>
  <si>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</si>
  <si>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</si>
  <si>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</si>
  <si>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</si>
  <si>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</si>
  <si>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</si>
  <si>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</si>
  <si>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</si>
  <si>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</si>
  <si>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</si>
  <si>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</si>
  <si>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</si>
  <si>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</si>
  <si>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</si>
  <si>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</si>
  <si>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</si>
  <si>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</si>
  <si>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</si>
  <si>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</si>
  <si>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</si>
  <si>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</si>
  <si>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</si>
  <si>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</si>
  <si>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</si>
  <si>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</si>
  <si>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</si>
  <si>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</si>
  <si>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</si>
  <si>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</si>
  <si>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</si>
  <si>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</si>
  <si>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</si>
  <si>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</si>
  <si>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</si>
  <si>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</si>
  <si>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</si>
  <si>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</si>
  <si>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</si>
  <si>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</si>
  <si>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</si>
  <si>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</si>
  <si>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</si>
  <si>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</si>
  <si>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</si>
  <si>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</si>
  <si>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</si>
  <si>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</si>
  <si>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</si>
  <si>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</si>
  <si>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</si>
  <si>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</si>
  <si>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</si>
  <si>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</si>
  <si>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</si>
  <si>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</si>
  <si>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</si>
  <si>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</si>
  <si>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</si>
  <si>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</si>
  <si>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</si>
  <si>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</si>
  <si>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</si>
  <si>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</si>
  <si>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</si>
  <si>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</si>
  <si>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</si>
  <si>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</si>
  <si>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</si>
  <si>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</si>
  <si>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</si>
  <si>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</si>
  <si>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</si>
  <si>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</si>
  <si>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</si>
  <si>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</si>
  <si>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</si>
  <si>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</si>
  <si>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</si>
  <si>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</si>
  <si>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</si>
  <si>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</si>
  <si>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</si>
  <si>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</si>
  <si>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</si>
  <si>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</si>
  <si>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</si>
  <si>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</si>
  <si>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</si>
  <si>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</si>
  <si>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</si>
  <si>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</si>
  <si>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</si>
  <si>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</si>
  <si>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</si>
  <si>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</si>
  <si>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</si>
  <si>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</si>
  <si>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</si>
  <si>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</si>
  <si>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</si>
  <si>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</si>
  <si>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</si>
  <si>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</si>
  <si>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</si>
  <si>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</si>
  <si>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</si>
  <si>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</si>
  <si>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</si>
  <si>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</si>
  <si>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</si>
  <si>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</si>
  <si>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</si>
  <si>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</si>
  <si>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</si>
  <si>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</si>
  <si>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</si>
  <si>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</si>
  <si>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</si>
  <si>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</si>
  <si>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</si>
  <si>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</si>
  <si>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</si>
  <si>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</si>
  <si>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</si>
  <si>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</si>
  <si>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</si>
  <si>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</si>
  <si>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</si>
  <si>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</si>
  <si>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</si>
  <si>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</si>
  <si>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</si>
  <si>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</si>
  <si>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</si>
  <si>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</si>
  <si>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</si>
  <si>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</si>
  <si>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</si>
  <si>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</si>
  <si>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</si>
  <si>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</si>
  <si>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</si>
  <si>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</si>
  <si>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</si>
  <si>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</si>
  <si>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</si>
  <si>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</si>
  <si>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</si>
  <si>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</si>
  <si>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</si>
  <si>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</si>
  <si>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</si>
  <si>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</si>
  <si>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</si>
  <si>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</si>
  <si>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</si>
  <si>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</si>
  <si>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</si>
  <si>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</si>
  <si>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</si>
  <si>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</si>
  <si>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</si>
  <si>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</si>
  <si>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</si>
  <si>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</si>
  <si>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</si>
  <si>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</si>
  <si>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</si>
  <si>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</si>
  <si>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</si>
  <si>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</si>
  <si>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</si>
  <si>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</si>
  <si>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</si>
  <si>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</si>
  <si>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</si>
  <si>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</si>
  <si>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</si>
  <si>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</si>
  <si>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</si>
  <si>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</si>
  <si>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</si>
  <si>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</si>
  <si>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</si>
  <si>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</si>
  <si>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</si>
  <si>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</si>
  <si>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</si>
  <si>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</si>
  <si>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</si>
  <si>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</si>
  <si>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</si>
  <si>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</si>
  <si>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</si>
  <si>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</si>
  <si>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</si>
  <si>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</si>
  <si>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</si>
  <si>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</si>
  <si>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</si>
  <si>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</si>
  <si>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</si>
  <si>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</si>
  <si>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</si>
  <si>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</si>
  <si>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</si>
  <si>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</si>
  <si>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</si>
  <si>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</si>
  <si>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</si>
  <si>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</si>
  <si>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</si>
  <si>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</si>
  <si>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</si>
  <si>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</si>
  <si>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</si>
  <si>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</si>
  <si>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</si>
  <si>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</si>
  <si>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</si>
  <si>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</si>
  <si>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</si>
  <si>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</si>
  <si>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</si>
  <si>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</si>
  <si>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</si>
  <si>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</si>
  <si>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</si>
  <si>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</si>
  <si>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</si>
  <si>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</si>
  <si>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</si>
  <si>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</si>
  <si>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</si>
  <si>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</si>
  <si>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</si>
  <si>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</si>
  <si>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</si>
  <si>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</si>
  <si>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</si>
  <si>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</si>
  <si>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</si>
  <si>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</si>
  <si>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</si>
  <si>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</si>
  <si>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</si>
  <si>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</si>
  <si>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</si>
  <si>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</si>
  <si>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</si>
  <si>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</si>
  <si>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</si>
  <si>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</si>
  <si>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</si>
  <si>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</si>
  <si>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</si>
  <si>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</si>
  <si>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</si>
  <si>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</si>
  <si>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</si>
  <si>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</si>
  <si>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</si>
  <si>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</si>
  <si>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</si>
  <si>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</si>
  <si>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</si>
  <si>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</si>
  <si>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</si>
  <si>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</si>
  <si>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</si>
  <si>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</si>
  <si>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</si>
  <si>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</si>
  <si>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</si>
  <si>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</si>
  <si>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</si>
  <si>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</si>
  <si>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</si>
  <si>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</si>
  <si>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</si>
  <si>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</si>
  <si>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</si>
  <si>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</si>
  <si>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</si>
  <si>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</si>
  <si>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</si>
  <si>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</si>
  <si>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</si>
  <si>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</si>
  <si>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</si>
  <si>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</si>
  <si>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</si>
  <si>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</si>
  <si>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</si>
  <si>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</si>
  <si>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</si>
  <si>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</si>
  <si>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</si>
  <si>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</si>
  <si>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</si>
  <si>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</si>
  <si>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</si>
  <si>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</si>
  <si>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</si>
  <si>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</si>
  <si>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</si>
  <si>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</si>
  <si>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</si>
  <si>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</si>
  <si>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</si>
  <si>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</si>
  <si>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</si>
  <si>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</si>
  <si>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</si>
  <si>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</si>
  <si>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</si>
  <si>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</si>
  <si>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</si>
  <si>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</si>
  <si>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</si>
  <si>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</si>
  <si>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</si>
  <si>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</si>
  <si>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</si>
  <si>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</si>
  <si>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</si>
  <si>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</si>
  <si>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</si>
  <si>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</si>
  <si>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</si>
  <si>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</si>
  <si>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</si>
  <si>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</si>
  <si>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</si>
  <si>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</si>
  <si>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</si>
  <si>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</si>
  <si>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</si>
  <si>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</si>
  <si>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</si>
  <si>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</si>
  <si>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</si>
  <si>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</si>
  <si>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</si>
  <si>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</si>
  <si>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</si>
  <si>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</si>
  <si>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</si>
  <si>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</si>
  <si>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</si>
  <si>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</si>
  <si>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</si>
  <si>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</si>
  <si>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</si>
  <si>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</si>
  <si>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</si>
  <si>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</si>
  <si>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</si>
  <si>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</si>
  <si>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</si>
  <si>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</si>
  <si>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</si>
  <si>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</si>
  <si>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</si>
  <si>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</si>
  <si>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</si>
  <si>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</si>
  <si>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</si>
  <si>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</si>
  <si>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</si>
  <si>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</si>
  <si>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</si>
  <si>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</si>
  <si>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</si>
  <si>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</si>
  <si>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</si>
  <si>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</si>
  <si>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</si>
  <si>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</si>
  <si>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</si>
  <si>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</si>
  <si>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</si>
  <si>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</si>
  <si>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</si>
  <si>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</si>
  <si>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</si>
  <si>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</si>
  <si>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</si>
  <si>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</si>
  <si>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</si>
  <si>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</si>
  <si>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</si>
  <si>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</si>
  <si>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</si>
  <si>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</si>
  <si>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</si>
  <si>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</si>
  <si>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</si>
  <si>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</si>
  <si>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</si>
  <si>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</si>
  <si>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</si>
  <si>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</si>
  <si>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</si>
  <si>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</si>
  <si>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</si>
  <si>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</si>
  <si>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</si>
  <si>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</si>
  <si>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</si>
  <si>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</si>
  <si>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</si>
  <si>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</si>
  <si>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</si>
  <si>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</si>
  <si>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</si>
  <si>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</si>
  <si>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</si>
  <si>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</si>
  <si>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</si>
  <si>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</si>
  <si>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</si>
  <si>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</si>
  <si>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</si>
  <si>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</si>
  <si>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</si>
  <si>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</si>
  <si>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</si>
  <si>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</si>
  <si>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</si>
  <si>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</si>
  <si>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</si>
  <si>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</si>
  <si>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</si>
  <si>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</si>
  <si>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</si>
  <si>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</si>
  <si>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</si>
  <si>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</si>
  <si>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</si>
  <si>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</si>
  <si>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</si>
  <si>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</si>
  <si>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</si>
  <si>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</si>
  <si>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</si>
  <si>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</si>
  <si>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</si>
  <si>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</si>
  <si>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</si>
  <si>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</si>
  <si>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</si>
  <si>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</si>
  <si>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</si>
  <si>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</si>
  <si>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</si>
  <si>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</si>
  <si>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</si>
  <si>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</si>
  <si>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</si>
  <si>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</si>
  <si>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</si>
  <si>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</si>
  <si>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</si>
  <si>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</si>
  <si>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</si>
  <si>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</si>
  <si>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</si>
  <si>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</si>
  <si>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</si>
  <si>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</si>
  <si>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</si>
  <si>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</si>
  <si>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</si>
  <si>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</si>
  <si>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</si>
  <si>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</si>
  <si>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</si>
  <si>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</si>
  <si>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</si>
  <si>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</si>
  <si>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</si>
  <si>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</si>
  <si>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</si>
  <si>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</si>
  <si>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</si>
  <si>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</si>
  <si>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</si>
  <si>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</si>
  <si>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</si>
  <si>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</si>
  <si>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</si>
  <si>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</si>
  <si>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</si>
  <si>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</si>
  <si>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</si>
  <si>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</si>
  <si>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</si>
  <si>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</si>
  <si>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</si>
  <si>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</si>
  <si>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</si>
  <si>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</si>
  <si>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</si>
  <si>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</si>
  <si>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</si>
  <si>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</si>
  <si>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</si>
  <si>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</si>
  <si>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</si>
  <si>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</si>
  <si>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</si>
  <si>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</si>
  <si>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</si>
  <si>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</si>
  <si>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</si>
  <si>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</si>
  <si>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</si>
  <si>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</si>
  <si>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</si>
  <si>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</si>
  <si>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</si>
  <si>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</si>
  <si>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</si>
  <si>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</si>
  <si>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</si>
  <si>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</si>
  <si>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</si>
  <si>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</si>
  <si>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</si>
  <si>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</si>
  <si>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</si>
  <si>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</si>
  <si>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</si>
  <si>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</si>
  <si>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</si>
  <si>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</si>
  <si>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</si>
  <si>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</si>
  <si>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</si>
  <si>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</si>
  <si>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</si>
  <si>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</si>
  <si>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</si>
  <si>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</si>
  <si>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</si>
  <si>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</si>
  <si>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</si>
  <si>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</si>
  <si>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</si>
  <si>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</si>
  <si>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</si>
  <si>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</si>
  <si>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</si>
  <si>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</si>
  <si>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</si>
  <si>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</si>
  <si>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</si>
  <si>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</si>
  <si>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</si>
  <si>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</si>
  <si>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</si>
  <si>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</si>
  <si>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</si>
  <si>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</si>
  <si>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</si>
  <si>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</si>
  <si>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</si>
  <si>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</si>
  <si>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</si>
  <si>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</si>
  <si>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</si>
  <si>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</si>
  <si>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</si>
  <si>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</si>
  <si>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</si>
  <si>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</si>
  <si>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</si>
  <si>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</si>
  <si>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</si>
  <si>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</si>
  <si>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</si>
  <si>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</si>
  <si>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</si>
  <si>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</si>
  <si>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</si>
  <si>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</si>
  <si>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</si>
  <si>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</si>
  <si>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</si>
  <si>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</si>
  <si>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</si>
  <si>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</si>
  <si>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</si>
  <si>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</si>
  <si>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</si>
  <si>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</si>
  <si>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</si>
  <si>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</si>
  <si>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</si>
  <si>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</si>
  <si>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</si>
  <si>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</si>
  <si>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</si>
  <si>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</si>
  <si>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</si>
  <si>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</si>
  <si>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</si>
  <si>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</si>
  <si>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</si>
  <si>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</si>
  <si>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</si>
  <si>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</si>
  <si>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</si>
  <si>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</si>
  <si>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</si>
  <si>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</si>
  <si>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</si>
  <si>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</si>
  <si>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</si>
  <si>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</si>
  <si>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</si>
  <si>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</si>
  <si>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</si>
  <si>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</si>
  <si>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</si>
  <si>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</si>
  <si>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</si>
  <si>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</si>
  <si>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</si>
  <si>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</si>
  <si>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</si>
  <si>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</si>
  <si>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</si>
  <si>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</si>
  <si>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</si>
  <si>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</si>
  <si>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</si>
  <si>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</si>
  <si>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</si>
  <si>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</si>
  <si>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</si>
  <si>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</si>
  <si>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</si>
  <si>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</si>
  <si>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</si>
  <si>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</si>
  <si>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</si>
  <si>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</si>
  <si>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</si>
  <si>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</si>
  <si>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</si>
  <si>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</si>
  <si>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</si>
  <si>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</si>
  <si>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</si>
  <si>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</si>
  <si>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</si>
  <si>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</si>
  <si>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</si>
  <si>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</si>
  <si>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</si>
  <si>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</si>
  <si>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</si>
  <si>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</si>
  <si>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</si>
  <si>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</si>
  <si>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</si>
  <si>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</si>
  <si>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</si>
  <si>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</si>
  <si>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</si>
  <si>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</si>
  <si>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</si>
  <si>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</si>
  <si>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</si>
  <si>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</si>
  <si>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</si>
  <si>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</si>
  <si>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</si>
  <si>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</si>
  <si>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</si>
  <si>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</si>
  <si>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</si>
  <si>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</si>
  <si>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</si>
  <si>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</si>
  <si>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</si>
  <si>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</si>
  <si>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</si>
  <si>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</si>
  <si>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</si>
  <si>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</si>
  <si>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</si>
  <si>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</si>
  <si>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</si>
  <si>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</si>
  <si>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</si>
  <si>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</si>
  <si>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</si>
  <si>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</si>
  <si>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</si>
  <si>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</si>
  <si>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</si>
  <si>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</si>
  <si>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</si>
  <si>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</si>
  <si>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</si>
  <si>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</si>
  <si>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</si>
  <si>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</si>
  <si>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</si>
  <si>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</si>
  <si>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</si>
  <si>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</si>
  <si>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</si>
  <si>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</si>
  <si>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</si>
  <si>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</si>
  <si>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</si>
  <si>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</si>
  <si>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</si>
  <si>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</si>
  <si>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</si>
  <si>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</si>
  <si>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</si>
  <si>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</si>
  <si>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</si>
  <si>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</si>
  <si>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</si>
  <si>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</si>
  <si>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</si>
  <si>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</si>
  <si>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</si>
  <si>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</si>
  <si>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</si>
  <si>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</si>
  <si>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</si>
  <si>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</si>
  <si>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</si>
  <si>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</si>
  <si>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</si>
  <si>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</si>
  <si>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</si>
  <si>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</si>
  <si>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</si>
  <si>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</si>
  <si>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</si>
  <si>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</si>
  <si>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</si>
  <si>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</si>
  <si>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</si>
  <si>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</si>
  <si>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</si>
  <si>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</si>
  <si>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</si>
  <si>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</si>
  <si>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</si>
  <si>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</si>
  <si>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</si>
  <si>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</si>
  <si>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</si>
  <si>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</si>
  <si>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</si>
  <si>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</si>
  <si>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</si>
  <si>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</si>
  <si>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</si>
  <si>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</si>
  <si>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</si>
  <si>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</si>
  <si>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</si>
  <si>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</si>
  <si>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</si>
  <si>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</si>
  <si>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</si>
  <si>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</si>
  <si>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</si>
  <si>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</si>
  <si>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</si>
  <si>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</si>
  <si>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</si>
  <si>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</si>
  <si>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</si>
  <si>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</si>
  <si>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</si>
  <si>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</si>
  <si>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</si>
  <si>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</si>
  <si>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</si>
  <si>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</si>
  <si>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</si>
  <si>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</si>
  <si>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</si>
  <si>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</si>
  <si>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</si>
  <si>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</si>
  <si>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</si>
  <si>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</si>
  <si>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</si>
  <si>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</si>
  <si>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</si>
  <si>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</si>
  <si>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</si>
  <si>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</si>
  <si>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</si>
  <si>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</si>
  <si>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</si>
  <si>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</si>
  <si>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</si>
  <si>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</si>
  <si>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</si>
  <si>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</si>
  <si>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</si>
  <si>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</si>
  <si>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</si>
  <si>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</si>
  <si>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</si>
  <si>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</si>
  <si>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</si>
  <si>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</si>
  <si>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</si>
  <si>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</si>
  <si>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</si>
  <si>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</si>
  <si>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</si>
  <si>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</si>
  <si>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</si>
  <si>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</si>
  <si>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</si>
  <si>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</si>
  <si>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</si>
  <si>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</si>
  <si>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</si>
  <si>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</si>
  <si>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</si>
  <si>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</si>
  <si>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</si>
  <si>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</si>
  <si>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</si>
  <si>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</si>
  <si>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</si>
  <si>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</si>
  <si>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</si>
  <si>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</si>
  <si>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</si>
  <si>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</si>
  <si>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</si>
  <si>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</si>
  <si>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</si>
  <si>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</si>
  <si>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</si>
  <si>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</si>
  <si>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</si>
  <si>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</si>
  <si>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</si>
  <si>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</si>
  <si>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</si>
  <si>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</si>
  <si>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</si>
  <si>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</si>
  <si>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</si>
  <si>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</si>
  <si>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</si>
  <si>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</si>
  <si>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</si>
  <si>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</si>
  <si>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</si>
  <si>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</si>
  <si>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</si>
  <si>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</si>
  <si>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</si>
  <si>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</si>
  <si>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</si>
  <si>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</si>
  <si>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</si>
  <si>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</si>
  <si>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</si>
  <si>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</si>
  <si>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</si>
  <si>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</si>
  <si>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</si>
  <si>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</si>
  <si>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</si>
  <si>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</si>
  <si>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</si>
  <si>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</si>
  <si>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</si>
  <si>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</si>
  <si>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</si>
  <si>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</si>
  <si>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</si>
  <si>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</si>
  <si>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</si>
  <si>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</si>
  <si>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</si>
  <si>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</si>
  <si>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</si>
  <si>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</si>
  <si>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</si>
  <si>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</si>
  <si>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</si>
  <si>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</si>
  <si>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</si>
  <si>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</si>
  <si>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</si>
  <si>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</si>
  <si>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</si>
  <si>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</si>
  <si>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</si>
  <si>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</si>
  <si>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</si>
  <si>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</si>
  <si>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</si>
  <si>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</si>
  <si>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</si>
  <si>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</si>
  <si>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</si>
  <si>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</si>
  <si>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</si>
  <si>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</si>
  <si>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</si>
  <si>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</si>
  <si>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</si>
  <si>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</si>
  <si>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</si>
  <si>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</si>
  <si>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</si>
  <si>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</si>
  <si>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</si>
  <si>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</si>
  <si>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</si>
  <si>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</si>
  <si>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</si>
  <si>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</si>
  <si>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</si>
  <si>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</si>
  <si>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</si>
  <si>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</si>
  <si>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</si>
  <si>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</si>
  <si>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</si>
  <si>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</si>
  <si>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</si>
  <si>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</si>
  <si>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</si>
  <si>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</si>
  <si>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</si>
  <si>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</si>
  <si>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</si>
  <si>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</si>
  <si>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</si>
  <si>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</si>
  <si>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</si>
  <si>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</si>
  <si>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</si>
  <si>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</si>
  <si>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</si>
  <si>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</si>
  <si>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</si>
  <si>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</si>
  <si>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</si>
  <si>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</si>
  <si>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</si>
  <si>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</si>
  <si>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</si>
  <si>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</si>
  <si>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</si>
  <si>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</si>
  <si>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</si>
  <si>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</si>
  <si>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</si>
  <si>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</si>
  <si>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</si>
  <si>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</si>
  <si>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</si>
  <si>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</si>
  <si>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</si>
  <si>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</si>
  <si>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</si>
  <si>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</si>
  <si>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</si>
  <si>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</si>
  <si>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</si>
  <si>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</si>
  <si>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</si>
  <si>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</si>
  <si>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</si>
  <si>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</si>
  <si>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</si>
  <si>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</si>
  <si>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</si>
  <si>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</si>
  <si>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</si>
  <si>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</si>
  <si>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</si>
  <si>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</si>
  <si>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</si>
  <si>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</si>
  <si>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</si>
  <si>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</si>
  <si>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</si>
  <si>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</si>
  <si>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</si>
  <si>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</si>
  <si>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</si>
  <si>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</si>
  <si>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</si>
  <si>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</si>
  <si>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</si>
  <si>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</si>
  <si>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</si>
  <si>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</si>
  <si>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</si>
  <si>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</si>
  <si>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</si>
  <si>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</si>
  <si>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</si>
  <si>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</si>
  <si>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</si>
  <si>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</si>
  <si>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</si>
  <si>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</si>
  <si>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</si>
  <si>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</si>
  <si>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</si>
  <si>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</si>
  <si>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</si>
  <si>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</si>
  <si>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</si>
  <si>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</si>
  <si>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</si>
  <si>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</si>
  <si>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</si>
  <si>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</si>
  <si>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</si>
  <si>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</si>
  <si>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</si>
  <si>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</si>
  <si>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</si>
  <si>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</si>
  <si>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</si>
  <si>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</si>
  <si>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</si>
  <si>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</si>
  <si>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</si>
  <si>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</si>
  <si>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</si>
  <si>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</si>
  <si>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</si>
  <si>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</si>
  <si>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</si>
  <si>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</si>
  <si>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</si>
  <si>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</si>
  <si>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</si>
  <si>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</si>
  <si>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</si>
  <si>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</si>
  <si>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</si>
  <si>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</si>
  <si>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</si>
  <si>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</si>
  <si>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</si>
  <si>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</si>
  <si>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</si>
  <si>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</si>
  <si>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</si>
  <si>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</si>
  <si>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</si>
  <si>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</si>
  <si>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</si>
  <si>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</si>
  <si>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</si>
  <si>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</si>
  <si>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</si>
  <si>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</si>
  <si>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</si>
  <si>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</si>
  <si>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</si>
  <si>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</si>
  <si>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</si>
  <si>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</si>
  <si>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</si>
  <si>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</si>
  <si>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</si>
  <si>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</si>
  <si>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</si>
  <si>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</si>
  <si>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</si>
  <si>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</si>
  <si>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</si>
  <si>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</si>
  <si>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</si>
  <si>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</si>
  <si>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</si>
  <si>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</si>
  <si>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</si>
  <si>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</si>
  <si>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</si>
  <si>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</si>
  <si>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</si>
  <si>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</si>
  <si>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</si>
  <si>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</si>
  <si>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</si>
  <si>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</si>
  <si>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</si>
  <si>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</si>
  <si>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</si>
  <si>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</si>
  <si>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</si>
  <si>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</si>
  <si>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</si>
  <si>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</si>
  <si>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</si>
  <si>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</si>
  <si>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</si>
  <si>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</si>
  <si>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</si>
  <si>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</si>
  <si>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</si>
  <si>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</si>
  <si>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</si>
  <si>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</si>
  <si>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</si>
  <si>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</si>
  <si>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</si>
  <si>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</si>
  <si>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</si>
  <si>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</si>
  <si>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</si>
  <si>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</si>
  <si>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</si>
  <si>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</si>
  <si>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</si>
  <si>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</si>
  <si>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</si>
  <si>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</si>
  <si>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</si>
  <si>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</si>
  <si>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</si>
  <si>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</si>
  <si>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</si>
  <si>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</si>
  <si>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</si>
  <si>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</si>
  <si>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</si>
  <si>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</si>
  <si>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</si>
  <si>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</si>
  <si>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</si>
  <si>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</si>
  <si>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</si>
  <si>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</si>
  <si>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</si>
  <si>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</si>
  <si>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</si>
  <si>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</si>
  <si>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</si>
  <si>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</si>
  <si>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</si>
  <si>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</si>
  <si>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</si>
  <si>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</si>
  <si>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</si>
  <si>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</si>
  <si>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</si>
  <si>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</si>
  <si>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</si>
  <si>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</si>
  <si>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</si>
  <si>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</si>
  <si>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</si>
  <si>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</si>
  <si>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</si>
  <si>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</si>
  <si>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</si>
  <si>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</si>
  <si>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</si>
  <si>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</si>
  <si>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</si>
  <si>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</si>
  <si>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</si>
  <si>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</si>
  <si>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</si>
  <si>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</si>
  <si>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</si>
  <si>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</si>
  <si>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</si>
  <si>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</si>
  <si>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</si>
  <si>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</si>
  <si>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</si>
  <si>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</si>
  <si>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</si>
  <si>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</si>
  <si>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</si>
  <si>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</si>
  <si>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</si>
  <si>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</si>
  <si>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</si>
  <si>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</si>
  <si>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</si>
  <si>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</si>
  <si>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</si>
  <si>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</si>
  <si>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</si>
  <si>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</si>
  <si>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</si>
  <si>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</si>
  <si>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</si>
  <si>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</si>
  <si>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</si>
  <si>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</si>
  <si>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</si>
  <si>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</si>
  <si>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</si>
  <si>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</si>
  <si>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</si>
  <si>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</si>
  <si>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</si>
  <si>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</si>
  <si>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</si>
  <si>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</si>
  <si>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</si>
  <si>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</si>
  <si>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</si>
  <si>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</si>
  <si>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</si>
  <si>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</si>
  <si>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</si>
  <si>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</si>
  <si>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</si>
  <si>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</si>
  <si>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</si>
  <si>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</si>
  <si>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</si>
  <si>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</si>
  <si>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</si>
  <si>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</si>
  <si>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</si>
  <si>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</si>
  <si>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</si>
  <si>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</si>
  <si>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</si>
  <si>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</si>
  <si>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</si>
  <si>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</si>
  <si>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</si>
  <si>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</si>
  <si>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</si>
  <si>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</si>
  <si>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</si>
  <si>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</si>
  <si>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</si>
  <si>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</si>
  <si>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</si>
  <si>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</si>
  <si>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</si>
  <si>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</si>
  <si>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</si>
  <si>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</si>
  <si>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</si>
  <si>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</si>
  <si>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</si>
  <si>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</si>
  <si>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</si>
  <si>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</si>
  <si>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</si>
  <si>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</si>
  <si>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</si>
  <si>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</si>
  <si>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</si>
  <si>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</si>
  <si>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</si>
  <si>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</si>
  <si>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</si>
  <si>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</si>
  <si>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</si>
  <si>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</si>
  <si>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</si>
  <si>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</si>
  <si>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</si>
  <si>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</si>
  <si>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</si>
  <si>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</si>
  <si>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</si>
  <si>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</si>
  <si>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</si>
  <si>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</si>
  <si>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</si>
  <si>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</si>
  <si>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</si>
  <si>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</si>
  <si>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</si>
  <si>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</si>
  <si>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</si>
  <si>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</si>
  <si>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</si>
  <si>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</si>
  <si>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</si>
  <si>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</si>
  <si>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</si>
  <si>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</si>
  <si>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</si>
  <si>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</si>
  <si>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</si>
  <si>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</si>
  <si>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</si>
  <si>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</si>
  <si>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</si>
  <si>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</si>
  <si>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</si>
  <si>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</si>
  <si>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</si>
  <si>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</si>
  <si>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</si>
  <si>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</si>
  <si>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</si>
  <si>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</si>
  <si>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</si>
  <si>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</si>
  <si>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</si>
  <si>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</si>
  <si>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</si>
  <si>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</si>
  <si>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</si>
  <si>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</si>
  <si>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</si>
  <si>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</si>
  <si>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</si>
  <si>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</si>
  <si>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</si>
  <si>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</si>
  <si>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</si>
  <si>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</si>
  <si>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</si>
  <si>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</si>
  <si>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</si>
  <si>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</si>
  <si>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</si>
  <si>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</si>
  <si>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</si>
  <si>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</si>
  <si>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</si>
  <si>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</si>
  <si>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</si>
  <si>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</si>
  <si>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</si>
  <si>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</si>
  <si>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</si>
  <si>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</si>
  <si>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</si>
  <si>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</si>
  <si>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</si>
  <si>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</si>
  <si>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</si>
  <si>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</si>
  <si>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</si>
  <si>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</si>
  <si>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</si>
  <si>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</si>
  <si>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</si>
  <si>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</si>
  <si>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</si>
  <si>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</si>
  <si>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</si>
  <si>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</si>
  <si>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</si>
  <si>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</si>
  <si>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</si>
  <si>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</si>
  <si>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</si>
  <si>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</si>
  <si>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</si>
  <si>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</si>
  <si>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</si>
  <si>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</si>
  <si>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</si>
  <si>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</si>
  <si>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</si>
  <si>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</si>
  <si>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</si>
  <si>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</si>
  <si>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</si>
  <si>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</si>
  <si>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</si>
  <si>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</si>
  <si>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</si>
  <si>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</si>
  <si>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</si>
  <si>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</si>
  <si>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</si>
  <si>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</si>
  <si>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</si>
  <si>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</si>
  <si>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</si>
  <si>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</si>
  <si>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</si>
  <si>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</si>
  <si>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</si>
  <si>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</si>
  <si>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</si>
  <si>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</si>
  <si>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</si>
  <si>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</si>
  <si>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</si>
  <si>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</si>
  <si>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</si>
  <si>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</si>
  <si>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</si>
  <si>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</si>
  <si>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</si>
  <si>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</si>
  <si>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</si>
  <si>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</si>
  <si>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</si>
  <si>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</si>
  <si>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</si>
  <si>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</si>
  <si>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</si>
  <si>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</si>
  <si>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</si>
  <si>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</si>
  <si>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</si>
  <si>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</si>
  <si>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</si>
  <si>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</si>
  <si>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</si>
  <si>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</si>
  <si>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</si>
  <si>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</si>
  <si>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</si>
  <si>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</si>
  <si>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</si>
  <si>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</si>
  <si>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</si>
  <si>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</si>
  <si>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</si>
  <si>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</si>
  <si>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</si>
  <si>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</si>
  <si>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</si>
  <si>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</si>
  <si>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</si>
  <si>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</si>
  <si>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</si>
  <si>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</si>
  <si>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</si>
  <si>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</si>
  <si>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</si>
  <si>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</si>
  <si>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</si>
  <si>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</si>
  <si>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</si>
  <si>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</si>
  <si>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</si>
  <si>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</si>
  <si>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</si>
  <si>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</si>
  <si>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</si>
  <si>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</si>
  <si>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</si>
  <si>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</si>
  <si>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</si>
  <si>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</si>
  <si>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</si>
  <si>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</si>
  <si>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</si>
  <si>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</si>
  <si>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</si>
  <si>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</si>
  <si>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</si>
  <si>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</si>
  <si>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</si>
  <si>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</si>
  <si>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</si>
  <si>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</si>
  <si>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</si>
  <si>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</si>
  <si>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</si>
  <si>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</si>
  <si>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</si>
  <si>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</si>
  <si>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</si>
  <si>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</si>
  <si>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</si>
  <si>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</si>
  <si>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</si>
  <si>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</si>
  <si>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</si>
  <si>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</si>
  <si>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</si>
  <si>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</si>
  <si>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</si>
  <si>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</si>
  <si>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</si>
  <si>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</si>
  <si>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</si>
  <si>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</si>
  <si>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</si>
  <si>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</si>
  <si>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</si>
  <si>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</si>
  <si>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</si>
  <si>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</si>
  <si>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</si>
  <si>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</si>
  <si>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</si>
  <si>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</si>
  <si>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</si>
  <si>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</si>
  <si>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</si>
  <si>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</si>
  <si>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</si>
  <si>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</si>
  <si>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</si>
  <si>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</si>
  <si>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</si>
  <si>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</si>
  <si>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</si>
  <si>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</si>
  <si>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</si>
  <si>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</si>
  <si>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</si>
  <si>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</si>
  <si>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</si>
  <si>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</si>
  <si>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</si>
  <si>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</si>
  <si>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</si>
  <si>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</si>
  <si>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</si>
  <si>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</si>
  <si>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</si>
  <si>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</si>
  <si>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</si>
  <si>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</si>
  <si>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</si>
  <si>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</si>
  <si>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</si>
  <si>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</si>
  <si>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</si>
  <si>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</si>
  <si>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</si>
  <si>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</si>
  <si>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</si>
  <si>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</si>
  <si>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</si>
  <si>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</si>
  <si>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</si>
  <si>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</si>
  <si>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</si>
  <si>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</si>
  <si>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</si>
  <si>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</si>
  <si>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</si>
  <si>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</si>
  <si>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</si>
  <si>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</si>
  <si>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</si>
  <si>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</si>
  <si>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</si>
  <si>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</si>
  <si>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</si>
  <si>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</si>
  <si>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</si>
  <si>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</si>
  <si>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</si>
  <si>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</si>
  <si>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</si>
  <si>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</si>
  <si>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</si>
  <si>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</si>
  <si>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</si>
  <si>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</si>
  <si>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</si>
  <si>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</si>
  <si>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</si>
  <si>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</si>
  <si>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</si>
  <si>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</si>
  <si>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</si>
  <si>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</si>
  <si>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</si>
  <si>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</si>
  <si>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</si>
  <si>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</si>
  <si>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</si>
  <si>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</si>
  <si>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</si>
  <si>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</si>
  <si>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</si>
  <si>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</si>
  <si>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</si>
  <si>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</si>
  <si>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</si>
  <si>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</si>
  <si>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</si>
  <si>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</si>
  <si>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</si>
  <si>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</si>
  <si>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</si>
  <si>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</si>
  <si>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</si>
  <si>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</si>
  <si>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</si>
  <si>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</si>
  <si>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</si>
  <si>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</si>
  <si>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</si>
  <si>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</si>
  <si>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</si>
  <si>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</si>
  <si>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</si>
  <si>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</si>
  <si>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</si>
  <si>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</si>
  <si>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</si>
  <si>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</si>
  <si>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</si>
  <si>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</si>
  <si>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</si>
  <si>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</si>
  <si>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</si>
  <si>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</si>
  <si>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</si>
  <si>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</si>
  <si>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</si>
  <si>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</si>
  <si>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</si>
  <si>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</si>
  <si>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</si>
  <si>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</si>
  <si>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</si>
  <si>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</si>
  <si>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</si>
  <si>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</si>
  <si>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</si>
  <si>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</si>
  <si>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</si>
  <si>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</si>
  <si>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</si>
  <si>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</si>
  <si>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</si>
  <si>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</si>
  <si>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</si>
  <si>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</si>
  <si>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</si>
  <si>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</si>
  <si>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</si>
  <si>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</si>
  <si>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</si>
  <si>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</si>
  <si>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</si>
  <si>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</si>
  <si>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</si>
  <si>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</si>
  <si>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</si>
  <si>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</si>
  <si>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</si>
  <si>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</si>
  <si>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</si>
  <si>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</si>
  <si>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</si>
  <si>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</si>
  <si>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</si>
  <si>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</si>
  <si>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</si>
  <si>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</si>
  <si>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</si>
  <si>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</si>
  <si>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</si>
  <si>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</si>
  <si>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</si>
  <si>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</si>
  <si>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</si>
  <si>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</si>
  <si>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</si>
  <si>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</si>
  <si>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</si>
  <si>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</si>
  <si>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</si>
  <si>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</si>
  <si>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</si>
  <si>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</si>
  <si>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</si>
  <si>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</si>
  <si>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</si>
  <si>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</si>
  <si>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</si>
  <si>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</si>
  <si>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</si>
  <si>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</si>
  <si>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</si>
  <si>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</si>
  <si>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</si>
  <si>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</si>
  <si>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</si>
  <si>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</si>
  <si>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</si>
  <si>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</si>
  <si>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</si>
  <si>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</si>
  <si>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</si>
  <si>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</si>
  <si>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</si>
  <si>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</si>
  <si>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</si>
  <si>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</si>
  <si>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</si>
  <si>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</si>
  <si>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</si>
  <si>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</si>
  <si>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</si>
  <si>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</si>
  <si>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</si>
  <si>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</si>
  <si>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</si>
  <si>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</si>
  <si>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</si>
  <si>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</si>
  <si>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</si>
  <si>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</si>
  <si>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</si>
  <si>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</si>
  <si>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</si>
  <si>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</si>
  <si>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</si>
  <si>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</si>
  <si>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</si>
  <si>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</si>
  <si>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</si>
  <si>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</si>
  <si>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</si>
  <si>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</si>
  <si>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</si>
  <si>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</si>
  <si>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</si>
  <si>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</si>
  <si>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</si>
  <si>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</si>
  <si>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</si>
  <si>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</si>
  <si>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</si>
  <si>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</si>
  <si>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</si>
  <si>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</si>
  <si>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</si>
  <si>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</si>
  <si>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</si>
  <si>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</si>
  <si>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</si>
  <si>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</si>
  <si>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</si>
  <si>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</si>
  <si>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</si>
  <si>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</si>
  <si>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</si>
  <si>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</si>
  <si>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</si>
  <si>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</si>
  <si>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</si>
  <si>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</si>
  <si>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</si>
  <si>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</si>
  <si>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</si>
  <si>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</si>
  <si>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</si>
  <si>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</si>
  <si>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</si>
  <si>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</si>
  <si>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</si>
  <si>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</si>
  <si>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</si>
  <si>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</si>
  <si>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</si>
  <si>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</si>
  <si>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</si>
  <si>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</si>
  <si>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</si>
  <si>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</si>
  <si>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</si>
  <si>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</si>
  <si>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</si>
  <si>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</si>
  <si>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</si>
  <si>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</si>
  <si>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</si>
  <si>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</si>
  <si>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</si>
  <si>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</si>
  <si>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</si>
  <si>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</si>
  <si>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</si>
  <si>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</si>
  <si>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</si>
  <si>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</si>
  <si>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</si>
  <si>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</si>
  <si>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</si>
  <si>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</si>
  <si>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</si>
  <si>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</si>
  <si>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</si>
  <si>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</si>
  <si>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</si>
  <si>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</si>
  <si>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</si>
  <si>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</si>
  <si>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</si>
  <si>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</si>
  <si>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</si>
  <si>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</si>
  <si>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</si>
  <si>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</si>
  <si>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</si>
  <si>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</si>
  <si>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</si>
  <si>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</si>
  <si>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</si>
  <si>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</si>
  <si>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</si>
  <si>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</si>
  <si>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</si>
  <si>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</si>
  <si>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</si>
  <si>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</si>
  <si>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</si>
  <si>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</si>
  <si>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</si>
  <si>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</si>
  <si>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</si>
  <si>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</si>
  <si>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</si>
  <si>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</si>
  <si>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</si>
  <si>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</si>
  <si>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</si>
  <si>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</si>
  <si>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</si>
  <si>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</si>
  <si>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</si>
  <si>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</si>
  <si>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</si>
  <si>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</si>
  <si>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</si>
  <si>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</si>
  <si>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</si>
  <si>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</si>
  <si>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</si>
  <si>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</si>
  <si>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</si>
  <si>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</si>
  <si>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</si>
  <si>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</si>
  <si>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</si>
  <si>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</si>
  <si>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</si>
  <si>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</si>
  <si>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</si>
  <si>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</si>
  <si>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</si>
  <si>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</si>
  <si>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</si>
  <si>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</si>
  <si>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</si>
  <si>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</si>
  <si>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</si>
  <si>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</si>
  <si>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</si>
  <si>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</si>
  <si>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</si>
  <si>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</si>
  <si>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</si>
  <si>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</si>
  <si>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</si>
  <si>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</si>
  <si>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</si>
  <si>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</si>
  <si>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</si>
  <si>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</si>
  <si>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</si>
  <si>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</si>
  <si>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</si>
  <si>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</si>
  <si>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</si>
  <si>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</si>
  <si>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</si>
  <si>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</si>
  <si>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</si>
  <si>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</si>
  <si>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</si>
  <si>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</si>
  <si>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</si>
  <si>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</si>
  <si>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</si>
  <si>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</si>
  <si>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</si>
  <si>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</si>
  <si>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</si>
  <si>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</si>
  <si>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</si>
  <si>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</si>
  <si>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</si>
  <si>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</si>
  <si>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</si>
  <si>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</si>
  <si>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</si>
  <si>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</si>
  <si>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</si>
  <si>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</si>
  <si>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</si>
  <si>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</si>
  <si>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</si>
  <si>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</si>
  <si>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</si>
  <si>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</si>
  <si>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</si>
  <si>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</si>
  <si>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</si>
  <si>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</si>
  <si>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</si>
  <si>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</si>
  <si>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</si>
  <si>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</si>
  <si>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</si>
  <si>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</si>
  <si>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</si>
  <si>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</si>
  <si>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</si>
  <si>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</si>
  <si>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</si>
  <si>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</si>
  <si>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</si>
  <si>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</si>
  <si>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</si>
  <si>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</si>
  <si>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</si>
  <si>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</si>
  <si>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</si>
  <si>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</si>
  <si>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</si>
  <si>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</si>
  <si>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</si>
  <si>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</si>
  <si>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</si>
  <si>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</si>
  <si>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</si>
  <si>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</si>
  <si>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</si>
  <si>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</si>
  <si>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</si>
  <si>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</si>
  <si>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</si>
  <si>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</si>
  <si>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</si>
  <si>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</si>
  <si>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</si>
  <si>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</si>
  <si>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</si>
  <si>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</si>
  <si>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</si>
  <si>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</si>
  <si>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</si>
  <si>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</si>
  <si>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</si>
  <si>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</si>
  <si>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</si>
  <si>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</si>
  <si>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</si>
  <si>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</si>
  <si>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</si>
  <si>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</si>
  <si>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</si>
  <si>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</si>
  <si>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</si>
  <si>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</si>
  <si>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</si>
  <si>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</si>
  <si>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</si>
  <si>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</si>
  <si>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</si>
  <si>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</si>
  <si>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</si>
  <si>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</si>
  <si>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</si>
  <si>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</si>
  <si>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</si>
  <si>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</si>
  <si>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</si>
  <si>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</si>
  <si>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</si>
  <si>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</si>
  <si>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</si>
  <si>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</si>
  <si>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</si>
  <si>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</si>
  <si>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</si>
  <si>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</si>
  <si>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</si>
  <si>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</si>
  <si>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</si>
  <si>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</si>
  <si>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</si>
  <si>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</si>
  <si>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</si>
  <si>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</si>
  <si>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</si>
  <si>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</si>
  <si>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</si>
  <si>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</si>
  <si>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</si>
  <si>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</si>
  <si>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</si>
  <si>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</si>
  <si>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</si>
  <si>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</si>
  <si>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</si>
  <si>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</si>
  <si>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</si>
  <si>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</si>
  <si>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</si>
  <si>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</si>
  <si>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</si>
  <si>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</si>
  <si>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</si>
  <si>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</si>
  <si>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</si>
  <si>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</si>
  <si>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</si>
  <si>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</si>
  <si>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</si>
  <si>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</si>
  <si>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</si>
  <si>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</si>
  <si>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</si>
  <si>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</si>
  <si>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</si>
  <si>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</si>
  <si>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</si>
  <si>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</si>
  <si>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</si>
  <si>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</si>
  <si>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</si>
  <si>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</si>
  <si>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</si>
  <si>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</si>
  <si>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</si>
  <si>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</si>
  <si>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</si>
  <si>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</si>
  <si>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</si>
  <si>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</si>
  <si>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</si>
  <si>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</si>
  <si>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</si>
  <si>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</si>
  <si>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</si>
  <si>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</si>
  <si>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</si>
  <si>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</si>
  <si>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</si>
  <si>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</si>
  <si>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</si>
  <si>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</si>
  <si>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</si>
  <si>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</si>
  <si>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</si>
  <si>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</si>
  <si>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</si>
  <si>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</si>
  <si>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</si>
  <si>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</si>
  <si>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</si>
  <si>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</si>
  <si>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</si>
  <si>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</si>
  <si>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</si>
  <si>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</si>
  <si>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</si>
  <si>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</si>
  <si>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</si>
  <si>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</si>
  <si>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</si>
  <si>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</si>
  <si>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</si>
  <si>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</si>
  <si>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</si>
  <si>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</si>
  <si>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</si>
  <si>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</si>
  <si>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</si>
  <si>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</si>
  <si>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</si>
  <si>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</si>
  <si>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</si>
  <si>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</si>
  <si>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</si>
  <si>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</si>
  <si>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</si>
  <si>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</si>
  <si>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</si>
  <si>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</si>
  <si>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</si>
  <si>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</si>
  <si>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</si>
  <si>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</si>
  <si>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</si>
  <si>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</si>
  <si>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</si>
  <si>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</si>
  <si>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</si>
  <si>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</si>
  <si>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</si>
  <si>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</si>
  <si>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</si>
  <si>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</si>
  <si>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</si>
  <si>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</si>
  <si>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</si>
  <si>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</si>
  <si>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</si>
  <si>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</si>
  <si>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</si>
  <si>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</si>
  <si>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</si>
  <si>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</si>
  <si>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</si>
  <si>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</si>
  <si>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</si>
  <si>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</si>
  <si>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</si>
  <si>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</si>
  <si>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</si>
  <si>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</si>
  <si>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</si>
  <si>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</si>
  <si>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</si>
  <si>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</si>
  <si>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</si>
  <si>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</si>
  <si>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</si>
  <si>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</si>
  <si>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</si>
  <si>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</si>
  <si>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</si>
  <si>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</si>
  <si>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</si>
  <si>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</si>
  <si>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</si>
  <si>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</si>
  <si>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</si>
  <si>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</si>
  <si>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</si>
  <si>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</si>
  <si>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</si>
  <si>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</si>
  <si>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</si>
  <si>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</si>
  <si>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</si>
  <si>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</si>
  <si>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</si>
  <si>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</si>
  <si>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</si>
  <si>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</si>
  <si>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</si>
  <si>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</si>
  <si>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</si>
  <si>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</si>
  <si>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</si>
  <si>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</si>
  <si>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</si>
  <si>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</si>
  <si>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</si>
  <si>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</si>
  <si>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</si>
  <si>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</si>
  <si>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</si>
  <si>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</si>
  <si>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</si>
  <si>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</si>
  <si>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</si>
  <si>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</si>
  <si>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</si>
  <si>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</si>
  <si>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</si>
  <si>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</si>
  <si>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</si>
  <si>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</si>
  <si>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</si>
  <si>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</si>
  <si>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</si>
  <si>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</si>
  <si>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</si>
  <si>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</si>
  <si>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</si>
  <si>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</si>
  <si>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</si>
  <si>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</si>
  <si>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</si>
  <si>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</si>
  <si>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</si>
  <si>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</si>
  <si>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</si>
  <si>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</si>
  <si>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</si>
  <si>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</si>
  <si>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</si>
  <si>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</si>
  <si>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</si>
  <si>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</si>
  <si>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</si>
  <si>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</si>
  <si>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</si>
  <si>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</si>
  <si>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</si>
  <si>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</si>
  <si>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</si>
  <si>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</si>
  <si>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</si>
  <si>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</si>
  <si>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</si>
  <si>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</si>
  <si>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</si>
  <si>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</si>
  <si>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</si>
  <si>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</si>
  <si>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</si>
  <si>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</si>
  <si>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</si>
  <si>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</si>
  <si>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</si>
  <si>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</si>
  <si>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</si>
  <si>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</si>
  <si>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</si>
  <si>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</si>
  <si>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</si>
  <si>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</si>
  <si>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</si>
  <si>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</si>
  <si>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</si>
  <si>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</si>
  <si>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</si>
  <si>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</si>
  <si>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</si>
  <si>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</si>
  <si>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</si>
  <si>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</si>
  <si>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</si>
  <si>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</si>
  <si>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</si>
  <si>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</si>
  <si>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</si>
  <si>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</si>
  <si>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</si>
  <si>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</si>
  <si>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</si>
  <si>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</si>
  <si>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</si>
  <si>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</si>
  <si>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</si>
  <si>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</si>
  <si>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</si>
  <si>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</si>
  <si>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</si>
  <si>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</si>
  <si>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</si>
  <si>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</si>
  <si>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</si>
  <si>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</si>
  <si>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</si>
  <si>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</si>
  <si>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</si>
  <si>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</si>
  <si>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</si>
  <si>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</si>
  <si>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</si>
  <si>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</si>
  <si>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</si>
  <si>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</si>
  <si>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</si>
  <si>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</si>
  <si>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</si>
  <si>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</si>
  <si>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</si>
  <si>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</si>
  <si>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</si>
  <si>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</si>
  <si>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</si>
  <si>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</si>
  <si>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</si>
  <si>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</si>
  <si>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</si>
  <si>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</si>
  <si>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</si>
  <si>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</si>
  <si>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</si>
  <si>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</si>
  <si>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</si>
  <si>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</si>
  <si>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</si>
  <si>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</si>
  <si>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</si>
  <si>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</si>
  <si>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</si>
  <si>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</si>
  <si>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</si>
  <si>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</si>
  <si>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</si>
  <si>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</si>
  <si>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</si>
  <si>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</si>
  <si>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</si>
  <si>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</si>
  <si>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</si>
  <si>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</si>
  <si>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</si>
  <si>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</si>
  <si>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</si>
  <si>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</si>
  <si>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</si>
  <si>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</si>
  <si>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</si>
  <si>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</si>
  <si>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</si>
  <si>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</si>
  <si>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</si>
  <si>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</si>
  <si>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</si>
  <si>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</si>
  <si>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</si>
  <si>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</si>
  <si>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</si>
  <si>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</si>
  <si>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</si>
  <si>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</si>
  <si>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</si>
  <si>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</si>
  <si>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</si>
  <si>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</si>
  <si>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</si>
  <si>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</si>
  <si>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</si>
  <si>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</si>
  <si>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</si>
  <si>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</si>
  <si>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</si>
  <si>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</si>
  <si>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</si>
  <si>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</si>
  <si>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</si>
  <si>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</si>
  <si>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</si>
  <si>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</si>
  <si>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</si>
  <si>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</si>
  <si>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</si>
  <si>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</si>
  <si>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</si>
  <si>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</si>
  <si>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</si>
  <si>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</si>
  <si>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</si>
  <si>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</si>
  <si>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</si>
  <si>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</si>
  <si>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</si>
  <si>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</si>
  <si>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</si>
  <si>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</si>
  <si>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</si>
  <si>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</si>
  <si>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</si>
  <si>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</si>
  <si>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</si>
  <si>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</si>
  <si>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</si>
  <si>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</si>
  <si>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</si>
  <si>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</si>
  <si>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</si>
  <si>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</si>
  <si>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</si>
  <si>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</si>
  <si>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</si>
  <si>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</si>
  <si>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</si>
  <si>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</si>
  <si>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</si>
  <si>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</si>
  <si>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</si>
  <si>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</si>
  <si>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</si>
  <si>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</si>
  <si>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</si>
  <si>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</si>
  <si>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</si>
  <si>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</si>
  <si>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</si>
  <si>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</si>
  <si>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</si>
  <si>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</si>
  <si>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</si>
  <si>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</si>
  <si>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</si>
  <si>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</si>
  <si>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</si>
  <si>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</si>
  <si>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</si>
  <si>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</si>
  <si>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</si>
  <si>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</si>
  <si>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</si>
  <si>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</si>
  <si>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</si>
  <si>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</si>
  <si>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</si>
  <si>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</si>
  <si>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</si>
  <si>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</si>
  <si>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</si>
  <si>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</si>
  <si>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</si>
  <si>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</si>
  <si>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</si>
  <si>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</si>
  <si>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</si>
  <si>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</si>
  <si>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</si>
  <si>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</si>
  <si>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</si>
  <si>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</si>
  <si>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</si>
  <si>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</si>
  <si>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</si>
  <si>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</si>
  <si>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</si>
  <si>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</si>
  <si>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</si>
  <si>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</si>
  <si>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</si>
  <si>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</si>
  <si>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</si>
  <si>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</si>
  <si>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</si>
  <si>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</si>
  <si>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</si>
  <si>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</si>
  <si>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</si>
  <si>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</si>
  <si>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</si>
  <si>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</si>
  <si>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</si>
  <si>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</si>
  <si>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</si>
  <si>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</si>
  <si>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</si>
  <si>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</si>
  <si>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</si>
  <si>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</si>
  <si>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</si>
  <si>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</si>
  <si>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</si>
  <si>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</si>
  <si>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</si>
  <si>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</si>
  <si>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</si>
  <si>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</si>
  <si>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</si>
  <si>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</si>
  <si>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</si>
  <si>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</si>
  <si>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</si>
  <si>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</si>
  <si>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</si>
  <si>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</si>
  <si>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</si>
  <si>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</si>
  <si>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</si>
  <si>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</si>
  <si>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</si>
  <si>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</si>
  <si>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</si>
  <si>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</si>
  <si>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</si>
  <si>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</si>
  <si>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</si>
  <si>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</si>
  <si>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</si>
  <si>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</si>
  <si>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</si>
  <si>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</si>
  <si>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</si>
  <si>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</si>
  <si>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</si>
  <si>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</si>
  <si>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</si>
  <si>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</si>
  <si>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</si>
  <si>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</si>
  <si>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</si>
  <si>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</si>
  <si>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</si>
  <si>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</si>
  <si>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</si>
  <si>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</si>
  <si>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</si>
  <si>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</si>
  <si>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</si>
  <si>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</si>
  <si>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</si>
  <si>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</si>
  <si>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</si>
  <si>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</si>
  <si>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</si>
  <si>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</si>
  <si>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</si>
  <si>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</si>
  <si>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</si>
  <si>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</si>
  <si>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</si>
  <si>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</si>
  <si>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</si>
  <si>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</si>
  <si>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</si>
  <si>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</si>
  <si>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</si>
  <si>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</si>
  <si>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</si>
  <si>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</si>
  <si>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</si>
  <si>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</si>
  <si>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</si>
  <si>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</si>
  <si>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</si>
  <si>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</si>
  <si>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</si>
  <si>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</si>
  <si>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</si>
  <si>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</si>
  <si>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</si>
  <si>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</si>
  <si>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</si>
  <si>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</si>
  <si>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</si>
  <si>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</si>
  <si>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</si>
  <si>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</si>
  <si>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</si>
  <si>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</si>
  <si>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</si>
  <si>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</si>
  <si>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</si>
  <si>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</si>
  <si>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</si>
  <si>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</si>
  <si>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</si>
  <si>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</si>
  <si>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</si>
  <si>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</si>
  <si>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</si>
  <si>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</si>
  <si>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</si>
  <si>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</si>
  <si>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</si>
  <si>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</si>
  <si>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</si>
  <si>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</si>
  <si>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</si>
  <si>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</si>
  <si>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</si>
  <si>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</si>
  <si>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</si>
  <si>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</si>
  <si>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</si>
  <si>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</si>
  <si>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</si>
  <si>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</si>
  <si>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</si>
  <si>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</si>
  <si>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</si>
  <si>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</si>
  <si>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</si>
  <si>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</si>
  <si>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</si>
  <si>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</si>
  <si>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</si>
  <si>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</si>
  <si>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</si>
  <si>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</si>
  <si>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</si>
  <si>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</si>
  <si>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</si>
  <si>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</si>
  <si>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</si>
  <si>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</si>
  <si>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</si>
  <si>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</si>
  <si>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</si>
  <si>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</si>
  <si>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</si>
  <si>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</si>
  <si>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</si>
  <si>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</si>
  <si>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</si>
  <si>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</si>
  <si>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</si>
  <si>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</si>
  <si>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</si>
  <si>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</si>
  <si>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</si>
  <si>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</si>
  <si>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</si>
  <si>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</si>
  <si>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</si>
  <si>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</si>
  <si>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</si>
  <si>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</si>
  <si>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</si>
  <si>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</si>
  <si>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</si>
  <si>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</si>
  <si>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</si>
  <si>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</si>
  <si>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</si>
  <si>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</si>
  <si>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</si>
  <si>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</si>
  <si>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</si>
  <si>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</si>
  <si>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</si>
  <si>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</si>
  <si>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</si>
  <si>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</si>
  <si>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</si>
  <si>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</si>
  <si>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</si>
  <si>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</si>
  <si>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</si>
  <si>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</si>
  <si>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</si>
  <si>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</si>
  <si>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</si>
  <si>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</si>
  <si>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</si>
  <si>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</si>
  <si>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</si>
  <si>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</si>
  <si>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</si>
  <si>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</si>
  <si>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</si>
  <si>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</si>
  <si>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</si>
  <si>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</si>
  <si>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</si>
  <si>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</si>
  <si>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</si>
  <si>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</si>
  <si>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</si>
  <si>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</si>
  <si>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</si>
  <si>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</si>
  <si>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</si>
  <si>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</si>
  <si>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</si>
  <si>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</si>
  <si>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</si>
  <si>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</si>
  <si>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</si>
  <si>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</si>
  <si>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</si>
  <si>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</si>
  <si>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</si>
  <si>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</si>
  <si>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</si>
  <si>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</si>
  <si>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</si>
  <si>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</si>
  <si>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</si>
  <si>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</si>
  <si>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</si>
  <si>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</si>
  <si>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</si>
  <si>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</si>
  <si>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</si>
  <si>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</si>
  <si>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</si>
  <si>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</si>
  <si>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</si>
  <si>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</si>
  <si>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</si>
  <si>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</si>
  <si>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</si>
  <si>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</si>
  <si>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</si>
  <si>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</si>
  <si>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</si>
  <si>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</si>
  <si>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</si>
  <si>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</si>
  <si>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</si>
  <si>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</si>
  <si>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</si>
  <si>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</si>
  <si>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</si>
  <si>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</si>
  <si>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</si>
  <si>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</si>
  <si>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</si>
  <si>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</si>
  <si>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</si>
  <si>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</si>
  <si>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</si>
  <si>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</si>
  <si>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</si>
  <si>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</si>
  <si>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</si>
  <si>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</si>
  <si>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</si>
  <si>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</si>
  <si>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</si>
  <si>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</si>
  <si>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</si>
  <si>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</si>
  <si>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</si>
  <si>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</si>
  <si>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</si>
  <si>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</si>
  <si>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</si>
  <si>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</si>
  <si>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</si>
  <si>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</si>
  <si>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</si>
  <si>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</si>
  <si>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</si>
  <si>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</si>
  <si>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</si>
  <si>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</si>
  <si>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</si>
  <si>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</si>
  <si>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</si>
  <si>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</si>
  <si>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</si>
  <si>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</si>
  <si>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</si>
  <si>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</si>
  <si>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</si>
  <si>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</si>
  <si>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</si>
  <si>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</si>
  <si>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</si>
  <si>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</si>
  <si>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</si>
  <si>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</si>
  <si>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</si>
  <si>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</si>
  <si>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</si>
  <si>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</si>
  <si>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</si>
  <si>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</si>
  <si>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</si>
  <si>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</si>
  <si>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</si>
  <si>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</si>
  <si>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</si>
  <si>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</si>
  <si>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</si>
  <si>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</si>
  <si>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</si>
  <si>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</si>
  <si>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</si>
  <si>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</si>
  <si>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</si>
  <si>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</si>
  <si>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</si>
  <si>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</si>
  <si>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</si>
  <si>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</si>
  <si>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</si>
  <si>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</si>
  <si>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</si>
  <si>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</si>
  <si>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</si>
  <si>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</si>
  <si>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</si>
  <si>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</si>
  <si>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</si>
  <si>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</si>
  <si>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</si>
  <si>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</si>
  <si>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</si>
  <si>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</si>
  <si>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</si>
  <si>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</si>
  <si>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</si>
  <si>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</si>
  <si>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</si>
  <si>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</si>
  <si>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</si>
  <si>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</si>
  <si>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</si>
  <si>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</si>
  <si>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</si>
  <si>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</si>
  <si>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</si>
  <si>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</si>
  <si>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</si>
  <si>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</si>
  <si>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</si>
  <si>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</si>
  <si>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</si>
  <si>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</si>
  <si>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</si>
  <si>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</si>
  <si>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</si>
  <si>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</si>
  <si>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</si>
  <si>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</si>
  <si>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</si>
  <si>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</si>
  <si>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</si>
  <si>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</si>
  <si>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</si>
  <si>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</si>
  <si>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</si>
  <si>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</si>
  <si>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</si>
  <si>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</si>
  <si>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</si>
  <si>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</si>
  <si>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</si>
  <si>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</si>
  <si>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</si>
  <si>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</si>
  <si>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</si>
  <si>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</si>
  <si>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</si>
  <si>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</si>
  <si>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</si>
  <si>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</si>
  <si>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</si>
  <si>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</si>
  <si>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</si>
  <si>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</si>
  <si>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</si>
  <si>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</si>
  <si>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</si>
  <si>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</si>
  <si>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</si>
  <si>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</si>
  <si>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</si>
  <si>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</si>
  <si>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</si>
  <si>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</si>
  <si>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</si>
  <si>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</si>
  <si>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</si>
  <si>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</si>
  <si>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</si>
  <si>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</si>
  <si>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</si>
  <si>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</si>
  <si>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</si>
  <si>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</si>
  <si>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</si>
  <si>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</si>
  <si>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</si>
  <si>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</si>
  <si>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</si>
  <si>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</si>
  <si>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</si>
  <si>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</si>
  <si>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</si>
  <si>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</si>
  <si>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</si>
  <si>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</si>
  <si>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</si>
  <si>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</si>
  <si>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</si>
  <si>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</si>
  <si>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</si>
  <si>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</si>
  <si>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</si>
  <si>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</si>
  <si>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</si>
  <si>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</si>
  <si>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</si>
  <si>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</si>
  <si>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</si>
  <si>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</si>
  <si>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</si>
  <si>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</si>
  <si>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</si>
  <si>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</si>
  <si>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</si>
  <si>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</si>
  <si>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</si>
  <si>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</si>
  <si>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</si>
  <si>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</si>
  <si>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</si>
  <si>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</si>
  <si>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</si>
  <si>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</si>
  <si>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</si>
  <si>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</si>
  <si>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</si>
  <si>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</si>
  <si>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</si>
  <si>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</si>
  <si>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</si>
  <si>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</si>
  <si>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</si>
  <si>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</si>
  <si>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</si>
  <si>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</si>
  <si>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</si>
  <si>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</si>
  <si>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</si>
  <si>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</si>
  <si>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</si>
  <si>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</si>
  <si>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</si>
  <si>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</si>
  <si>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</si>
  <si>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</si>
  <si>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</si>
  <si>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</si>
  <si>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</si>
  <si>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</si>
  <si>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</si>
  <si>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</si>
  <si>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</si>
  <si>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</si>
  <si>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</si>
  <si>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</si>
  <si>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</si>
  <si>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</si>
  <si>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</si>
  <si>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</si>
  <si>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</si>
  <si>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</si>
  <si>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</si>
  <si>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</si>
  <si>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</si>
  <si>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</si>
  <si>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</si>
  <si>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</si>
  <si>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</si>
  <si>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</si>
  <si>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</si>
  <si>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</si>
  <si>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</si>
  <si>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</si>
  <si>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</si>
  <si>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</si>
  <si>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</si>
  <si>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</si>
  <si>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</si>
  <si>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</si>
  <si>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</si>
  <si>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</si>
  <si>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</si>
  <si>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</si>
  <si>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</si>
  <si>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</si>
  <si>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</si>
  <si>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</si>
  <si>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</si>
  <si>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</si>
  <si>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</si>
  <si>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</si>
  <si>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</si>
  <si>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</si>
  <si>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</si>
  <si>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</si>
  <si>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</si>
  <si>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</si>
  <si>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</si>
  <si>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</si>
  <si>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</si>
  <si>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</si>
  <si>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</si>
  <si>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</si>
  <si>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</si>
  <si>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</si>
  <si>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</si>
  <si>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</si>
  <si>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</si>
  <si>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</si>
  <si>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</si>
  <si>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</si>
  <si>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</si>
  <si>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</si>
  <si>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</si>
  <si>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</si>
  <si>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</si>
  <si>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</si>
  <si>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</si>
  <si>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</si>
  <si>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</si>
  <si>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</si>
  <si>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</si>
  <si>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</si>
  <si>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</si>
  <si>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</si>
  <si>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</si>
  <si>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</si>
  <si>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</si>
  <si>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</si>
  <si>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</si>
  <si>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</si>
  <si>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</si>
  <si>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</si>
  <si>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</si>
  <si>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</si>
  <si>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</si>
  <si>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</si>
  <si>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</si>
  <si>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</si>
  <si>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</si>
  <si>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</si>
  <si>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</si>
  <si>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</si>
  <si>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</si>
  <si>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</si>
  <si>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</si>
  <si>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</si>
  <si>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</si>
  <si>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</si>
  <si>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</si>
  <si>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</si>
  <si>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</si>
  <si>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</si>
  <si>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</si>
  <si>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</si>
  <si>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</si>
  <si>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</si>
  <si>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</si>
  <si>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</si>
  <si>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</si>
  <si>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</si>
  <si>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</si>
  <si>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</si>
  <si>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</si>
  <si>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</si>
  <si>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</si>
  <si>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</si>
  <si>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</si>
  <si>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</si>
  <si>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</si>
  <si>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</si>
  <si>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</si>
  <si>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</si>
  <si>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</si>
  <si>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</si>
  <si>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</si>
  <si>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</si>
  <si>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</si>
  <si>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</si>
  <si>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</si>
  <si>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</si>
  <si>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</si>
  <si>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</si>
  <si>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</si>
  <si>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</si>
  <si>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</si>
  <si>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</si>
  <si>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</si>
  <si>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</si>
  <si>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</si>
  <si>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</si>
  <si>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</si>
  <si>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</si>
  <si>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</si>
  <si>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</si>
  <si>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</si>
  <si>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</si>
  <si>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</si>
  <si>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</si>
  <si>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</si>
  <si>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</si>
  <si>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</si>
  <si>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</si>
  <si>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</si>
  <si>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</si>
  <si>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</si>
  <si>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</si>
  <si>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</si>
  <si>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</si>
  <si>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</si>
  <si>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</si>
  <si>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</si>
  <si>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</si>
  <si>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</si>
  <si>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</si>
  <si>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</si>
  <si>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</si>
  <si>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</si>
  <si>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</si>
  <si>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</si>
  <si>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</si>
  <si>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</si>
  <si>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</si>
  <si>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</si>
  <si>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</si>
  <si>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</si>
  <si>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</si>
  <si>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</si>
  <si>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</si>
  <si>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</si>
  <si>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</si>
  <si>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</si>
  <si>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</si>
  <si>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</si>
  <si>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</si>
  <si>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</si>
  <si>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</si>
  <si>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</si>
  <si>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</si>
  <si>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</si>
  <si>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</si>
  <si>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</si>
  <si>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</si>
  <si>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</si>
  <si>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</si>
  <si>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</si>
  <si>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</si>
  <si>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</si>
  <si>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</si>
  <si>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</si>
  <si>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</si>
  <si>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</si>
  <si>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</si>
  <si>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</si>
  <si>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</si>
  <si>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</si>
  <si>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</si>
  <si>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</si>
  <si>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</si>
  <si>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</si>
  <si>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</si>
  <si>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</si>
  <si>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</si>
  <si>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</si>
  <si>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</si>
  <si>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</si>
  <si>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</si>
  <si>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</si>
  <si>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</si>
  <si>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</si>
  <si>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</si>
  <si>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</si>
  <si>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</si>
  <si>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</si>
  <si>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</si>
  <si>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</si>
  <si>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</si>
  <si>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</si>
  <si>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</si>
  <si>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</si>
  <si>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</si>
  <si>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</si>
  <si>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</si>
  <si>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</si>
  <si>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</si>
  <si>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</si>
  <si>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</si>
  <si>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</si>
  <si>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</si>
  <si>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</si>
  <si>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</si>
  <si>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</si>
  <si>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</si>
  <si>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</si>
  <si>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</si>
  <si>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</si>
  <si>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</si>
  <si>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</si>
  <si>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</si>
  <si>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</si>
  <si>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</si>
  <si>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</si>
  <si>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</si>
  <si>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</si>
  <si>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</si>
  <si>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</si>
  <si>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</si>
  <si>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</si>
  <si>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</si>
  <si>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</si>
  <si>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</si>
  <si>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</si>
  <si>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</si>
  <si>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</si>
  <si>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</si>
  <si>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</si>
  <si>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</si>
  <si>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</si>
  <si>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</si>
  <si>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</si>
  <si>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</si>
  <si>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</si>
  <si>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</si>
  <si>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</si>
  <si>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</si>
  <si>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</si>
  <si>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</si>
  <si>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</si>
  <si>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</si>
  <si>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</si>
  <si>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</si>
  <si>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</si>
  <si>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</si>
  <si>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</si>
  <si>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</si>
  <si>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</si>
  <si>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</si>
  <si>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</si>
  <si>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</si>
  <si>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</si>
  <si>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</si>
  <si>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</si>
  <si>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</si>
  <si>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</si>
  <si>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</si>
  <si>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</si>
  <si>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</si>
  <si>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</si>
  <si>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</si>
  <si>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</si>
  <si>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</si>
  <si>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</si>
  <si>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</si>
  <si>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</si>
  <si>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</si>
  <si>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</si>
  <si>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</si>
  <si>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</si>
  <si>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</si>
  <si>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</si>
  <si>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</si>
  <si>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</si>
  <si>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</si>
  <si>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</si>
  <si>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</si>
  <si>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</si>
  <si>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</si>
  <si>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</si>
  <si>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</si>
  <si>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</si>
  <si>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</si>
  <si>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</si>
  <si>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</si>
  <si>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</si>
  <si>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</si>
  <si>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</si>
  <si>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</si>
  <si>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</si>
  <si>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</si>
  <si>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</si>
  <si>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</si>
  <si>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</si>
  <si>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</si>
  <si>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</si>
  <si>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</si>
  <si>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</si>
  <si>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</si>
  <si>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</si>
  <si>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</si>
  <si>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</si>
  <si>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</si>
  <si>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</si>
  <si>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</si>
  <si>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</si>
  <si>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</si>
  <si>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</si>
  <si>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</si>
  <si>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</si>
  <si>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</si>
  <si>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</si>
  <si>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</si>
  <si>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</si>
  <si>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</si>
  <si>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</si>
  <si>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</si>
  <si>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</si>
  <si>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</si>
  <si>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</si>
  <si>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</si>
  <si>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</si>
  <si>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</si>
  <si>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</si>
  <si>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</si>
  <si>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</si>
  <si>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</si>
  <si>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</si>
  <si>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</si>
  <si>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</si>
  <si>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</si>
  <si>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</si>
  <si>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</si>
  <si>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</si>
  <si>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</si>
  <si>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</si>
  <si>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</si>
  <si>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</si>
  <si>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</si>
  <si>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</si>
  <si>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</si>
  <si>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</si>
  <si>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</si>
  <si>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</si>
  <si>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</si>
  <si>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</si>
  <si>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</si>
  <si>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</si>
  <si>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</si>
  <si>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</si>
  <si>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</si>
  <si>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</si>
  <si>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</si>
  <si>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</si>
  <si>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</si>
  <si>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</si>
  <si>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</si>
  <si>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</si>
  <si>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</si>
  <si>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</si>
  <si>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</si>
  <si>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</si>
  <si>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</si>
  <si>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</si>
  <si>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</si>
  <si>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</si>
  <si>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</si>
  <si>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</si>
  <si>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</si>
  <si>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</si>
  <si>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</si>
  <si>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</si>
  <si>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</si>
  <si>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</si>
  <si>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</si>
  <si>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</si>
  <si>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</si>
  <si>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</si>
  <si>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</si>
  <si>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</si>
  <si>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</si>
  <si>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</si>
  <si>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</si>
  <si>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</si>
  <si>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</si>
  <si>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</si>
  <si>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</si>
  <si>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</si>
  <si>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</si>
  <si>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</si>
  <si>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</si>
  <si>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</si>
  <si>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</si>
  <si>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</si>
  <si>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</si>
  <si>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</si>
  <si>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</si>
  <si>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</si>
  <si>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</si>
  <si>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</si>
  <si>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</si>
  <si>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</si>
  <si>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</si>
  <si>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</si>
  <si>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</si>
  <si>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</si>
  <si>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</si>
  <si>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</si>
  <si>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</si>
  <si>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</si>
  <si>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</si>
  <si>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</si>
  <si>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</si>
  <si>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</si>
  <si>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</si>
  <si>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</si>
  <si>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</si>
  <si>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</si>
  <si>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</si>
  <si>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</si>
  <si>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</si>
  <si>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</si>
  <si>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</si>
  <si>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</si>
  <si>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</si>
  <si>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</si>
  <si>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</si>
  <si>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</si>
  <si>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</si>
  <si>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</si>
  <si>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</si>
  <si>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</si>
  <si>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</si>
  <si>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</si>
  <si>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</si>
  <si>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</si>
  <si>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</si>
  <si>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</si>
  <si>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</si>
  <si>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</si>
  <si>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</si>
  <si>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</si>
  <si>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</si>
  <si>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</si>
  <si>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</si>
  <si>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</si>
  <si>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</si>
  <si>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</si>
  <si>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</si>
  <si>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</si>
  <si>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</si>
  <si>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</si>
  <si>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</si>
  <si>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</si>
  <si>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</si>
  <si>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</si>
  <si>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</si>
  <si>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</si>
  <si>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</si>
  <si>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</si>
  <si>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</si>
  <si>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</si>
  <si>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</si>
  <si>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</si>
  <si>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</si>
  <si>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</si>
  <si>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</si>
  <si>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</si>
  <si>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</si>
  <si>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</si>
  <si>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</si>
  <si>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</si>
  <si>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</si>
  <si>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</si>
  <si>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</si>
  <si>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</si>
  <si>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</si>
  <si>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</si>
  <si>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</si>
  <si>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</si>
  <si>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</si>
  <si>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</si>
  <si>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</si>
  <si>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</si>
  <si>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</si>
  <si>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</si>
  <si>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</si>
  <si>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</si>
  <si>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</si>
  <si>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</si>
  <si>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</si>
  <si>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</si>
  <si>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</si>
  <si>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</si>
  <si>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</si>
  <si>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</si>
  <si>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</si>
  <si>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</si>
  <si>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</si>
  <si>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</si>
  <si>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</si>
  <si>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</si>
  <si>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</si>
  <si>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</si>
  <si>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</si>
  <si>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</si>
  <si>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</si>
  <si>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</si>
  <si>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</si>
  <si>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</si>
  <si>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</si>
  <si>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</si>
  <si>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</si>
  <si>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</si>
  <si>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</si>
  <si>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</si>
  <si>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</si>
  <si>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</si>
  <si>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</si>
  <si>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</si>
  <si>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</si>
  <si>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</si>
  <si>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</si>
  <si>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</si>
  <si>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</si>
  <si>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</si>
  <si>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</si>
  <si>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</si>
  <si>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</si>
  <si>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</si>
  <si>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</si>
  <si>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</si>
  <si>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</si>
  <si>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</si>
  <si>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</si>
  <si>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</si>
  <si>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</si>
  <si>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</si>
  <si>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</si>
  <si>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</si>
  <si>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</si>
  <si>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</si>
  <si>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</si>
  <si>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</si>
  <si>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</si>
  <si>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</si>
  <si>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</si>
  <si>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</si>
  <si>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</si>
  <si>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</si>
  <si>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</si>
  <si>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</si>
  <si>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</si>
  <si>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</si>
  <si>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</si>
  <si>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</si>
  <si>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</si>
  <si>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</si>
  <si>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</si>
  <si>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</si>
  <si>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</si>
  <si>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</si>
  <si>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</si>
  <si>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</si>
  <si>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</si>
  <si>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</si>
  <si>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</si>
  <si>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</si>
  <si>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</si>
  <si>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</si>
  <si>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</si>
  <si>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</si>
  <si>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</si>
  <si>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</si>
  <si>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</si>
  <si>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</si>
  <si>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</si>
  <si>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</si>
  <si>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</si>
  <si>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</si>
  <si>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</si>
  <si>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</si>
  <si>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</si>
  <si>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</si>
  <si>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</si>
  <si>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</si>
  <si>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</si>
  <si>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</si>
  <si>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</si>
  <si>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</si>
  <si>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</si>
  <si>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</si>
  <si>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</si>
  <si>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</si>
  <si>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</si>
  <si>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</si>
  <si>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</si>
  <si>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</si>
  <si>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</si>
  <si>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</si>
  <si>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</si>
  <si>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</si>
  <si>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</si>
  <si>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</si>
  <si>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</si>
  <si>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</si>
  <si>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</si>
  <si>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</si>
  <si>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</si>
  <si>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</si>
  <si>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</si>
  <si>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</si>
  <si>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</si>
  <si>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</si>
  <si>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</si>
  <si>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</si>
  <si>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</si>
  <si>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</si>
  <si>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</si>
  <si>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</si>
  <si>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</si>
  <si>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</si>
  <si>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</si>
  <si>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</si>
  <si>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</si>
  <si>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</si>
  <si>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</si>
  <si>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</si>
  <si>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</si>
  <si>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</si>
  <si>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</si>
  <si>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</si>
  <si>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</si>
  <si>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</si>
  <si>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</si>
  <si>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</si>
  <si>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</si>
  <si>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</si>
  <si>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</si>
  <si>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</si>
  <si>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</si>
  <si>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</si>
  <si>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</si>
  <si>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</si>
  <si>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</si>
  <si>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</si>
  <si>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</si>
  <si>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</si>
  <si>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</si>
  <si>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</si>
  <si>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</si>
  <si>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</si>
  <si>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</si>
  <si>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</si>
  <si>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</si>
  <si>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</si>
  <si>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</si>
  <si>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</si>
  <si>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</si>
  <si>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</si>
  <si>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</si>
  <si>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</si>
  <si>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</si>
  <si>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</si>
  <si>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</si>
  <si>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</si>
  <si>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</si>
  <si>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</si>
  <si>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</si>
  <si>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</si>
  <si>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</si>
  <si>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</si>
  <si>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</si>
  <si>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</si>
  <si>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</si>
  <si>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</si>
  <si>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</si>
  <si>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</si>
  <si>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</si>
  <si>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</si>
  <si>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</si>
  <si>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</si>
  <si>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</si>
  <si>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</si>
  <si>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</si>
  <si>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</si>
  <si>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</si>
  <si>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</si>
  <si>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</si>
  <si>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</si>
  <si>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</si>
  <si>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</si>
  <si>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</si>
  <si>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</si>
  <si>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</si>
  <si>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</si>
  <si>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</si>
  <si>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</si>
  <si>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</si>
  <si>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</si>
  <si>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</si>
  <si>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</si>
  <si>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</si>
  <si>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</si>
  <si>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</si>
  <si>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</si>
  <si>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</si>
  <si>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</si>
  <si>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</si>
  <si>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</si>
  <si>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</si>
  <si>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</si>
  <si>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</si>
  <si>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</si>
  <si>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</si>
  <si>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</si>
  <si>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</si>
  <si>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</si>
  <si>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</si>
  <si>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</si>
  <si>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</si>
  <si>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</si>
  <si>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</si>
  <si>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</si>
  <si>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</si>
  <si>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</si>
  <si>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</si>
  <si>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</si>
  <si>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</si>
  <si>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</si>
  <si>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</si>
  <si>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</si>
  <si>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</si>
  <si>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</si>
  <si>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</si>
  <si>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</si>
  <si>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</si>
  <si>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</si>
  <si>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</si>
  <si>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</si>
  <si>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</si>
  <si>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</si>
  <si>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</si>
  <si>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</si>
  <si>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</si>
  <si>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</si>
  <si>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</si>
  <si>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</si>
  <si>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</si>
  <si>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</si>
  <si>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</si>
  <si>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</si>
  <si>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</si>
  <si>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</si>
  <si>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</si>
  <si>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</si>
  <si>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</si>
  <si>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</si>
  <si>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</si>
  <si>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</si>
  <si>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</si>
  <si>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</si>
  <si>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</si>
  <si>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</si>
  <si>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</si>
  <si>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</si>
  <si>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</si>
  <si>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</si>
  <si>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</si>
  <si>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</si>
  <si>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</si>
  <si>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</si>
  <si>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</si>
  <si>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</si>
  <si>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</si>
  <si>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</si>
  <si>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</si>
  <si>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</si>
  <si>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</si>
  <si>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</si>
  <si>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</si>
  <si>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</si>
  <si>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</si>
  <si>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</si>
  <si>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</si>
  <si>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</si>
  <si>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</si>
  <si>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</si>
  <si>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</si>
  <si>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</si>
  <si>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</si>
  <si>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</si>
  <si>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</si>
  <si>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</si>
  <si>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</si>
  <si>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</si>
  <si>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</si>
  <si>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</si>
  <si>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</si>
  <si>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</si>
  <si>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</si>
  <si>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</si>
  <si>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</si>
  <si>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</si>
  <si>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</si>
  <si>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</si>
  <si>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</si>
  <si>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</si>
  <si>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</si>
  <si>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</si>
  <si>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</si>
  <si>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</si>
  <si>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</si>
  <si>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</si>
  <si>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</si>
  <si>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</si>
  <si>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</si>
  <si>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</si>
  <si>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</si>
  <si>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</si>
  <si>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</si>
  <si>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</si>
  <si>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</si>
  <si>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</si>
  <si>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</si>
  <si>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</si>
  <si>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</si>
  <si>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</si>
  <si>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</si>
  <si>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</si>
  <si>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</si>
  <si>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</si>
  <si>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</si>
  <si>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</si>
  <si>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</si>
  <si>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</si>
  <si>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</si>
  <si>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</si>
  <si>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</si>
  <si>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</si>
  <si>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</si>
  <si>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</si>
  <si>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</si>
  <si>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</si>
  <si>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</si>
  <si>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</si>
  <si>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</si>
  <si>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</si>
  <si>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</si>
  <si>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</si>
  <si>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</si>
  <si>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</si>
  <si>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</si>
  <si>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</si>
  <si>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</si>
  <si>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</si>
  <si>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</si>
  <si>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</si>
  <si>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</si>
  <si>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</si>
  <si>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</si>
  <si>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</si>
  <si>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</si>
  <si>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</si>
  <si>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</si>
  <si>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</si>
  <si>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</si>
  <si>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</si>
  <si>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</si>
  <si>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</si>
  <si>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</si>
  <si>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</si>
  <si>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</si>
  <si>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</si>
  <si>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</si>
  <si>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</si>
  <si>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</si>
  <si>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</si>
  <si>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</si>
  <si>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</si>
  <si>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</si>
  <si>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</si>
  <si>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</si>
  <si>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</si>
  <si>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</si>
  <si>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</si>
  <si>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</si>
  <si>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</si>
  <si>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</si>
  <si>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</si>
  <si>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</si>
  <si>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</si>
  <si>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</si>
  <si>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</si>
  <si>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</si>
  <si>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</si>
  <si>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</si>
  <si>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</si>
  <si>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</si>
  <si>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</si>
  <si>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</si>
  <si>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</si>
  <si>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</si>
  <si>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</si>
  <si>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</si>
  <si>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</si>
  <si>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</si>
  <si>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</si>
  <si>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</si>
  <si>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</si>
  <si>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</si>
  <si>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</si>
  <si>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</si>
  <si>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</si>
  <si>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</si>
  <si>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</si>
  <si>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</si>
  <si>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</si>
  <si>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</si>
  <si>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</si>
  <si>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</si>
  <si>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</si>
  <si>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</si>
  <si>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</si>
  <si>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</si>
  <si>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</si>
  <si>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</si>
  <si>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</si>
  <si>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</si>
  <si>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</si>
  <si>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</si>
  <si>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</si>
  <si>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</si>
  <si>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</si>
  <si>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</si>
  <si>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</si>
  <si>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</si>
  <si>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</si>
  <si>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</si>
  <si>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</si>
  <si>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</si>
  <si>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</si>
  <si>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</si>
  <si>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</si>
  <si>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</si>
  <si>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</si>
  <si>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</si>
  <si>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</si>
  <si>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</si>
  <si>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</si>
  <si>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</si>
  <si>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</si>
  <si>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</si>
  <si>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</si>
  <si>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</si>
  <si>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</si>
  <si>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</si>
  <si>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</si>
  <si>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</si>
  <si>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</si>
  <si>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</si>
  <si>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</si>
  <si>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</si>
  <si>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</si>
  <si>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</si>
  <si>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</si>
  <si>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</si>
  <si>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</si>
  <si>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</si>
  <si>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</si>
  <si>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</si>
  <si>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</si>
  <si>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</si>
  <si>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</si>
  <si>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</si>
  <si>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</si>
  <si>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</si>
  <si>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</si>
  <si>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</si>
  <si>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</si>
  <si>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</si>
  <si>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</si>
  <si>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</si>
  <si>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</si>
  <si>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</si>
  <si>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</si>
  <si>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</si>
  <si>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</si>
  <si>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</si>
  <si>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</si>
  <si>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</si>
  <si>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</si>
  <si>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</si>
  <si>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</si>
  <si>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</si>
  <si>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</si>
  <si>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</si>
  <si>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</si>
  <si>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</si>
  <si>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</si>
  <si>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</si>
  <si>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</si>
  <si>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</si>
  <si>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</si>
  <si>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</si>
  <si>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</si>
  <si>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</si>
  <si>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</si>
  <si>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</si>
  <si>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</si>
  <si>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</si>
  <si>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</si>
  <si>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</si>
  <si>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</si>
  <si>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</si>
  <si>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</si>
  <si>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</si>
  <si>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</si>
  <si>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</si>
  <si>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</si>
  <si>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</si>
  <si>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</si>
  <si>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</si>
  <si>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</si>
  <si>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</si>
  <si>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</si>
  <si>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</si>
  <si>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</si>
  <si>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</si>
  <si>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</si>
  <si>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</si>
  <si>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</si>
  <si>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</si>
  <si>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</si>
  <si>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</si>
  <si>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</si>
  <si>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</si>
  <si>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</si>
  <si>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</si>
  <si>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</si>
  <si>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</si>
  <si>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</si>
  <si>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</si>
  <si>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</si>
  <si>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</si>
  <si>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</si>
  <si>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</si>
  <si>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</si>
  <si>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</si>
  <si>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</si>
  <si>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</si>
  <si>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</si>
  <si>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</si>
  <si>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</si>
  <si>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</si>
  <si>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</si>
  <si>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</si>
  <si>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</si>
  <si>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</si>
  <si>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</si>
  <si>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</si>
  <si>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</si>
  <si>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</si>
  <si>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</si>
  <si>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</si>
  <si>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</si>
  <si>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</si>
  <si>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</si>
  <si>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</si>
  <si>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</si>
  <si>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</si>
  <si>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</si>
  <si>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</si>
  <si>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</si>
  <si>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</si>
  <si>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</si>
  <si>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</si>
  <si>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</si>
  <si>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</si>
  <si>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</si>
  <si>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</si>
  <si>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</si>
  <si>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</si>
  <si>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</si>
  <si>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</si>
  <si>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</si>
  <si>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</si>
  <si>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</si>
  <si>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</si>
  <si>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</si>
  <si>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</si>
  <si>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</si>
  <si>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</si>
  <si>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</si>
  <si>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</si>
  <si>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</si>
  <si>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</si>
  <si>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</si>
  <si>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</si>
  <si>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</si>
  <si>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</si>
  <si>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</si>
  <si>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</si>
  <si>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</si>
  <si>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</si>
  <si>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</si>
  <si>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</si>
  <si>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</si>
  <si>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</si>
  <si>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</si>
  <si>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</si>
  <si>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</si>
  <si>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</si>
  <si>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</si>
  <si>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</si>
  <si>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</si>
  <si>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</si>
  <si>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</si>
  <si>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</si>
  <si>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</si>
  <si>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</si>
  <si>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</si>
  <si>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</si>
  <si>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</si>
  <si>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</si>
  <si>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</si>
  <si>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</si>
  <si>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</si>
  <si>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</si>
  <si>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</si>
  <si>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</si>
  <si>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</si>
  <si>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</si>
  <si>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</si>
  <si>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</si>
  <si>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</si>
  <si>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</si>
  <si>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</si>
  <si>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</si>
  <si>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</si>
  <si>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</si>
  <si>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</si>
  <si>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</si>
  <si>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</si>
  <si>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</si>
  <si>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</si>
  <si>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</si>
  <si>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</si>
  <si>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</si>
  <si>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</si>
  <si>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</si>
  <si>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</si>
  <si>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</si>
  <si>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</si>
  <si>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</si>
  <si>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</si>
  <si>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</si>
  <si>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</si>
  <si>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</si>
  <si>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</si>
  <si>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</si>
  <si>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</si>
  <si>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</si>
  <si>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</si>
  <si>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</si>
  <si>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</si>
  <si>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</si>
  <si>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</si>
  <si>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</si>
  <si>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</si>
  <si>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</si>
  <si>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</si>
  <si>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</si>
  <si>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</si>
  <si>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</si>
  <si>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</si>
  <si>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</si>
  <si>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</si>
  <si>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</si>
  <si>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</si>
  <si>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</si>
  <si>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</si>
  <si>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</si>
  <si>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</si>
  <si>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</si>
  <si>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</si>
  <si>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</si>
  <si>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</si>
  <si>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</si>
  <si>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</si>
  <si>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</si>
  <si>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</si>
  <si>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</si>
  <si>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</si>
  <si>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</si>
  <si>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</si>
  <si>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</si>
  <si>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</si>
  <si>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</si>
  <si>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</si>
  <si>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</si>
  <si>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</si>
  <si>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</si>
  <si>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</si>
  <si>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</si>
  <si>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</si>
  <si>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</si>
  <si>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</si>
  <si>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</si>
  <si>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</si>
  <si>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</si>
  <si>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</si>
  <si>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</si>
  <si>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</si>
  <si>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</si>
  <si>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</si>
  <si>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</si>
  <si>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</si>
  <si>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</si>
  <si>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</si>
  <si>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</si>
  <si>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</si>
  <si>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</si>
  <si>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</si>
  <si>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</si>
  <si>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</si>
  <si>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</si>
  <si>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</si>
  <si>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</si>
  <si>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</si>
  <si>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</si>
  <si>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</si>
  <si>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</si>
  <si>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</si>
  <si>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</si>
  <si>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</si>
  <si>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</si>
  <si>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</si>
  <si>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</si>
  <si>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</si>
  <si>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</si>
  <si>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</si>
  <si>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</si>
  <si>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</si>
  <si>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</si>
  <si>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</si>
  <si>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</si>
  <si>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</si>
  <si>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</si>
  <si>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</si>
  <si>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</si>
  <si>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</si>
  <si>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</si>
  <si>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</si>
  <si>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</si>
  <si>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</si>
  <si>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</si>
  <si>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</si>
  <si>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</si>
  <si>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</si>
  <si>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</si>
  <si>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</si>
  <si>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</si>
  <si>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</si>
  <si>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</si>
  <si>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</si>
  <si>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</si>
  <si>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</si>
  <si>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</si>
  <si>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</si>
  <si>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</si>
  <si>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</si>
  <si>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</si>
  <si>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</si>
  <si>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</si>
  <si>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</si>
  <si>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</si>
  <si>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</si>
  <si>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</si>
  <si>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</si>
  <si>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</si>
  <si>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</si>
  <si>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</si>
  <si>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</si>
  <si>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</si>
  <si>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</si>
  <si>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</si>
  <si>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</si>
  <si>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</si>
  <si>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</si>
  <si>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</si>
  <si>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</si>
  <si>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</si>
  <si>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</si>
  <si>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</si>
  <si>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</si>
  <si>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</si>
  <si>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</si>
  <si>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</si>
  <si>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</si>
  <si>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</si>
  <si>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</si>
  <si>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</si>
  <si>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</si>
  <si>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</si>
  <si>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</si>
  <si>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</si>
  <si>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</si>
  <si>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</si>
  <si>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</si>
  <si>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</si>
  <si>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</si>
  <si>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</si>
  <si>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</si>
  <si>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</si>
  <si>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</si>
  <si>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</si>
  <si>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</si>
  <si>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</si>
  <si>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</si>
  <si>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</si>
  <si>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</si>
  <si>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</si>
  <si>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</si>
  <si>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</si>
  <si>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</si>
  <si>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</si>
  <si>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</si>
  <si>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</si>
  <si>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</si>
  <si>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</si>
  <si>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</si>
  <si>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</si>
  <si>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</si>
  <si>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</si>
  <si>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</si>
  <si>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</si>
  <si>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</si>
  <si>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</si>
  <si>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</si>
  <si>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</si>
  <si>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</si>
  <si>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</si>
  <si>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</si>
  <si>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</si>
  <si>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</si>
  <si>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</si>
  <si>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</si>
  <si>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</si>
  <si>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</si>
  <si>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</si>
  <si>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</si>
  <si>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</si>
  <si>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</si>
  <si>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</si>
  <si>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</si>
  <si>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</si>
  <si>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</si>
  <si>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</si>
  <si>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</si>
  <si>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</si>
  <si>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</si>
  <si>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</si>
  <si>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</si>
  <si>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</si>
  <si>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</si>
  <si>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</si>
  <si>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</si>
  <si>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</si>
  <si>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</si>
  <si>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</si>
  <si>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</si>
  <si>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</si>
  <si>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</si>
  <si>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</si>
  <si>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</si>
  <si>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</si>
  <si>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</si>
  <si>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</si>
  <si>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</si>
  <si>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</si>
  <si>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</si>
  <si>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</si>
  <si>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</si>
  <si>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</si>
  <si>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</si>
  <si>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</si>
  <si>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</si>
  <si>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</si>
  <si>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</si>
  <si>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</si>
  <si>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</si>
  <si>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</si>
  <si>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</si>
  <si>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</si>
  <si>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</si>
  <si>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</si>
  <si>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</si>
  <si>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</si>
  <si>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</si>
  <si>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</si>
  <si>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</si>
  <si>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</si>
  <si>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</si>
  <si>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</si>
  <si>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</si>
  <si>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</si>
  <si>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</si>
  <si>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</si>
  <si>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</si>
  <si>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</si>
  <si>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</si>
  <si>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</si>
  <si>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</si>
  <si>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</si>
  <si>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</si>
  <si>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</si>
  <si>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</si>
  <si>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</si>
  <si>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</si>
  <si>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</si>
  <si>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</si>
  <si>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</si>
  <si>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</si>
  <si>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</si>
  <si>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</si>
  <si>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</si>
  <si>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</si>
  <si>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</si>
  <si>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</si>
  <si>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</si>
  <si>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</si>
  <si>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</si>
  <si>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</si>
  <si>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</si>
  <si>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</si>
  <si>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</si>
  <si>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</si>
  <si>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</si>
  <si>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</si>
  <si>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</si>
  <si>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</si>
  <si>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</si>
  <si>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</si>
  <si>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</si>
  <si>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</si>
  <si>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</si>
  <si>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</si>
  <si>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</si>
  <si>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</si>
  <si>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</si>
  <si>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</si>
  <si>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</si>
  <si>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</si>
  <si>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</si>
  <si>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</si>
  <si>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</si>
  <si>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</si>
  <si>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</si>
  <si>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</si>
  <si>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</si>
  <si>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</si>
  <si>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</si>
  <si>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</si>
  <si>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</si>
  <si>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</si>
  <si>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</si>
  <si>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</si>
  <si>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</si>
  <si>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</si>
  <si>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</si>
  <si>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</si>
  <si>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</si>
  <si>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</si>
  <si>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</si>
  <si>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</si>
  <si>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</si>
  <si>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</si>
  <si>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</si>
  <si>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</si>
  <si>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</si>
  <si>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</si>
  <si>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</si>
  <si>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</si>
  <si>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</si>
  <si>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</si>
  <si>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</si>
  <si>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</si>
  <si>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</si>
  <si>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</si>
  <si>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</si>
  <si>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</si>
  <si>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</si>
  <si>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</si>
  <si>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</si>
  <si>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</si>
  <si>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</si>
  <si>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</si>
  <si>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</si>
  <si>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</si>
  <si>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</si>
  <si>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</si>
  <si>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</si>
  <si>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</si>
  <si>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</si>
  <si>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</si>
  <si>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</si>
  <si>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</si>
  <si>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</si>
  <si>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</si>
  <si>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</si>
  <si>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</si>
  <si>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</si>
  <si>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</si>
  <si>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</si>
  <si>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</si>
  <si>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</si>
  <si>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</si>
  <si>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</si>
  <si>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</si>
  <si>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</si>
  <si>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</si>
  <si>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</si>
  <si>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</si>
  <si>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</si>
  <si>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</si>
  <si>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</si>
  <si>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</si>
  <si>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</si>
  <si>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</si>
  <si>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</si>
  <si>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</si>
  <si>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</si>
  <si>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</si>
  <si>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</si>
  <si>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</si>
  <si>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</si>
  <si>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</si>
  <si>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</si>
  <si>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</si>
  <si>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</si>
  <si>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</si>
  <si>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</si>
  <si>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</si>
  <si>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</si>
  <si>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</si>
  <si>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</si>
  <si>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</si>
  <si>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</si>
  <si>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</si>
  <si>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</si>
  <si>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</si>
  <si>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</si>
  <si>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</si>
  <si>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</si>
  <si>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</si>
  <si>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</si>
  <si>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</si>
  <si>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</si>
  <si>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</si>
  <si>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</si>
  <si>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</si>
  <si>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</si>
  <si>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</si>
  <si>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</si>
  <si>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</si>
  <si>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</si>
  <si>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</si>
  <si>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</si>
  <si>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</si>
  <si>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</si>
  <si>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</si>
  <si>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</si>
  <si>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</si>
  <si>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</si>
  <si>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</si>
  <si>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</si>
  <si>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</si>
  <si>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</si>
  <si>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</si>
  <si>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</si>
  <si>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</si>
  <si>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</si>
  <si>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</si>
  <si>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</si>
  <si>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</si>
  <si>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</si>
  <si>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</si>
  <si>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</si>
  <si>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</si>
  <si>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</si>
  <si>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</si>
  <si>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</si>
  <si>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</si>
  <si>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</si>
  <si>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</si>
  <si>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</si>
  <si>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</si>
  <si>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</si>
  <si>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</si>
  <si>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</si>
  <si>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</si>
  <si>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</si>
  <si>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</si>
  <si>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</si>
  <si>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</si>
  <si>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</si>
  <si>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</si>
  <si>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</si>
  <si>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</si>
  <si>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</si>
  <si>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</si>
  <si>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</si>
  <si>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</si>
  <si>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</si>
  <si>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</si>
  <si>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</si>
  <si>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</si>
  <si>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</si>
  <si>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</si>
  <si>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</si>
  <si>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</si>
  <si>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</si>
  <si>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</si>
  <si>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</si>
  <si>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</si>
  <si>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</si>
  <si>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</si>
  <si>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</si>
  <si>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</si>
  <si>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</si>
  <si>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</si>
  <si>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</si>
  <si>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</si>
  <si>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</si>
  <si>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</si>
  <si>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</si>
  <si>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</si>
  <si>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</si>
  <si>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</si>
  <si>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</si>
  <si>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</si>
  <si>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</si>
  <si>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</si>
  <si>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</si>
  <si>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</si>
  <si>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</si>
  <si>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</si>
  <si>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</si>
  <si>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</si>
  <si>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</si>
  <si>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</si>
  <si>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</si>
  <si>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</si>
  <si>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</si>
  <si>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</si>
  <si>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</si>
  <si>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</si>
  <si>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</si>
  <si>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</si>
  <si>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</si>
  <si>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</si>
  <si>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</si>
  <si>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</si>
  <si>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</si>
  <si>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</si>
  <si>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</si>
  <si>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</si>
  <si>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</si>
  <si>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</si>
  <si>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</si>
  <si>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</si>
  <si>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</si>
  <si>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</si>
  <si>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</si>
  <si>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</si>
  <si>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</si>
  <si>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</si>
  <si>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</si>
  <si>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</si>
  <si>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</si>
  <si>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</si>
  <si>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</si>
  <si>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</si>
  <si>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</si>
  <si>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</si>
  <si>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</si>
  <si>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</si>
  <si>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</si>
  <si>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</si>
  <si>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</si>
  <si>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</si>
  <si>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</si>
  <si>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</si>
  <si>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</si>
  <si>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</si>
  <si>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</si>
  <si>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</si>
  <si>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</si>
  <si>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</si>
  <si>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</si>
  <si>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</si>
  <si>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</si>
  <si>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</si>
  <si>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</si>
  <si>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</si>
  <si>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</si>
  <si>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</si>
  <si>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</si>
  <si>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</si>
  <si>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</si>
  <si>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</si>
  <si>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</si>
  <si>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</si>
  <si>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</si>
  <si>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</si>
  <si>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</si>
  <si>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</si>
  <si>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</si>
  <si>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</si>
  <si>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</si>
  <si>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</si>
  <si>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</si>
  <si>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</si>
  <si>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</si>
  <si>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</si>
  <si>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</si>
  <si>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</si>
  <si>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</si>
  <si>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</si>
  <si>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</si>
  <si>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</si>
  <si>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</si>
  <si>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</si>
  <si>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</si>
  <si>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</si>
  <si>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</si>
  <si>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</si>
  <si>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</si>
  <si>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</si>
  <si>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</si>
  <si>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</si>
  <si>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</si>
  <si>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</si>
  <si>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</si>
  <si>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</si>
  <si>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</si>
  <si>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</si>
  <si>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</si>
  <si>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</si>
  <si>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</si>
  <si>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</si>
  <si>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</si>
  <si>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</si>
  <si>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</si>
  <si>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</si>
  <si>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</si>
  <si>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</si>
  <si>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</si>
  <si>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</si>
  <si>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</si>
  <si>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</si>
  <si>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</si>
  <si>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</si>
  <si>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</si>
  <si>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</si>
  <si>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</si>
  <si>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</si>
  <si>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</si>
  <si>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</si>
  <si>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</si>
  <si>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</si>
  <si>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</si>
  <si>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</si>
  <si>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</si>
  <si>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</si>
  <si>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</si>
  <si>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</si>
  <si>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</si>
  <si>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</si>
  <si>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</si>
  <si>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</si>
  <si>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</si>
  <si>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</si>
  <si>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</si>
  <si>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</si>
  <si>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</si>
  <si>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</si>
  <si>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</si>
  <si>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</si>
  <si>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</si>
  <si>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</si>
  <si>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</si>
  <si>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</si>
  <si>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</si>
  <si>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</si>
  <si>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</si>
  <si>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</si>
  <si>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</si>
  <si>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</si>
  <si>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</si>
  <si>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</si>
  <si>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</si>
  <si>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</si>
  <si>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</si>
  <si>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</si>
  <si>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</si>
  <si>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</si>
  <si>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</si>
  <si>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</si>
  <si>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</si>
  <si>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</si>
  <si>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</si>
  <si>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</si>
  <si>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</si>
  <si>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</si>
  <si>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</si>
  <si>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</si>
  <si>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</si>
  <si>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</si>
  <si>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</si>
  <si>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</si>
  <si>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</si>
  <si>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</si>
  <si>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</si>
  <si>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</si>
  <si>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</si>
  <si>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</si>
  <si>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</si>
  <si>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</si>
  <si>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</si>
  <si>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</si>
  <si>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</si>
  <si>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</si>
  <si>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</si>
  <si>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</si>
  <si>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</si>
  <si>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</si>
  <si>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</si>
  <si>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</si>
  <si>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</si>
  <si>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</si>
  <si>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</si>
  <si>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</si>
  <si>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</si>
  <si>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</si>
  <si>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</si>
  <si>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</si>
  <si>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</si>
  <si>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</si>
  <si>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</si>
  <si>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</si>
  <si>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</si>
  <si>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</si>
  <si>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</si>
  <si>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</si>
  <si>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</si>
  <si>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</si>
  <si>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</si>
  <si>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</si>
  <si>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</si>
  <si>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</si>
  <si>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</si>
  <si>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</si>
  <si>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</si>
  <si>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</si>
  <si>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</si>
  <si>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</si>
  <si>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</si>
  <si>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</si>
  <si>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</si>
  <si>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</si>
  <si>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</si>
  <si>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</si>
  <si>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</si>
  <si>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</si>
  <si>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</si>
  <si>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</si>
  <si>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</si>
  <si>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</si>
  <si>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</si>
  <si>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</si>
  <si>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</si>
  <si>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</si>
  <si>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</si>
  <si>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</si>
  <si>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</si>
  <si>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</si>
  <si>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</si>
  <si>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</si>
  <si>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</si>
  <si>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</si>
  <si>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</si>
  <si>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</si>
  <si>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</si>
  <si>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</si>
  <si>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</si>
  <si>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</si>
  <si>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</si>
  <si>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</si>
  <si>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</si>
  <si>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</si>
  <si>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</si>
  <si>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</si>
  <si>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</si>
  <si>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</si>
  <si>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</si>
  <si>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</si>
  <si>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</si>
  <si>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</si>
  <si>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</si>
  <si>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</si>
  <si>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</si>
  <si>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</si>
  <si>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</si>
  <si>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</si>
  <si>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</si>
  <si>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</si>
  <si>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</si>
  <si>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</si>
  <si>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</si>
  <si>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</si>
  <si>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</si>
  <si>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</si>
  <si>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</si>
  <si>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</si>
  <si>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</si>
  <si>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</si>
  <si>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</si>
  <si>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</si>
  <si>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</si>
  <si>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</si>
  <si>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</si>
  <si>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</si>
  <si>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</si>
  <si>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</si>
  <si>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</si>
  <si>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</si>
  <si>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</si>
  <si>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</si>
  <si>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</si>
  <si>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</si>
  <si>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</si>
  <si>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</si>
  <si>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</si>
  <si>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</si>
  <si>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</si>
  <si>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</si>
  <si>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</si>
  <si>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</si>
  <si>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</si>
  <si>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</si>
  <si>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</si>
  <si>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</si>
  <si>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</si>
  <si>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</si>
  <si>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</si>
  <si>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</si>
  <si>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</si>
  <si>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</si>
  <si>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</si>
  <si>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</si>
  <si>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</si>
  <si>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</si>
  <si>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</si>
  <si>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</si>
  <si>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</si>
  <si>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</si>
  <si>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</si>
  <si>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</si>
  <si>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</si>
  <si>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</si>
  <si>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</si>
  <si>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</si>
  <si>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</si>
  <si>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</si>
  <si>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</si>
  <si>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</si>
  <si>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</si>
  <si>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</si>
  <si>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</si>
  <si>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</si>
  <si>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</si>
  <si>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</si>
  <si>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</si>
  <si>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</si>
  <si>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</si>
  <si>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</si>
  <si>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</si>
  <si>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</si>
  <si>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</si>
  <si>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</si>
  <si>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</si>
  <si>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</si>
  <si>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</si>
  <si>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</si>
  <si>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</si>
  <si>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</si>
  <si>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</si>
  <si>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</si>
  <si>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</si>
  <si>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</si>
  <si>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</si>
  <si>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</si>
  <si>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</si>
  <si>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</si>
  <si>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</si>
  <si>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</si>
  <si>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</si>
  <si>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</si>
  <si>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</si>
  <si>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</si>
  <si>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</si>
  <si>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</si>
  <si>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</si>
  <si>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</si>
  <si>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</si>
  <si>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</si>
  <si>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</si>
  <si>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</si>
  <si>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</si>
  <si>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</si>
  <si>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</si>
  <si>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</si>
  <si>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</si>
  <si>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</si>
  <si>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</si>
  <si>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</si>
  <si>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</si>
  <si>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</si>
  <si>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</si>
  <si>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</si>
  <si>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</si>
  <si>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</si>
  <si>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</si>
  <si>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</si>
  <si>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</si>
  <si>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</si>
  <si>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</si>
  <si>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</si>
  <si>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</si>
  <si>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</si>
  <si>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</si>
  <si>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</si>
  <si>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</si>
  <si>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</si>
  <si>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</si>
  <si>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</si>
  <si>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</si>
  <si>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</si>
  <si>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</si>
  <si>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</si>
  <si>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</si>
  <si>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</si>
  <si>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</si>
  <si>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</si>
  <si>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</si>
  <si>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</si>
  <si>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</si>
  <si>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</si>
  <si>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</si>
  <si>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</si>
  <si>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</si>
  <si>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</si>
  <si>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</si>
  <si>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</si>
  <si>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</si>
  <si>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</si>
  <si>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</si>
  <si>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</si>
  <si>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</si>
  <si>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</si>
  <si>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</si>
  <si>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</si>
  <si>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</si>
  <si>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</si>
  <si>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</si>
  <si>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</si>
  <si>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</si>
  <si>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</si>
  <si>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</si>
  <si>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</si>
  <si>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</si>
  <si>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</si>
  <si>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</si>
  <si>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</si>
  <si>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</si>
  <si>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</si>
  <si>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</si>
  <si>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</si>
  <si>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</si>
  <si>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</si>
  <si>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</si>
  <si>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</si>
  <si>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</si>
  <si>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</si>
  <si>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</si>
  <si>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</si>
  <si>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</si>
  <si>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</si>
  <si>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</si>
  <si>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</si>
  <si>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</si>
  <si>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</si>
  <si>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</si>
  <si>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</si>
  <si>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</si>
  <si>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</si>
  <si>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</si>
  <si>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</si>
  <si>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</si>
  <si>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</si>
  <si>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</si>
  <si>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</si>
  <si>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</si>
  <si>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</si>
  <si>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</si>
  <si>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</si>
  <si>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</si>
  <si>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</si>
  <si>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</si>
  <si>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</si>
  <si>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</si>
  <si>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</si>
  <si>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</si>
  <si>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</si>
  <si>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</si>
  <si>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</si>
  <si>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</si>
  <si>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</si>
  <si>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</si>
  <si>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</si>
  <si>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</si>
  <si>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</si>
  <si>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</si>
  <si>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</si>
  <si>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</si>
  <si>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</si>
  <si>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</si>
  <si>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</si>
  <si>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</si>
  <si>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</si>
  <si>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</si>
  <si>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</si>
  <si>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</si>
  <si>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</si>
  <si>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</si>
  <si>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</si>
  <si>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</si>
  <si>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</si>
  <si>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</si>
  <si>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</si>
  <si>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</si>
  <si>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</si>
  <si>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</si>
  <si>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</si>
  <si>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</si>
  <si>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</si>
  <si>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</si>
  <si>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</si>
  <si>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</si>
  <si>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</si>
  <si>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</si>
  <si>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</si>
  <si>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</si>
  <si>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</si>
  <si>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</si>
  <si>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</si>
  <si>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</si>
  <si>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</si>
  <si>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</si>
  <si>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</si>
  <si>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</si>
  <si>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</si>
  <si>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</si>
  <si>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</si>
  <si>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</si>
  <si>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</si>
  <si>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</si>
  <si>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</si>
  <si>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</si>
  <si>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</si>
  <si>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</si>
  <si>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</si>
  <si>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</si>
  <si>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</si>
  <si>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</si>
  <si>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</si>
  <si>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</si>
  <si>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</si>
  <si>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</si>
  <si>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</si>
  <si>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</si>
  <si>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</si>
  <si>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</si>
  <si>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</si>
  <si>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</si>
  <si>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</si>
  <si>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</si>
  <si>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</si>
  <si>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</si>
  <si>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</si>
  <si>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</si>
  <si>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</si>
  <si>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</si>
  <si>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</si>
  <si>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</si>
  <si>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</si>
  <si>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</si>
  <si>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</si>
  <si>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</si>
  <si>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</si>
  <si>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</si>
  <si>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</si>
  <si>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</si>
  <si>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</si>
  <si>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</si>
  <si>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</si>
  <si>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</si>
  <si>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</si>
  <si>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</si>
  <si>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</si>
  <si>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</si>
  <si>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</si>
  <si>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</si>
  <si>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</si>
  <si>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</si>
  <si>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</si>
  <si>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</si>
  <si>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</si>
  <si>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</si>
  <si>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</si>
  <si>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</si>
  <si>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</si>
  <si>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</si>
  <si>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</si>
  <si>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</si>
  <si>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</si>
  <si>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</si>
  <si>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</si>
  <si>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</si>
  <si>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</si>
  <si>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</si>
  <si>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</si>
  <si>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</si>
  <si>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</si>
  <si>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</si>
  <si>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</si>
  <si>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</si>
  <si>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</si>
  <si>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</si>
  <si>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</si>
  <si>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</si>
  <si>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</si>
  <si>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</si>
  <si>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</si>
  <si>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</si>
  <si>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</si>
  <si>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</si>
  <si>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</si>
  <si>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</si>
  <si>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</si>
  <si>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</si>
  <si>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</si>
  <si>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</si>
  <si>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</si>
  <si>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</si>
  <si>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</si>
  <si>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</si>
  <si>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</si>
  <si>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</si>
  <si>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</si>
  <si>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</si>
  <si>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</si>
  <si>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</si>
  <si>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</si>
  <si>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</si>
  <si>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</si>
  <si>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</si>
  <si>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</si>
  <si>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</si>
  <si>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</si>
  <si>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</si>
  <si>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</si>
  <si>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</si>
  <si>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</si>
  <si>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</si>
  <si>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</si>
  <si>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</si>
  <si>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</si>
  <si>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</si>
  <si>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</si>
  <si>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</si>
  <si>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</si>
  <si>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</si>
  <si>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</si>
  <si>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</si>
  <si>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</si>
  <si>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</si>
  <si>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</si>
  <si>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</si>
  <si>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</si>
  <si>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</si>
  <si>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</si>
  <si>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</si>
  <si>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</si>
  <si>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</si>
  <si>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</si>
  <si>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</si>
  <si>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</si>
  <si>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</si>
  <si>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</si>
  <si>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</si>
  <si>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</si>
  <si>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</si>
  <si>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</si>
  <si>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</si>
  <si>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</si>
  <si>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</si>
  <si>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</si>
  <si>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</si>
  <si>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</si>
  <si>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</si>
  <si>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</si>
  <si>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</si>
  <si>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</si>
  <si>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</si>
  <si>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</si>
  <si>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</si>
  <si>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</si>
  <si>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</si>
  <si>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</si>
  <si>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</si>
  <si>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</si>
  <si>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</si>
  <si>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</si>
  <si>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</si>
  <si>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</si>
  <si>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</si>
  <si>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</si>
  <si>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</si>
  <si>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</si>
  <si>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</si>
  <si>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</si>
  <si>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</si>
  <si>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</si>
  <si>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</si>
  <si>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</si>
  <si>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</si>
  <si>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</si>
  <si>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</si>
  <si>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</si>
  <si>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</si>
  <si>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</si>
  <si>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</si>
  <si>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</si>
  <si>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</si>
  <si>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</si>
  <si>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</si>
  <si>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</si>
  <si>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</si>
  <si>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</si>
  <si>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</si>
  <si>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</si>
  <si>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</si>
  <si>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</si>
  <si>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</si>
  <si>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</si>
  <si>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</si>
  <si>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</si>
  <si>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</si>
  <si>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</si>
  <si>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</si>
  <si>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</si>
  <si>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</si>
  <si>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</si>
  <si>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</si>
  <si>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</si>
  <si>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</si>
  <si>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</si>
  <si>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</si>
  <si>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</si>
  <si>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</si>
  <si>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</si>
  <si>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</si>
  <si>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</si>
  <si>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</si>
  <si>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</si>
  <si>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</si>
  <si>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</si>
  <si>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</si>
  <si>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</si>
  <si>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</si>
  <si>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</si>
  <si>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</si>
  <si>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</si>
  <si>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</si>
  <si>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</si>
  <si>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</si>
  <si>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</si>
  <si>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</si>
  <si>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</si>
  <si>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</si>
  <si>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</si>
  <si>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</si>
  <si>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</si>
  <si>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</si>
  <si>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</si>
  <si>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</si>
  <si>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</si>
  <si>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</si>
  <si>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</si>
  <si>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</si>
  <si>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</si>
  <si>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</si>
  <si>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</si>
  <si>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</si>
  <si>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</si>
  <si>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</si>
  <si>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</si>
  <si>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</si>
  <si>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</si>
  <si>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</si>
  <si>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</si>
  <si>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</si>
  <si>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</si>
  <si>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</si>
  <si>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</si>
  <si>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</si>
  <si>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</si>
  <si>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</si>
  <si>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</si>
  <si>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</si>
  <si>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</si>
  <si>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</si>
  <si>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</si>
  <si>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</si>
  <si>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</si>
  <si>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</si>
  <si>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</si>
  <si>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</si>
  <si>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</si>
  <si>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</si>
  <si>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</si>
  <si>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</si>
  <si>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</si>
  <si>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</si>
  <si>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</si>
  <si>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</si>
  <si>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</si>
  <si>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</si>
  <si>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</si>
  <si>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</si>
  <si>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</si>
  <si>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</si>
  <si>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</si>
  <si>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</si>
  <si>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</si>
  <si>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</si>
  <si>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</si>
  <si>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</si>
  <si>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</si>
  <si>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</si>
  <si>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</si>
  <si>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</si>
  <si>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</si>
  <si>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</si>
  <si>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</si>
  <si>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</si>
  <si>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</si>
  <si>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</si>
  <si>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</si>
  <si>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</si>
  <si>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</si>
  <si>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</si>
  <si>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</si>
  <si>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</si>
  <si>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</si>
  <si>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</si>
  <si>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</si>
  <si>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</si>
  <si>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</si>
  <si>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</si>
  <si>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</si>
  <si>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</si>
  <si>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</si>
  <si>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</si>
  <si>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</si>
  <si>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</si>
  <si>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</si>
  <si>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</si>
  <si>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</si>
  <si>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</si>
  <si>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</si>
  <si>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</si>
  <si>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</si>
  <si>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</si>
  <si>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</si>
  <si>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</si>
  <si>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</si>
  <si>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</si>
  <si>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</si>
  <si>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</si>
  <si>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</si>
  <si>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</si>
  <si>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</si>
  <si>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</si>
  <si>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</si>
  <si>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</si>
  <si>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</si>
  <si>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</si>
  <si>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</si>
  <si>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</si>
  <si>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</si>
  <si>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</si>
  <si>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</si>
  <si>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</si>
  <si>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</si>
  <si>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</si>
  <si>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</si>
  <si>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</si>
  <si>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</si>
  <si>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</si>
  <si>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</si>
  <si>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</si>
  <si>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</si>
  <si>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</si>
  <si>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</si>
  <si>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</si>
  <si>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</si>
  <si>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</si>
  <si>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</si>
  <si>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</si>
  <si>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</si>
  <si>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</si>
  <si>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</si>
  <si>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</si>
  <si>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</si>
  <si>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</si>
  <si>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</si>
  <si>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</si>
  <si>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</si>
  <si>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</si>
  <si>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</si>
  <si>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</si>
  <si>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</si>
  <si>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</si>
  <si>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</si>
  <si>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</si>
  <si>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</si>
  <si>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</si>
  <si>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</si>
  <si>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</si>
  <si>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</si>
  <si>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</si>
  <si>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</si>
  <si>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</si>
  <si>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</si>
  <si>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</si>
  <si>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</si>
  <si>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</si>
  <si>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</si>
  <si>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</si>
  <si>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</si>
  <si>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</si>
  <si>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</si>
  <si>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</si>
  <si>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</si>
  <si>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</si>
  <si>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</si>
  <si>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</si>
  <si>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</si>
  <si>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</si>
  <si>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</si>
  <si>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</si>
  <si>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</si>
  <si>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</si>
  <si>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</si>
  <si>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</si>
  <si>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</si>
  <si>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</si>
  <si>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</si>
  <si>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</si>
  <si>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</si>
  <si>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</si>
  <si>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</si>
  <si>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</si>
  <si>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</si>
  <si>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</si>
  <si>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</si>
  <si>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</si>
  <si>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</si>
  <si>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</si>
  <si>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</si>
  <si>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</si>
  <si>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</si>
  <si>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</si>
  <si>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</si>
  <si>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</si>
  <si>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</si>
  <si>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</si>
  <si>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</si>
  <si>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</si>
  <si>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</si>
  <si>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</si>
  <si>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</si>
  <si>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</si>
  <si>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</si>
  <si>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</si>
  <si>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</si>
  <si>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</si>
  <si>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</si>
  <si>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</si>
  <si>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</si>
  <si>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</si>
  <si>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</si>
  <si>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</si>
  <si>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</si>
  <si>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</si>
  <si>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</si>
  <si>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</si>
  <si>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</si>
  <si>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</si>
  <si>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</si>
  <si>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</si>
  <si>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</si>
  <si>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</si>
  <si>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</si>
  <si>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</si>
  <si>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</si>
  <si>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</si>
  <si>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</si>
  <si>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</si>
  <si>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</si>
  <si>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</si>
  <si>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</si>
  <si>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</si>
  <si>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</si>
  <si>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</si>
  <si>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</si>
  <si>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</si>
  <si>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</si>
  <si>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</si>
  <si>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</si>
  <si>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</si>
  <si>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</si>
  <si>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</si>
  <si>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</si>
  <si>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</si>
  <si>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</si>
  <si>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</si>
  <si>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</si>
  <si>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</si>
  <si>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</si>
  <si>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</si>
  <si>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</si>
  <si>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</si>
  <si>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</si>
  <si>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</si>
  <si>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</si>
  <si>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</si>
  <si>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</si>
  <si>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</si>
  <si>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</si>
  <si>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</si>
  <si>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</si>
  <si>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</si>
  <si>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</si>
  <si>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</si>
  <si>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</si>
  <si>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</si>
  <si>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</si>
  <si>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</si>
  <si>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</si>
  <si>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</si>
  <si>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</si>
  <si>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</si>
  <si>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</si>
  <si>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</si>
  <si>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</si>
  <si>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</si>
  <si>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</si>
  <si>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</si>
  <si>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</si>
  <si>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</si>
  <si>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</si>
  <si>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</si>
  <si>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</si>
  <si>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</si>
  <si>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</si>
  <si>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</si>
  <si>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</si>
  <si>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</si>
  <si>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</si>
  <si>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</si>
  <si>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</si>
  <si>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</si>
  <si>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</si>
  <si>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</si>
  <si>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</si>
  <si>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</si>
  <si>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</si>
  <si>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</si>
  <si>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</si>
  <si>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</si>
  <si>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</si>
  <si>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</si>
  <si>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</si>
  <si>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</si>
  <si>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</si>
  <si>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</si>
  <si>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</si>
  <si>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</si>
  <si>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</si>
  <si>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</si>
  <si>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</si>
  <si>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</si>
  <si>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</si>
  <si>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</si>
  <si>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</si>
  <si>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</si>
  <si>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</si>
  <si>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</si>
  <si>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</si>
  <si>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</si>
  <si>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</si>
  <si>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</si>
  <si>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</si>
  <si>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</si>
  <si>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</si>
  <si>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</si>
  <si>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</si>
  <si>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</si>
  <si>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</si>
  <si>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</si>
  <si>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</si>
  <si>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</si>
  <si>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</si>
  <si>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</si>
  <si>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</si>
  <si>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</si>
  <si>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</si>
  <si>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</si>
  <si>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</si>
  <si>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</si>
  <si>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</si>
  <si>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</si>
  <si>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</si>
  <si>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</si>
  <si>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</si>
  <si>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</si>
  <si>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</si>
  <si>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</si>
  <si>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</si>
  <si>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</si>
  <si>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</si>
  <si>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</si>
  <si>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</si>
  <si>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</si>
  <si>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</si>
  <si>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</si>
  <si>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</si>
  <si>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</si>
  <si>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</si>
  <si>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</si>
  <si>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</si>
  <si>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</si>
  <si>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</si>
  <si>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</si>
  <si>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</si>
  <si>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</si>
  <si>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</si>
  <si>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</si>
  <si>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</si>
  <si>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</si>
  <si>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</si>
  <si>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</si>
  <si>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</si>
  <si>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</si>
  <si>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</si>
  <si>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</si>
  <si>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</si>
  <si>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</si>
  <si>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</si>
  <si>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</si>
  <si>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</si>
  <si>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</si>
  <si>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</si>
  <si>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</si>
  <si>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</si>
  <si>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</si>
  <si>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</si>
  <si>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</si>
  <si>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</si>
  <si>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</si>
  <si>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</si>
  <si>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</si>
  <si>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</si>
  <si>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</si>
  <si>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</si>
  <si>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</si>
  <si>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</si>
  <si>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</si>
  <si>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</si>
  <si>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</si>
  <si>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</si>
  <si>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</si>
  <si>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</si>
  <si>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</si>
  <si>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</si>
  <si>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</si>
  <si>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</si>
  <si>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</si>
  <si>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</si>
  <si>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</si>
  <si>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</si>
  <si>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</si>
  <si>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</si>
  <si>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</si>
  <si>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</si>
  <si>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</si>
  <si>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</si>
  <si>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</si>
  <si>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</si>
  <si>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</si>
  <si>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</si>
  <si>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</si>
  <si>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</si>
  <si>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</si>
  <si>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</si>
  <si>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</si>
  <si>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</si>
  <si>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</si>
  <si>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</si>
  <si>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</si>
  <si>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</si>
  <si>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</si>
  <si>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</si>
  <si>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</si>
  <si>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</si>
  <si>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</si>
  <si>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</si>
  <si>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</si>
  <si>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</si>
  <si>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</si>
  <si>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</si>
  <si>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</si>
  <si>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</si>
  <si>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</si>
  <si>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</si>
  <si>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</si>
  <si>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</si>
  <si>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</si>
  <si>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</si>
  <si>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</si>
  <si>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</si>
  <si>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</si>
  <si>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</si>
  <si>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</si>
  <si>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</si>
  <si>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</si>
  <si>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</si>
  <si>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</si>
  <si>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</si>
  <si>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</si>
  <si>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</si>
  <si>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</si>
  <si>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</si>
  <si>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</si>
  <si>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</si>
  <si>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</si>
  <si>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</si>
  <si>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</si>
  <si>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</si>
  <si>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</si>
  <si>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</si>
  <si>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</si>
  <si>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</si>
  <si>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</si>
  <si>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</si>
  <si>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</si>
  <si>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</si>
  <si>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</si>
  <si>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</si>
  <si>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</si>
  <si>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</si>
  <si>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</si>
  <si>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</si>
  <si>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</si>
  <si>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</si>
  <si>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</si>
  <si>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</si>
  <si>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</si>
  <si>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</si>
  <si>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</si>
  <si>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</si>
  <si>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</si>
  <si>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</si>
  <si>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</si>
  <si>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</si>
  <si>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</si>
  <si>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</si>
  <si>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</si>
  <si>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</si>
  <si>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</si>
  <si>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</si>
  <si>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</si>
  <si>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</si>
  <si>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</si>
  <si>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</si>
  <si>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</si>
  <si>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</si>
  <si>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</si>
  <si>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</si>
  <si>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</si>
  <si>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</si>
  <si>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</si>
  <si>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</si>
  <si>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</si>
  <si>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</si>
  <si>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</si>
  <si>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</si>
  <si>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</si>
  <si>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</si>
  <si>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</si>
  <si>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</si>
  <si>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</si>
  <si>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</si>
  <si>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</si>
  <si>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</si>
  <si>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</si>
  <si>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</si>
  <si>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</si>
  <si>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</si>
  <si>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</si>
  <si>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</si>
  <si>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</si>
  <si>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</si>
  <si>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</si>
  <si>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</si>
  <si>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</si>
  <si>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</si>
  <si>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</si>
  <si>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</si>
  <si>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</si>
  <si>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</si>
  <si>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</si>
  <si>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</si>
  <si>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</si>
  <si>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</si>
  <si>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</si>
  <si>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</si>
  <si>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</si>
  <si>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</si>
  <si>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</si>
  <si>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</si>
  <si>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</si>
  <si>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</si>
  <si>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</si>
  <si>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</si>
  <si>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</si>
  <si>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</si>
  <si>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</si>
  <si>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</si>
  <si>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</si>
  <si>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</si>
  <si>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</si>
  <si>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</si>
  <si>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</si>
  <si>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</si>
  <si>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</si>
  <si>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</si>
  <si>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</si>
  <si>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</si>
  <si>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</si>
  <si>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</si>
  <si>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</si>
  <si>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</si>
  <si>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</si>
  <si>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</si>
  <si>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</si>
  <si>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</si>
  <si>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</si>
  <si>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</si>
  <si>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</si>
  <si>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</si>
  <si>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</si>
  <si>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</si>
  <si>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</si>
  <si>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</si>
  <si>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</si>
  <si>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</si>
  <si>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</si>
  <si>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</si>
  <si>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</si>
  <si>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</si>
  <si>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</si>
  <si>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</si>
  <si>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</si>
  <si>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</si>
  <si>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</si>
  <si>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</si>
  <si>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</si>
  <si>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</si>
  <si>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</si>
  <si>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</si>
  <si>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</si>
  <si>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</si>
  <si>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</si>
  <si>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</si>
  <si>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</si>
  <si>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</si>
  <si>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</si>
  <si>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</si>
  <si>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</si>
  <si>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</si>
  <si>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</si>
  <si>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</si>
  <si>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</si>
  <si>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</si>
  <si>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</si>
  <si>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</si>
  <si>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</si>
  <si>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</si>
  <si>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</si>
  <si>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</si>
  <si>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</si>
  <si>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</si>
  <si>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</si>
  <si>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</si>
  <si>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</si>
  <si>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</si>
  <si>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</si>
  <si>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</si>
  <si>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</si>
  <si>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</si>
  <si>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</si>
  <si>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</si>
  <si>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</si>
  <si>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</si>
  <si>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</si>
  <si>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</si>
  <si>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</si>
  <si>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</si>
  <si>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</si>
  <si>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</si>
  <si>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</si>
  <si>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</si>
  <si>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</si>
  <si>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</si>
  <si>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</si>
  <si>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</si>
  <si>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</si>
  <si>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</si>
  <si>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</si>
  <si>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</si>
  <si>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</si>
  <si>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</si>
  <si>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</si>
  <si>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</si>
  <si>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</si>
  <si>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</si>
  <si>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</si>
  <si>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</si>
  <si>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</si>
  <si>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</si>
  <si>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</si>
  <si>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</si>
  <si>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</si>
  <si>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</si>
  <si>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</si>
  <si>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</si>
  <si>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</si>
  <si>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</si>
  <si>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</si>
  <si>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</si>
  <si>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</si>
  <si>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</si>
  <si>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</si>
  <si>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</si>
  <si>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</si>
  <si>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</si>
  <si>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</si>
  <si>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</si>
  <si>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</si>
  <si>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</si>
  <si>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</si>
  <si>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</si>
  <si>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</si>
  <si>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</si>
  <si>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</si>
  <si>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</si>
  <si>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</si>
  <si>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</si>
  <si>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</si>
  <si>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</si>
  <si>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</si>
  <si>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</si>
  <si>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</si>
  <si>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</si>
  <si>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</si>
  <si>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</si>
  <si>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</si>
  <si>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</si>
  <si>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</si>
  <si>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</si>
  <si>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</si>
  <si>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</si>
  <si>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</si>
  <si>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</si>
  <si>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</si>
  <si>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</si>
  <si>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</si>
  <si>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</si>
  <si>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</si>
  <si>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</si>
  <si>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</si>
  <si>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</si>
  <si>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</si>
  <si>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</si>
  <si>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</si>
  <si>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</si>
  <si>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</si>
  <si>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</si>
  <si>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</si>
  <si>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</si>
  <si>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</si>
  <si>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</si>
  <si>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</si>
  <si>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</si>
  <si>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</si>
  <si>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</si>
  <si>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</si>
  <si>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</si>
  <si>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</si>
  <si>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</si>
  <si>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</si>
  <si>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</si>
  <si>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</si>
  <si>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</si>
  <si>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</si>
  <si>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</si>
  <si>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</si>
  <si>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</si>
  <si>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</si>
  <si>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</si>
  <si>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</si>
  <si>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</si>
  <si>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</si>
  <si>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</si>
  <si>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</si>
  <si>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</si>
  <si>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</si>
  <si>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</si>
  <si>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</si>
  <si>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</si>
  <si>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</si>
  <si>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</si>
  <si>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</si>
  <si>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</si>
  <si>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</si>
  <si>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</si>
  <si>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</si>
  <si>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</si>
  <si>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</si>
  <si>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</si>
  <si>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</si>
  <si>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</si>
  <si>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</si>
  <si>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</si>
  <si>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</si>
  <si>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</si>
  <si>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</si>
  <si>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</si>
  <si>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</si>
  <si>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</si>
  <si>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</si>
  <si>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</si>
  <si>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</si>
  <si>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</si>
  <si>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</si>
  <si>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</si>
  <si>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</si>
  <si>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</si>
  <si>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</si>
  <si>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</si>
  <si>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</si>
  <si>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</si>
  <si>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</si>
  <si>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</si>
  <si>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</si>
  <si>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</si>
  <si>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</si>
  <si>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</si>
  <si>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</si>
  <si>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</si>
  <si>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</si>
  <si>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</si>
  <si>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</si>
  <si>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</si>
  <si>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</si>
  <si>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</si>
  <si>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</si>
  <si>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</si>
  <si>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</si>
  <si>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</si>
  <si>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</si>
  <si>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</si>
  <si>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</si>
  <si>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</si>
  <si>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</si>
  <si>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</si>
  <si>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</si>
  <si>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</si>
  <si>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</si>
  <si>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</si>
  <si>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</si>
  <si>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</si>
  <si>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</si>
  <si>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</si>
  <si>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</si>
  <si>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</si>
  <si>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</si>
  <si>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</si>
  <si>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</si>
  <si>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</si>
  <si>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</si>
  <si>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</si>
  <si>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</si>
  <si>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</si>
  <si>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</si>
  <si>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</si>
  <si>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</si>
  <si>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</si>
  <si>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</si>
  <si>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</si>
  <si>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</si>
  <si>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</si>
  <si>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</si>
  <si>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</si>
  <si>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</si>
  <si>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</si>
  <si>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</si>
  <si>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</si>
  <si>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</si>
  <si>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</si>
  <si>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</si>
  <si>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</si>
  <si>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</si>
  <si>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</si>
  <si>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</si>
  <si>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</si>
  <si>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</si>
  <si>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</si>
  <si>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</si>
  <si>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</si>
  <si>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</si>
  <si>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</si>
  <si>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</si>
  <si>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</si>
  <si>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</si>
  <si>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</si>
  <si>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</si>
  <si>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</si>
  <si>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</si>
  <si>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</si>
  <si>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</si>
  <si>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</si>
  <si>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</si>
  <si>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</si>
  <si>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</si>
  <si>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</si>
  <si>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</si>
  <si>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</si>
  <si>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</si>
  <si>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</si>
  <si>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</si>
  <si>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</si>
  <si>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</si>
  <si>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</si>
  <si>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</si>
  <si>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</si>
  <si>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</si>
  <si>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</si>
  <si>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</si>
  <si>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</si>
  <si>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</si>
  <si>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</si>
  <si>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</si>
  <si>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</si>
  <si>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</si>
  <si>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</si>
  <si>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</si>
  <si>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</si>
  <si>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</si>
  <si>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</si>
  <si>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</si>
  <si>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</si>
  <si>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</si>
  <si>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</si>
  <si>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</si>
  <si>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</si>
  <si>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</si>
  <si>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</si>
  <si>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</si>
  <si>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</si>
  <si>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</si>
  <si>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</si>
  <si>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</si>
  <si>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</si>
  <si>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</si>
  <si>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</si>
  <si>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</si>
  <si>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</si>
  <si>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</si>
  <si>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</si>
  <si>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</si>
  <si>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</si>
  <si>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</si>
  <si>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</si>
  <si>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</si>
  <si>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</si>
  <si>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</si>
  <si>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</si>
  <si>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</si>
  <si>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</si>
  <si>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</si>
  <si>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</si>
  <si>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</si>
  <si>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</si>
  <si>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</si>
  <si>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</si>
  <si>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</si>
  <si>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</si>
  <si>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</si>
  <si>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</si>
  <si>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</si>
  <si>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</si>
  <si>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</si>
  <si>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</si>
  <si>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</si>
  <si>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</si>
  <si>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</si>
  <si>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</si>
  <si>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</si>
  <si>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</si>
  <si>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</si>
  <si>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</si>
  <si>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</si>
  <si>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</si>
  <si>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</si>
  <si>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</si>
  <si>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</si>
  <si>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</si>
  <si>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</si>
  <si>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</si>
  <si>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</si>
  <si>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</si>
  <si>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</si>
  <si>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</si>
  <si>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</si>
  <si>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</si>
  <si>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</si>
  <si>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</si>
  <si>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</si>
  <si>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</si>
  <si>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</si>
  <si>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</si>
  <si>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</si>
  <si>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</si>
  <si>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</si>
  <si>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</si>
  <si>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</si>
  <si>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</si>
  <si>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</si>
  <si>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</si>
  <si>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</si>
  <si>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</si>
  <si>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</si>
  <si>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</si>
  <si>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</si>
  <si>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</si>
  <si>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</si>
  <si>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</si>
  <si>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</si>
  <si>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</si>
  <si>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</si>
  <si>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</si>
  <si>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</si>
  <si>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</si>
  <si>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</si>
  <si>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</si>
  <si>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</si>
  <si>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</si>
  <si>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</si>
  <si>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</si>
  <si>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</si>
  <si>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</si>
  <si>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</si>
  <si>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</si>
  <si>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</si>
  <si>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</si>
  <si>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</si>
  <si>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</si>
  <si>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</si>
  <si>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</si>
  <si>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</si>
  <si>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</si>
  <si>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</si>
  <si>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</si>
  <si>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</si>
  <si>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</si>
  <si>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</si>
  <si>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</si>
  <si>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</si>
  <si>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</si>
  <si>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</si>
  <si>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</si>
  <si>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</si>
  <si>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</si>
  <si>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</si>
  <si>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</si>
  <si>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</si>
  <si>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</si>
  <si>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</si>
  <si>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</si>
  <si>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</si>
  <si>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</si>
  <si>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</si>
  <si>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</si>
  <si>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</si>
  <si>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</si>
  <si>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</si>
  <si>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</si>
  <si>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</si>
  <si>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</si>
  <si>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</si>
  <si>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</si>
  <si>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</si>
  <si>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</si>
  <si>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</si>
  <si>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</si>
  <si>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</si>
  <si>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</si>
  <si>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</si>
  <si>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</si>
  <si>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</si>
  <si>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</si>
  <si>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</si>
  <si>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</si>
  <si>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</si>
  <si>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</si>
  <si>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</si>
  <si>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</si>
  <si>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</si>
  <si>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</si>
  <si>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</si>
  <si>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</si>
  <si>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</si>
  <si>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</si>
  <si>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</si>
  <si>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</si>
  <si>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</si>
  <si>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</si>
  <si>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</si>
  <si>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</si>
  <si>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</si>
  <si>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</si>
  <si>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</si>
  <si>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</si>
  <si>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</si>
  <si>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</si>
  <si>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</si>
  <si>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</si>
  <si>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</si>
  <si>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</si>
  <si>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</si>
  <si>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</si>
  <si>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</si>
  <si>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</si>
  <si>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</si>
  <si>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</si>
  <si>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</si>
  <si>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</si>
  <si>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</si>
  <si>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</si>
  <si>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</si>
  <si>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</si>
  <si>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</si>
  <si>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</si>
  <si>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</si>
  <si>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</si>
  <si>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</si>
  <si>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</si>
  <si>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</si>
  <si>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</si>
  <si>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</si>
  <si>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</si>
  <si>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</si>
  <si>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</si>
  <si>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</si>
  <si>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</si>
  <si>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</si>
  <si>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</si>
  <si>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</si>
  <si>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</si>
  <si>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</si>
  <si>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</si>
  <si>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</si>
  <si>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</si>
  <si>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</si>
  <si>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</si>
  <si>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</si>
  <si>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</si>
  <si>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</si>
  <si>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</si>
  <si>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</si>
  <si>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</si>
  <si>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</si>
  <si>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</si>
  <si>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</si>
  <si>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</si>
  <si>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</si>
  <si>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</si>
  <si>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</si>
  <si>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</si>
  <si>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</si>
  <si>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</si>
  <si>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</si>
  <si>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</si>
  <si>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</si>
  <si>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</si>
  <si>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</si>
  <si>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</si>
  <si>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</si>
  <si>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</si>
  <si>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</si>
  <si>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</si>
  <si>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</si>
  <si>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</si>
  <si>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</si>
  <si>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</si>
  <si>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</si>
  <si>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</si>
  <si>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</si>
  <si>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</si>
  <si>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</si>
  <si>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</si>
  <si>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</si>
  <si>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</si>
  <si>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</si>
  <si>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</si>
  <si>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</si>
  <si>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</si>
  <si>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</si>
  <si>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</si>
  <si>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</si>
  <si>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</si>
  <si>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</si>
  <si>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</si>
  <si>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</si>
  <si>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</si>
  <si>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</si>
  <si>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</si>
  <si>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</si>
  <si>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</si>
  <si>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</si>
  <si>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</si>
  <si>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</si>
  <si>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</si>
  <si>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</si>
  <si>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</si>
  <si>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</si>
  <si>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</si>
  <si>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</si>
  <si>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</si>
  <si>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</si>
  <si>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</si>
  <si>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</si>
  <si>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</si>
  <si>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</si>
  <si>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</si>
  <si>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</si>
  <si>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</si>
  <si>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</si>
  <si>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</si>
  <si>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</si>
  <si>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</si>
  <si>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</si>
  <si>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</si>
  <si>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</si>
  <si>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</si>
  <si>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</si>
  <si>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</si>
  <si>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</si>
  <si>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</si>
  <si>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</si>
  <si>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</si>
  <si>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</si>
  <si>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</si>
  <si>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</si>
  <si>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</si>
  <si>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</si>
  <si>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</si>
  <si>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</si>
  <si>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</si>
  <si>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</si>
  <si>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</si>
  <si>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</si>
  <si>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</si>
  <si>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</si>
  <si>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</si>
  <si>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</si>
  <si>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</si>
  <si>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</si>
  <si>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</si>
  <si>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</si>
  <si>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</si>
  <si>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</si>
  <si>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</si>
  <si>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</si>
  <si>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</si>
  <si>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</si>
  <si>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</si>
  <si>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</si>
  <si>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</si>
  <si>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</si>
  <si>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</si>
  <si>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</si>
  <si>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</si>
  <si>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</si>
  <si>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</si>
  <si>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</si>
  <si>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</si>
  <si>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</si>
  <si>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</si>
  <si>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</si>
  <si>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</si>
  <si>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</si>
  <si>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</si>
  <si>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</si>
  <si>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</si>
  <si>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</si>
  <si>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</si>
  <si>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</si>
  <si>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</si>
  <si>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</si>
  <si>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</si>
  <si>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</si>
  <si>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</si>
  <si>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</si>
  <si>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</si>
  <si>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</si>
  <si>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</si>
  <si>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</si>
  <si>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</si>
  <si>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</si>
  <si>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</si>
  <si>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</si>
  <si>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</si>
  <si>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</si>
  <si>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</si>
  <si>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</si>
  <si>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</si>
  <si>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</si>
  <si>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</si>
  <si>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</si>
  <si>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</si>
  <si>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</si>
  <si>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</si>
  <si>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</si>
  <si>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</si>
  <si>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</si>
  <si>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</si>
  <si>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</si>
  <si>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</si>
  <si>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</si>
  <si>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</si>
  <si>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</si>
  <si>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</si>
  <si>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</si>
  <si>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</si>
  <si>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</si>
  <si>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</si>
  <si>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</si>
  <si>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</si>
  <si>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</si>
  <si>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</si>
  <si>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</si>
  <si>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</si>
  <si>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</si>
  <si>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</si>
  <si>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</si>
  <si>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</si>
  <si>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</si>
  <si>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</si>
  <si>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</si>
  <si>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</si>
  <si>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</si>
  <si>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</si>
  <si>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</si>
  <si>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</si>
  <si>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</si>
  <si>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</si>
  <si>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</si>
  <si>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</si>
  <si>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</si>
  <si>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</si>
  <si>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</si>
  <si>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</si>
  <si>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</si>
  <si>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</si>
  <si>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</si>
  <si>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</si>
  <si>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</si>
  <si>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</si>
  <si>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</si>
  <si>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</si>
  <si>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</si>
  <si>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</si>
  <si>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</si>
  <si>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</si>
  <si>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</si>
  <si>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</si>
  <si>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</si>
  <si>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</si>
  <si>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</si>
  <si>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</si>
  <si>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</si>
  <si>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</si>
  <si>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</si>
  <si>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</si>
  <si>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</si>
  <si>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</si>
  <si>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</si>
  <si>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</si>
  <si>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</si>
  <si>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</si>
  <si>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</si>
  <si>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</si>
  <si>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</si>
  <si>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</si>
  <si>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</si>
  <si>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</si>
  <si>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</si>
  <si>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</si>
  <si>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</si>
  <si>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</si>
  <si>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</si>
  <si>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</si>
  <si>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</si>
  <si>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</si>
  <si>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</si>
  <si>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</si>
  <si>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</si>
  <si>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</si>
  <si>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</si>
  <si>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</si>
  <si>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</si>
  <si>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</si>
  <si>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</si>
  <si>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</si>
  <si>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</si>
  <si>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</si>
  <si>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</si>
  <si>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</si>
  <si>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</si>
  <si>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</si>
  <si>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</si>
  <si>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</si>
  <si>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</si>
  <si>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</si>
  <si>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</si>
  <si>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</si>
  <si>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</si>
  <si>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</si>
  <si>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</si>
  <si>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</si>
  <si>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</si>
  <si>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</si>
  <si>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</si>
  <si>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</si>
  <si>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</si>
  <si>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</si>
  <si>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</si>
  <si>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</si>
  <si>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</si>
  <si>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</si>
  <si>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</si>
  <si>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</si>
  <si>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</si>
  <si>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</si>
  <si>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</si>
  <si>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</si>
  <si>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</si>
  <si>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</si>
  <si>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</si>
  <si>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</si>
  <si>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</si>
  <si>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</si>
  <si>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</si>
  <si>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</si>
  <si>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</si>
  <si>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</si>
  <si>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</si>
  <si>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</si>
  <si>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</si>
  <si>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</si>
  <si>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</si>
  <si>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</si>
  <si>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</si>
  <si>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</si>
  <si>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</si>
  <si>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</si>
  <si>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</si>
  <si>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</si>
  <si>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</si>
  <si>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</si>
  <si>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</si>
  <si>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</si>
  <si>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</si>
  <si>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</si>
  <si>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</si>
  <si>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</si>
  <si>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</si>
  <si>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</si>
  <si>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</si>
  <si>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</si>
  <si>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</si>
  <si>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</si>
  <si>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</si>
  <si>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</si>
  <si>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</si>
  <si>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</si>
  <si>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</si>
  <si>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</si>
  <si>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</si>
  <si>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</si>
  <si>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</si>
  <si>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</si>
  <si>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</si>
  <si>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</si>
  <si>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</si>
  <si>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</si>
  <si>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</si>
  <si>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</si>
  <si>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</si>
  <si>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</si>
  <si>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</si>
  <si>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</si>
  <si>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</si>
  <si>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</si>
  <si>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</si>
  <si>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</si>
  <si>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</si>
  <si>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</si>
  <si>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</si>
  <si>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</si>
  <si>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</si>
  <si>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</si>
  <si>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</si>
  <si>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</si>
  <si>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</si>
  <si>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</si>
  <si>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</si>
  <si>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</si>
  <si>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</si>
  <si>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</si>
  <si>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</si>
  <si>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</si>
  <si>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</si>
  <si>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</si>
  <si>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</si>
  <si>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</si>
  <si>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</si>
  <si>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</si>
  <si>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</si>
  <si>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</si>
  <si>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</si>
  <si>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</si>
  <si>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</si>
  <si>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</si>
  <si>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</si>
  <si>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</si>
  <si>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</si>
  <si>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</si>
  <si>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</si>
  <si>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</si>
  <si>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</si>
  <si>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</si>
  <si>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</si>
  <si>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</si>
  <si>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</si>
  <si>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</si>
  <si>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</si>
  <si>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</si>
  <si>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</si>
  <si>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</si>
  <si>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</si>
  <si>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</si>
  <si>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</si>
  <si>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</si>
  <si>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</si>
  <si>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</si>
  <si>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</si>
  <si>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</si>
  <si>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</si>
  <si>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</si>
  <si>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</si>
  <si>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</si>
  <si>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</si>
  <si>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</si>
  <si>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</si>
  <si>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</si>
  <si>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</si>
  <si>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</si>
  <si>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</si>
  <si>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</si>
  <si>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</si>
  <si>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</si>
  <si>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</si>
  <si>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</si>
  <si>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</si>
  <si>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</si>
  <si>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</si>
  <si>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</si>
  <si>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</si>
  <si>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</si>
  <si>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</si>
  <si>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</si>
  <si>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</si>
  <si>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</si>
  <si>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</si>
  <si>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</si>
  <si>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</si>
  <si>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</si>
  <si>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</si>
  <si>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</si>
  <si>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</si>
  <si>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</si>
  <si>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</si>
  <si>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</si>
  <si>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</si>
  <si>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</si>
  <si>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</si>
  <si>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</si>
  <si>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</si>
  <si>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</si>
  <si>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</si>
  <si>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</si>
  <si>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</si>
  <si>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</si>
  <si>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</si>
  <si>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</si>
  <si>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</si>
  <si>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</si>
  <si>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</si>
  <si>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</si>
  <si>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</si>
  <si>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</si>
  <si>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</si>
  <si>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</si>
  <si>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</si>
  <si>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</si>
  <si>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</si>
  <si>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</si>
  <si>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</si>
  <si>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</si>
  <si>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</si>
  <si>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</si>
  <si>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</si>
  <si>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</si>
  <si>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</si>
  <si>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</si>
  <si>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</si>
  <si>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</si>
  <si>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</si>
  <si>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</si>
  <si>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</si>
  <si>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</si>
  <si>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</si>
  <si>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</si>
  <si>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</si>
  <si>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</si>
  <si>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</si>
  <si>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</si>
  <si>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</si>
  <si>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</si>
  <si>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</si>
  <si>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</si>
  <si>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</si>
  <si>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</si>
  <si>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</si>
  <si>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</si>
  <si>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</si>
  <si>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</si>
  <si>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</si>
  <si>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</si>
  <si>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</si>
  <si>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</si>
  <si>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</si>
  <si>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</si>
  <si>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</si>
  <si>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</si>
  <si>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</si>
  <si>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</si>
  <si>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</si>
  <si>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</si>
  <si>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</si>
  <si>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</si>
  <si>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</si>
  <si>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</si>
  <si>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</si>
  <si>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</si>
  <si>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</si>
  <si>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</si>
  <si>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</si>
  <si>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</si>
  <si>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</si>
  <si>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</si>
  <si>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</si>
  <si>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</si>
  <si>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</si>
  <si>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</si>
  <si>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</si>
  <si>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</si>
  <si>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</si>
  <si>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</si>
  <si>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</si>
  <si>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</si>
  <si>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</si>
  <si>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</si>
  <si>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</si>
  <si>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</si>
  <si>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</si>
  <si>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</si>
  <si>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</si>
  <si>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</si>
  <si>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</si>
  <si>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</si>
  <si>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</si>
  <si>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</si>
  <si>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</si>
  <si>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</si>
  <si>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</si>
  <si>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</si>
  <si>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</si>
  <si>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</si>
  <si>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</si>
  <si>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</si>
  <si>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</si>
  <si>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</si>
  <si>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</si>
  <si>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</si>
  <si>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</si>
  <si>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</si>
  <si>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</si>
  <si>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</si>
  <si>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</si>
  <si>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</si>
  <si>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</si>
  <si>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</si>
  <si>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</si>
  <si>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</si>
  <si>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</si>
  <si>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</si>
  <si>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</si>
  <si>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</si>
  <si>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</si>
  <si>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</si>
  <si>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</si>
  <si>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</si>
  <si>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</si>
  <si>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</si>
  <si>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</si>
  <si>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</si>
  <si>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</si>
  <si>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</si>
  <si>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</si>
  <si>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</si>
  <si>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</si>
  <si>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</si>
  <si>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</si>
  <si>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</si>
  <si>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</si>
  <si>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</si>
  <si>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</si>
  <si>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</si>
  <si>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</si>
  <si>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</si>
  <si>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</si>
  <si>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</si>
  <si>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</si>
  <si>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</si>
  <si>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</si>
  <si>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</si>
  <si>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</si>
  <si>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</si>
  <si>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</si>
  <si>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</si>
  <si>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</si>
  <si>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</si>
  <si>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</si>
  <si>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</si>
  <si>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</si>
  <si>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</si>
  <si>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</si>
  <si>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</si>
  <si>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</si>
  <si>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</si>
  <si>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</si>
  <si>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</si>
  <si>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</si>
  <si>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</si>
  <si>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</si>
  <si>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</si>
  <si>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</si>
  <si>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</si>
  <si>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</si>
  <si>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</si>
  <si>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</si>
  <si>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</si>
  <si>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</si>
  <si>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</si>
  <si>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</si>
  <si>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</si>
  <si>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</si>
  <si>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</si>
  <si>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</si>
  <si>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</si>
  <si>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</si>
  <si>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</si>
  <si>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</si>
  <si>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</si>
  <si>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</si>
  <si>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</si>
  <si>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</si>
  <si>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</si>
  <si>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</si>
  <si>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</si>
  <si>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</si>
  <si>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</si>
  <si>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</si>
  <si>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</si>
  <si>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</si>
  <si>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</si>
  <si>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</si>
  <si>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</si>
  <si>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</si>
  <si>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</si>
  <si>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</si>
  <si>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</si>
  <si>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</si>
  <si>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</si>
  <si>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</si>
  <si>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</si>
  <si>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</si>
  <si>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</si>
  <si>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</si>
  <si>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</si>
  <si>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</si>
  <si>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</si>
  <si>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</si>
  <si>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</si>
  <si>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</si>
  <si>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</si>
  <si>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</si>
  <si>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</si>
  <si>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</si>
  <si>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</si>
  <si>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</si>
  <si>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</si>
  <si>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</si>
  <si>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</si>
  <si>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</si>
  <si>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</si>
  <si>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</si>
  <si>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</si>
  <si>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</si>
  <si>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</si>
  <si>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</si>
  <si>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</si>
  <si>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</si>
  <si>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</si>
  <si>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</si>
  <si>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</si>
  <si>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</si>
  <si>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</si>
  <si>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</si>
  <si>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</si>
  <si>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</si>
  <si>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</si>
  <si>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</si>
  <si>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</si>
  <si>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</si>
  <si>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</si>
  <si>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</si>
  <si>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</si>
  <si>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</si>
  <si>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</si>
  <si>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</si>
  <si>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</si>
  <si>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</si>
  <si>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</si>
  <si>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</si>
  <si>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</si>
  <si>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</si>
  <si>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</si>
  <si>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</si>
  <si>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</si>
  <si>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</si>
  <si>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</si>
  <si>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</si>
  <si>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</si>
  <si>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</si>
  <si>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</si>
  <si>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</si>
  <si>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</si>
  <si>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</si>
  <si>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</si>
  <si>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</si>
  <si>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</si>
  <si>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</si>
  <si>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</si>
  <si>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</si>
  <si>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</si>
  <si>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</si>
  <si>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</si>
  <si>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</si>
  <si>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</si>
  <si>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</si>
  <si>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</si>
  <si>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</si>
  <si>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</si>
  <si>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</si>
  <si>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</si>
  <si>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</si>
  <si>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</si>
  <si>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</si>
  <si>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</si>
  <si>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</si>
  <si>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</si>
  <si>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</si>
  <si>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</si>
  <si>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</si>
  <si>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</si>
  <si>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</si>
  <si>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</si>
  <si>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</si>
  <si>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</si>
  <si>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</si>
  <si>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</si>
  <si>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</si>
  <si>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</si>
  <si>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</si>
  <si>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</si>
  <si>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</si>
  <si>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</si>
  <si>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</si>
  <si>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</si>
  <si>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</si>
  <si>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</si>
  <si>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</si>
  <si>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</si>
  <si>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</si>
  <si>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</si>
  <si>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</si>
  <si>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</si>
  <si>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</si>
  <si>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</si>
  <si>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</si>
  <si>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</si>
  <si>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</si>
  <si>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</si>
  <si>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</si>
  <si>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</si>
  <si>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</si>
  <si>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</si>
  <si>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</si>
  <si>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</si>
  <si>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</si>
  <si>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</si>
  <si>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</si>
  <si>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</si>
  <si>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</si>
  <si>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</si>
  <si>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</si>
  <si>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</si>
  <si>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</si>
  <si>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</si>
  <si>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</si>
  <si>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</si>
  <si>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</si>
  <si>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</si>
  <si>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</si>
  <si>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</si>
  <si>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</si>
  <si>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</si>
  <si>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</si>
  <si>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</si>
  <si>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</si>
  <si>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</si>
  <si>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</si>
  <si>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</si>
  <si>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</si>
  <si>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</si>
  <si>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</si>
  <si>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</si>
  <si>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</si>
  <si>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</si>
  <si>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</si>
  <si>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</si>
  <si>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</si>
  <si>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</si>
  <si>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</si>
  <si>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</si>
  <si>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</si>
  <si>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</si>
  <si>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</si>
  <si>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</si>
  <si>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</si>
  <si>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</si>
  <si>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</si>
  <si>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</si>
  <si>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</si>
  <si>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</si>
  <si>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</si>
  <si>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</si>
  <si>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</si>
  <si>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</si>
  <si>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</si>
  <si>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</si>
  <si>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</si>
  <si>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</si>
  <si>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</si>
  <si>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</si>
  <si>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</si>
  <si>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</si>
  <si>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</si>
  <si>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</si>
  <si>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</si>
  <si>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</si>
  <si>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</si>
  <si>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</si>
  <si>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</si>
  <si>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</si>
  <si>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</si>
  <si>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</si>
  <si>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</si>
  <si>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</si>
  <si>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</si>
  <si>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</si>
  <si>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</si>
  <si>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</si>
  <si>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</si>
  <si>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</si>
  <si>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</si>
  <si>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</si>
  <si>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</si>
  <si>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</si>
  <si>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</si>
  <si>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</si>
  <si>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</si>
  <si>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</si>
  <si>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</si>
  <si>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</si>
  <si>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</si>
  <si>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</si>
  <si>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</si>
  <si>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</si>
  <si>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</si>
  <si>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</si>
  <si>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</si>
  <si>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</si>
  <si>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</si>
  <si>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</si>
  <si>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</si>
  <si>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</si>
  <si>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</si>
  <si>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</si>
  <si>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</si>
  <si>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</si>
  <si>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</si>
  <si>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</si>
  <si>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</si>
  <si>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</si>
  <si>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</si>
  <si>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</si>
  <si>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</si>
  <si>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</si>
  <si>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</si>
  <si>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</si>
  <si>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</si>
  <si>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</si>
  <si>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</si>
  <si>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</si>
  <si>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</si>
  <si>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</si>
  <si>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</si>
  <si>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</si>
  <si>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</si>
  <si>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</si>
  <si>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</si>
  <si>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</si>
  <si>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</si>
  <si>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</si>
  <si>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</si>
  <si>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</si>
  <si>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</si>
  <si>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</si>
  <si>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</si>
  <si>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</si>
  <si>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</si>
  <si>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</si>
  <si>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</si>
  <si>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</si>
  <si>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</si>
  <si>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</si>
  <si>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</si>
  <si>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</si>
  <si>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</si>
  <si>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</si>
  <si>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</si>
  <si>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</si>
  <si>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</si>
  <si>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</si>
  <si>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</si>
  <si>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</si>
  <si>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</si>
  <si>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</si>
  <si>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</si>
  <si>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</si>
  <si>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</si>
  <si>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</si>
  <si>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</si>
  <si>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</si>
  <si>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</si>
  <si>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</si>
  <si>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</si>
  <si>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</si>
  <si>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</si>
  <si>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</si>
  <si>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</si>
  <si>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</si>
  <si>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</si>
  <si>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</si>
  <si>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</si>
  <si>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</si>
  <si>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</si>
  <si>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</si>
  <si>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</si>
  <si>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</si>
  <si>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</si>
  <si>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</si>
  <si>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</si>
  <si>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</si>
  <si>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</si>
  <si>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</si>
  <si>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</si>
  <si>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</si>
  <si>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</si>
  <si>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</si>
  <si>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</si>
  <si>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</si>
  <si>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</si>
  <si>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</si>
  <si>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</si>
  <si>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</si>
  <si>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</si>
  <si>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</si>
  <si>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</si>
  <si>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</si>
  <si>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</si>
  <si>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</si>
  <si>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</si>
  <si>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</si>
  <si>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</si>
  <si>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</si>
  <si>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</si>
  <si>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</si>
  <si>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</si>
  <si>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</si>
  <si>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</si>
  <si>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</si>
  <si>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</si>
  <si>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</si>
  <si>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</si>
  <si>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</si>
  <si>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</si>
  <si>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</si>
  <si>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</si>
  <si>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</si>
  <si>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</si>
  <si>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</si>
  <si>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</si>
  <si>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</si>
  <si>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</si>
  <si>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</si>
  <si>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</si>
  <si>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</si>
  <si>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</si>
  <si>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</si>
  <si>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</si>
  <si>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</si>
  <si>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</si>
  <si>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</si>
  <si>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</si>
  <si>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</si>
  <si>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</si>
  <si>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</si>
  <si>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</si>
  <si>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</si>
  <si>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</si>
  <si>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</si>
  <si>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</si>
  <si>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</si>
  <si>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</si>
  <si>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</si>
  <si>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</si>
  <si>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</si>
  <si>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</si>
  <si>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</si>
  <si>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</si>
  <si>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</si>
  <si>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</si>
  <si>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</si>
  <si>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</si>
  <si>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</si>
  <si>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</si>
  <si>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</si>
  <si>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</si>
  <si>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</si>
  <si>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</si>
  <si>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</si>
  <si>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</si>
  <si>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</si>
  <si>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</si>
  <si>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</si>
  <si>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</si>
  <si>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</si>
  <si>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</si>
  <si>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</si>
  <si>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</si>
  <si>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</si>
  <si>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</si>
  <si>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</si>
  <si>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</si>
  <si>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</si>
  <si>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</si>
  <si>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</si>
  <si>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</si>
  <si>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</si>
  <si>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</si>
  <si>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</si>
  <si>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</si>
  <si>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</si>
  <si>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</si>
  <si>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</si>
  <si>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</si>
  <si>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</si>
  <si>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</si>
  <si>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</si>
  <si>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</si>
  <si>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</si>
  <si>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</si>
  <si>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</si>
  <si>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</si>
  <si>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</si>
  <si>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</si>
  <si>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</si>
  <si>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</si>
  <si>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</si>
  <si>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</si>
  <si>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</si>
  <si>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</si>
  <si>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</si>
  <si>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</si>
  <si>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</si>
  <si>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</si>
  <si>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</si>
  <si>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</si>
  <si>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</si>
  <si>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</si>
  <si>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</si>
  <si>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</si>
  <si>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</si>
  <si>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</si>
  <si>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</si>
  <si>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</si>
  <si>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</si>
  <si>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</si>
  <si>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</si>
  <si>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</si>
  <si>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</si>
  <si>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</si>
  <si>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</si>
  <si>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</si>
  <si>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</si>
  <si>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</si>
  <si>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</si>
  <si>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</si>
  <si>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</si>
  <si>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</si>
  <si>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</si>
  <si>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</si>
  <si>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</si>
  <si>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</si>
  <si>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</si>
  <si>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</si>
  <si>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</si>
  <si>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</si>
  <si>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</si>
  <si>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</si>
  <si>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</si>
  <si>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</si>
  <si>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</si>
  <si>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</si>
  <si>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</si>
  <si>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</si>
  <si>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</si>
  <si>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</si>
  <si>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</si>
  <si>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</si>
  <si>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</si>
  <si>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</si>
  <si>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</si>
  <si>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</si>
  <si>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</si>
  <si>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</si>
  <si>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</si>
  <si>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</si>
  <si>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</si>
  <si>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</si>
  <si>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</si>
  <si>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</si>
  <si>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</si>
  <si>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</si>
  <si>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</si>
  <si>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</si>
  <si>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</si>
  <si>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</si>
  <si>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</si>
  <si>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</si>
  <si>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</si>
  <si>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</si>
  <si>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</si>
  <si>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</si>
  <si>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</si>
  <si>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</si>
  <si>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</si>
  <si>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</si>
  <si>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</si>
  <si>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</si>
  <si>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</si>
  <si>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</si>
  <si>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</si>
  <si>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</si>
  <si>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</si>
  <si>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</si>
  <si>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</si>
  <si>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</si>
  <si>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</si>
  <si>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</si>
  <si>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</si>
  <si>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</si>
  <si>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</si>
  <si>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</si>
  <si>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</si>
  <si>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</si>
  <si>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</si>
  <si>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</si>
  <si>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</si>
  <si>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</si>
  <si>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</si>
  <si>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</si>
  <si>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</si>
  <si>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</si>
  <si>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</si>
  <si>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</si>
  <si>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</si>
  <si>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</si>
  <si>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</si>
  <si>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</si>
  <si>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</si>
  <si>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</si>
  <si>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</si>
  <si>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</si>
  <si>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</si>
  <si>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</si>
  <si>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</si>
  <si>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</si>
  <si>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</si>
  <si>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</si>
  <si>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</si>
  <si>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</si>
  <si>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</si>
  <si>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</si>
  <si>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</si>
  <si>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</si>
  <si>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</si>
  <si>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</si>
  <si>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</si>
  <si>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</si>
  <si>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</si>
  <si>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</si>
  <si>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</si>
  <si>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</si>
  <si>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</si>
  <si>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</si>
  <si>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</si>
  <si>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</si>
  <si>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</si>
  <si>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</si>
  <si>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</si>
  <si>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</si>
  <si>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</si>
  <si>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</si>
  <si>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</si>
  <si>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</si>
  <si>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</si>
  <si>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</si>
  <si>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</si>
  <si>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</si>
  <si>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</si>
  <si>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</si>
  <si>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</si>
  <si>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</si>
  <si>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</si>
  <si>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</si>
  <si>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</si>
  <si>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</si>
  <si>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</si>
  <si>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</si>
  <si>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</si>
  <si>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</si>
  <si>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</si>
  <si>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</si>
  <si>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</si>
  <si>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</si>
  <si>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</si>
  <si>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</si>
  <si>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</si>
  <si>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</si>
  <si>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</si>
  <si>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</si>
  <si>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</si>
  <si>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</si>
  <si>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</si>
  <si>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</si>
  <si>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</si>
  <si>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</si>
  <si>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</si>
  <si>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</si>
  <si>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</si>
  <si>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</si>
  <si>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</si>
  <si>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</si>
  <si>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</si>
  <si>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</si>
  <si>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</si>
  <si>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</si>
  <si>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</si>
  <si>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</si>
  <si>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</si>
  <si>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</si>
  <si>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</si>
  <si>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</si>
  <si>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</si>
  <si>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</si>
  <si>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</si>
  <si>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</si>
  <si>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</si>
  <si>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</si>
  <si>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</si>
  <si>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</si>
  <si>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</si>
  <si>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</si>
  <si>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</si>
  <si>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</si>
  <si>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</si>
  <si>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</si>
  <si>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</si>
  <si>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</si>
  <si>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</si>
  <si>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</si>
  <si>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</si>
  <si>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</si>
  <si>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</si>
  <si>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</si>
  <si>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</si>
  <si>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</si>
  <si>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</si>
  <si>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</si>
  <si>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</si>
  <si>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</si>
  <si>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</si>
  <si>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</si>
  <si>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</si>
  <si>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</si>
  <si>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</si>
  <si>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</si>
  <si>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</si>
  <si>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</si>
  <si>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</si>
  <si>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</si>
  <si>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</si>
  <si>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</si>
  <si>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</si>
  <si>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</si>
  <si>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</si>
  <si>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</si>
  <si>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</si>
  <si>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</si>
  <si>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</si>
  <si>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</si>
  <si>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</si>
  <si>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</si>
  <si>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</si>
  <si>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</si>
  <si>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</si>
  <si>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</si>
  <si>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</si>
  <si>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</si>
  <si>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</si>
  <si>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</si>
  <si>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</si>
  <si>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</si>
  <si>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</si>
  <si>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</si>
  <si>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</si>
  <si>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</si>
  <si>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</si>
  <si>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</si>
  <si>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</si>
  <si>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</si>
  <si>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</si>
  <si>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</si>
  <si>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</si>
  <si>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</si>
  <si>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</si>
  <si>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</si>
  <si>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</si>
  <si>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</si>
  <si>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</si>
  <si>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</si>
  <si>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</si>
  <si>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</si>
  <si>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</si>
  <si>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</si>
  <si>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</si>
  <si>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</si>
  <si>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</si>
  <si>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</si>
  <si>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</si>
  <si>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</si>
  <si>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</si>
  <si>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</si>
  <si>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</si>
  <si>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</si>
  <si>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</si>
  <si>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</si>
  <si>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</si>
  <si>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</si>
  <si>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</si>
  <si>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</si>
  <si>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</si>
  <si>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</si>
  <si>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</si>
  <si>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</si>
  <si>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</si>
  <si>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</si>
  <si>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</si>
  <si>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</si>
  <si>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</si>
  <si>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</si>
  <si>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</si>
  <si>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</si>
  <si>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</si>
  <si>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</si>
  <si>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</si>
  <si>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</si>
  <si>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</si>
  <si>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</si>
  <si>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</si>
  <si>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</si>
  <si>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</si>
  <si>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</si>
  <si>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</si>
  <si>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</si>
  <si>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</si>
  <si>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</si>
  <si>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</si>
  <si>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</si>
  <si>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</si>
  <si>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</si>
  <si>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</si>
  <si>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</si>
  <si>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</si>
  <si>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</si>
  <si>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</si>
  <si>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</si>
  <si>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</si>
  <si>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</si>
  <si>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</si>
  <si>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</si>
  <si>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</si>
  <si>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</si>
  <si>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</si>
  <si>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</si>
  <si>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</si>
  <si>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</si>
  <si>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</si>
  <si>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</si>
  <si>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</si>
  <si>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</si>
  <si>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</si>
  <si>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</si>
  <si>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</si>
  <si>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</si>
  <si>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</si>
  <si>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</si>
  <si>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</si>
  <si>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</si>
  <si>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</si>
  <si>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</si>
  <si>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</si>
  <si>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</si>
  <si>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</si>
  <si>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</si>
  <si>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</si>
  <si>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</si>
  <si>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</si>
  <si>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</si>
  <si>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</si>
  <si>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</si>
  <si>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</si>
  <si>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</si>
  <si>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</si>
  <si>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</si>
  <si>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</si>
  <si>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</si>
  <si>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</si>
  <si>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</si>
  <si>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</si>
  <si>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</si>
  <si>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</si>
  <si>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</si>
  <si>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</si>
  <si>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</si>
  <si>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</si>
  <si>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</si>
  <si>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</si>
  <si>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</si>
  <si>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</si>
  <si>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</si>
  <si>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</si>
  <si>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</si>
  <si>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</si>
  <si>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</si>
  <si>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</si>
  <si>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</si>
  <si>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</si>
  <si>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</si>
  <si>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</si>
  <si>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</si>
  <si>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</si>
  <si>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</si>
  <si>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</si>
  <si>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</si>
  <si>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</si>
  <si>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</si>
  <si>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</si>
  <si>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</si>
  <si>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</si>
  <si>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</si>
  <si>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</si>
  <si>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</si>
  <si>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</si>
  <si>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</si>
  <si>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</si>
  <si>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</si>
  <si>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</si>
  <si>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</si>
  <si>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</si>
  <si>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</si>
  <si>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</si>
  <si>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</si>
  <si>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</si>
  <si>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</si>
  <si>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</si>
  <si>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</si>
  <si>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</si>
  <si>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</si>
  <si>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</si>
  <si>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</si>
  <si>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</si>
  <si>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</si>
  <si>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</si>
  <si>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</si>
  <si>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</si>
  <si>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</si>
  <si>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</si>
  <si>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</si>
  <si>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</si>
  <si>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</si>
  <si>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</si>
  <si>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</si>
  <si>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</si>
  <si>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</si>
  <si>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</si>
  <si>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</si>
  <si>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</si>
  <si>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</si>
  <si>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</si>
  <si>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</si>
  <si>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</si>
  <si>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</si>
  <si>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</si>
  <si>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</si>
  <si>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</si>
  <si>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</si>
  <si>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</si>
  <si>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</si>
  <si>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</si>
  <si>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</si>
  <si>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</si>
  <si>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</si>
  <si>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</si>
  <si>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</si>
  <si>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</si>
  <si>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</si>
  <si>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</si>
  <si>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</si>
  <si>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</si>
  <si>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</si>
  <si>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</si>
  <si>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</si>
  <si>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</si>
  <si>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</si>
  <si>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</si>
  <si>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</si>
  <si>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</si>
  <si>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</si>
  <si>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</si>
  <si>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</si>
  <si>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</si>
  <si>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</si>
  <si>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</si>
  <si>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</si>
  <si>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</si>
  <si>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</si>
  <si>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</si>
  <si>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</si>
  <si>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</si>
  <si>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</si>
  <si>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</si>
  <si>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</si>
  <si>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</si>
  <si>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</si>
  <si>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</si>
  <si>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</si>
  <si>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</si>
  <si>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</si>
  <si>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</si>
  <si>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</si>
  <si>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</si>
  <si>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</si>
  <si>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</si>
  <si>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</si>
  <si>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</si>
  <si>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</si>
  <si>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</si>
  <si>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</si>
  <si>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</si>
  <si>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</si>
  <si>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</si>
  <si>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</si>
  <si>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</si>
  <si>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</si>
  <si>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</si>
  <si>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</si>
  <si>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</si>
  <si>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</si>
  <si>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</si>
  <si>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</si>
  <si>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</si>
  <si>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</si>
  <si>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</si>
  <si>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</si>
  <si>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</si>
  <si>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</si>
  <si>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</si>
  <si>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</si>
  <si>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</si>
  <si>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</si>
  <si>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</si>
  <si>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</si>
  <si>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</si>
  <si>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</si>
  <si>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</si>
  <si>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</si>
  <si>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</si>
  <si>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</si>
  <si>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</si>
  <si>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</si>
  <si>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</si>
  <si>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</si>
  <si>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</si>
  <si>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</si>
  <si>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</si>
  <si>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</si>
  <si>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</si>
  <si>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</si>
  <si>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</si>
  <si>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</si>
  <si>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</si>
  <si>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</si>
  <si>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</si>
  <si>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</si>
  <si>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</si>
  <si>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</si>
  <si>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</si>
  <si>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</si>
  <si>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</si>
  <si>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</si>
  <si>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</si>
  <si>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</si>
  <si>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</si>
  <si>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</si>
  <si>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</si>
  <si>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</si>
  <si>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</si>
  <si>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</si>
  <si>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</si>
  <si>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</si>
  <si>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</si>
  <si>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</si>
  <si>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</si>
  <si>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</si>
  <si>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</si>
  <si>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</si>
  <si>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</si>
  <si>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</si>
  <si>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</si>
  <si>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</si>
  <si>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</si>
  <si>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</si>
  <si>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</si>
  <si>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</si>
  <si>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</si>
  <si>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</si>
  <si>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</si>
  <si>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</si>
  <si>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</si>
  <si>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</si>
  <si>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</si>
  <si>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</si>
  <si>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</si>
  <si>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</si>
  <si>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</si>
  <si>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</si>
  <si>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</si>
  <si>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</si>
  <si>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</si>
  <si>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</si>
  <si>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</si>
  <si>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</si>
  <si>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</si>
  <si>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</si>
  <si>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</si>
  <si>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</si>
  <si>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</si>
  <si>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</si>
  <si>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</si>
  <si>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</si>
  <si>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</si>
  <si>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</si>
  <si>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</si>
  <si>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</si>
  <si>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</si>
  <si>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</si>
  <si>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</si>
  <si>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</si>
  <si>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</si>
  <si>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</si>
  <si>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</si>
  <si>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</si>
  <si>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</si>
  <si>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</si>
  <si>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</si>
  <si>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</si>
  <si>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</si>
  <si>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</si>
  <si>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</si>
  <si>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</si>
  <si>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</si>
  <si>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</si>
  <si>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</si>
  <si>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</si>
  <si>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</si>
  <si>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</si>
  <si>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</si>
  <si>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</si>
  <si>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</si>
  <si>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</si>
  <si>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</si>
  <si>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</si>
  <si>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</si>
  <si>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</si>
  <si>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</si>
  <si>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</si>
  <si>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</si>
  <si>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</si>
  <si>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</si>
  <si>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</si>
  <si>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</si>
  <si>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</si>
  <si>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</si>
  <si>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</si>
  <si>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</si>
  <si>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</si>
  <si>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</si>
  <si>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</si>
  <si>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</si>
  <si>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</si>
  <si>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</si>
  <si>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</si>
  <si>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</si>
  <si>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</si>
  <si>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</si>
  <si>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</si>
  <si>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</si>
  <si>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</si>
  <si>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</si>
  <si>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</si>
  <si>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</si>
  <si>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</si>
  <si>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</si>
  <si>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</si>
  <si>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</si>
  <si>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</si>
  <si>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</si>
  <si>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</si>
  <si>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</si>
  <si>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</si>
  <si>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</si>
  <si>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</si>
  <si>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</si>
  <si>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</si>
  <si>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</si>
  <si>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</si>
  <si>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</si>
  <si>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</si>
  <si>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</si>
  <si>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</si>
  <si>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</si>
  <si>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</si>
  <si>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</si>
  <si>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</si>
  <si>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</si>
  <si>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</si>
  <si>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</si>
  <si>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</si>
  <si>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</si>
  <si>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</si>
  <si>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</si>
  <si>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</si>
  <si>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</si>
  <si>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</si>
  <si>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</si>
  <si>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</si>
  <si>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</si>
  <si>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</si>
  <si>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</si>
  <si>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</si>
  <si>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</si>
  <si>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</si>
  <si>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</si>
  <si>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</si>
  <si>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</si>
  <si>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</si>
  <si>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</si>
  <si>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</si>
  <si>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</si>
  <si>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</si>
  <si>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</si>
  <si>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</si>
  <si>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</si>
  <si>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</si>
  <si>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</si>
  <si>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</si>
  <si>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</si>
  <si>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</si>
  <si>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</si>
  <si>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</si>
  <si>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</si>
  <si>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</si>
  <si>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</si>
  <si>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</si>
  <si>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</si>
  <si>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</si>
  <si>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</si>
  <si>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</si>
  <si>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</si>
  <si>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</si>
  <si>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</si>
  <si>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</si>
  <si>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</si>
  <si>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</si>
  <si>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</si>
  <si>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</si>
  <si>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</si>
  <si>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</si>
  <si>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</si>
  <si>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</si>
  <si>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</si>
  <si>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</si>
  <si>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</si>
  <si>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</si>
  <si>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</si>
  <si>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</si>
  <si>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</si>
  <si>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</si>
  <si>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</si>
  <si>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</si>
  <si>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</si>
  <si>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</si>
  <si>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</si>
  <si>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</si>
  <si>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</si>
  <si>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</si>
  <si>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</si>
  <si>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</si>
  <si>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</si>
  <si>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</si>
  <si>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</si>
  <si>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</si>
  <si>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</si>
  <si>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</si>
  <si>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</si>
  <si>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</si>
  <si>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</si>
  <si>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</si>
  <si>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</si>
  <si>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</si>
  <si>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</si>
  <si>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</si>
  <si>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</si>
  <si>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</si>
  <si>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</si>
  <si>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</si>
  <si>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</si>
  <si>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</si>
  <si>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</si>
  <si>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</si>
  <si>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</si>
  <si>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</si>
  <si>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</si>
  <si>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</si>
  <si>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</si>
  <si>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</si>
  <si>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</si>
  <si>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</si>
  <si>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</si>
  <si>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</si>
  <si>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</si>
  <si>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</si>
  <si>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</si>
  <si>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</si>
  <si>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</si>
  <si>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</si>
  <si>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</si>
  <si>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</si>
  <si>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</si>
  <si>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</si>
  <si>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</si>
  <si>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</si>
  <si>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</si>
  <si>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</si>
  <si>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</si>
  <si>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</si>
  <si>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</si>
  <si>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</si>
  <si>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</si>
  <si>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</si>
  <si>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</si>
  <si>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</si>
  <si>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</si>
  <si>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</si>
  <si>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</si>
  <si>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</si>
  <si>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</si>
  <si>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</si>
  <si>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</si>
  <si>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</si>
  <si>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</si>
  <si>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</si>
  <si>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</si>
  <si>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</si>
  <si>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</si>
  <si>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</si>
  <si>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</si>
  <si>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</si>
  <si>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</si>
  <si>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</si>
  <si>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</si>
  <si>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</si>
  <si>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</si>
  <si>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</si>
  <si>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</si>
  <si>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</si>
  <si>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</si>
  <si>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</si>
  <si>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</si>
  <si>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</si>
  <si>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</si>
  <si>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</si>
  <si>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</si>
  <si>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</si>
  <si>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</si>
  <si>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</si>
  <si>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</si>
  <si>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</si>
  <si>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</si>
  <si>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</si>
  <si>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</si>
  <si>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</si>
  <si>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</si>
  <si>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</si>
  <si>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</si>
  <si>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</si>
  <si>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</si>
  <si>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</si>
  <si>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</si>
  <si>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</si>
  <si>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</si>
  <si>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</si>
  <si>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</si>
  <si>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</si>
  <si>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</si>
  <si>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</si>
  <si>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</si>
  <si>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</si>
  <si>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</si>
  <si>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</si>
  <si>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</si>
  <si>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</si>
  <si>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</si>
  <si>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</si>
  <si>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</si>
  <si>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</si>
  <si>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</si>
  <si>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</si>
  <si>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</si>
  <si>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</si>
  <si>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</si>
  <si>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</si>
  <si>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</si>
  <si>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</si>
  <si>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</si>
  <si>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</si>
  <si>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</si>
  <si>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</si>
  <si>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</si>
  <si>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</si>
  <si>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</si>
  <si>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</si>
  <si>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</si>
  <si>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</si>
  <si>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</si>
  <si>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</si>
  <si>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</si>
  <si>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</si>
  <si>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</si>
  <si>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</si>
  <si>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</si>
  <si>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</si>
  <si>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</si>
  <si>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</si>
  <si>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</si>
  <si>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</si>
  <si>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</si>
  <si>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</si>
  <si>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</si>
  <si>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</si>
  <si>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</si>
  <si>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</si>
  <si>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</si>
  <si>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</si>
  <si>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</si>
  <si>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</si>
  <si>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</si>
  <si>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</si>
  <si>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</si>
  <si>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</si>
  <si>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</si>
  <si>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</si>
  <si>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</si>
  <si>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</si>
  <si>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</si>
  <si>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</si>
  <si>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</si>
  <si>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</si>
  <si>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</si>
  <si>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</si>
  <si>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</si>
  <si>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</si>
  <si>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</si>
  <si>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</si>
  <si>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</si>
  <si>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</si>
  <si>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</si>
  <si>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</si>
  <si>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</si>
  <si>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</si>
  <si>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</si>
  <si>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</si>
  <si>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</si>
  <si>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</si>
  <si>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</si>
  <si>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</si>
  <si>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</si>
  <si>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</si>
  <si>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</si>
  <si>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</si>
  <si>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</si>
  <si>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</si>
  <si>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</si>
  <si>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</si>
  <si>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</si>
  <si>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</si>
  <si>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</si>
  <si>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</si>
  <si>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</si>
  <si>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</si>
  <si>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</si>
  <si>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</si>
  <si>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</si>
  <si>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</si>
  <si>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</si>
  <si>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</si>
  <si>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</si>
  <si>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</si>
  <si>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</si>
  <si>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</si>
  <si>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</si>
  <si>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</si>
  <si>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</si>
  <si>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</si>
  <si>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</si>
  <si>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</si>
  <si>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</si>
  <si>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</si>
  <si>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</si>
  <si>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</si>
  <si>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</si>
  <si>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</si>
  <si>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</si>
  <si>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</si>
  <si>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</si>
  <si>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</si>
  <si>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</si>
  <si>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</si>
  <si>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</si>
  <si>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</si>
  <si>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</si>
  <si>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</si>
  <si>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</si>
  <si>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</si>
  <si>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</si>
  <si>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</si>
  <si>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</si>
  <si>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</si>
  <si>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</si>
  <si>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</si>
  <si>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</si>
  <si>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</si>
  <si>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</si>
  <si>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</si>
  <si>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</si>
  <si>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</si>
  <si>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</si>
  <si>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</si>
  <si>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</si>
  <si>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</si>
  <si>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</si>
  <si>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</si>
  <si>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</si>
  <si>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</si>
  <si>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</si>
  <si>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</si>
  <si>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</si>
  <si>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</si>
  <si>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</si>
  <si>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</si>
  <si>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</si>
  <si>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</si>
  <si>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</si>
  <si>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</si>
  <si>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</si>
  <si>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</si>
  <si>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</si>
  <si>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</si>
  <si>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</si>
  <si>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</si>
  <si>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</si>
  <si>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</si>
  <si>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</si>
  <si>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</si>
  <si>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</si>
  <si>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</si>
  <si>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</si>
  <si>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</si>
  <si>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</si>
  <si>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</si>
  <si>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</si>
  <si>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</si>
  <si>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</si>
  <si>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</si>
  <si>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</si>
  <si>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</si>
  <si>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</si>
  <si>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</si>
  <si>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</si>
  <si>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</si>
  <si>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</si>
  <si>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</si>
  <si>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</si>
  <si>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</si>
  <si>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</si>
  <si>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</si>
  <si>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</si>
  <si>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</si>
  <si>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</si>
  <si>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</si>
  <si>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</si>
  <si>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</si>
  <si>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</si>
  <si>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</si>
  <si>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</si>
  <si>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</si>
  <si>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</si>
  <si>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</si>
  <si>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</si>
  <si>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</si>
  <si>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</si>
  <si>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</si>
  <si>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</si>
  <si>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</si>
  <si>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</si>
  <si>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</si>
  <si>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</si>
  <si>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</si>
  <si>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</si>
  <si>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</si>
  <si>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</si>
  <si>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</si>
  <si>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</si>
  <si>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</si>
  <si>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</si>
  <si>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</si>
  <si>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</si>
  <si>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</si>
  <si>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</si>
  <si>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</si>
  <si>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</si>
  <si>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</si>
  <si>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</si>
  <si>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</si>
  <si>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</si>
  <si>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</si>
  <si>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</si>
  <si>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</si>
  <si>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</si>
  <si>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</si>
  <si>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</si>
  <si>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</si>
  <si>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</si>
  <si>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</si>
  <si>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</si>
  <si>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</si>
  <si>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</si>
  <si>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</si>
  <si>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</si>
  <si>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</si>
  <si>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</si>
  <si>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</si>
  <si>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</si>
  <si>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</si>
  <si>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</si>
  <si>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</si>
  <si>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</si>
  <si>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</si>
  <si>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</si>
  <si>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</si>
  <si>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</si>
  <si>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</si>
  <si>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</si>
  <si>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</si>
  <si>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</si>
  <si>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</si>
  <si>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</si>
  <si>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</si>
  <si>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</si>
  <si>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</si>
  <si>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</si>
  <si>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</si>
  <si>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</si>
  <si>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</si>
  <si>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</si>
  <si>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</si>
  <si>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</si>
  <si>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</si>
  <si>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</si>
  <si>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</si>
  <si>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</si>
  <si>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</si>
  <si>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</si>
  <si>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</si>
  <si>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</si>
  <si>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</si>
  <si>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</si>
  <si>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</si>
  <si>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</si>
  <si>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</si>
  <si>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</si>
  <si>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</si>
  <si>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</si>
  <si>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</si>
  <si>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</si>
  <si>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</si>
  <si>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</si>
  <si>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</si>
  <si>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</si>
  <si>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</si>
  <si>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</si>
  <si>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</si>
  <si>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</si>
  <si>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</si>
  <si>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</si>
  <si>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</si>
  <si>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</si>
  <si>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</si>
  <si>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</si>
  <si>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</si>
  <si>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</si>
  <si>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</si>
  <si>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</si>
  <si>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</si>
  <si>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</si>
  <si>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</si>
  <si>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</si>
  <si>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</si>
  <si>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</si>
  <si>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</si>
  <si>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</si>
  <si>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</si>
  <si>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</si>
  <si>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</si>
  <si>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</si>
  <si>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</si>
  <si>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</si>
  <si>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</si>
  <si>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</si>
  <si>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</si>
  <si>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</si>
  <si>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</si>
  <si>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</si>
  <si>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</si>
  <si>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</si>
  <si>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</si>
  <si>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</si>
  <si>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</si>
  <si>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</si>
  <si>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</si>
  <si>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</si>
  <si>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</si>
  <si>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</si>
  <si>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</si>
  <si>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</si>
  <si>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</si>
  <si>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</si>
  <si>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</si>
  <si>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</si>
  <si>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</si>
  <si>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</si>
  <si>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</si>
  <si>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</si>
  <si>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</si>
  <si>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</si>
  <si>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</si>
  <si>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</si>
  <si>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</si>
  <si>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</si>
  <si>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</si>
  <si>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</si>
  <si>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</si>
  <si>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</si>
  <si>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</si>
  <si>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</si>
  <si>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</si>
  <si>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</si>
  <si>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</si>
  <si>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</si>
  <si>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</si>
  <si>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</si>
  <si>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</si>
  <si>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</si>
  <si>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</si>
  <si>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</si>
  <si>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</si>
  <si>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</si>
  <si>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</si>
  <si>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</si>
  <si>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</si>
  <si>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</si>
  <si>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</si>
  <si>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</si>
  <si>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</si>
  <si>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</si>
  <si>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</si>
  <si>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</si>
  <si>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</si>
  <si>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</si>
  <si>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</si>
  <si>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</si>
  <si>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</si>
  <si>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</si>
  <si>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</si>
  <si>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</si>
  <si>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</si>
  <si>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</si>
  <si>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</si>
  <si>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</si>
  <si>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</si>
  <si>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</si>
  <si>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</si>
  <si>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</si>
  <si>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</si>
  <si>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</si>
  <si>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</si>
  <si>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</si>
  <si>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</si>
  <si>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</si>
  <si>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</si>
  <si>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</si>
  <si>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</si>
  <si>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</si>
  <si>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</si>
  <si>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</si>
  <si>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</si>
  <si>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</si>
  <si>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</si>
  <si>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</si>
  <si>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</si>
  <si>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</si>
  <si>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</si>
  <si>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</si>
  <si>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</si>
  <si>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</si>
  <si>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</si>
  <si>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</si>
  <si>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</si>
  <si>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</si>
  <si>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</si>
  <si>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</si>
  <si>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</si>
  <si>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</si>
  <si>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</si>
  <si>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</si>
  <si>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</si>
  <si>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</si>
  <si>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</si>
  <si>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</si>
  <si>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</si>
  <si>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</si>
  <si>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</si>
  <si>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</si>
  <si>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</si>
  <si>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</si>
  <si>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</si>
  <si>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</si>
  <si>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</si>
  <si>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</si>
  <si>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</si>
  <si>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</si>
  <si>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</si>
  <si>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</si>
  <si>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</si>
  <si>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</si>
  <si>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</si>
  <si>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</si>
  <si>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</si>
  <si>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</si>
  <si>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</si>
  <si>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</si>
  <si>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</si>
  <si>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</si>
  <si>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</si>
  <si>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</si>
  <si>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</si>
  <si>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</si>
  <si>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</si>
  <si>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</si>
  <si>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</si>
  <si>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</si>
  <si>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</si>
  <si>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</si>
  <si>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</si>
  <si>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</si>
  <si>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</si>
  <si>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</si>
  <si>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</si>
  <si>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</si>
  <si>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</si>
  <si>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</si>
  <si>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</si>
  <si>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</si>
  <si>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</si>
  <si>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</si>
  <si>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</si>
  <si>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</si>
  <si>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</si>
  <si>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</si>
  <si>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</si>
  <si>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</si>
  <si>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</si>
  <si>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</si>
  <si>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</si>
  <si>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</si>
  <si>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</si>
  <si>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</si>
  <si>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</si>
  <si>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</si>
  <si>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</si>
  <si>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</si>
  <si>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</si>
  <si>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</si>
  <si>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</si>
  <si>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</si>
  <si>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</si>
  <si>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</si>
  <si>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</si>
  <si>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</si>
  <si>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</si>
  <si>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</si>
  <si>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</si>
  <si>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</si>
  <si>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</si>
  <si>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</si>
  <si>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</si>
  <si>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</si>
  <si>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</si>
  <si>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</si>
  <si>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</si>
  <si>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</si>
  <si>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</si>
  <si>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</si>
  <si>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</si>
  <si>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</si>
  <si>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</si>
  <si>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</si>
  <si>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</si>
  <si>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</si>
  <si>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</si>
  <si>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</si>
  <si>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</si>
  <si>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</si>
  <si>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</si>
  <si>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</si>
  <si>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</si>
  <si>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</si>
  <si>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</si>
  <si>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</si>
  <si>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</si>
  <si>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</si>
  <si>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</si>
  <si>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</si>
  <si>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</si>
  <si>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</si>
  <si>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</si>
  <si>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</si>
  <si>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</si>
  <si>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</si>
  <si>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</si>
  <si>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</si>
  <si>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</si>
  <si>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</si>
  <si>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</si>
  <si>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</si>
  <si>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</si>
  <si>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</si>
  <si>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</si>
  <si>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</si>
  <si>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</si>
  <si>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</si>
  <si>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</si>
  <si>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</si>
  <si>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</si>
  <si>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</si>
  <si>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</si>
  <si>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</si>
  <si>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</si>
  <si>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</si>
  <si>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</si>
  <si>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</si>
  <si>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</si>
  <si>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</si>
  <si>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</si>
  <si>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</si>
  <si>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</si>
  <si>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</si>
  <si>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</si>
  <si>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</si>
  <si>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</si>
  <si>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</si>
  <si>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</si>
  <si>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</si>
  <si>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</si>
  <si>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</si>
  <si>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</si>
  <si>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</si>
  <si>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</si>
  <si>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</si>
  <si>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</si>
  <si>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</si>
  <si>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</si>
  <si>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</si>
  <si>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</si>
  <si>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</si>
  <si>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</si>
  <si>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</si>
  <si>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</si>
  <si>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</si>
  <si>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</si>
  <si>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</si>
  <si>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</si>
  <si>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</si>
  <si>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</si>
  <si>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</si>
  <si>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</si>
  <si>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</si>
  <si>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</si>
  <si>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</si>
  <si>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</si>
  <si>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</si>
  <si>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</si>
  <si>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</si>
  <si>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</si>
  <si>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</si>
  <si>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</si>
  <si>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</si>
  <si>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</si>
  <si>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</si>
  <si>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</si>
  <si>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</si>
  <si>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</si>
  <si>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</si>
  <si>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</si>
  <si>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</si>
  <si>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</si>
  <si>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</si>
  <si>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</si>
  <si>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</si>
  <si>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</si>
  <si>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</si>
  <si>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</si>
  <si>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</si>
  <si>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</si>
  <si>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</si>
  <si>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</si>
  <si>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</si>
  <si>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</si>
  <si>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</si>
  <si>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</si>
  <si>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</si>
  <si>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</si>
  <si>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</si>
  <si>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</si>
  <si>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</si>
  <si>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</si>
  <si>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</si>
  <si>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</si>
  <si>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</si>
  <si>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</si>
  <si>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</si>
  <si>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</si>
  <si>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</si>
  <si>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</si>
  <si>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</si>
  <si>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</si>
  <si>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</si>
  <si>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</si>
  <si>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</si>
  <si>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</si>
  <si>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</si>
  <si>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</si>
  <si>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</si>
  <si>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</si>
  <si>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</si>
  <si>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</si>
  <si>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</si>
  <si>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</si>
  <si>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</si>
  <si>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</si>
  <si>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</si>
  <si>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</si>
  <si>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</si>
  <si>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</si>
  <si>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</si>
  <si>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</si>
  <si>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</si>
  <si>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</si>
  <si>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</si>
  <si>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</si>
  <si>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</si>
  <si>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</si>
  <si>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</si>
  <si>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</si>
  <si>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</si>
  <si>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</si>
  <si>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</si>
  <si>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</si>
  <si>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</si>
  <si>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</si>
  <si>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</si>
  <si>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</si>
  <si>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</si>
  <si>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</si>
  <si>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</si>
  <si>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</si>
  <si>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</si>
  <si>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</si>
  <si>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</si>
  <si>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</si>
  <si>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</si>
  <si>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</si>
  <si>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</si>
  <si>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</si>
  <si>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</si>
  <si>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</si>
  <si>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</si>
  <si>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</si>
  <si>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</si>
  <si>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</si>
  <si>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</si>
  <si>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</si>
  <si>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</si>
  <si>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</si>
  <si>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</si>
  <si>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</si>
  <si>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</si>
  <si>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</si>
  <si>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</si>
  <si>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</si>
  <si>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</si>
  <si>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</si>
  <si>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</si>
  <si>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</si>
  <si>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</si>
  <si>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</si>
  <si>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</si>
  <si>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</si>
  <si>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</si>
  <si>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</si>
  <si>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</si>
  <si>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</si>
  <si>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</si>
  <si>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</si>
  <si>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</si>
  <si>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</si>
  <si>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</si>
  <si>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</si>
  <si>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</si>
  <si>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</si>
  <si>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</si>
  <si>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</si>
  <si>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</si>
  <si>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</si>
  <si>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</si>
  <si>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</si>
  <si>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</si>
  <si>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</si>
  <si>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</si>
  <si>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</si>
  <si>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</si>
  <si>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</si>
  <si>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</si>
  <si>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</si>
  <si>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</si>
  <si>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</si>
  <si>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</si>
  <si>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</si>
  <si>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</si>
  <si>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</si>
  <si>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</si>
  <si>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</si>
  <si>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</si>
  <si>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</si>
  <si>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</si>
  <si>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</si>
  <si>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</si>
  <si>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</si>
  <si>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</si>
  <si>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</si>
  <si>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</si>
  <si>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</si>
  <si>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</si>
  <si>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</si>
  <si>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</si>
  <si>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</si>
  <si>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</si>
  <si>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</si>
  <si>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</si>
  <si>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</si>
  <si>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</si>
  <si>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</si>
  <si>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</si>
  <si>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</si>
  <si>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</si>
  <si>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</si>
  <si>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</si>
  <si>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</si>
  <si>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</si>
  <si>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</si>
  <si>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</si>
  <si>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</si>
  <si>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</si>
  <si>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</si>
  <si>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</si>
  <si>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</si>
  <si>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</si>
  <si>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</si>
  <si>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</si>
  <si>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</si>
  <si>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</si>
  <si>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</si>
  <si>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</si>
  <si>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</si>
  <si>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</si>
  <si>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</si>
  <si>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</si>
  <si>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</si>
  <si>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</si>
  <si>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</si>
  <si>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</si>
  <si>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</si>
  <si>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</si>
  <si>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</si>
  <si>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</si>
  <si>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</si>
  <si>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</si>
  <si>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</si>
  <si>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</si>
  <si>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</si>
  <si>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</si>
  <si>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</si>
  <si>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</si>
  <si>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</si>
  <si>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</si>
  <si>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</si>
  <si>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</si>
  <si>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</si>
  <si>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</si>
  <si>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</si>
  <si>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</si>
  <si>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</si>
  <si>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</si>
  <si>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</si>
  <si>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</si>
  <si>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</si>
  <si>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</si>
  <si>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</si>
  <si>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</si>
  <si>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</si>
  <si>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</si>
  <si>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</si>
  <si>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</si>
  <si>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</si>
  <si>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</si>
  <si>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</si>
  <si>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</si>
  <si>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</si>
  <si>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</si>
  <si>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</si>
  <si>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</si>
  <si>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</si>
  <si>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</si>
  <si>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</si>
  <si>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</si>
  <si>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</si>
  <si>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</si>
  <si>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</si>
  <si>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</si>
  <si>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</si>
  <si>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</si>
  <si>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</si>
  <si>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</si>
  <si>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</si>
  <si>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</si>
  <si>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</si>
  <si>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</si>
  <si>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</si>
  <si>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</si>
  <si>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</si>
  <si>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</si>
  <si>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</si>
  <si>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</si>
  <si>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</si>
  <si>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</si>
  <si>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</si>
  <si>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</si>
  <si>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</si>
  <si>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</si>
  <si>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</si>
  <si>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</si>
  <si>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</si>
  <si>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</si>
  <si>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</si>
  <si>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</si>
  <si>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</si>
  <si>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</si>
  <si>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</si>
  <si>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</si>
  <si>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</si>
  <si>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</si>
  <si>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</si>
  <si>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</si>
  <si>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</si>
  <si>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</si>
  <si>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</si>
  <si>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</si>
  <si>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</si>
  <si>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</si>
  <si>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</si>
  <si>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</si>
  <si>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</si>
  <si>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</si>
  <si>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</si>
  <si>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</si>
  <si>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</si>
  <si>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</si>
  <si>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</si>
  <si>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</si>
  <si>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</si>
  <si>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</si>
  <si>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</si>
  <si>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</si>
  <si>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</si>
  <si>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</si>
  <si>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</si>
  <si>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</si>
  <si>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</si>
  <si>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</si>
  <si>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</si>
  <si>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</si>
  <si>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</si>
  <si>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</si>
  <si>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</si>
  <si>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</si>
  <si>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</si>
  <si>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</si>
  <si>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</si>
  <si>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</si>
  <si>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</si>
  <si>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</si>
  <si>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</si>
  <si>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</si>
  <si>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</si>
  <si>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</si>
  <si>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</si>
  <si>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</si>
  <si>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</si>
  <si>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</si>
  <si>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</si>
  <si>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</si>
  <si>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</si>
  <si>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</si>
  <si>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</si>
  <si>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</si>
  <si>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</si>
  <si>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</si>
  <si>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</si>
  <si>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</si>
  <si>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</si>
  <si>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</si>
  <si>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</si>
  <si>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</si>
  <si>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</si>
  <si>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</si>
  <si>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</si>
  <si>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</si>
  <si>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</si>
  <si>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</si>
  <si>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</si>
  <si>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</si>
  <si>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</si>
  <si>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</si>
  <si>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</si>
  <si>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</si>
  <si>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</si>
  <si>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</si>
  <si>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</si>
  <si>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</si>
  <si>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</si>
  <si>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</si>
  <si>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</si>
  <si>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</si>
  <si>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</si>
  <si>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</si>
  <si>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</si>
  <si>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</si>
  <si>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</si>
  <si>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</si>
  <si>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</si>
  <si>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</si>
  <si>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</si>
  <si>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</si>
  <si>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</si>
  <si>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</si>
  <si>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</si>
  <si>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</si>
  <si>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</si>
  <si>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</si>
  <si>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</si>
  <si>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</si>
  <si>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</si>
  <si>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</si>
  <si>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</si>
  <si>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</si>
  <si>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</si>
  <si>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</si>
  <si>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</si>
  <si>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</si>
  <si>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</si>
  <si>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</si>
  <si>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</si>
  <si>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</si>
  <si>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</si>
  <si>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</si>
  <si>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</si>
  <si>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</si>
  <si>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</si>
  <si>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</si>
  <si>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</si>
  <si>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</si>
  <si>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</si>
  <si>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</si>
  <si>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</si>
  <si>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</si>
  <si>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</si>
  <si>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</si>
  <si>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</si>
  <si>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</si>
  <si>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</si>
  <si>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</si>
  <si>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</si>
  <si>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</si>
  <si>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</si>
  <si>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</si>
  <si>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</si>
  <si>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</si>
  <si>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</si>
  <si>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</si>
  <si>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</si>
  <si>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</si>
  <si>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</si>
  <si>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</si>
  <si>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</si>
  <si>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</si>
  <si>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</si>
  <si>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</si>
  <si>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</si>
  <si>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</si>
  <si>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</si>
  <si>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</si>
  <si>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</si>
  <si>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</si>
  <si>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</si>
  <si>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</si>
  <si>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</si>
  <si>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</si>
  <si>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</si>
  <si>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</si>
  <si>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</si>
  <si>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</si>
  <si>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</si>
  <si>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</si>
  <si>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</si>
  <si>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</si>
  <si>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</si>
  <si>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</si>
  <si>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</si>
  <si>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</si>
  <si>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</si>
  <si>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</si>
  <si>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</si>
  <si>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</si>
  <si>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</si>
  <si>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</si>
  <si>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</si>
  <si>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</si>
  <si>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</si>
  <si>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</si>
  <si>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</si>
  <si>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</si>
  <si>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</si>
  <si>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</si>
  <si>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</si>
  <si>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</si>
  <si>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</si>
  <si>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</si>
  <si>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</si>
  <si>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</si>
  <si>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</si>
  <si>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</si>
  <si>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</si>
  <si>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</si>
  <si>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</si>
  <si>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</si>
  <si>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</si>
  <si>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</si>
  <si>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</si>
  <si>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</si>
  <si>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</si>
  <si>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</si>
  <si>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</si>
  <si>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</si>
  <si>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</si>
  <si>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</si>
  <si>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</si>
  <si>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</si>
  <si>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</si>
  <si>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</si>
  <si>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</si>
  <si>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</si>
  <si>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</si>
  <si>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</si>
  <si>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</si>
  <si>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</si>
  <si>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</si>
  <si>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</si>
  <si>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</si>
  <si>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</si>
  <si>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</si>
  <si>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</si>
  <si>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</si>
  <si>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</si>
  <si>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</si>
  <si>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</si>
  <si>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</si>
  <si>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</si>
  <si>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</si>
  <si>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</si>
  <si>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</si>
  <si>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</si>
  <si>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</si>
  <si>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</si>
  <si>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</si>
  <si>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</si>
  <si>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</si>
  <si>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</si>
  <si>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</si>
  <si>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</si>
  <si>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</si>
  <si>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</si>
  <si>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</si>
  <si>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</si>
  <si>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</si>
  <si>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</si>
  <si>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</si>
  <si>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</si>
  <si>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</si>
  <si>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</si>
  <si>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</si>
  <si>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</si>
  <si>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</si>
  <si>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</si>
  <si>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</si>
  <si>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</si>
  <si>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</si>
  <si>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</si>
  <si>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</si>
  <si>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</si>
  <si>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</si>
  <si>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</si>
  <si>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</si>
  <si>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</si>
  <si>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</si>
  <si>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</si>
  <si>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</si>
  <si>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</si>
  <si>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</si>
  <si>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</si>
  <si>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</si>
  <si>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</si>
  <si>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</si>
  <si>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</si>
  <si>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</si>
  <si>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</si>
  <si>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</si>
  <si>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</si>
  <si>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</si>
  <si>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</si>
  <si>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</si>
  <si>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</si>
  <si>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</si>
  <si>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</si>
  <si>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</si>
  <si>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</si>
  <si>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</si>
  <si>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</si>
  <si>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</si>
  <si>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</si>
  <si>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</si>
  <si>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</si>
  <si>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</si>
  <si>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</si>
  <si>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</si>
  <si>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</si>
  <si>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</si>
  <si>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</si>
  <si>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</si>
  <si>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</si>
  <si>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</si>
  <si>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</si>
  <si>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</si>
  <si>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</si>
  <si>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</si>
  <si>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</si>
  <si>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</si>
  <si>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</si>
  <si>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</si>
  <si>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</si>
  <si>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</si>
  <si>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</si>
  <si>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</si>
  <si>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</si>
  <si>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</si>
  <si>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</si>
  <si>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</si>
  <si>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</si>
  <si>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</si>
  <si>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</si>
  <si>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</si>
  <si>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</si>
  <si>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</si>
  <si>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</si>
  <si>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</si>
  <si>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</si>
  <si>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</si>
  <si>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</si>
  <si>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</si>
  <si>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</si>
  <si>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</si>
  <si>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</si>
  <si>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</si>
  <si>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</si>
  <si>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</si>
  <si>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</si>
  <si>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</si>
  <si>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</si>
  <si>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</si>
  <si>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</si>
  <si>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</si>
  <si>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</si>
  <si>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</si>
  <si>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</si>
  <si>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</si>
  <si>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</si>
  <si>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</si>
  <si>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</si>
  <si>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</si>
  <si>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</si>
  <si>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</si>
  <si>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</si>
  <si>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</si>
  <si>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</si>
  <si>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</si>
  <si>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</si>
  <si>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</si>
  <si>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</si>
  <si>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</si>
  <si>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</si>
  <si>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</si>
  <si>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</si>
  <si>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</si>
  <si>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</si>
  <si>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</si>
  <si>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</si>
  <si>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</si>
  <si>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</si>
  <si>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</si>
  <si>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</si>
  <si>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</si>
  <si>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</si>
  <si>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</si>
  <si>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</si>
  <si>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</si>
  <si>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</si>
  <si>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</si>
  <si>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</si>
  <si>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</si>
  <si>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</si>
  <si>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</si>
  <si>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</si>
  <si>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</si>
  <si>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</si>
  <si>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</si>
  <si>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</si>
  <si>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</si>
  <si>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</si>
  <si>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</si>
  <si>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</si>
  <si>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</si>
  <si>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</si>
  <si>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</si>
  <si>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</si>
  <si>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</si>
  <si>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</si>
  <si>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</si>
  <si>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</si>
  <si>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</si>
  <si>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</si>
  <si>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</si>
  <si>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</si>
  <si>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</si>
  <si>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</si>
  <si>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</si>
  <si>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</si>
  <si>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</si>
  <si>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</si>
  <si>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</si>
  <si>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</si>
  <si>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</si>
  <si>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</si>
  <si>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</si>
  <si>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</si>
  <si>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</si>
  <si>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</si>
  <si>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</si>
  <si>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</si>
  <si>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</si>
  <si>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</si>
  <si>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</si>
  <si>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</si>
  <si>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</si>
  <si>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</si>
  <si>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</si>
  <si>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</si>
  <si>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</si>
  <si>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</si>
  <si>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</si>
  <si>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</si>
  <si>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</si>
  <si>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</si>
  <si>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</si>
  <si>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</si>
  <si>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</si>
  <si>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</si>
  <si>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</si>
  <si>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</si>
  <si>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</si>
  <si>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</si>
  <si>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</si>
  <si>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</si>
  <si>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</si>
  <si>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</si>
  <si>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</si>
  <si>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</si>
  <si>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</si>
  <si>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</si>
  <si>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</si>
  <si>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</si>
  <si>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</si>
  <si>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</si>
  <si>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</si>
  <si>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</si>
  <si>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</si>
  <si>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</si>
  <si>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</si>
  <si>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</si>
  <si>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</si>
  <si>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</si>
  <si>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</si>
  <si>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</si>
  <si>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</si>
  <si>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</si>
  <si>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</si>
  <si>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</si>
  <si>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</si>
  <si>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</si>
  <si>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</si>
  <si>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</si>
  <si>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</si>
  <si>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</si>
  <si>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</si>
  <si>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</si>
  <si>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</si>
  <si>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</si>
  <si>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</si>
  <si>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</si>
  <si>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</si>
  <si>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</si>
  <si>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</si>
  <si>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</si>
  <si>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</si>
  <si>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</si>
  <si>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</si>
  <si>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</si>
  <si>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</si>
  <si>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</si>
  <si>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</si>
  <si>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</si>
  <si>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</si>
  <si>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</si>
  <si>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</si>
  <si>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</si>
  <si>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</si>
  <si>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</si>
  <si>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</si>
  <si>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</si>
  <si>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</si>
  <si>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</si>
  <si>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</si>
  <si>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</si>
  <si>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</si>
  <si>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</si>
  <si>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</si>
  <si>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</si>
  <si>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</si>
  <si>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</si>
  <si>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</si>
  <si>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</si>
  <si>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</si>
  <si>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</si>
  <si>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</si>
  <si>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</si>
  <si>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</si>
  <si>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</si>
  <si>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</si>
  <si>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</si>
  <si>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</si>
  <si>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</si>
  <si>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</si>
  <si>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</si>
  <si>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</si>
  <si>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</si>
  <si>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</si>
  <si>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</si>
  <si>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</si>
  <si>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</si>
  <si>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</si>
  <si>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</si>
  <si>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</si>
  <si>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</si>
  <si>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</si>
  <si>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</si>
  <si>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</si>
  <si>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</si>
  <si>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</si>
  <si>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</si>
  <si>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</si>
  <si>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</si>
  <si>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</si>
  <si>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</si>
  <si>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</si>
  <si>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</si>
  <si>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</si>
  <si>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</si>
  <si>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</si>
  <si>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</si>
  <si>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</si>
  <si>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</si>
  <si>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</si>
  <si>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</si>
  <si>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</si>
  <si>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</si>
  <si>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</si>
  <si>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</si>
  <si>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</si>
  <si>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</si>
  <si>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</si>
  <si>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</si>
  <si>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</si>
  <si>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</si>
  <si>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</si>
  <si>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</si>
  <si>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</si>
  <si>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</si>
  <si>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</si>
  <si>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</si>
  <si>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</si>
  <si>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</si>
  <si>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</si>
  <si>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</si>
  <si>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</si>
  <si>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</si>
  <si>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</si>
  <si>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</si>
  <si>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</si>
  <si>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</si>
  <si>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</si>
  <si>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</si>
  <si>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</si>
  <si>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</si>
  <si>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</si>
  <si>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</si>
  <si>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</si>
  <si>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</si>
  <si>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</si>
  <si>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</si>
  <si>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</si>
  <si>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</si>
  <si>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</si>
  <si>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</si>
  <si>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</si>
  <si>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</si>
  <si>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</si>
  <si>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</si>
  <si>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</si>
  <si>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</si>
  <si>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</si>
  <si>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</si>
  <si>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</si>
  <si>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</si>
  <si>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</si>
  <si>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</si>
  <si>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</si>
  <si>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</si>
  <si>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</si>
  <si>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</si>
  <si>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</si>
  <si>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</si>
  <si>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</si>
  <si>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</si>
  <si>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</si>
  <si>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</si>
  <si>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</si>
  <si>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</si>
  <si>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</si>
  <si>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</si>
  <si>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</si>
  <si>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</si>
  <si>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</si>
  <si>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</si>
  <si>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</si>
  <si>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</si>
  <si>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</si>
  <si>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</si>
  <si>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</si>
  <si>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</si>
  <si>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</si>
  <si>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</si>
  <si>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</si>
  <si>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</si>
  <si>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</si>
  <si>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</si>
  <si>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</si>
  <si>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</si>
  <si>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</si>
  <si>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</si>
  <si>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</si>
  <si>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</si>
  <si>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</si>
  <si>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</si>
  <si>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</si>
  <si>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</si>
  <si>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</si>
  <si>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</si>
  <si>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</si>
  <si>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</si>
  <si>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</si>
  <si>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</si>
  <si>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</si>
  <si>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</si>
  <si>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</si>
  <si>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</si>
  <si>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</si>
  <si>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</si>
  <si>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</si>
  <si>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</si>
  <si>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</si>
  <si>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</si>
  <si>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</si>
  <si>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</si>
  <si>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</si>
  <si>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</si>
  <si>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</si>
  <si>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</si>
  <si>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</si>
  <si>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</si>
  <si>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</si>
  <si>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</si>
  <si>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</si>
  <si>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</si>
  <si>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</si>
  <si>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</si>
  <si>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</si>
  <si>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</si>
  <si>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</si>
  <si>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</si>
  <si>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</si>
  <si>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</si>
  <si>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</si>
  <si>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</si>
  <si>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</si>
  <si>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</si>
  <si>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</si>
  <si>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</si>
  <si>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</si>
  <si>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</si>
  <si>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</si>
  <si>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</si>
  <si>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</si>
  <si>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</si>
  <si>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</si>
  <si>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</si>
  <si>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</si>
  <si>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</si>
  <si>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</si>
  <si>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</si>
  <si>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</si>
  <si>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</si>
  <si>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</si>
  <si>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</si>
  <si>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</si>
  <si>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</si>
  <si>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</si>
  <si>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</si>
  <si>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</si>
  <si>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</si>
  <si>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</si>
  <si>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</si>
  <si>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</si>
  <si>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</si>
  <si>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</si>
  <si>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</si>
  <si>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</si>
  <si>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</si>
  <si>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</si>
  <si>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</si>
  <si>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</si>
  <si>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</si>
  <si>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</si>
  <si>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</si>
  <si>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</si>
  <si>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</si>
  <si>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</si>
  <si>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</si>
  <si>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</si>
  <si>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</si>
  <si>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</si>
  <si>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</si>
  <si>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</si>
  <si>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</si>
  <si>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</si>
  <si>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</si>
  <si>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</si>
  <si>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</si>
  <si>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</si>
  <si>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</si>
  <si>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</si>
  <si>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</si>
  <si>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</si>
  <si>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</si>
  <si>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</si>
  <si>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</si>
  <si>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</si>
  <si>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</si>
  <si>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</si>
  <si>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</si>
  <si>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</si>
  <si>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</si>
  <si>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</si>
  <si>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</si>
  <si>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</si>
  <si>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</si>
  <si>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</si>
  <si>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</si>
  <si>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</si>
  <si>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</si>
  <si>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</si>
  <si>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</si>
  <si>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</si>
  <si>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</si>
  <si>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</si>
  <si>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</si>
  <si>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</si>
  <si>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</si>
  <si>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</si>
  <si>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</si>
  <si>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</si>
  <si>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</si>
  <si>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</si>
  <si>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</si>
  <si>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</si>
  <si>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</si>
  <si>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</si>
  <si>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</si>
  <si>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</si>
  <si>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</si>
  <si>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</si>
  <si>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</si>
  <si>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</si>
  <si>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</si>
  <si>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</si>
  <si>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</si>
  <si>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</si>
  <si>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</si>
  <si>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</si>
  <si>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</si>
  <si>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</si>
  <si>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</si>
  <si>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</si>
  <si>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</si>
  <si>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</si>
  <si>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</si>
  <si>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</si>
  <si>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</si>
  <si>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</si>
  <si>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</si>
  <si>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</si>
  <si>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</si>
  <si>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</si>
  <si>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</si>
  <si>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</si>
  <si>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</si>
  <si>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</si>
  <si>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</si>
  <si>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</si>
  <si>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</si>
  <si>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</si>
  <si>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</si>
  <si>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</si>
  <si>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</si>
  <si>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</si>
  <si>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</si>
  <si>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</si>
  <si>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</si>
  <si>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</si>
  <si>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</si>
  <si>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</si>
  <si>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</si>
  <si>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</si>
  <si>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</si>
  <si>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</si>
  <si>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</si>
  <si>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</si>
  <si>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</si>
  <si>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</si>
  <si>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</si>
  <si>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</si>
  <si>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</si>
  <si>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</si>
  <si>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</si>
  <si>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</si>
  <si>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</si>
  <si>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</si>
  <si>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</si>
  <si>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</si>
  <si>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</si>
  <si>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</si>
  <si>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</si>
  <si>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</si>
  <si>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</si>
  <si>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</si>
  <si>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</si>
  <si>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</si>
  <si>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</si>
  <si>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</si>
  <si>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</si>
  <si>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</si>
  <si>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</si>
  <si>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</si>
  <si>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</si>
  <si>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</si>
  <si>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</si>
  <si>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</si>
  <si>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</si>
  <si>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</si>
  <si>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</si>
  <si>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</si>
  <si>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</si>
  <si>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</si>
  <si>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</si>
  <si>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</si>
  <si>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</si>
  <si>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</si>
  <si>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</si>
  <si>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</si>
  <si>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</si>
  <si>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</si>
  <si>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</si>
  <si>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</si>
  <si>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</si>
  <si>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</si>
  <si>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</si>
  <si>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</si>
  <si>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</si>
  <si>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</si>
  <si>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</si>
  <si>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</si>
  <si>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</si>
  <si>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</si>
  <si>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</si>
  <si>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</si>
  <si>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</si>
  <si>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</si>
  <si>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</si>
  <si>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</si>
  <si>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</si>
  <si>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</si>
  <si>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</si>
  <si>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</si>
  <si>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</si>
  <si>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</si>
  <si>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</si>
  <si>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</si>
  <si>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</si>
  <si>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</si>
  <si>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</si>
  <si>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</si>
  <si>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</si>
  <si>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</si>
  <si>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</si>
  <si>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</si>
  <si>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</si>
  <si>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</si>
  <si>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</si>
  <si>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</si>
  <si>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</si>
  <si>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</si>
  <si>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</si>
  <si>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</si>
  <si>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</si>
  <si>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</si>
  <si>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</si>
  <si>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</si>
  <si>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</si>
  <si>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</si>
  <si>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</si>
  <si>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</si>
  <si>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</si>
  <si>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</si>
  <si>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</si>
  <si>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</si>
  <si>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</si>
  <si>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</si>
  <si>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</si>
  <si>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</si>
  <si>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</si>
  <si>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</si>
  <si>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</si>
  <si>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</si>
  <si>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</si>
  <si>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</si>
  <si>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</si>
  <si>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</si>
  <si>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</si>
  <si>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</si>
  <si>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</si>
  <si>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</si>
  <si>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</si>
  <si>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</si>
  <si>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</si>
  <si>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</si>
  <si>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</si>
  <si>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</si>
  <si>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</si>
  <si>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</si>
  <si>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</si>
  <si>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</si>
  <si>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</si>
  <si>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</si>
  <si>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</si>
  <si>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</si>
  <si>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</si>
  <si>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</si>
  <si>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</si>
  <si>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</si>
  <si>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</si>
  <si>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</si>
  <si>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</si>
  <si>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</si>
  <si>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</si>
  <si>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</si>
  <si>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</si>
  <si>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</si>
  <si>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</si>
  <si>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</si>
  <si>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</si>
  <si>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</si>
  <si>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</si>
  <si>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</si>
  <si>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</si>
  <si>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</si>
  <si>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</si>
  <si>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</si>
  <si>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</si>
  <si>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</si>
  <si>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</si>
  <si>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</si>
  <si>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</si>
  <si>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</si>
  <si>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</si>
  <si>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</si>
  <si>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</si>
  <si>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</si>
  <si>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</si>
  <si>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</si>
  <si>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</si>
  <si>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</si>
  <si>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</si>
  <si>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</si>
  <si>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</si>
  <si>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</si>
  <si>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</si>
  <si>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</si>
  <si>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</si>
  <si>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</si>
  <si>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</si>
  <si>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</si>
  <si>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</si>
  <si>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</si>
  <si>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</si>
  <si>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</si>
  <si>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</si>
  <si>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</si>
  <si>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</si>
  <si>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</si>
  <si>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</si>
  <si>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</si>
  <si>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</si>
  <si>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</si>
  <si>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</si>
  <si>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</si>
  <si>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</si>
  <si>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</si>
  <si>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</si>
  <si>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</si>
  <si>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</si>
  <si>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</si>
  <si>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</si>
  <si>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</si>
  <si>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</si>
  <si>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</si>
  <si>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</si>
  <si>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</si>
  <si>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</si>
  <si>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</si>
  <si>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</si>
  <si>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</si>
  <si>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</si>
  <si>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</si>
  <si>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</si>
  <si>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</si>
  <si>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</si>
  <si>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</si>
  <si>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</si>
  <si>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</si>
  <si>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</si>
  <si>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</si>
  <si>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</si>
  <si>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</si>
  <si>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</si>
  <si>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</si>
  <si>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</si>
  <si>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</si>
  <si>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</si>
  <si>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</si>
  <si>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</si>
  <si>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</si>
  <si>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</si>
  <si>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</si>
  <si>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</si>
  <si>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</si>
  <si>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</si>
  <si>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</si>
  <si>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</si>
  <si>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</si>
  <si>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</si>
  <si>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</si>
  <si>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</si>
  <si>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</si>
  <si>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</si>
  <si>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</si>
  <si>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</si>
  <si>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</si>
  <si>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</si>
  <si>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</si>
  <si>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</si>
  <si>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</si>
  <si>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</si>
  <si>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</si>
  <si>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</si>
  <si>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</si>
  <si>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</si>
  <si>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</si>
  <si>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</si>
  <si>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</si>
  <si>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</si>
  <si>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</si>
  <si>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</si>
  <si>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</si>
  <si>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</si>
  <si>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</si>
  <si>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</si>
  <si>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</si>
  <si>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</si>
  <si>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</si>
  <si>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</si>
  <si>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</si>
  <si>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</si>
  <si>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</si>
  <si>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</si>
  <si>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</si>
  <si>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</si>
  <si>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</si>
  <si>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</si>
  <si>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</si>
  <si>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</si>
  <si>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</si>
  <si>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</si>
  <si>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</si>
  <si>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</si>
  <si>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</si>
  <si>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</si>
  <si>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</si>
  <si>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</si>
  <si>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</si>
  <si>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</si>
  <si>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</si>
  <si>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</si>
  <si>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</si>
  <si>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</si>
  <si>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</si>
  <si>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</si>
  <si>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</si>
  <si>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</si>
  <si>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</si>
  <si>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</si>
  <si>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</si>
  <si>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</si>
  <si>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</si>
  <si>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</si>
  <si>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</si>
  <si>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</si>
  <si>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</si>
  <si>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</si>
  <si>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</si>
  <si>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</si>
  <si>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</si>
  <si>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</si>
  <si>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</si>
  <si>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</si>
  <si>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</si>
  <si>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</si>
  <si>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</si>
  <si>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</si>
  <si>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</si>
  <si>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</si>
  <si>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</si>
  <si>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</si>
  <si>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</si>
  <si>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</si>
  <si>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</si>
  <si>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</si>
  <si>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</si>
  <si>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</si>
  <si>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</si>
  <si>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</si>
  <si>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</si>
  <si>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</si>
  <si>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</si>
  <si>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</si>
  <si>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</si>
  <si>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</si>
  <si>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</si>
  <si>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</si>
  <si>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</si>
  <si>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</si>
  <si>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</si>
  <si>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</si>
  <si>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</si>
  <si>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</si>
  <si>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</si>
  <si>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</si>
  <si>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</si>
  <si>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</si>
  <si>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</si>
  <si>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</si>
  <si>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</si>
  <si>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</si>
  <si>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</si>
  <si>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</si>
  <si>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</si>
  <si>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</si>
  <si>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</si>
  <si>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</si>
  <si>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</si>
  <si>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</si>
  <si>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</si>
  <si>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</si>
  <si>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</si>
  <si>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</si>
  <si>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</si>
  <si>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</si>
  <si>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</si>
  <si>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</si>
  <si>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</si>
  <si>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</si>
  <si>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</si>
  <si>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</si>
  <si>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</si>
  <si>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</si>
  <si>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</si>
  <si>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</si>
  <si>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</si>
  <si>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</si>
  <si>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</si>
  <si>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</si>
  <si>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</si>
  <si>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</si>
  <si>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</si>
  <si>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</si>
  <si>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</si>
  <si>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</si>
  <si>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</si>
  <si>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</si>
  <si>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</si>
  <si>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</si>
  <si>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</si>
  <si>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</si>
  <si>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</si>
  <si>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</si>
  <si>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</si>
  <si>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</si>
  <si>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</si>
  <si>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</si>
  <si>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</si>
  <si>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</si>
  <si>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</si>
  <si>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</si>
  <si>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</si>
  <si>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</si>
  <si>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</si>
  <si>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</si>
  <si>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</si>
  <si>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</si>
  <si>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</si>
  <si>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</si>
  <si>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</si>
  <si>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</si>
  <si>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</si>
  <si>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</si>
  <si>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</si>
  <si>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</si>
  <si>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</si>
  <si>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</si>
  <si>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</si>
  <si>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</si>
  <si>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</si>
  <si>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</si>
  <si>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</si>
  <si>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</si>
  <si>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</si>
  <si>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</si>
  <si>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</si>
  <si>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</si>
  <si>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</si>
  <si>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</si>
  <si>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</si>
  <si>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</si>
  <si>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</si>
  <si>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</si>
  <si>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</si>
  <si>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</si>
  <si>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</si>
  <si>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</si>
  <si>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</si>
  <si>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</si>
  <si>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</si>
  <si>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</si>
  <si>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</si>
  <si>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</si>
  <si>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</si>
  <si>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</si>
  <si>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</si>
  <si>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</si>
  <si>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</si>
  <si>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</si>
  <si>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</si>
  <si>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</si>
  <si>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</si>
  <si>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</si>
  <si>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</si>
  <si>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</si>
  <si>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</si>
  <si>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</si>
  <si>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</si>
  <si>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</si>
  <si>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</si>
  <si>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</si>
  <si>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</si>
  <si>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</si>
  <si>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</si>
  <si>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</si>
  <si>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</si>
  <si>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</si>
  <si>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</si>
  <si>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</si>
  <si>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</si>
  <si>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</si>
  <si>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</si>
  <si>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</si>
  <si>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</si>
  <si>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</si>
  <si>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</si>
  <si>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</si>
  <si>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</si>
  <si>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</si>
  <si>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</si>
  <si>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</si>
  <si>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</si>
  <si>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</si>
  <si>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</si>
  <si>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</si>
  <si>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</si>
  <si>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</si>
  <si>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</si>
  <si>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</si>
  <si>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</si>
  <si>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</si>
  <si>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</si>
  <si>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</si>
  <si>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</si>
  <si>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</si>
  <si>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</si>
  <si>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</si>
  <si>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</si>
  <si>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</si>
  <si>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</si>
  <si>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</si>
  <si>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</si>
  <si>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</si>
  <si>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</si>
  <si>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</si>
  <si>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</si>
  <si>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</si>
  <si>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</si>
  <si>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</si>
  <si>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</si>
  <si>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</si>
  <si>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</si>
  <si>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</si>
  <si>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</si>
  <si>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</si>
  <si>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</si>
  <si>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</si>
  <si>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</si>
  <si>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</si>
  <si>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</si>
  <si>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</si>
  <si>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</si>
  <si>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</si>
  <si>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</si>
  <si>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</si>
  <si>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</si>
  <si>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</si>
  <si>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</si>
  <si>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</si>
  <si>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</si>
  <si>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</si>
  <si>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</si>
  <si>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</si>
  <si>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</si>
  <si>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</si>
  <si>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</si>
  <si>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</si>
  <si>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</si>
  <si>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</si>
  <si>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</si>
  <si>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</si>
  <si>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</si>
  <si>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</si>
  <si>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</si>
  <si>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</si>
  <si>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</si>
  <si>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</si>
  <si>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</si>
  <si>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</si>
  <si>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</si>
  <si>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</si>
  <si>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</si>
  <si>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</si>
  <si>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</si>
  <si>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</si>
  <si>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</si>
  <si>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</si>
  <si>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</si>
  <si>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</si>
  <si>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</si>
  <si>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</si>
  <si>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</si>
  <si>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</si>
  <si>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</si>
  <si>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</si>
  <si>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</si>
  <si>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</si>
  <si>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</si>
  <si>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</si>
  <si>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</si>
  <si>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</si>
  <si>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</si>
  <si>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</si>
  <si>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</si>
  <si>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</si>
  <si>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</si>
  <si>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</si>
  <si>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</si>
  <si>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</si>
  <si>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</si>
  <si>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</si>
  <si>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</si>
  <si>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</si>
  <si>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</si>
  <si>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</si>
  <si>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</si>
  <si>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</si>
  <si>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</si>
  <si>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</si>
  <si>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</si>
  <si>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</si>
  <si>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</si>
  <si>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</si>
  <si>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</si>
  <si>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</si>
  <si>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</si>
  <si>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</si>
  <si>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</si>
  <si>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</si>
  <si>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</si>
  <si>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</si>
  <si>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</si>
  <si>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</si>
  <si>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</si>
  <si>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</si>
  <si>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</si>
  <si>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</si>
  <si>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</si>
  <si>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</si>
  <si>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</si>
  <si>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</si>
  <si>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</si>
  <si>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</si>
  <si>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</si>
  <si>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</si>
  <si>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</si>
  <si>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</si>
  <si>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</si>
  <si>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</si>
  <si>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</si>
  <si>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</si>
  <si>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</si>
  <si>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</si>
  <si>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</si>
  <si>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</si>
  <si>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</si>
  <si>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</si>
  <si>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</si>
  <si>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</si>
  <si>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</si>
  <si>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</si>
  <si>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</si>
  <si>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</si>
  <si>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</si>
  <si>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</si>
  <si>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</si>
  <si>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</si>
  <si>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</si>
  <si>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</si>
  <si>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</si>
  <si>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</si>
  <si>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</si>
  <si>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</si>
  <si>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</si>
  <si>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</si>
  <si>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</si>
  <si>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</si>
  <si>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</si>
  <si>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</si>
  <si>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</si>
  <si>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</si>
  <si>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</si>
  <si>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</si>
  <si>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</si>
  <si>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</si>
  <si>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</si>
  <si>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</si>
  <si>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</si>
  <si>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</si>
  <si>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</si>
  <si>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</si>
  <si>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</si>
  <si>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</si>
  <si>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</si>
  <si>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</si>
  <si>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</si>
  <si>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</si>
  <si>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</si>
  <si>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</si>
  <si>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</si>
  <si>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</si>
  <si>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</si>
  <si>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</si>
  <si>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</si>
  <si>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</si>
  <si>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</si>
  <si>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</si>
  <si>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</si>
  <si>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</si>
  <si>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</si>
  <si>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</si>
  <si>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</si>
  <si>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</si>
  <si>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</si>
  <si>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</si>
  <si>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</si>
  <si>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</si>
  <si>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</si>
  <si>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</si>
  <si>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</si>
  <si>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</si>
  <si>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</si>
  <si>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</si>
  <si>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</si>
  <si>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</si>
  <si>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</si>
  <si>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</si>
  <si>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</si>
  <si>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</si>
  <si>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</si>
  <si>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</si>
  <si>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</si>
  <si>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</si>
  <si>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</si>
  <si>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</si>
  <si>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</si>
  <si>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</si>
  <si>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</si>
  <si>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</si>
  <si>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</si>
  <si>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</si>
  <si>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</si>
  <si>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</si>
  <si>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</si>
  <si>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</si>
  <si>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</si>
  <si>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</si>
  <si>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</si>
  <si>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</si>
  <si>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</si>
  <si>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</si>
  <si>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</si>
  <si>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</si>
  <si>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</si>
  <si>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</si>
  <si>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</si>
  <si>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</si>
  <si>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</si>
  <si>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</si>
  <si>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</si>
  <si>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</si>
  <si>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</si>
  <si>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</si>
  <si>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</si>
  <si>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</si>
  <si>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</si>
  <si>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</si>
  <si>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</si>
  <si>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</si>
  <si>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</si>
  <si>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</si>
  <si>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</si>
  <si>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</si>
  <si>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</si>
  <si>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</si>
  <si>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</si>
  <si>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</si>
  <si>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</si>
  <si>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</si>
  <si>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</si>
  <si>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</si>
  <si>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</si>
  <si>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</si>
  <si>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</si>
  <si>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</si>
  <si>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</si>
  <si>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</si>
  <si>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</si>
  <si>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</si>
  <si>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</si>
  <si>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</si>
  <si>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</si>
  <si>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</si>
  <si>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</si>
  <si>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</si>
  <si>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</si>
  <si>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</si>
  <si>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</si>
  <si>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</si>
  <si>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</si>
  <si>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</si>
  <si>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</si>
  <si>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</si>
  <si>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</si>
  <si>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</si>
  <si>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</si>
  <si>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</si>
  <si>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</si>
  <si>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</si>
  <si>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</si>
  <si>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</si>
  <si>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</si>
  <si>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</si>
  <si>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</si>
  <si>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</si>
  <si>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</si>
  <si>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</si>
  <si>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</si>
  <si>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</si>
  <si>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</si>
  <si>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</si>
  <si>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</si>
  <si>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</si>
  <si>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</si>
  <si>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</si>
  <si>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</si>
  <si>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</si>
  <si>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</si>
  <si>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</si>
  <si>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</si>
  <si>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</si>
  <si>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</si>
  <si>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</si>
  <si>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</si>
  <si>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</si>
  <si>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</si>
  <si>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</si>
  <si>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</si>
  <si>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</si>
  <si>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</si>
  <si>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</si>
  <si>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</si>
  <si>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</si>
  <si>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</si>
  <si>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</si>
  <si>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</si>
  <si>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</si>
  <si>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</si>
  <si>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</si>
  <si>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</si>
  <si>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</si>
  <si>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</si>
  <si>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</si>
  <si>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</si>
  <si>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</si>
  <si>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</si>
  <si>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</si>
  <si>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</si>
  <si>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</si>
  <si>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</si>
  <si>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</si>
  <si>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</si>
  <si>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</si>
  <si>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</si>
  <si>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</si>
  <si>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</si>
  <si>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</si>
  <si>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</si>
  <si>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</si>
  <si>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</si>
  <si>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</si>
  <si>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</si>
  <si>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</si>
  <si>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</si>
  <si>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</si>
  <si>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</si>
  <si>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</si>
  <si>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</si>
  <si>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</si>
  <si>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</si>
  <si>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</si>
  <si>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</si>
  <si>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</si>
  <si>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</si>
  <si>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</si>
  <si>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</si>
  <si>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</si>
  <si>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</si>
  <si>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</si>
  <si>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</si>
  <si>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</si>
  <si>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</si>
  <si>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</si>
  <si>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</si>
  <si>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</si>
  <si>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</si>
  <si>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</si>
  <si>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</si>
  <si>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</si>
  <si>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</si>
  <si>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</si>
  <si>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</si>
  <si>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</si>
  <si>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</si>
  <si>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</si>
  <si>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</si>
  <si>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</si>
  <si>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</si>
  <si>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</si>
  <si>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</si>
  <si>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</si>
  <si>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</si>
  <si>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</si>
  <si>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</si>
  <si>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</si>
  <si>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</si>
  <si>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</si>
  <si>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</si>
  <si>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</si>
  <si>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</si>
  <si>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</si>
  <si>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</si>
  <si>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</si>
  <si>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</si>
  <si>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</si>
  <si>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</si>
  <si>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</si>
  <si>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</si>
  <si>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</si>
  <si>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</si>
  <si>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</si>
  <si>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</si>
  <si>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</si>
  <si>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</si>
  <si>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</si>
  <si>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</si>
  <si>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</si>
  <si>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</si>
  <si>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</si>
  <si>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</si>
  <si>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</si>
  <si>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</si>
  <si>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</si>
  <si>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</si>
  <si>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</si>
  <si>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</si>
  <si>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</si>
  <si>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</si>
  <si>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</si>
  <si>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</si>
  <si>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</si>
  <si>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</si>
  <si>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</si>
  <si>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</si>
  <si>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</si>
  <si>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</si>
  <si>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</si>
  <si>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</si>
  <si>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</si>
  <si>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</si>
  <si>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</si>
  <si>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</si>
  <si>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</si>
  <si>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</si>
  <si>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</si>
  <si>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</si>
  <si>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</si>
  <si>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</si>
  <si>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</si>
  <si>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</si>
  <si>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</si>
  <si>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</si>
  <si>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</si>
  <si>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</si>
  <si>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</si>
  <si>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</si>
  <si>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</si>
  <si>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</si>
  <si>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</si>
  <si>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</si>
  <si>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</si>
  <si>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</si>
  <si>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</si>
  <si>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</si>
  <si>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</si>
  <si>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</si>
  <si>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</si>
  <si>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</si>
  <si>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</si>
  <si>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</si>
  <si>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</si>
  <si>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</si>
  <si>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</si>
  <si>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</si>
  <si>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</si>
  <si>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</si>
  <si>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</si>
  <si>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</si>
  <si>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</si>
  <si>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</si>
  <si>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</si>
  <si>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</si>
  <si>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</si>
  <si>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</si>
  <si>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</si>
  <si>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</si>
  <si>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</si>
  <si>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</si>
  <si>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</si>
  <si>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</si>
  <si>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</si>
  <si>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</si>
  <si>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</si>
  <si>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</si>
  <si>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</si>
  <si>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</si>
  <si>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</si>
  <si>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</si>
  <si>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</si>
  <si>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</si>
  <si>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</si>
  <si>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</si>
  <si>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</si>
  <si>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</si>
  <si>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</si>
  <si>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</si>
  <si>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</si>
  <si>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</si>
  <si>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</si>
  <si>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</si>
  <si>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</si>
  <si>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</si>
  <si>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</si>
  <si>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</si>
  <si>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</si>
  <si>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</si>
  <si>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</si>
  <si>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</si>
  <si>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</si>
  <si>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</si>
  <si>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</si>
  <si>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</si>
  <si>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</si>
  <si>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</si>
  <si>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</si>
  <si>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</si>
  <si>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</si>
  <si>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</si>
  <si>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</si>
  <si>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</si>
  <si>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</si>
  <si>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</si>
  <si>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</si>
  <si>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</si>
  <si>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</si>
  <si>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</si>
  <si>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</si>
  <si>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</si>
  <si>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</si>
  <si>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</si>
  <si>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</si>
  <si>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</si>
  <si>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</si>
  <si>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</si>
  <si>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</si>
  <si>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</si>
  <si>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</si>
  <si>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</si>
  <si>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</si>
  <si>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</si>
  <si>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</si>
  <si>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</si>
  <si>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</si>
  <si>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</si>
  <si>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</si>
  <si>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</si>
  <si>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</si>
  <si>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</si>
  <si>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</si>
  <si>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</si>
  <si>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</si>
  <si>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</si>
  <si>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</si>
  <si>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</si>
  <si>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</si>
  <si>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</si>
  <si>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</si>
  <si>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</si>
  <si>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</si>
  <si>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</si>
  <si>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</si>
  <si>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</si>
  <si>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</si>
  <si>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</si>
  <si>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</si>
  <si>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</si>
  <si>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</si>
  <si>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</si>
  <si>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</si>
  <si>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</si>
  <si>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</si>
  <si>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</si>
  <si>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</si>
  <si>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</si>
  <si>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</si>
  <si>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</si>
  <si>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</si>
  <si>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</si>
  <si>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</si>
  <si>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</si>
  <si>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</si>
  <si>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</si>
  <si>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</si>
  <si>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</si>
  <si>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</si>
  <si>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</si>
  <si>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</si>
  <si>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</si>
  <si>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</si>
  <si>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</si>
  <si>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</si>
  <si>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</si>
  <si>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</si>
  <si>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</si>
  <si>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</si>
  <si>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</si>
  <si>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</si>
  <si>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</si>
  <si>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</si>
  <si>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</si>
  <si>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</si>
  <si>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</si>
  <si>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</si>
  <si>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</si>
  <si>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</si>
  <si>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</si>
  <si>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</si>
  <si>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</si>
  <si>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</si>
  <si>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</si>
  <si>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</si>
  <si>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</si>
  <si>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</si>
  <si>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</si>
  <si>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</si>
  <si>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</si>
  <si>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</si>
  <si>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</si>
  <si>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</si>
  <si>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</si>
  <si>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</si>
  <si>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</si>
  <si>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</si>
  <si>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</si>
  <si>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</si>
  <si>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</si>
  <si>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</si>
  <si>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</si>
  <si>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</si>
  <si>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</si>
  <si>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</si>
  <si>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</si>
  <si>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</si>
  <si>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</si>
  <si>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</si>
  <si>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</si>
  <si>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</si>
  <si>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</si>
  <si>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</si>
  <si>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</si>
  <si>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</si>
  <si>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</si>
  <si>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</si>
  <si>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</si>
  <si>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</si>
  <si>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</si>
  <si>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</si>
  <si>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</si>
  <si>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</si>
  <si>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</si>
  <si>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</si>
  <si>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</si>
  <si>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</si>
  <si>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</si>
  <si>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</si>
  <si>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</si>
  <si>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</si>
  <si>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</si>
  <si>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</si>
  <si>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</si>
  <si>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</si>
  <si>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</si>
  <si>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</si>
  <si>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</si>
  <si>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</si>
  <si>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</si>
  <si>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</si>
  <si>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</si>
  <si>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</si>
  <si>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</si>
  <si>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</si>
  <si>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</si>
  <si>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</si>
  <si>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</si>
  <si>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</si>
  <si>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</si>
  <si>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</si>
  <si>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</si>
  <si>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</si>
  <si>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</si>
  <si>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</si>
  <si>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</si>
  <si>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</si>
  <si>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</si>
  <si>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</si>
  <si>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</si>
  <si>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</si>
  <si>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</si>
  <si>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</si>
  <si>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</si>
  <si>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</si>
  <si>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</si>
  <si>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</si>
  <si>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</si>
  <si>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</si>
  <si>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</si>
  <si>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</si>
  <si>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</si>
  <si>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</si>
  <si>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</si>
  <si>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</si>
  <si>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</si>
  <si>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</si>
  <si>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</si>
  <si>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</si>
  <si>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</si>
  <si>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</si>
  <si>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</si>
  <si>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</si>
  <si>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</si>
  <si>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</si>
  <si>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</si>
  <si>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</si>
  <si>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</si>
  <si>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</si>
  <si>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</si>
  <si>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</si>
  <si>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</si>
  <si>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</si>
  <si>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</si>
  <si>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</si>
  <si>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</si>
  <si>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</si>
  <si>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</si>
  <si>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</si>
  <si>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</si>
  <si>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</si>
  <si>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</si>
  <si>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</si>
  <si>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</si>
  <si>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</si>
  <si>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</si>
  <si>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</si>
  <si>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</si>
  <si>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</si>
  <si>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</si>
  <si>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</si>
  <si>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</si>
  <si>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</si>
  <si>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</si>
  <si>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</si>
  <si>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</si>
  <si>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</si>
  <si>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</si>
  <si>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</si>
  <si>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</si>
  <si>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</si>
  <si>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</si>
  <si>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</si>
  <si>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</si>
  <si>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</si>
  <si>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</si>
  <si>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</si>
  <si>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</si>
  <si>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</si>
  <si>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</si>
  <si>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</si>
  <si>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</si>
  <si>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</si>
  <si>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</si>
  <si>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</si>
  <si>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</si>
  <si>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</si>
  <si>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</si>
  <si>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</si>
  <si>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</si>
  <si>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</si>
  <si>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</si>
  <si>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</si>
  <si>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</si>
  <si>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</si>
  <si>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</si>
  <si>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</si>
  <si>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</si>
  <si>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</si>
  <si>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</si>
  <si>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</si>
  <si>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</si>
  <si>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</si>
  <si>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</si>
  <si>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</si>
  <si>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</si>
  <si>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</si>
  <si>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</si>
  <si>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</si>
  <si>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</si>
  <si>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</si>
  <si>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</si>
  <si>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</si>
  <si>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</si>
  <si>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</si>
  <si>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</si>
  <si>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</si>
  <si>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</si>
  <si>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</si>
  <si>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</si>
  <si>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</si>
  <si>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</si>
  <si>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</si>
  <si>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</si>
  <si>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</si>
  <si>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</si>
  <si>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</si>
  <si>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</si>
  <si>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</si>
  <si>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</si>
  <si>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</si>
  <si>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</si>
  <si>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</si>
  <si>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</si>
  <si>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</si>
  <si>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</si>
  <si>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</si>
  <si>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</si>
  <si>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</si>
  <si>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</si>
  <si>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</si>
  <si>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</si>
  <si>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</si>
  <si>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</si>
  <si>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</si>
  <si>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</si>
  <si>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</si>
  <si>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</si>
  <si>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</si>
  <si>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</si>
  <si>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</si>
  <si>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</si>
  <si>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</si>
  <si>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</si>
  <si>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</si>
  <si>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</si>
  <si>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</si>
  <si>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</si>
  <si>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</si>
  <si>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</si>
  <si>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</si>
  <si>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</si>
  <si>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</si>
  <si>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</si>
  <si>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</si>
  <si>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</si>
  <si>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</si>
  <si>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</si>
  <si>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</si>
  <si>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</si>
  <si>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</si>
  <si>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</si>
  <si>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</si>
  <si>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</si>
  <si>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</si>
  <si>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</si>
  <si>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</si>
  <si>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</si>
  <si>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</si>
  <si>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</si>
  <si>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</si>
  <si>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</si>
  <si>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</si>
  <si>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</si>
  <si>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</si>
  <si>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</si>
  <si>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</si>
  <si>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</si>
  <si>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</si>
  <si>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</si>
  <si>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</si>
  <si>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</si>
  <si>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</si>
  <si>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</si>
  <si>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</si>
  <si>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</si>
  <si>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</si>
  <si>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</si>
  <si>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</si>
  <si>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</si>
  <si>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</si>
  <si>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</si>
  <si>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</si>
  <si>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</si>
  <si>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</si>
  <si>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</si>
  <si>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</si>
  <si>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</si>
  <si>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</si>
  <si>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</si>
  <si>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</si>
  <si>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</si>
  <si>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</si>
  <si>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</si>
  <si>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</si>
  <si>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</si>
  <si>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</si>
  <si>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</si>
  <si>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</si>
  <si>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</si>
  <si>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</si>
  <si>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</si>
  <si>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</si>
  <si>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</si>
  <si>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</si>
  <si>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</si>
  <si>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</si>
  <si>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</si>
  <si>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</si>
  <si>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</si>
  <si>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</si>
  <si>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</si>
  <si>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</si>
  <si>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</si>
  <si>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</si>
  <si>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</si>
  <si>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</si>
  <si>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</si>
  <si>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</si>
  <si>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</si>
  <si>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</si>
  <si>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</si>
  <si>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</si>
  <si>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</si>
  <si>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</si>
  <si>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</si>
  <si>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</si>
  <si>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</si>
  <si>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</si>
  <si>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</si>
  <si>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</si>
  <si>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</si>
  <si>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</si>
  <si>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</si>
  <si>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</si>
  <si>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</si>
  <si>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</si>
  <si>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</si>
  <si>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</si>
  <si>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</si>
  <si>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</si>
  <si>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</si>
  <si>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</si>
  <si>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</si>
  <si>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</si>
  <si>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</si>
  <si>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</si>
  <si>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</si>
  <si>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</si>
  <si>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</si>
  <si>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</si>
  <si>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</si>
  <si>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</si>
  <si>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</si>
  <si>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</si>
  <si>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</si>
  <si>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</si>
  <si>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</si>
  <si>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</si>
  <si>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</si>
  <si>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</si>
  <si>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</si>
  <si>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</si>
  <si>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</si>
  <si>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</si>
  <si>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</si>
  <si>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</si>
  <si>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</si>
  <si>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</si>
  <si>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</si>
  <si>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</si>
  <si>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</si>
  <si>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</si>
  <si>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</si>
  <si>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</si>
  <si>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</si>
  <si>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</si>
  <si>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</si>
  <si>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</si>
  <si>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</si>
  <si>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</si>
  <si>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</si>
  <si>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</si>
  <si>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</si>
  <si>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</si>
  <si>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</si>
  <si>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</si>
  <si>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</si>
  <si>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</si>
  <si>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</si>
  <si>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</si>
  <si>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</si>
  <si>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</si>
  <si>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</si>
  <si>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</si>
  <si>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</si>
  <si>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</si>
  <si>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</si>
  <si>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</si>
  <si>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</si>
  <si>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</si>
  <si>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</si>
  <si>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</si>
  <si>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</si>
  <si>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</si>
  <si>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</si>
  <si>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</si>
  <si>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</si>
  <si>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</si>
  <si>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</si>
  <si>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</si>
  <si>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</si>
  <si>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</si>
  <si>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</si>
  <si>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</si>
  <si>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</si>
  <si>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</si>
  <si>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</si>
  <si>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</si>
  <si>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</si>
  <si>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</si>
  <si>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</si>
  <si>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</si>
  <si>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</si>
  <si>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</si>
  <si>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</si>
  <si>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</si>
  <si>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</si>
  <si>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</si>
  <si>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</si>
  <si>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</si>
  <si>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</si>
  <si>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</si>
  <si>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</si>
  <si>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</si>
  <si>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</si>
  <si>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</si>
  <si>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</si>
  <si>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</si>
  <si>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</si>
  <si>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</si>
  <si>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</si>
  <si>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</si>
  <si>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</si>
  <si>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</si>
  <si>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</si>
  <si>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</si>
  <si>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</si>
  <si>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</si>
  <si>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</si>
  <si>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</si>
  <si>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</si>
  <si>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</si>
  <si>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</si>
  <si>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</si>
  <si>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</si>
  <si>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</si>
  <si>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</si>
  <si>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</si>
  <si>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</si>
  <si>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</si>
  <si>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</si>
  <si>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</si>
  <si>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</si>
  <si>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</si>
  <si>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</si>
  <si>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</si>
  <si>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</si>
  <si>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</si>
  <si>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</si>
  <si>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</si>
  <si>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</si>
  <si>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</si>
  <si>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</si>
  <si>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</si>
  <si>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</si>
  <si>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</si>
  <si>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</si>
  <si>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</si>
  <si>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</si>
  <si>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</si>
  <si>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</si>
  <si>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</si>
  <si>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</si>
  <si>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</si>
  <si>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</si>
  <si>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</si>
  <si>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</si>
  <si>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</si>
  <si>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</si>
  <si>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</si>
  <si>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</si>
  <si>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</si>
  <si>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</si>
  <si>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</si>
  <si>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</si>
  <si>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</si>
  <si>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</si>
  <si>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</si>
  <si>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</si>
  <si>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</si>
  <si>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</si>
  <si>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</si>
  <si>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</si>
  <si>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</si>
  <si>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</si>
  <si>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</si>
  <si>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</si>
  <si>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</si>
  <si>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</si>
  <si>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</si>
  <si>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</si>
  <si>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</si>
  <si>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</si>
  <si>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</si>
  <si>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</si>
  <si>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</si>
  <si>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</si>
  <si>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</si>
  <si>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</si>
  <si>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</si>
  <si>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</si>
  <si>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</si>
  <si>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</si>
  <si>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</si>
  <si>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</si>
  <si>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</si>
  <si>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</si>
  <si>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</si>
  <si>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</si>
  <si>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</si>
  <si>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</si>
  <si>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</si>
  <si>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</si>
  <si>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</si>
  <si>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</si>
  <si>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</si>
  <si>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</si>
  <si>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</si>
  <si>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</si>
  <si>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</si>
  <si>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</si>
  <si>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</si>
  <si>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</si>
  <si>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</si>
  <si>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</si>
  <si>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</si>
  <si>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</si>
  <si>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</si>
  <si>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</si>
  <si>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</si>
  <si>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</si>
  <si>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</si>
  <si>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</si>
  <si>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</si>
  <si>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</si>
  <si>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</si>
  <si>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</si>
  <si>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</si>
  <si>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</si>
  <si>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</si>
  <si>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</si>
  <si>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</si>
  <si>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</si>
  <si>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</si>
  <si>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</si>
  <si>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</si>
  <si>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</si>
  <si>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</si>
  <si>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</si>
  <si>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</si>
  <si>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</si>
  <si>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</si>
  <si>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</si>
  <si>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</si>
  <si>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</si>
  <si>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</si>
  <si>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</si>
  <si>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</si>
  <si>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</si>
  <si>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</si>
  <si>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</si>
  <si>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</si>
  <si>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</si>
  <si>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</si>
  <si>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</si>
  <si>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</si>
  <si>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</si>
  <si>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</si>
  <si>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</si>
  <si>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</si>
  <si>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</si>
  <si>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</si>
  <si>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</si>
  <si>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</si>
  <si>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</si>
  <si>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</si>
  <si>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</si>
  <si>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</si>
  <si>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</si>
  <si>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</si>
  <si>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</si>
  <si>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</si>
  <si>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</si>
  <si>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</si>
  <si>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</si>
  <si>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</si>
  <si>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</si>
  <si>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</si>
  <si>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</si>
  <si>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</si>
  <si>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</si>
  <si>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</si>
  <si>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</si>
  <si>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</si>
  <si>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</si>
  <si>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</si>
  <si>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</si>
  <si>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</si>
  <si>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</si>
  <si>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</si>
  <si>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</si>
  <si>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</si>
  <si>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</si>
  <si>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</si>
  <si>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</si>
  <si>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</si>
  <si>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</si>
  <si>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</si>
  <si>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</si>
  <si>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</si>
  <si>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</si>
  <si>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</si>
  <si>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</si>
  <si>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</si>
  <si>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</si>
  <si>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</si>
  <si>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</si>
  <si>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</si>
  <si>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</si>
  <si>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</si>
  <si>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</si>
  <si>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</si>
  <si>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</si>
  <si>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</si>
  <si>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</si>
  <si>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</si>
  <si>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</si>
  <si>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</si>
  <si>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</si>
  <si>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</si>
  <si>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</si>
  <si>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</si>
  <si>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</si>
  <si>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</si>
  <si>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</si>
  <si>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</si>
  <si>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</si>
  <si>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</si>
  <si>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</si>
  <si>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</si>
  <si>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</si>
  <si>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</si>
  <si>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</si>
  <si>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</si>
  <si>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</si>
  <si>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</si>
  <si>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</si>
  <si>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</si>
  <si>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</si>
  <si>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</si>
  <si>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</si>
  <si>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</si>
  <si>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</si>
  <si>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</si>
  <si>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</si>
  <si>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</si>
  <si>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</si>
  <si>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</si>
  <si>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</si>
  <si>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</si>
  <si>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</si>
  <si>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</si>
  <si>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</si>
  <si>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</si>
  <si>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</si>
  <si>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</si>
  <si>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</si>
  <si>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</si>
  <si>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</si>
  <si>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</si>
  <si>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</si>
  <si>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</si>
  <si>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</si>
  <si>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</si>
  <si>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</si>
  <si>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</si>
  <si>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</si>
  <si>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</si>
  <si>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</si>
  <si>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</si>
  <si>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</si>
  <si>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</si>
  <si>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</si>
  <si>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</si>
  <si>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</si>
  <si>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</si>
  <si>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</si>
  <si>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</si>
  <si>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</si>
  <si>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</si>
  <si>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</si>
  <si>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</si>
  <si>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</si>
  <si>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</si>
  <si>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</si>
  <si>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</si>
  <si>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</si>
  <si>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</si>
  <si>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</si>
  <si>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</si>
  <si>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</si>
  <si>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</si>
  <si>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</si>
  <si>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</si>
  <si>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</si>
  <si>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</si>
  <si>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</si>
  <si>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</si>
  <si>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</si>
  <si>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</si>
  <si>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</si>
  <si>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</si>
  <si>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</si>
  <si>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</si>
  <si>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</si>
  <si>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</si>
  <si>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</si>
  <si>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</si>
  <si>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</si>
  <si>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</si>
  <si>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</si>
  <si>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</si>
  <si>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</si>
  <si>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</si>
  <si>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</si>
  <si>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</si>
  <si>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</si>
  <si>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</si>
  <si>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</si>
  <si>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</si>
  <si>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</si>
  <si>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</si>
  <si>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</si>
  <si>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</si>
  <si>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</si>
  <si>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</si>
  <si>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</si>
  <si>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</si>
  <si>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</si>
  <si>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</si>
  <si>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</si>
  <si>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</si>
  <si>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</si>
  <si>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</si>
  <si>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</si>
  <si>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</si>
  <si>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</si>
  <si>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</si>
  <si>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</si>
  <si>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</si>
  <si>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</si>
  <si>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</si>
  <si>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</si>
  <si>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</si>
  <si>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</si>
  <si>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</si>
  <si>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</si>
  <si>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</si>
  <si>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</si>
  <si>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</si>
  <si>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</si>
  <si>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</si>
  <si>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</si>
  <si>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</si>
  <si>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</si>
  <si>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</si>
  <si>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</si>
  <si>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</si>
  <si>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</si>
  <si>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</si>
  <si>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</si>
  <si>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</si>
  <si>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</si>
  <si>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</si>
  <si>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</si>
  <si>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</si>
  <si>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</si>
  <si>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</si>
  <si>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</si>
  <si>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</si>
  <si>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</si>
  <si>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</si>
  <si>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</si>
  <si>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</si>
  <si>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</si>
  <si>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</si>
  <si>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</si>
  <si>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</si>
  <si>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</si>
  <si>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</si>
  <si>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</si>
  <si>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</si>
  <si>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</si>
  <si>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</si>
  <si>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</si>
  <si>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</si>
  <si>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</si>
  <si>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</si>
  <si>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</si>
  <si>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</si>
  <si>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</si>
  <si>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</si>
  <si>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</si>
  <si>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</si>
  <si>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</si>
  <si>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</si>
  <si>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</si>
  <si>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</si>
  <si>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</si>
  <si>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</si>
  <si>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</si>
  <si>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</si>
  <si>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</si>
  <si>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</si>
  <si>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</si>
  <si>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</si>
  <si>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</si>
  <si>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</si>
  <si>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</si>
  <si>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</si>
  <si>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</si>
  <si>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</si>
  <si>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</si>
  <si>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</si>
  <si>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</si>
  <si>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</si>
  <si>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</si>
  <si>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</si>
  <si>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</si>
  <si>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</si>
  <si>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</si>
  <si>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</si>
  <si>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</si>
  <si>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</si>
  <si>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</si>
  <si>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</si>
  <si>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</si>
  <si>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</si>
  <si>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</si>
  <si>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</si>
  <si>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</si>
  <si>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</si>
  <si>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</si>
  <si>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</si>
  <si>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</si>
  <si>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</si>
  <si>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</si>
  <si>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</si>
  <si>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</si>
  <si>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</si>
  <si>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</si>
  <si>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</si>
  <si>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</si>
  <si>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</si>
  <si>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</si>
  <si>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</si>
  <si>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</si>
  <si>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</si>
  <si>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</si>
  <si>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</si>
  <si>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</si>
  <si>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</si>
  <si>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</si>
  <si>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</si>
  <si>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</si>
  <si>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</si>
  <si>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</si>
  <si>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</si>
  <si>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</si>
  <si>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</si>
  <si>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</si>
  <si>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</si>
  <si>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</si>
  <si>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</si>
  <si>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</si>
  <si>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</si>
  <si>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</si>
  <si>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</si>
  <si>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</si>
  <si>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</si>
  <si>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</si>
  <si>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</si>
  <si>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</si>
  <si>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</si>
  <si>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</si>
  <si>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</si>
  <si>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</si>
  <si>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</si>
  <si>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</si>
  <si>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</si>
  <si>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</si>
  <si>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</si>
  <si>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</si>
  <si>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</si>
  <si>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</si>
  <si>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</si>
  <si>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</si>
  <si>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</si>
  <si>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</si>
  <si>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</si>
  <si>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</si>
  <si>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</si>
  <si>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</si>
  <si>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</si>
  <si>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</si>
  <si>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</si>
  <si>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</si>
  <si>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</si>
  <si>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</si>
  <si>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</si>
  <si>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</si>
  <si>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</si>
  <si>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</si>
  <si>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</si>
  <si>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</si>
  <si>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</si>
  <si>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</si>
  <si>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</si>
  <si>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</si>
  <si>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</si>
  <si>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</si>
  <si>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</si>
  <si>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</si>
  <si>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</si>
  <si>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</si>
  <si>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</si>
  <si>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</si>
  <si>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</si>
  <si>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</si>
  <si>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</si>
  <si>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</si>
  <si>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</si>
  <si>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</si>
  <si>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</si>
  <si>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</si>
  <si>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</si>
  <si>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</si>
  <si>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</si>
  <si>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</si>
  <si>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</si>
  <si>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</si>
  <si>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</si>
  <si>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</si>
  <si>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</si>
  <si>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</si>
  <si>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</si>
  <si>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</si>
  <si>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</si>
  <si>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</si>
  <si>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</si>
  <si>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</si>
  <si>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</si>
  <si>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</si>
  <si>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</si>
  <si>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</si>
  <si>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</si>
  <si>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</si>
  <si>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</si>
  <si>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</si>
  <si>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</si>
  <si>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</si>
  <si>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</si>
  <si>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</si>
  <si>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</si>
  <si>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</si>
  <si>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</si>
  <si>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</si>
  <si>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</si>
  <si>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</si>
  <si>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</si>
  <si>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</si>
  <si>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</si>
  <si>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</si>
  <si>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</si>
  <si>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</si>
  <si>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</si>
  <si>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</si>
  <si>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</si>
  <si>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</si>
  <si>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</si>
  <si>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</si>
  <si>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</si>
  <si>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</si>
  <si>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</si>
  <si>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</si>
  <si>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</si>
  <si>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</si>
  <si>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</si>
  <si>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</si>
  <si>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</si>
  <si>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</si>
  <si>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</si>
  <si>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</si>
  <si>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</si>
  <si>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</si>
  <si>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</si>
  <si>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</si>
  <si>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</si>
  <si>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</si>
  <si>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</si>
  <si>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</si>
  <si>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</si>
  <si>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</si>
  <si>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</si>
  <si>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</si>
  <si>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</si>
  <si>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</si>
  <si>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</si>
  <si>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</si>
  <si>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</si>
  <si>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</si>
  <si>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</si>
  <si>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</si>
  <si>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</si>
  <si>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</si>
  <si>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</si>
  <si>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</si>
  <si>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</si>
  <si>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</si>
  <si>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</si>
  <si>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</si>
  <si>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</si>
  <si>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</si>
  <si>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</si>
  <si>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</si>
  <si>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</si>
  <si>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</si>
  <si>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</si>
  <si>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</si>
  <si>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</si>
  <si>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</si>
  <si>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</si>
  <si>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</si>
  <si>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</si>
  <si>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</si>
  <si>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</si>
  <si>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</si>
  <si>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</si>
  <si>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</si>
  <si>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</si>
  <si>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</si>
  <si>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</si>
  <si>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</si>
  <si>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</si>
  <si>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</si>
  <si>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</si>
  <si>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</si>
  <si>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</si>
  <si>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</si>
  <si>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</si>
  <si>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</si>
  <si>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</si>
  <si>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</si>
  <si>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</si>
  <si>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</si>
  <si>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</si>
  <si>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</si>
  <si>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</si>
  <si>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</si>
  <si>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</si>
  <si>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</si>
  <si>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</si>
  <si>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</si>
  <si>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</si>
  <si>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</si>
  <si>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</si>
  <si>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</si>
  <si>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</si>
  <si>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</si>
  <si>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</si>
  <si>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</si>
  <si>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</si>
  <si>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</si>
  <si>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</si>
  <si>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</si>
  <si>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</si>
  <si>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</si>
  <si>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</si>
  <si>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</si>
  <si>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</si>
  <si>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</si>
  <si>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</si>
  <si>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</si>
  <si>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</si>
  <si>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</si>
  <si>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</si>
  <si>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</si>
  <si>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</si>
  <si>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</si>
  <si>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</si>
  <si>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</si>
  <si>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</si>
  <si>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</si>
  <si>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</si>
  <si>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</si>
  <si>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</si>
  <si>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</si>
  <si>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</si>
  <si>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</si>
  <si>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</si>
  <si>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</si>
  <si>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</si>
  <si>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</si>
  <si>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</si>
  <si>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</si>
  <si>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</si>
  <si>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</si>
  <si>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</si>
  <si>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</si>
  <si>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</si>
  <si>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</si>
  <si>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</si>
  <si>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</si>
  <si>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</si>
  <si>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</si>
  <si>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</si>
  <si>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</si>
  <si>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</si>
  <si>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</si>
  <si>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</si>
  <si>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</si>
  <si>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</si>
  <si>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</si>
  <si>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</si>
  <si>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</si>
  <si>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</si>
  <si>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</si>
  <si>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</si>
  <si>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</si>
  <si>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</si>
  <si>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</si>
  <si>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</si>
  <si>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</si>
  <si>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</si>
  <si>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</si>
  <si>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</si>
  <si>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</si>
  <si>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</si>
  <si>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</si>
  <si>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</si>
  <si>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</si>
  <si>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</si>
  <si>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</si>
  <si>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</si>
  <si>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</si>
  <si>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</si>
  <si>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</si>
  <si>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</si>
  <si>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</si>
  <si>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</si>
  <si>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</si>
  <si>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</si>
  <si>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</si>
  <si>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</si>
  <si>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</si>
  <si>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</si>
  <si>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</si>
  <si>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</si>
  <si>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</si>
  <si>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</si>
  <si>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</si>
  <si>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</si>
  <si>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</si>
  <si>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</si>
  <si>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</si>
  <si>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</si>
  <si>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</si>
  <si>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</si>
  <si>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</si>
  <si>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</si>
  <si>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</si>
  <si>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</si>
  <si>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</si>
  <si>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</si>
  <si>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</si>
  <si>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</si>
  <si>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</si>
  <si>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</si>
  <si>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</si>
  <si>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</si>
  <si>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</si>
  <si>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</si>
  <si>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</si>
  <si>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</si>
  <si>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</si>
  <si>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</si>
  <si>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</si>
  <si>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</si>
  <si>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</si>
  <si>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</si>
  <si>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</si>
  <si>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</si>
  <si>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</si>
  <si>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</si>
  <si>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</si>
  <si>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</si>
  <si>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</si>
  <si>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</si>
  <si>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</si>
  <si>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</si>
  <si>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</si>
  <si>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</si>
  <si>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</si>
  <si>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</si>
  <si>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</si>
  <si>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</si>
  <si>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</si>
  <si>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</si>
  <si>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</si>
  <si>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</si>
  <si>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</si>
  <si>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</si>
  <si>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</si>
  <si>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</si>
  <si>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</si>
  <si>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</si>
  <si>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</si>
  <si>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</si>
  <si>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</si>
  <si>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</si>
  <si>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</si>
  <si>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</si>
  <si>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</si>
  <si>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</si>
  <si>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</si>
  <si>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</si>
  <si>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</si>
  <si>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</si>
  <si>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</si>
  <si>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</si>
  <si>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</si>
  <si>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</si>
  <si>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</si>
  <si>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</si>
  <si>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</si>
  <si>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</si>
  <si>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</si>
  <si>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</si>
  <si>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</si>
  <si>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</si>
  <si>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</si>
  <si>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</si>
  <si>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</si>
  <si>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</si>
  <si>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</si>
  <si>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</si>
  <si>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</si>
  <si>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</si>
  <si>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</si>
  <si>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</si>
  <si>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</si>
  <si>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</si>
  <si>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</si>
  <si>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</si>
  <si>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</si>
  <si>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</si>
  <si>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</si>
  <si>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</si>
  <si>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</si>
  <si>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</si>
  <si>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</si>
  <si>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</si>
  <si>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</si>
  <si>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</si>
  <si>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</si>
  <si>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</si>
  <si>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</si>
  <si>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</si>
  <si>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</si>
  <si>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</si>
  <si>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</si>
  <si>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</si>
  <si>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</si>
  <si>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</si>
  <si>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</si>
  <si>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</si>
  <si>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</si>
  <si>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</si>
  <si>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</si>
  <si>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</si>
  <si>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</si>
  <si>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</si>
  <si>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</si>
  <si>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</si>
  <si>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</si>
  <si>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</si>
  <si>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</si>
  <si>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</si>
  <si>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</si>
  <si>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</si>
  <si>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</si>
  <si>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</si>
  <si>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</si>
  <si>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</si>
  <si>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</si>
  <si>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</si>
  <si>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</si>
  <si>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</si>
  <si>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</si>
  <si>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</si>
  <si>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</si>
  <si>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</si>
  <si>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</si>
  <si>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</si>
  <si>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</si>
  <si>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</si>
  <si>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</si>
  <si>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</si>
  <si>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</si>
  <si>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</si>
  <si>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</si>
  <si>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</si>
  <si>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</si>
  <si>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</si>
  <si>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</si>
  <si>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</si>
  <si>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</si>
  <si>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</si>
  <si>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</si>
  <si>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</si>
  <si>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</si>
  <si>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</si>
  <si>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</si>
  <si>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</si>
  <si>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</si>
  <si>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</si>
  <si>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</si>
  <si>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</si>
  <si>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</si>
  <si>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</si>
  <si>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</si>
  <si>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</si>
  <si>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</si>
  <si>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</si>
  <si>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</si>
  <si>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</si>
  <si>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</si>
  <si>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</si>
  <si>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</si>
  <si>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</si>
  <si>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</si>
  <si>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</si>
  <si>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</si>
  <si>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</si>
  <si>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</si>
  <si>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</si>
  <si>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</si>
  <si>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</si>
  <si>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</si>
  <si>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</si>
  <si>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</si>
  <si>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</si>
  <si>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</si>
  <si>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</si>
  <si>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</si>
  <si>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</si>
  <si>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</si>
  <si>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</si>
  <si>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</si>
  <si>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</si>
  <si>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</si>
  <si>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</si>
  <si>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</si>
  <si>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</si>
  <si>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</si>
  <si>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</si>
  <si>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</si>
  <si>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</si>
  <si>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</si>
  <si>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</si>
  <si>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</si>
  <si>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</si>
  <si>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</si>
  <si>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</si>
  <si>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</si>
  <si>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</si>
  <si>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</si>
  <si>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</si>
  <si>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</si>
  <si>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</si>
  <si>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</si>
  <si>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</si>
  <si>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</si>
  <si>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</si>
  <si>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</si>
  <si>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</si>
  <si>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</si>
  <si>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</si>
  <si>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</si>
  <si>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</si>
  <si>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</si>
  <si>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</si>
  <si>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</si>
  <si>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</si>
  <si>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</si>
  <si>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</si>
  <si>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</si>
  <si>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</si>
  <si>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</si>
  <si>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</si>
  <si>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</si>
  <si>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</si>
  <si>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</si>
  <si>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</si>
  <si>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</si>
  <si>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</si>
  <si>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</si>
  <si>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</si>
  <si>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</si>
  <si>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</si>
  <si>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</si>
  <si>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</si>
  <si>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</si>
  <si>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</si>
  <si>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</si>
  <si>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</si>
  <si>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</si>
  <si>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</si>
  <si>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</si>
  <si>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</si>
  <si>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</si>
  <si>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</si>
  <si>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</si>
  <si>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</si>
  <si>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</si>
  <si>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</si>
  <si>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</si>
  <si>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</si>
  <si>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</si>
  <si>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</si>
  <si>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</si>
  <si>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</si>
  <si>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</si>
  <si>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</si>
  <si>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</si>
  <si>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</si>
  <si>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</si>
  <si>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</si>
  <si>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</si>
  <si>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</si>
  <si>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</si>
  <si>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</si>
  <si>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</si>
  <si>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</si>
  <si>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</si>
  <si>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</si>
  <si>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</si>
  <si>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</si>
  <si>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</si>
  <si>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</si>
  <si>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</si>
  <si>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</si>
  <si>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</si>
  <si>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</si>
  <si>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</si>
  <si>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</si>
  <si>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</si>
  <si>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</si>
  <si>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</si>
  <si>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</si>
  <si>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</si>
  <si>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</si>
  <si>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</si>
  <si>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</si>
  <si>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</si>
  <si>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</si>
  <si>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</si>
  <si>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</si>
  <si>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</si>
  <si>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</si>
  <si>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</si>
  <si>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</si>
  <si>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</si>
  <si>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</si>
  <si>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</si>
  <si>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</si>
  <si>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</si>
  <si>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</si>
  <si>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</si>
  <si>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</si>
  <si>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</si>
  <si>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</si>
  <si>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</si>
  <si>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</si>
  <si>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</si>
  <si>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</si>
  <si>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</si>
  <si>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</si>
  <si>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</si>
  <si>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</si>
  <si>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</si>
  <si>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</si>
  <si>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</si>
  <si>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</si>
  <si>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</si>
  <si>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</si>
  <si>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</si>
  <si>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</si>
  <si>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</si>
  <si>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</si>
  <si>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</si>
  <si>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</si>
  <si>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</si>
  <si>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</si>
  <si>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</si>
  <si>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</si>
  <si>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</si>
  <si>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</si>
  <si>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</si>
  <si>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</si>
  <si>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</si>
  <si>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</si>
  <si>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</si>
  <si>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</si>
  <si>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</si>
  <si>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</si>
  <si>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</si>
  <si>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</si>
  <si>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</si>
  <si>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</si>
  <si>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</si>
  <si>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</si>
  <si>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</si>
  <si>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</si>
  <si>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</si>
  <si>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</si>
  <si>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</si>
  <si>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</si>
  <si>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</si>
  <si>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</si>
  <si>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</si>
  <si>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</si>
  <si>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</si>
  <si>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</si>
  <si>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</si>
  <si>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</si>
  <si>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</si>
  <si>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</si>
  <si>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</si>
  <si>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</si>
  <si>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</si>
  <si>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</si>
  <si>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</si>
  <si>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</si>
  <si>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</si>
  <si>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</si>
  <si>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</si>
  <si>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</si>
  <si>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</si>
  <si>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</si>
  <si>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</si>
  <si>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</si>
  <si>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</si>
  <si>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</si>
  <si>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</si>
  <si>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</si>
  <si>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</si>
  <si>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</si>
  <si>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</si>
  <si>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</si>
  <si>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</si>
  <si>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</si>
  <si>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</si>
  <si>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</si>
  <si>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</si>
  <si>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</si>
  <si>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</si>
  <si>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</si>
  <si>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</si>
  <si>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</si>
  <si>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</si>
  <si>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</si>
  <si>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</si>
  <si>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</si>
  <si>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</si>
  <si>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</si>
  <si>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</si>
  <si>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</si>
  <si>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</si>
  <si>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</si>
  <si>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</si>
  <si>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</si>
  <si>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</si>
  <si>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</si>
  <si>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</si>
  <si>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</si>
  <si>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</si>
  <si>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</si>
  <si>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</si>
  <si>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</si>
  <si>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</si>
  <si>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</si>
  <si>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</si>
  <si>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</si>
  <si>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</si>
  <si>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</si>
  <si>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</si>
  <si>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</si>
  <si>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</si>
  <si>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</si>
  <si>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</si>
  <si>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</si>
  <si>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</si>
  <si>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</si>
  <si>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</si>
  <si>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</si>
  <si>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</si>
  <si>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</si>
  <si>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</si>
  <si>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</si>
  <si>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</si>
  <si>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</si>
  <si>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</si>
  <si>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</si>
  <si>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</si>
  <si>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</si>
  <si>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</si>
  <si>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</si>
  <si>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</si>
  <si>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</si>
  <si>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</si>
  <si>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</si>
  <si>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</si>
  <si>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</si>
  <si>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</si>
  <si>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</si>
  <si>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</si>
  <si>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</si>
  <si>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</si>
  <si>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</si>
  <si>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</si>
  <si>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</si>
  <si>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</si>
  <si>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</si>
  <si>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</si>
  <si>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</si>
  <si>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</si>
  <si>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</si>
  <si>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</si>
  <si>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</si>
  <si>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</si>
  <si>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</si>
  <si>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</si>
  <si>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</si>
  <si>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</si>
  <si>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</si>
  <si>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</si>
  <si>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</si>
  <si>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</si>
  <si>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</si>
  <si>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</si>
  <si>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</si>
  <si>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</si>
  <si>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</si>
  <si>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</si>
  <si>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</si>
  <si>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</si>
  <si>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</si>
  <si>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</si>
  <si>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</si>
  <si>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</si>
  <si>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</si>
  <si>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</si>
  <si>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</si>
  <si>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</si>
  <si>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</si>
  <si>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</si>
  <si>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</si>
  <si>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</si>
  <si>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</si>
  <si>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</si>
  <si>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</si>
  <si>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</si>
  <si>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</si>
  <si>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</si>
  <si>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</si>
  <si>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</si>
  <si>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</si>
  <si>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</si>
  <si>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</si>
  <si>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</si>
  <si>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</si>
  <si>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</si>
  <si>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</si>
  <si>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</si>
  <si>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</si>
  <si>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</si>
  <si>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</si>
  <si>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</si>
  <si>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</si>
  <si>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</si>
  <si>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</si>
  <si>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</si>
  <si>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</si>
  <si>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</si>
  <si>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</si>
  <si>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</si>
  <si>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</si>
  <si>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</si>
  <si>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</si>
  <si>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</si>
  <si>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</si>
  <si>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</si>
  <si>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</si>
  <si>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</si>
  <si>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</si>
  <si>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</si>
  <si>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</si>
  <si>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</si>
  <si>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</si>
  <si>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</si>
  <si>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</si>
  <si>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</si>
  <si>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</si>
  <si>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</si>
  <si>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</si>
  <si>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</si>
  <si>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</si>
  <si>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</si>
  <si>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</si>
  <si>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</si>
  <si>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</si>
  <si>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</si>
  <si>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</si>
  <si>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</si>
  <si>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</si>
  <si>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</si>
  <si>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</si>
  <si>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</si>
  <si>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</si>
  <si>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</si>
  <si>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</si>
  <si>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</si>
  <si>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</si>
  <si>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</si>
  <si>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</si>
  <si>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</si>
  <si>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</si>
  <si>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</si>
  <si>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</si>
  <si>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</si>
  <si>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</si>
  <si>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</si>
  <si>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</si>
  <si>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</si>
  <si>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</si>
  <si>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</si>
  <si>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</si>
  <si>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</si>
  <si>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</si>
  <si>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</si>
  <si>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</si>
  <si>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</si>
  <si>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</si>
  <si>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</si>
  <si>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</si>
  <si>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</si>
  <si>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</si>
  <si>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</si>
  <si>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</si>
  <si>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</si>
  <si>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</si>
  <si>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</si>
  <si>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</si>
  <si>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</si>
  <si>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</si>
  <si>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</si>
  <si>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</si>
  <si>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</si>
  <si>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</si>
  <si>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</si>
  <si>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</si>
  <si>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</si>
  <si>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</si>
  <si>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</si>
  <si>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</si>
  <si>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</si>
  <si>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</si>
  <si>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</si>
  <si>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</si>
  <si>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</si>
  <si>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</si>
  <si>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</si>
  <si>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</si>
  <si>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</si>
  <si>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</si>
  <si>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</si>
  <si>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</si>
  <si>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</si>
  <si>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</si>
  <si>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</si>
  <si>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</si>
  <si>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</si>
  <si>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</si>
  <si>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</si>
  <si>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</si>
  <si>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</si>
  <si>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</si>
  <si>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</si>
  <si>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</si>
  <si>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</si>
  <si>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</si>
  <si>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</si>
  <si>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</si>
  <si>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</si>
  <si>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</si>
  <si>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</si>
  <si>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</si>
  <si>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</si>
  <si>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</si>
  <si>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</si>
  <si>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</si>
  <si>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</si>
  <si>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</si>
  <si>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</si>
  <si>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</si>
  <si>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</si>
  <si>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</si>
  <si>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</si>
  <si>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</si>
  <si>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</si>
  <si>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</si>
  <si>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</si>
  <si>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</si>
  <si>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</si>
  <si>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</si>
  <si>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</si>
  <si>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</si>
  <si>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</si>
  <si>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</si>
  <si>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</si>
  <si>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</si>
  <si>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</si>
  <si>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</si>
  <si>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</si>
  <si>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</si>
  <si>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</si>
  <si>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</si>
  <si>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</si>
  <si>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</si>
  <si>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</si>
  <si>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</si>
  <si>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</si>
  <si>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</si>
  <si>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</si>
  <si>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</si>
  <si>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</si>
  <si>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</si>
  <si>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</si>
  <si>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</si>
  <si>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</si>
  <si>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</si>
  <si>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</si>
  <si>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</si>
  <si>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</si>
  <si>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</si>
  <si>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</si>
  <si>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</si>
  <si>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</si>
  <si>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</si>
  <si>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</si>
  <si>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</si>
  <si>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</si>
  <si>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</si>
  <si>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</si>
  <si>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</si>
  <si>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</si>
  <si>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</si>
  <si>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</si>
  <si>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</si>
  <si>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</si>
  <si>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</si>
  <si>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</si>
  <si>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</si>
  <si>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</si>
  <si>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</si>
  <si>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</si>
  <si>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</si>
  <si>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</si>
  <si>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</si>
  <si>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</si>
  <si>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</si>
  <si>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</si>
  <si>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</si>
  <si>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</si>
  <si>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</si>
  <si>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</si>
  <si>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</si>
  <si>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</si>
  <si>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</si>
  <si>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</si>
  <si>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</si>
  <si>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</si>
  <si>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</si>
  <si>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</si>
  <si>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</si>
  <si>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</si>
  <si>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</si>
  <si>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</si>
  <si>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</si>
  <si>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</si>
  <si>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</si>
  <si>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</si>
  <si>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</si>
  <si>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</si>
  <si>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</si>
  <si>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</si>
  <si>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</si>
  <si>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</si>
  <si>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</si>
  <si>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</si>
  <si>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</si>
  <si>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</si>
  <si>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</si>
  <si>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</si>
  <si>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</si>
  <si>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</si>
  <si>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</si>
  <si>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</si>
  <si>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</si>
  <si>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</si>
  <si>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</si>
  <si>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</si>
  <si>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</si>
  <si>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</si>
  <si>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</si>
  <si>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</si>
  <si>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</si>
  <si>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</si>
  <si>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</si>
  <si>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</si>
  <si>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</si>
  <si>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</si>
  <si>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</si>
  <si>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</si>
  <si>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</si>
  <si>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</si>
  <si>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</si>
  <si>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</si>
  <si>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</si>
  <si>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</si>
  <si>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</si>
  <si>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</si>
  <si>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</si>
  <si>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</si>
  <si>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</si>
  <si>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</si>
  <si>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</si>
  <si>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</si>
  <si>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</si>
  <si>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</si>
  <si>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</si>
  <si>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</si>
  <si>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</si>
  <si>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</si>
  <si>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</si>
  <si>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</si>
  <si>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</si>
  <si>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</si>
  <si>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</si>
  <si>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</si>
  <si>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</si>
  <si>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</si>
  <si>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</si>
  <si>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</si>
  <si>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</si>
  <si>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</si>
  <si>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</si>
  <si>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</si>
  <si>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</si>
  <si>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</si>
  <si>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</si>
  <si>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</si>
  <si>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</si>
  <si>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</si>
  <si>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</si>
  <si>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</si>
  <si>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</si>
  <si>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</si>
  <si>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</si>
  <si>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</si>
  <si>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</si>
  <si>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</si>
  <si>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</si>
  <si>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</si>
  <si>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</si>
  <si>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</si>
  <si>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</si>
  <si>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</si>
  <si>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</si>
  <si>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</si>
  <si>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</si>
  <si>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</si>
  <si>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</si>
  <si>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</si>
  <si>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</si>
  <si>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</si>
  <si>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</si>
  <si>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</si>
  <si>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</si>
  <si>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</si>
  <si>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</si>
  <si>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</si>
  <si>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</si>
  <si>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</si>
  <si>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</si>
  <si>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</si>
  <si>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</si>
  <si>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</si>
  <si>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</si>
  <si>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</si>
  <si>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</si>
  <si>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</si>
  <si>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</si>
  <si>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</si>
  <si>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</si>
  <si>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</si>
  <si>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</si>
  <si>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</si>
  <si>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</si>
  <si>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</si>
  <si>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</si>
  <si>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</si>
  <si>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</si>
  <si>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</si>
  <si>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</si>
  <si>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</si>
  <si>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</si>
  <si>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</si>
  <si>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</si>
  <si>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</si>
  <si>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</si>
  <si>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</si>
  <si>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</si>
  <si>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</si>
  <si>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</si>
  <si>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</si>
  <si>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</si>
  <si>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</si>
  <si>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</si>
  <si>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</si>
  <si>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</si>
  <si>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</si>
  <si>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</si>
  <si>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</si>
  <si>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</si>
  <si>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</si>
  <si>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</si>
  <si>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</si>
  <si>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</si>
  <si>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</si>
  <si>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</si>
  <si>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</si>
  <si>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</si>
  <si>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</si>
  <si>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</si>
  <si>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</si>
  <si>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</si>
  <si>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</si>
  <si>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</si>
  <si>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</si>
  <si>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</si>
  <si>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</si>
  <si>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</si>
  <si>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</si>
  <si>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</si>
  <si>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</si>
  <si>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</si>
  <si>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</si>
  <si>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</si>
  <si>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</si>
  <si>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</si>
  <si>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</si>
  <si>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</si>
  <si>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</si>
  <si>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</si>
  <si>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</si>
  <si>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</si>
  <si>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</si>
  <si>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</si>
  <si>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</si>
  <si>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</si>
  <si>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</si>
  <si>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</si>
  <si>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</si>
  <si>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</si>
  <si>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</si>
  <si>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</si>
  <si>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</si>
  <si>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</si>
  <si>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</si>
  <si>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</si>
  <si>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</si>
  <si>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</si>
  <si>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</si>
  <si>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</si>
  <si>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</si>
  <si>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</si>
  <si>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</si>
  <si>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</si>
  <si>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</si>
  <si>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</si>
  <si>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</si>
  <si>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</si>
  <si>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</si>
  <si>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</si>
  <si>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</si>
  <si>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</si>
  <si>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</si>
  <si>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</si>
  <si>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</si>
  <si>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</si>
  <si>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</si>
  <si>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</si>
  <si>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</si>
  <si>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</si>
  <si>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</si>
  <si>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</si>
  <si>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</si>
  <si>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</si>
  <si>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</si>
  <si>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</si>
  <si>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</si>
  <si>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</si>
  <si>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</si>
  <si>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</si>
  <si>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</si>
  <si>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</si>
  <si>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</si>
  <si>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</si>
  <si>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</si>
  <si>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</si>
  <si>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</si>
  <si>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</si>
  <si>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</si>
  <si>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</si>
  <si>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</si>
  <si>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</si>
  <si>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</si>
  <si>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</si>
  <si>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</si>
  <si>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</si>
  <si>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</si>
  <si>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</si>
  <si>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</si>
  <si>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</si>
  <si>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</si>
  <si>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</si>
  <si>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</si>
  <si>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</si>
  <si>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</si>
  <si>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</si>
  <si>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</si>
  <si>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</si>
  <si>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</si>
  <si>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</si>
  <si>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</si>
  <si>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</si>
  <si>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</si>
  <si>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</si>
  <si>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</si>
  <si>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</si>
  <si>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</si>
  <si>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</si>
  <si>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</si>
  <si>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</si>
  <si>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</si>
  <si>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</si>
  <si>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</si>
  <si>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</si>
  <si>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</si>
  <si>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</si>
  <si>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</si>
  <si>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</si>
  <si>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</si>
  <si>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</si>
  <si>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</si>
  <si>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</si>
  <si>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</si>
  <si>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</si>
  <si>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</si>
  <si>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</si>
  <si>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</si>
  <si>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</si>
  <si>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</si>
  <si>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</si>
  <si>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</si>
  <si>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</si>
  <si>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</si>
  <si>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</si>
  <si>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</si>
  <si>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</si>
  <si>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</si>
  <si>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</si>
  <si>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</si>
  <si>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</si>
  <si>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</si>
  <si>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</si>
  <si>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</si>
  <si>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</si>
  <si>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</si>
  <si>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</si>
  <si>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</si>
  <si>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</si>
  <si>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</si>
  <si>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</si>
  <si>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</si>
  <si>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</si>
  <si>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</si>
  <si>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</si>
  <si>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</si>
  <si>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</si>
  <si>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</si>
  <si>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</si>
  <si>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</si>
  <si>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</si>
  <si>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</si>
  <si>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</si>
  <si>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</si>
  <si>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</si>
  <si>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</si>
  <si>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</si>
  <si>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</si>
  <si>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</si>
  <si>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</si>
  <si>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</si>
  <si>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</si>
  <si>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</si>
  <si>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</si>
  <si>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</si>
  <si>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</si>
  <si>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</si>
  <si>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</si>
  <si>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</si>
  <si>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</si>
  <si>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</si>
  <si>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</si>
  <si>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</si>
  <si>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</si>
  <si>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</si>
  <si>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</si>
  <si>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</si>
  <si>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</si>
  <si>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</si>
  <si>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</si>
  <si>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</si>
  <si>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</si>
  <si>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</si>
  <si>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</si>
  <si>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</si>
  <si>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</si>
  <si>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</si>
  <si>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</si>
  <si>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</si>
  <si>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</si>
  <si>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</si>
  <si>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</si>
  <si>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</si>
  <si>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</si>
  <si>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</si>
  <si>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</si>
  <si>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</si>
  <si>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</si>
  <si>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</si>
  <si>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</si>
  <si>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</si>
  <si>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</si>
  <si>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</si>
  <si>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</si>
  <si>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</si>
  <si>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</si>
  <si>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</si>
  <si>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</si>
  <si>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</si>
  <si>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</si>
  <si>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</si>
  <si>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</si>
  <si>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</si>
  <si>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</si>
  <si>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</si>
  <si>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</si>
  <si>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</si>
  <si>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</si>
  <si>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</si>
  <si>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</si>
  <si>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</si>
  <si>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</si>
  <si>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</si>
  <si>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</si>
  <si>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</si>
  <si>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</si>
  <si>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</si>
  <si>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</si>
  <si>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</si>
  <si>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</si>
  <si>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</si>
  <si>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</si>
  <si>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</si>
  <si>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</si>
  <si>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</si>
  <si>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</si>
  <si>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</si>
  <si>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</si>
  <si>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</si>
  <si>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</si>
  <si>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</si>
  <si>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</si>
  <si>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</si>
  <si>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</si>
  <si>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</si>
  <si>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</si>
  <si>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</si>
  <si>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</si>
  <si>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</si>
  <si>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</si>
  <si>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</si>
  <si>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</si>
  <si>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</si>
  <si>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</si>
  <si>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</si>
  <si>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</si>
  <si>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</si>
  <si>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</si>
  <si>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</si>
  <si>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</si>
  <si>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</si>
  <si>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</si>
  <si>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</si>
  <si>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</si>
  <si>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</si>
  <si>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</si>
  <si>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</si>
  <si>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</si>
  <si>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</si>
  <si>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</si>
  <si>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</si>
  <si>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</si>
  <si>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</si>
  <si>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</si>
  <si>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</si>
  <si>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</si>
  <si>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</si>
  <si>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</si>
  <si>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</si>
  <si>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</si>
  <si>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</si>
  <si>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</si>
  <si>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</si>
  <si>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</si>
  <si>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</si>
  <si>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</si>
  <si>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</si>
  <si>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</si>
  <si>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</si>
  <si>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</si>
  <si>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</si>
  <si>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</si>
  <si>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</si>
  <si>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</si>
  <si>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</si>
  <si>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</si>
  <si>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</si>
  <si>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</si>
  <si>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</si>
  <si>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</si>
  <si>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</si>
  <si>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</si>
  <si>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</si>
  <si>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</si>
  <si>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</si>
  <si>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</si>
  <si>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</si>
  <si>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</si>
  <si>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</si>
  <si>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</si>
  <si>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</si>
  <si>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</si>
  <si>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</si>
  <si>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</si>
  <si>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</si>
  <si>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</si>
  <si>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</si>
  <si>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</si>
  <si>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</si>
  <si>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</si>
  <si>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</si>
  <si>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</si>
  <si>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</si>
  <si>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</si>
  <si>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</si>
  <si>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</si>
  <si>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</si>
  <si>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</si>
  <si>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</si>
  <si>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</si>
  <si>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</si>
  <si>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</si>
  <si>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</si>
  <si>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</si>
  <si>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</si>
  <si>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</si>
  <si>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</si>
  <si>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</si>
  <si>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</si>
  <si>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</si>
  <si>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</si>
  <si>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</si>
  <si>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</si>
  <si>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</si>
  <si>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</si>
  <si>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</si>
  <si>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</si>
  <si>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</si>
  <si>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</si>
  <si>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</si>
  <si>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</si>
  <si>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</si>
  <si>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</si>
  <si>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</si>
  <si>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</si>
  <si>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</si>
  <si>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</si>
  <si>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</si>
  <si>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</si>
  <si>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</si>
  <si>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</si>
  <si>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</si>
  <si>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</si>
  <si>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</si>
  <si>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</si>
  <si>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</si>
  <si>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</si>
  <si>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</si>
  <si>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</si>
  <si>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</si>
  <si>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</si>
  <si>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</si>
  <si>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</si>
  <si>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</si>
  <si>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</si>
  <si>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</si>
  <si>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</si>
  <si>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</si>
  <si>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</si>
  <si>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</si>
  <si>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</si>
  <si>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</si>
  <si>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</si>
  <si>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</si>
  <si>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</si>
  <si>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</si>
  <si>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</si>
  <si>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</si>
  <si>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</si>
  <si>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</si>
  <si>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</si>
  <si>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</si>
  <si>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</si>
  <si>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</si>
  <si>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</si>
  <si>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</si>
  <si>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</si>
  <si>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</si>
  <si>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</si>
  <si>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</si>
  <si>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</si>
  <si>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</si>
  <si>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</si>
  <si>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</si>
  <si>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</si>
  <si>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</si>
  <si>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</si>
  <si>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</si>
  <si>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</si>
  <si>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</si>
  <si>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</si>
  <si>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</si>
  <si>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</si>
  <si>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</si>
  <si>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</si>
  <si>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</si>
  <si>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</si>
  <si>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</si>
  <si>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</si>
  <si>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</si>
  <si>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</si>
  <si>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</si>
  <si>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</si>
  <si>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</si>
  <si>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</si>
  <si>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</si>
  <si>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</si>
  <si>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</si>
  <si>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</si>
  <si>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</si>
  <si>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</si>
  <si>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</si>
  <si>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</si>
  <si>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</si>
  <si>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</si>
  <si>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</si>
  <si>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</si>
  <si>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</si>
  <si>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</si>
  <si>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</si>
  <si>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</si>
  <si>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</si>
  <si>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</si>
  <si>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</si>
  <si>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</si>
  <si>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</si>
  <si>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</si>
  <si>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</si>
  <si>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</si>
  <si>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</si>
  <si>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</si>
  <si>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</si>
  <si>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</si>
  <si>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</si>
  <si>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</si>
  <si>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</si>
  <si>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</si>
  <si>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</si>
  <si>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</si>
  <si>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</si>
  <si>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</si>
  <si>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</si>
  <si>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</si>
  <si>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</si>
  <si>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</si>
  <si>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</si>
  <si>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</si>
  <si>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</si>
  <si>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</si>
  <si>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</si>
  <si>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</si>
  <si>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</si>
  <si>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</si>
  <si>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</si>
  <si>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</si>
  <si>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</si>
  <si>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</si>
  <si>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</si>
  <si>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</si>
  <si>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</si>
  <si>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</si>
  <si>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</si>
  <si>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</si>
  <si>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</si>
  <si>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</si>
  <si>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</si>
  <si>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</si>
  <si>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</si>
  <si>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</si>
  <si>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</si>
  <si>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</si>
  <si>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</si>
  <si>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</si>
  <si>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</si>
  <si>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</si>
  <si>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</si>
  <si>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</si>
  <si>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</si>
  <si>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</si>
  <si>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</si>
  <si>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</si>
  <si>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</si>
  <si>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</si>
  <si>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</si>
  <si>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</si>
  <si>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</si>
  <si>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</si>
  <si>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</si>
  <si>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</si>
  <si>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</si>
  <si>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</si>
  <si>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</si>
  <si>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</si>
  <si>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</si>
  <si>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</si>
  <si>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</si>
  <si>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</si>
  <si>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</si>
  <si>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</si>
  <si>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</si>
  <si>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</si>
  <si>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</si>
  <si>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</si>
  <si>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</si>
  <si>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</si>
  <si>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</si>
  <si>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</si>
  <si>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</si>
  <si>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</si>
  <si>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</si>
  <si>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</si>
  <si>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</si>
  <si>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</si>
  <si>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</si>
  <si>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</si>
  <si>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</si>
  <si>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</si>
  <si>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</si>
  <si>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</si>
  <si>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</si>
  <si>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</si>
  <si>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</si>
  <si>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</si>
  <si>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</si>
  <si>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</si>
  <si>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</si>
  <si>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</si>
  <si>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</si>
  <si>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</si>
  <si>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</si>
  <si>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</si>
  <si>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</si>
  <si>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</si>
  <si>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</si>
  <si>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</si>
  <si>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</si>
  <si>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</si>
  <si>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</si>
  <si>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</si>
  <si>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</si>
  <si>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</si>
  <si>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</si>
  <si>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</si>
  <si>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</si>
  <si>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</si>
  <si>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</si>
  <si>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</si>
  <si>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</si>
  <si>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</si>
  <si>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</si>
  <si>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</si>
  <si>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</si>
  <si>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</si>
  <si>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</si>
  <si>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</si>
  <si>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</si>
  <si>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</si>
  <si>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</si>
  <si>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</si>
  <si>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</si>
  <si>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</si>
  <si>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</si>
  <si>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</si>
  <si>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</si>
  <si>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</si>
  <si>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</si>
  <si>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</si>
  <si>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</si>
  <si>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</si>
  <si>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</si>
  <si>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</si>
  <si>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</si>
  <si>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</si>
  <si>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</si>
  <si>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</si>
  <si>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</si>
  <si>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</si>
  <si>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</si>
  <si>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</si>
  <si>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</si>
  <si>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</si>
  <si>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</si>
  <si>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</si>
  <si>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</si>
  <si>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</si>
  <si>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</si>
  <si>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</si>
  <si>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</si>
  <si>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</si>
  <si>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</si>
  <si>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</si>
  <si>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</si>
  <si>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</si>
  <si>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</si>
  <si>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</si>
  <si>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</si>
  <si>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</si>
  <si>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</si>
  <si>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</si>
  <si>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</si>
  <si>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</si>
  <si>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</si>
  <si>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</si>
  <si>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</si>
  <si>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</si>
  <si>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</si>
  <si>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</si>
  <si>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</si>
  <si>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</si>
  <si>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</si>
  <si>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</si>
  <si>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</si>
  <si>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</si>
  <si>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</si>
  <si>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</si>
  <si>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</si>
  <si>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</si>
  <si>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</si>
  <si>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</si>
  <si>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</si>
  <si>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</si>
  <si>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</si>
  <si>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</si>
  <si>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</si>
  <si>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</si>
  <si>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</si>
  <si>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</si>
  <si>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</si>
  <si>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</si>
  <si>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</si>
  <si>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</si>
  <si>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</si>
  <si>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</si>
  <si>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</si>
  <si>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</si>
  <si>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</si>
  <si>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</si>
  <si>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</si>
  <si>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</si>
  <si>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</si>
  <si>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</si>
  <si>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</si>
  <si>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</si>
  <si>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</si>
  <si>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</si>
  <si>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</si>
  <si>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</si>
  <si>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</si>
  <si>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</si>
  <si>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</si>
  <si>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</si>
  <si>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</si>
  <si>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</si>
  <si>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</si>
  <si>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</si>
  <si>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</si>
  <si>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</si>
  <si>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</si>
  <si>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</si>
  <si>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</si>
  <si>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</si>
  <si>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</si>
  <si>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</si>
  <si>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</si>
  <si>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</si>
  <si>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</si>
  <si>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</si>
  <si>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</si>
  <si>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</si>
  <si>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</si>
  <si>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</si>
  <si>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</si>
  <si>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</si>
  <si>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</si>
  <si>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</si>
  <si>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</si>
  <si>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</si>
  <si>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</si>
  <si>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</si>
  <si>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</si>
  <si>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</si>
  <si>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</si>
  <si>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</si>
  <si>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</si>
  <si>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</si>
  <si>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</si>
  <si>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</si>
  <si>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</si>
  <si>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</si>
  <si>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</si>
  <si>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</si>
  <si>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</si>
  <si>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</si>
  <si>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</si>
  <si>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</si>
  <si>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</si>
  <si>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</si>
  <si>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</si>
  <si>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</si>
  <si>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</si>
  <si>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</si>
  <si>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</si>
  <si>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</si>
  <si>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</si>
  <si>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</si>
  <si>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</si>
  <si>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</si>
  <si>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</si>
  <si>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</si>
  <si>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</si>
  <si>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</si>
  <si>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</si>
  <si>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</si>
  <si>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</si>
  <si>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</si>
  <si>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</si>
  <si>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</si>
  <si>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</si>
  <si>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</si>
  <si>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</si>
  <si>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</si>
  <si>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</si>
  <si>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</si>
  <si>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</si>
  <si>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</si>
  <si>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</si>
  <si>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</si>
  <si>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</si>
  <si>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</si>
  <si>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</si>
  <si>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</si>
  <si>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</si>
  <si>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</si>
  <si>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</si>
  <si>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</si>
  <si>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</si>
  <si>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</si>
  <si>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</si>
  <si>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</si>
  <si>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</si>
  <si>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</si>
  <si>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</si>
  <si>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</si>
  <si>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</si>
  <si>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</si>
  <si>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</si>
  <si>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</si>
  <si>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</si>
  <si>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</si>
  <si>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</si>
  <si>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</si>
  <si>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</si>
  <si>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</si>
  <si>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</si>
  <si>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</si>
  <si>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</si>
  <si>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</si>
  <si>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</si>
  <si>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</si>
  <si>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</si>
  <si>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</si>
  <si>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</si>
  <si>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</si>
  <si>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</si>
  <si>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</si>
  <si>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</si>
  <si>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</si>
  <si>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</si>
  <si>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</si>
  <si>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</si>
  <si>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</si>
  <si>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</si>
  <si>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</si>
  <si>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</si>
  <si>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</si>
  <si>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</si>
  <si>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</si>
  <si>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</si>
  <si>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</si>
  <si>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</si>
  <si>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</si>
  <si>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</si>
  <si>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</si>
  <si>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</si>
  <si>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</si>
  <si>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</si>
  <si>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</si>
  <si>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</si>
  <si>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</si>
  <si>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</si>
  <si>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</si>
  <si>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</si>
  <si>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</si>
  <si>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</si>
  <si>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</si>
  <si>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</si>
  <si>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</si>
  <si>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</si>
  <si>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</si>
  <si>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</si>
  <si>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</si>
  <si>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</si>
  <si>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</si>
  <si>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</si>
  <si>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</si>
  <si>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</si>
  <si>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</si>
  <si>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</si>
  <si>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</si>
  <si>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</si>
  <si>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</si>
  <si>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</si>
  <si>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</si>
  <si>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</si>
  <si>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</si>
  <si>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</si>
  <si>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</si>
  <si>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</si>
  <si>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</si>
  <si>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</si>
  <si>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</si>
  <si>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</si>
  <si>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</si>
  <si>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</si>
  <si>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</si>
  <si>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</si>
  <si>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</si>
  <si>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</si>
  <si>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</si>
  <si>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</si>
  <si>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</si>
  <si>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</si>
  <si>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</si>
  <si>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</si>
  <si>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</si>
  <si>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</si>
  <si>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</si>
  <si>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</si>
  <si>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</si>
  <si>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</si>
  <si>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</si>
  <si>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</si>
  <si>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</si>
  <si>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</si>
  <si>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</si>
  <si>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</si>
  <si>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</si>
  <si>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</si>
  <si>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</si>
  <si>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</si>
  <si>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</si>
  <si>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</si>
  <si>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</si>
  <si>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</si>
  <si>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</si>
  <si>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</si>
  <si>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</si>
  <si>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</si>
  <si>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</si>
  <si>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</si>
  <si>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</si>
  <si>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</si>
  <si>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</si>
  <si>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</si>
  <si>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</si>
  <si>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</si>
  <si>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</si>
  <si>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</si>
  <si>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</si>
  <si>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</si>
  <si>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</si>
  <si>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</si>
  <si>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</si>
  <si>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</si>
  <si>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</si>
  <si>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</si>
  <si>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</si>
  <si>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</si>
  <si>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</si>
  <si>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</si>
  <si>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</si>
  <si>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</si>
  <si>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</si>
  <si>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</si>
  <si>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</si>
  <si>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</si>
  <si>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</si>
  <si>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</si>
  <si>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</si>
  <si>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</si>
  <si>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</si>
  <si>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</si>
  <si>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</si>
  <si>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</si>
  <si>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</si>
  <si>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</si>
  <si>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</si>
  <si>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</si>
  <si>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</si>
  <si>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</si>
  <si>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</si>
  <si>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</si>
  <si>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</si>
  <si>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</si>
  <si>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</si>
  <si>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</si>
  <si>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</si>
  <si>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</si>
  <si>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</si>
  <si>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</si>
  <si>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</si>
  <si>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</si>
  <si>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</si>
  <si>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</si>
  <si>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</si>
  <si>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</si>
  <si>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</si>
  <si>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</si>
  <si>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</si>
  <si>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</si>
  <si>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</si>
  <si>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</si>
  <si>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</si>
  <si>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</si>
  <si>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</si>
  <si>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</si>
  <si>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</si>
  <si>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</si>
  <si>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</si>
  <si>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</si>
  <si>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</si>
  <si>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</si>
  <si>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</si>
  <si>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</si>
  <si>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</si>
  <si>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</si>
  <si>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</si>
  <si>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</si>
  <si>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</si>
  <si>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</si>
  <si>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</si>
  <si>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</si>
  <si>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</si>
  <si>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</si>
  <si>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</si>
  <si>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</si>
  <si>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</si>
  <si>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</si>
  <si>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</si>
  <si>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</si>
  <si>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</si>
  <si>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</si>
  <si>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</si>
  <si>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</si>
  <si>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</si>
  <si>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</si>
  <si>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</si>
  <si>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</si>
  <si>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</si>
  <si>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</si>
  <si>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</si>
  <si>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</si>
  <si>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</si>
  <si>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</si>
  <si>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</si>
  <si>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</si>
  <si>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</si>
  <si>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</si>
  <si>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</si>
  <si>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</si>
  <si>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</si>
  <si>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</si>
  <si>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</si>
  <si>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</si>
  <si>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</si>
  <si>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</si>
  <si>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</si>
  <si>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</si>
  <si>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</si>
  <si>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</si>
  <si>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</si>
  <si>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</si>
  <si>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</si>
  <si>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</si>
  <si>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</si>
  <si>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</si>
  <si>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</si>
  <si>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</si>
  <si>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</si>
  <si>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</si>
  <si>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</si>
  <si>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</si>
  <si>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</si>
  <si>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</si>
  <si>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</si>
  <si>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</si>
  <si>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</si>
  <si>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</si>
  <si>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</si>
  <si>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</si>
  <si>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</si>
  <si>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</si>
  <si>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</si>
  <si>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</si>
  <si>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</si>
  <si>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</si>
  <si>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</si>
  <si>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</si>
  <si>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</si>
  <si>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</si>
  <si>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</si>
  <si>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</si>
  <si>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</si>
  <si>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</si>
  <si>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</si>
  <si>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</si>
  <si>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</si>
  <si>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</si>
  <si>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</si>
  <si>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</si>
  <si>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</si>
  <si>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</si>
  <si>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</si>
  <si>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</si>
  <si>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</si>
  <si>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</si>
  <si>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</si>
  <si>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</si>
  <si>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</si>
  <si>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</si>
  <si>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</si>
  <si>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</si>
  <si>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</si>
  <si>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</si>
  <si>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</si>
  <si>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</si>
  <si>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</si>
  <si>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</si>
  <si>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</si>
  <si>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</si>
  <si>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</si>
  <si>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</si>
  <si>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</si>
  <si>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</si>
  <si>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</si>
  <si>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</si>
  <si>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</si>
  <si>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</si>
  <si>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</si>
  <si>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</si>
  <si>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</si>
  <si>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</si>
  <si>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</si>
  <si>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</si>
  <si>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</si>
  <si>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</si>
  <si>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</si>
  <si>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</si>
  <si>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</si>
  <si>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</si>
  <si>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</si>
  <si>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</si>
  <si>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</si>
  <si>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</si>
  <si>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</si>
  <si>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</si>
  <si>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</si>
  <si>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</si>
  <si>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</si>
  <si>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</si>
  <si>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</si>
  <si>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</si>
  <si>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</si>
  <si>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</si>
  <si>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</si>
  <si>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</si>
  <si>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</si>
  <si>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</si>
  <si>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</si>
  <si>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</si>
  <si>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</si>
  <si>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</si>
  <si>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</si>
  <si>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</si>
  <si>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</si>
  <si>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</si>
  <si>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</si>
  <si>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</si>
  <si>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</si>
  <si>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</si>
  <si>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</si>
  <si>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</si>
  <si>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</si>
  <si>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</si>
  <si>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</si>
  <si>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</si>
  <si>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</si>
  <si>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</si>
  <si>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</si>
  <si>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</si>
  <si>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</si>
  <si>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</si>
  <si>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</si>
  <si>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</si>
  <si>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</si>
  <si>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</si>
  <si>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</si>
  <si>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</si>
  <si>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</si>
  <si>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</si>
  <si>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</si>
  <si>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</si>
  <si>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</si>
  <si>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</si>
  <si>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</si>
  <si>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</si>
  <si>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</si>
  <si>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</si>
  <si>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</si>
  <si>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</si>
  <si>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</si>
  <si>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</si>
  <si>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</si>
  <si>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</si>
  <si>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</si>
  <si>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</si>
  <si>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</si>
  <si>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</si>
  <si>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</si>
  <si>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</si>
  <si>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</si>
  <si>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</si>
  <si>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</si>
  <si>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</si>
  <si>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</si>
  <si>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</si>
  <si>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</si>
  <si>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</si>
  <si>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</si>
  <si>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</si>
  <si>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</si>
  <si>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</si>
  <si>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</si>
  <si>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</si>
  <si>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</si>
  <si>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</si>
  <si>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</si>
  <si>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</si>
  <si>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</si>
  <si>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</si>
  <si>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</si>
  <si>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</si>
  <si>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</si>
  <si>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</si>
  <si>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</si>
  <si>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</si>
  <si>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</si>
  <si>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</si>
  <si>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</si>
  <si>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</si>
  <si>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</si>
  <si>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</si>
  <si>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</si>
  <si>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</si>
  <si>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</si>
  <si>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</si>
  <si>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</si>
  <si>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</si>
  <si>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</si>
  <si>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</si>
  <si>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</si>
  <si>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</si>
  <si>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</si>
  <si>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</si>
  <si>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</si>
  <si>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</si>
  <si>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</si>
  <si>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</si>
  <si>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</si>
  <si>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</si>
  <si>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</si>
  <si>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</si>
  <si>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</si>
  <si>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</si>
  <si>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</si>
  <si>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</si>
  <si>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</si>
  <si>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</si>
  <si>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</si>
  <si>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</si>
  <si>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</si>
  <si>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</si>
  <si>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</si>
  <si>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</si>
  <si>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</si>
  <si>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</si>
  <si>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</si>
  <si>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</si>
  <si>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</si>
  <si>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</si>
  <si>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</si>
  <si>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</si>
  <si>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</si>
  <si>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</si>
  <si>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</si>
  <si>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</si>
  <si>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</si>
  <si>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</si>
  <si>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</si>
  <si>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</si>
  <si>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</si>
  <si>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</si>
  <si>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</si>
  <si>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</si>
  <si>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</si>
  <si>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</si>
  <si>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</si>
  <si>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</si>
  <si>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</si>
  <si>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</si>
  <si>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</si>
  <si>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</si>
  <si>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</si>
  <si>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</si>
  <si>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</si>
  <si>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</si>
  <si>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</si>
  <si>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</si>
  <si>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</si>
  <si>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</si>
  <si>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</si>
  <si>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</si>
  <si>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</si>
  <si>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</si>
  <si>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</si>
  <si>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</si>
  <si>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</si>
  <si>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</si>
  <si>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</si>
  <si>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</si>
  <si>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</si>
  <si>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</si>
  <si>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</si>
  <si>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</si>
  <si>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</si>
  <si>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</si>
  <si>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</si>
  <si>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</si>
  <si>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</si>
  <si>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</si>
  <si>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</si>
  <si>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</si>
  <si>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</si>
  <si>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</si>
  <si>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</si>
  <si>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</si>
  <si>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</si>
  <si>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</si>
  <si>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</si>
  <si>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</si>
  <si>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</si>
  <si>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</si>
  <si>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</si>
  <si>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</si>
  <si>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</si>
  <si>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</si>
  <si>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</si>
  <si>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</si>
  <si>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</si>
  <si>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</si>
  <si>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</si>
  <si>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</si>
  <si>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</si>
  <si>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</si>
  <si>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</si>
  <si>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</si>
  <si>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</si>
  <si>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</si>
  <si>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</si>
  <si>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</si>
  <si>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</si>
  <si>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</si>
  <si>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</si>
  <si>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</si>
  <si>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</si>
  <si>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</si>
  <si>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</si>
  <si>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</si>
  <si>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</si>
  <si>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</si>
  <si>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</si>
  <si>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</si>
  <si>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</si>
  <si>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</si>
  <si>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</si>
  <si>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</si>
  <si>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</si>
  <si>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</si>
  <si>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</si>
  <si>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</si>
  <si>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</si>
  <si>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</si>
  <si>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</si>
  <si>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</si>
  <si>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</si>
  <si>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</si>
  <si>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</si>
  <si>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</si>
  <si>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</si>
  <si>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</si>
  <si>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</si>
  <si>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</si>
  <si>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</si>
  <si>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</si>
  <si>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</si>
  <si>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</si>
  <si>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</si>
  <si>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</si>
  <si>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</si>
  <si>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</si>
  <si>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</si>
  <si>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</si>
  <si>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</si>
  <si>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</si>
  <si>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</si>
  <si>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</si>
  <si>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</si>
  <si>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</si>
  <si>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</si>
  <si>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</si>
  <si>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</si>
  <si>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</si>
  <si>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</si>
  <si>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</si>
  <si>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</si>
  <si>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</si>
  <si>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</si>
  <si>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</si>
  <si>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</si>
  <si>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</si>
  <si>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</si>
  <si>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</si>
  <si>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</si>
  <si>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</si>
  <si>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</si>
  <si>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</si>
  <si>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</si>
  <si>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</si>
  <si>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</si>
  <si>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</si>
  <si>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</si>
  <si>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</si>
  <si>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</si>
  <si>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</si>
  <si>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</si>
  <si>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</si>
  <si>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</si>
  <si>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</si>
  <si>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</si>
  <si>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</si>
  <si>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</si>
  <si>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</si>
  <si>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</si>
  <si>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</si>
  <si>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</si>
  <si>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</si>
  <si>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</si>
  <si>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</si>
  <si>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</si>
  <si>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</si>
  <si>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</si>
  <si>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</si>
  <si>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</si>
  <si>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</si>
  <si>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</si>
  <si>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</si>
  <si>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</si>
  <si>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</si>
  <si>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</si>
  <si>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</si>
  <si>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</si>
  <si>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</si>
  <si>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</si>
  <si>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</si>
  <si>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</si>
  <si>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</si>
  <si>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</si>
  <si>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</si>
  <si>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</si>
  <si>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</si>
  <si>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</si>
  <si>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</si>
  <si>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</si>
  <si>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</si>
  <si>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</si>
  <si>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</si>
  <si>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</si>
  <si>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</si>
  <si>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</si>
  <si>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</si>
  <si>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</si>
  <si>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</si>
  <si>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</si>
  <si>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</si>
  <si>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</si>
  <si>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</si>
  <si>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</si>
  <si>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</si>
  <si>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</si>
  <si>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</si>
  <si>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</si>
  <si>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</si>
  <si>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</si>
  <si>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</si>
  <si>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</si>
  <si>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</si>
  <si>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</si>
  <si>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</si>
  <si>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</si>
  <si>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</si>
  <si>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</si>
  <si>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</si>
  <si>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</si>
  <si>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</si>
  <si>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</si>
  <si>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</si>
  <si>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</si>
  <si>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</si>
  <si>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</si>
  <si>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</si>
  <si>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</si>
  <si>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</si>
  <si>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</si>
  <si>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</si>
  <si>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</si>
  <si>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</si>
  <si>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</si>
  <si>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</si>
  <si>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</si>
  <si>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</si>
  <si>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</si>
  <si>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</si>
  <si>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</si>
  <si>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</si>
  <si>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</si>
  <si>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</si>
  <si>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</si>
  <si>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</si>
  <si>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</si>
  <si>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</si>
  <si>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</si>
  <si>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</si>
  <si>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</si>
  <si>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</si>
  <si>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</si>
  <si>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</si>
  <si>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</si>
  <si>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</si>
  <si>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</si>
  <si>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</si>
  <si>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</si>
  <si>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</si>
  <si>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</si>
  <si>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</si>
  <si>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</si>
  <si>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</si>
  <si>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</si>
  <si>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</si>
  <si>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</si>
  <si>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</si>
  <si>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</si>
  <si>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</si>
  <si>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</si>
  <si>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</si>
  <si>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</si>
  <si>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</si>
  <si>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</si>
  <si>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</si>
  <si>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</si>
  <si>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</si>
  <si>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</si>
  <si>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</si>
  <si>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</si>
  <si>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</si>
  <si>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</si>
  <si>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</si>
  <si>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</si>
  <si>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</si>
  <si>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</si>
  <si>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</si>
  <si>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</si>
  <si>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</si>
  <si>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</si>
  <si>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</si>
  <si>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</si>
  <si>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</si>
  <si>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</si>
  <si>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</si>
  <si>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</si>
  <si>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</si>
  <si>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</si>
  <si>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</si>
  <si>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</si>
  <si>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</si>
  <si>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</si>
  <si>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</si>
  <si>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</si>
  <si>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</si>
  <si>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</si>
  <si>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</si>
  <si>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</si>
  <si>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</si>
  <si>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</si>
  <si>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</si>
  <si>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</si>
  <si>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</si>
  <si>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</si>
  <si>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</si>
  <si>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</si>
  <si>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</si>
  <si>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</si>
  <si>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</si>
  <si>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</si>
  <si>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</si>
  <si>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</si>
  <si>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</si>
  <si>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</si>
  <si>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</si>
  <si>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</si>
  <si>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</si>
  <si>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</si>
  <si>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</si>
  <si>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</si>
  <si>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</si>
  <si>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</si>
  <si>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</si>
  <si>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</si>
  <si>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</si>
  <si>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</si>
  <si>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</si>
  <si>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</si>
  <si>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</si>
  <si>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</si>
  <si>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</si>
  <si>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</si>
  <si>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</si>
  <si>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</si>
  <si>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</si>
  <si>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</si>
  <si>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</si>
  <si>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</si>
  <si>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</si>
  <si>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</si>
  <si>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</si>
  <si>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</si>
  <si>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</si>
  <si>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</si>
  <si>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</si>
  <si>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</si>
  <si>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</si>
  <si>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</si>
  <si>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</si>
  <si>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</si>
  <si>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</si>
  <si>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</si>
  <si>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</si>
  <si>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</si>
  <si>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</si>
  <si>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</si>
  <si>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</si>
  <si>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</si>
  <si>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</si>
  <si>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</si>
  <si>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</si>
  <si>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</si>
  <si>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</si>
  <si>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</si>
  <si>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</si>
  <si>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</si>
  <si>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</si>
  <si>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</si>
  <si>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</si>
  <si>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</si>
  <si>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</si>
  <si>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</si>
  <si>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</si>
  <si>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</si>
  <si>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</si>
  <si>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</si>
  <si>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</si>
  <si>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</si>
  <si>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</si>
  <si>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</si>
  <si>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</si>
  <si>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</si>
  <si>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</si>
  <si>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</si>
  <si>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</si>
  <si>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</si>
  <si>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</si>
  <si>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</si>
  <si>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</si>
  <si>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</si>
  <si>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</si>
  <si>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</si>
  <si>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</si>
  <si>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</si>
  <si>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</si>
  <si>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</si>
  <si>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</si>
  <si>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</si>
  <si>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</si>
  <si>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</si>
  <si>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</si>
  <si>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</si>
  <si>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</si>
  <si>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</si>
  <si>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</si>
  <si>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</si>
  <si>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</si>
  <si>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</si>
  <si>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</si>
  <si>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</si>
  <si>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</si>
  <si>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</si>
  <si>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</si>
  <si>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</si>
  <si>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</si>
  <si>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</si>
  <si>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</si>
  <si>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</si>
  <si>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</si>
  <si>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</si>
  <si>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</si>
  <si>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</si>
  <si>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</si>
  <si>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</si>
  <si>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</si>
  <si>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</si>
  <si>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</si>
  <si>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</si>
  <si>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</si>
  <si>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</si>
  <si>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</si>
  <si>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</si>
  <si>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</si>
  <si>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</si>
  <si>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</si>
  <si>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</si>
  <si>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</si>
  <si>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</si>
  <si>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</si>
  <si>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</si>
  <si>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</si>
  <si>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</si>
  <si>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</si>
  <si>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</si>
  <si>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</si>
  <si>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</si>
  <si>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</si>
  <si>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</si>
  <si>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</si>
  <si>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</si>
  <si>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</si>
  <si>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</si>
  <si>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</si>
  <si>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</si>
  <si>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</si>
  <si>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</si>
  <si>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</si>
  <si>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</si>
  <si>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</si>
  <si>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</si>
  <si>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</si>
  <si>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</si>
  <si>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</si>
  <si>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</si>
  <si>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</si>
  <si>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</si>
  <si>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</si>
  <si>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</si>
  <si>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</si>
  <si>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</si>
  <si>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</si>
  <si>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</si>
  <si>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</si>
  <si>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</si>
  <si>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</si>
  <si>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</si>
  <si>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</si>
  <si>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</si>
  <si>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</si>
  <si>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</si>
  <si>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</si>
  <si>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</si>
  <si>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</si>
  <si>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</si>
  <si>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</si>
  <si>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</si>
  <si>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</si>
  <si>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</si>
  <si>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</si>
  <si>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</si>
  <si>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</si>
  <si>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</si>
  <si>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</si>
  <si>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</si>
  <si>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</si>
  <si>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</si>
  <si>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</si>
  <si>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</si>
  <si>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</si>
  <si>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</si>
  <si>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</si>
  <si>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</si>
  <si>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</si>
  <si>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</si>
  <si>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</si>
  <si>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</si>
  <si>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</si>
  <si>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</si>
  <si>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</si>
  <si>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</si>
  <si>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</si>
  <si>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</si>
  <si>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</si>
  <si>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</si>
  <si>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</si>
  <si>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</si>
  <si>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</si>
  <si>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</si>
  <si>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</si>
  <si>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</si>
  <si>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</si>
  <si>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</si>
  <si>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</si>
  <si>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</si>
  <si>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</si>
  <si>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</si>
  <si>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</si>
  <si>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</si>
  <si>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</si>
  <si>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</si>
  <si>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</si>
  <si>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</si>
  <si>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</si>
  <si>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</si>
  <si>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</si>
  <si>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</si>
  <si>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</si>
  <si>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</si>
  <si>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</si>
  <si>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</si>
  <si>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</si>
  <si>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</si>
  <si>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</si>
  <si>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</si>
  <si>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</si>
  <si>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</si>
  <si>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</si>
  <si>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</si>
  <si>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</si>
  <si>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</si>
  <si>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</si>
  <si>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</si>
  <si>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</si>
  <si>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</si>
  <si>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</si>
  <si>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</si>
  <si>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</si>
  <si>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</si>
  <si>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</si>
  <si>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</si>
  <si>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</si>
  <si>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</si>
  <si>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</si>
  <si>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</si>
  <si>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</si>
  <si>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</si>
  <si>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</si>
  <si>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</si>
  <si>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</si>
  <si>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</si>
  <si>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</si>
  <si>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</si>
  <si>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</si>
  <si>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</si>
  <si>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</si>
  <si>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</si>
  <si>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</si>
  <si>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</si>
  <si>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</si>
  <si>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</si>
  <si>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</si>
  <si>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</si>
  <si>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</si>
  <si>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</si>
  <si>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</si>
  <si>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</si>
  <si>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</si>
  <si>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</si>
  <si>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</si>
  <si>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</si>
  <si>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</si>
  <si>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</si>
  <si>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</si>
  <si>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</si>
  <si>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</si>
  <si>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</si>
  <si>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</si>
  <si>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</si>
  <si>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</si>
  <si>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</si>
  <si>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</si>
  <si>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</si>
  <si>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</si>
  <si>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</si>
  <si>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</si>
  <si>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</si>
  <si>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</si>
  <si>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</si>
  <si>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</si>
  <si>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</si>
  <si>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</si>
  <si>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</si>
  <si>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</si>
  <si>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</si>
  <si>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</si>
  <si>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</si>
  <si>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</si>
  <si>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</si>
  <si>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</si>
  <si>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</si>
  <si>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</si>
  <si>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</si>
  <si>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</si>
  <si>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</si>
  <si>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</si>
  <si>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</si>
  <si>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</si>
  <si>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</si>
  <si>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</si>
  <si>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</si>
  <si>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</si>
  <si>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</si>
  <si>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</si>
  <si>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</si>
  <si>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</si>
  <si>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</si>
  <si>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</si>
  <si>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</si>
  <si>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</si>
  <si>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</si>
  <si>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</si>
  <si>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</si>
  <si>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</si>
  <si>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</si>
  <si>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</si>
  <si>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</si>
  <si>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</si>
  <si>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</si>
  <si>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</si>
  <si>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</si>
  <si>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</si>
  <si>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</si>
  <si>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</si>
  <si>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</si>
  <si>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</si>
  <si>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</si>
  <si>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</si>
  <si>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</si>
  <si>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</si>
  <si>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</si>
  <si>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</si>
  <si>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</si>
  <si>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</si>
  <si>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</si>
  <si>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</si>
  <si>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</si>
  <si>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</si>
  <si>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</si>
  <si>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</si>
  <si>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</si>
  <si>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</si>
  <si>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</si>
  <si>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</si>
  <si>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</si>
  <si>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</si>
  <si>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</si>
  <si>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</si>
  <si>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</si>
  <si>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</si>
  <si>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</si>
  <si>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</si>
  <si>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</si>
  <si>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</si>
  <si>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</si>
  <si>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</si>
  <si>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</si>
  <si>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</si>
  <si>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</si>
  <si>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</si>
  <si>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</si>
  <si>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</si>
  <si>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</si>
  <si>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</si>
  <si>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</si>
  <si>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</si>
  <si>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</si>
  <si>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</si>
  <si>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</si>
  <si>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</si>
  <si>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</si>
  <si>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</si>
  <si>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</si>
  <si>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</si>
  <si>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</si>
  <si>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</si>
  <si>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</si>
  <si>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</si>
  <si>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</si>
  <si>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</si>
  <si>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</si>
  <si>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</si>
  <si>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</si>
  <si>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</si>
  <si>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</si>
  <si>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</si>
  <si>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</si>
  <si>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</si>
  <si>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</si>
  <si>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</si>
  <si>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</si>
  <si>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</si>
  <si>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</si>
  <si>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</si>
  <si>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</si>
  <si>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</si>
  <si>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</si>
  <si>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</si>
  <si>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</si>
  <si>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</si>
  <si>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</si>
  <si>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</si>
  <si>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</si>
  <si>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</si>
  <si>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</si>
  <si>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</si>
  <si>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</si>
  <si>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</si>
  <si>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</si>
  <si>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</si>
  <si>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</si>
  <si>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</si>
  <si>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</si>
  <si>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</si>
  <si>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</si>
  <si>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</si>
  <si>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</si>
  <si>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</si>
  <si>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</si>
  <si>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</si>
  <si>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</si>
  <si>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</si>
  <si>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</si>
  <si>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</si>
  <si>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</si>
  <si>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</si>
  <si>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</si>
  <si>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</si>
  <si>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</si>
  <si>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</si>
  <si>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</si>
  <si>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</si>
  <si>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</si>
  <si>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</si>
  <si>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</si>
  <si>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</si>
  <si>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</si>
  <si>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</si>
  <si>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</si>
  <si>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</si>
  <si>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</si>
  <si>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</si>
  <si>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</si>
  <si>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</si>
  <si>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</si>
  <si>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</si>
  <si>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</si>
  <si>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</si>
  <si>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</si>
  <si>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</si>
  <si>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</si>
  <si>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</si>
  <si>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</si>
  <si>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</si>
  <si>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</si>
  <si>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</si>
  <si>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</si>
  <si>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</si>
  <si>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</si>
  <si>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</si>
  <si>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</si>
  <si>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</si>
  <si>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</si>
  <si>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</si>
  <si>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</si>
  <si>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</si>
  <si>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</si>
  <si>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</si>
  <si>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</si>
  <si>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</si>
  <si>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</si>
  <si>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</si>
  <si>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</si>
  <si>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</si>
  <si>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</si>
  <si>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</si>
  <si>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</si>
  <si>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</si>
  <si>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</si>
  <si>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</si>
  <si>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</si>
  <si>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</si>
  <si>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</si>
  <si>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</si>
  <si>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</si>
  <si>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</si>
  <si>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</si>
  <si>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</si>
  <si>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</si>
  <si>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</si>
  <si>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</si>
  <si>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</si>
  <si>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</si>
  <si>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</si>
  <si>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</si>
  <si>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</si>
  <si>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</si>
  <si>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</si>
  <si>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</si>
  <si>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</si>
  <si>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</si>
  <si>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</si>
  <si>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</si>
  <si>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</si>
  <si>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</si>
  <si>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</si>
  <si>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</si>
  <si>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</si>
  <si>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</si>
  <si>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</si>
  <si>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</si>
  <si>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</si>
  <si>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</si>
  <si>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</si>
  <si>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</si>
  <si>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</si>
  <si>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</si>
  <si>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</si>
  <si>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</si>
  <si>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</si>
  <si>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</si>
  <si>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</si>
  <si>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</si>
  <si>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</si>
  <si>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</si>
  <si>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</si>
  <si>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</si>
  <si>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</si>
  <si>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</si>
  <si>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</si>
  <si>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</si>
  <si>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</si>
  <si>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</si>
  <si>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</si>
  <si>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</si>
  <si>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</si>
  <si>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</si>
  <si>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</si>
  <si>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</si>
  <si>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</si>
  <si>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</si>
  <si>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</si>
  <si>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</si>
  <si>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</si>
  <si>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</si>
  <si>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</si>
  <si>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</si>
  <si>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</si>
  <si>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</si>
  <si>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</si>
  <si>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</si>
  <si>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</si>
  <si>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</si>
  <si>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</si>
  <si>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</si>
  <si>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</si>
  <si>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</si>
  <si>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</si>
  <si>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</si>
  <si>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</si>
  <si>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</si>
  <si>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</si>
  <si>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</si>
  <si>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</si>
  <si>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</si>
  <si>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</si>
  <si>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</si>
  <si>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</si>
  <si>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</si>
  <si>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</si>
  <si>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</si>
  <si>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</si>
  <si>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</si>
  <si>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</si>
  <si>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</si>
  <si>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</si>
  <si>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</si>
  <si>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</si>
  <si>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</si>
  <si>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</si>
  <si>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</si>
  <si>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</si>
  <si>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</si>
  <si>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</si>
  <si>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</si>
  <si>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</si>
  <si>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</si>
  <si>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</si>
  <si>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</si>
  <si>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</si>
  <si>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</si>
  <si>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</si>
  <si>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</si>
  <si>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</si>
  <si>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</si>
  <si>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</si>
  <si>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</si>
  <si>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</si>
  <si>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</si>
  <si>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</si>
  <si>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</si>
  <si>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</si>
  <si>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</si>
  <si>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</si>
  <si>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</si>
  <si>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</si>
  <si>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</si>
  <si>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</si>
  <si>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</si>
  <si>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</si>
  <si>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</si>
  <si>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</si>
  <si>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</si>
  <si>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</si>
  <si>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</si>
  <si>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</si>
  <si>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</si>
  <si>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</si>
  <si>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</si>
  <si>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</si>
  <si>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</si>
  <si>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</si>
  <si>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</si>
  <si>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</si>
  <si>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</si>
  <si>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</si>
  <si>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</si>
  <si>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</si>
  <si>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</si>
  <si>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</si>
  <si>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</si>
  <si>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</si>
  <si>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</si>
  <si>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</si>
  <si>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</si>
  <si>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</si>
  <si>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</si>
  <si>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</si>
  <si>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</si>
  <si>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</si>
  <si>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</si>
  <si>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</si>
  <si>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</si>
  <si>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</si>
  <si>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</si>
  <si>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</si>
  <si>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</si>
  <si>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</si>
  <si>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</si>
  <si>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</si>
  <si>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</si>
  <si>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</si>
  <si>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</si>
  <si>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</si>
  <si>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</si>
  <si>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</si>
  <si>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</si>
  <si>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</si>
  <si>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</si>
  <si>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</si>
  <si>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</si>
  <si>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</si>
  <si>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</si>
  <si>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</si>
  <si>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</si>
  <si>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</si>
  <si>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</si>
  <si>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</si>
  <si>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</si>
  <si>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</si>
  <si>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</si>
  <si>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</si>
  <si>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</si>
  <si>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</si>
  <si>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</si>
  <si>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</si>
  <si>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</si>
  <si>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</si>
  <si>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</si>
  <si>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</si>
  <si>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</si>
  <si>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</si>
  <si>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</si>
  <si>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</si>
  <si>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</si>
  <si>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</si>
  <si>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</si>
  <si>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</si>
  <si>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</si>
  <si>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</si>
  <si>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</si>
  <si>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</si>
  <si>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</si>
  <si>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</si>
  <si>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</si>
  <si>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</si>
  <si>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</si>
  <si>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</si>
  <si>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</si>
  <si>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</si>
  <si>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</si>
  <si>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</si>
  <si>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</si>
  <si>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</si>
  <si>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</si>
  <si>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</si>
  <si>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</si>
  <si>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</si>
  <si>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</si>
  <si>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</si>
  <si>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</si>
  <si>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</si>
  <si>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</si>
  <si>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</si>
  <si>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</si>
  <si>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</si>
  <si>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</si>
  <si>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</si>
  <si>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</si>
  <si>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</si>
  <si>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</si>
  <si>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</si>
  <si>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</si>
  <si>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</si>
  <si>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</si>
  <si>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</si>
  <si>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</si>
  <si>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</si>
  <si>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</si>
  <si>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</si>
  <si>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</si>
  <si>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</si>
  <si>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</si>
  <si>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</si>
  <si>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</si>
  <si>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</si>
  <si>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</si>
  <si>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</si>
  <si>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</si>
  <si>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</si>
  <si>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</si>
  <si>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</si>
  <si>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</si>
  <si>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</si>
  <si>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</si>
  <si>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</si>
  <si>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</si>
  <si>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</si>
  <si>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</si>
  <si>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</si>
  <si>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</si>
  <si>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</si>
  <si>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</si>
  <si>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</si>
  <si>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</si>
  <si>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</si>
  <si>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</si>
  <si>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</si>
  <si>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</si>
  <si>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</si>
  <si>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</si>
  <si>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</si>
  <si>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</si>
  <si>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</si>
  <si>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</si>
  <si>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</si>
  <si>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</si>
  <si>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</si>
  <si>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</si>
  <si>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</si>
  <si>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</si>
  <si>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</si>
  <si>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</si>
  <si>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</si>
  <si>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</si>
  <si>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</si>
  <si>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</si>
  <si>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</si>
  <si>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</si>
  <si>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</si>
  <si>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</si>
  <si>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</si>
  <si>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</si>
  <si>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</si>
  <si>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</si>
  <si>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</si>
  <si>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</si>
  <si>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</si>
  <si>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</si>
  <si>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</si>
  <si>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</si>
  <si>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</si>
  <si>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</si>
  <si>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</si>
  <si>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</si>
  <si>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</si>
  <si>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</si>
  <si>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</si>
  <si>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</si>
  <si>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</si>
  <si>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</si>
  <si>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</si>
  <si>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</si>
  <si>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</si>
  <si>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</si>
  <si>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</si>
  <si>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</si>
  <si>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</si>
  <si>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</si>
  <si>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</si>
  <si>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</si>
  <si>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</si>
  <si>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</si>
  <si>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</si>
  <si>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</si>
  <si>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</si>
  <si>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</si>
  <si>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</si>
  <si>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</si>
  <si>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</si>
  <si>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</si>
  <si>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</si>
  <si>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</si>
  <si>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</si>
  <si>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</si>
  <si>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</si>
  <si>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</si>
  <si>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</si>
  <si>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</si>
  <si>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</si>
  <si>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</si>
  <si>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</si>
  <si>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</si>
  <si>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</si>
  <si>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</si>
  <si>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</si>
  <si>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</si>
  <si>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</si>
  <si>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</si>
  <si>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</si>
  <si>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</si>
  <si>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</si>
  <si>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</si>
  <si>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</si>
  <si>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</si>
  <si>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</si>
  <si>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</si>
  <si>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</si>
  <si>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</si>
  <si>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</si>
  <si>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</si>
  <si>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</si>
  <si>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</si>
  <si>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</si>
  <si>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</si>
  <si>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</si>
  <si>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</si>
  <si>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</si>
  <si>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</si>
  <si>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</si>
  <si>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</si>
  <si>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</si>
  <si>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</si>
  <si>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</si>
  <si>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</si>
  <si>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</si>
  <si>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</si>
  <si>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</si>
  <si>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</si>
  <si>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</si>
  <si>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</si>
  <si>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</si>
  <si>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</si>
  <si>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</si>
  <si>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</si>
  <si>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</si>
  <si>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</si>
  <si>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</si>
  <si>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</si>
  <si>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</si>
  <si>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</si>
  <si>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</si>
  <si>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</si>
  <si>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</si>
  <si>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</si>
  <si>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</si>
  <si>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</si>
  <si>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</si>
  <si>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</si>
  <si>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</si>
  <si>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</si>
  <si>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</si>
  <si>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</si>
  <si>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</si>
  <si>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</si>
  <si>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</si>
  <si>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</si>
  <si>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</si>
  <si>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</si>
  <si>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</si>
  <si>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</si>
  <si>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</si>
  <si>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</si>
  <si>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</si>
  <si>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</si>
  <si>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</si>
  <si>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</si>
  <si>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</si>
  <si>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</si>
  <si>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</si>
  <si>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</si>
  <si>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</si>
  <si>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</si>
  <si>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</si>
  <si>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</si>
  <si>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</si>
  <si>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</si>
  <si>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</si>
  <si>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</si>
  <si>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</si>
  <si>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</si>
  <si>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</si>
  <si>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</si>
  <si>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</si>
  <si>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</si>
  <si>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</si>
  <si>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</si>
  <si>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</si>
  <si>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</si>
  <si>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</si>
  <si>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</si>
  <si>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</si>
  <si>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</si>
  <si>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</si>
  <si>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</si>
  <si>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</si>
  <si>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</si>
  <si>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</si>
  <si>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</si>
  <si>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</si>
  <si>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</si>
  <si>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</si>
  <si>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</si>
  <si>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</si>
  <si>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</si>
  <si>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</si>
  <si>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</si>
  <si>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</si>
  <si>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</si>
  <si>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</si>
  <si>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</si>
  <si>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</si>
  <si>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</si>
  <si>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</si>
  <si>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</si>
  <si>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</si>
  <si>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</si>
  <si>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</si>
  <si>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</si>
  <si>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</si>
  <si>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</si>
  <si>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</si>
  <si>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</si>
  <si>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</si>
  <si>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</si>
  <si>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</si>
  <si>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</si>
  <si>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</si>
  <si>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</si>
  <si>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</si>
  <si>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</si>
  <si>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</si>
  <si>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</si>
  <si>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</si>
  <si>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</si>
  <si>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</si>
  <si>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</si>
  <si>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</si>
  <si>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</si>
  <si>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</si>
  <si>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</si>
  <si>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</si>
  <si>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</si>
  <si>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</si>
  <si>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</si>
  <si>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</si>
  <si>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</si>
  <si>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</si>
  <si>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</si>
  <si>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</si>
  <si>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</si>
  <si>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</si>
  <si>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</si>
  <si>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</si>
  <si>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</si>
  <si>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</si>
  <si>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</si>
  <si>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</si>
  <si>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</si>
  <si>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</si>
  <si>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</si>
  <si>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</si>
  <si>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</si>
  <si>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</si>
  <si>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</si>
  <si>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</si>
  <si>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</si>
  <si>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</si>
  <si>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</si>
  <si>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</si>
  <si>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</si>
  <si>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</si>
  <si>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</si>
  <si>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</si>
  <si>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</si>
  <si>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</si>
  <si>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</si>
  <si>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</si>
  <si>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</si>
  <si>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</si>
  <si>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</si>
  <si>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</si>
  <si>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</si>
  <si>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</si>
  <si>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</si>
  <si>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</si>
  <si>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</si>
  <si>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</si>
  <si>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</si>
  <si>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</si>
  <si>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</si>
  <si>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</si>
  <si>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</si>
  <si>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</si>
  <si>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</si>
  <si>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</si>
  <si>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</si>
  <si>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</si>
  <si>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</si>
  <si>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</si>
  <si>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</si>
  <si>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</si>
  <si>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</si>
  <si>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</si>
  <si>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</si>
  <si>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</si>
  <si>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</si>
  <si>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</si>
  <si>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</si>
  <si>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</si>
  <si>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</si>
  <si>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</si>
  <si>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</si>
  <si>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</si>
  <si>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</si>
  <si>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</si>
  <si>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</si>
  <si>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</si>
  <si>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</si>
  <si>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</si>
  <si>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</si>
  <si>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</si>
  <si>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</si>
  <si>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</si>
  <si>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</si>
  <si>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</si>
  <si>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</si>
  <si>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</si>
  <si>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</si>
  <si>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</si>
  <si>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</si>
  <si>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</si>
  <si>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</si>
  <si>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</si>
  <si>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</si>
  <si>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</si>
  <si>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</si>
  <si>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</si>
  <si>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</si>
  <si>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</si>
  <si>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</si>
  <si>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</si>
  <si>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</si>
  <si>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</si>
  <si>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</si>
  <si>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</si>
  <si>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</si>
  <si>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</si>
  <si>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</si>
  <si>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</si>
  <si>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</si>
  <si>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</si>
  <si>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</si>
  <si>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</si>
  <si>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</si>
  <si>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</si>
  <si>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</si>
  <si>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</si>
  <si>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</si>
  <si>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</si>
  <si>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</si>
  <si>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</si>
  <si>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</si>
  <si>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</si>
  <si>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</si>
  <si>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</si>
  <si>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</si>
  <si>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</si>
  <si>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</si>
  <si>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</si>
  <si>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</si>
  <si>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</si>
  <si>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</si>
  <si>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</si>
  <si>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</si>
  <si>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</si>
  <si>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</si>
  <si>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</si>
  <si>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</si>
  <si>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</si>
  <si>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</si>
  <si>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</si>
  <si>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</si>
  <si>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</si>
  <si>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</si>
  <si>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</si>
  <si>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</si>
  <si>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</si>
  <si>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</si>
  <si>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</si>
  <si>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</si>
  <si>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</si>
  <si>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</si>
  <si>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</si>
  <si>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</si>
  <si>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</si>
  <si>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</si>
  <si>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</si>
  <si>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</si>
  <si>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</si>
  <si>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</si>
  <si>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</si>
  <si>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</si>
  <si>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</si>
  <si>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</si>
  <si>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</si>
  <si>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</si>
  <si>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</si>
  <si>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</si>
  <si>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</si>
  <si>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</si>
  <si>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</si>
  <si>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</si>
  <si>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</si>
  <si>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</si>
  <si>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</si>
  <si>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</si>
  <si>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</si>
  <si>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</si>
  <si>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</si>
  <si>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</si>
  <si>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</si>
  <si>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</si>
  <si>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</si>
  <si>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</si>
  <si>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</si>
  <si>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</si>
  <si>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</si>
  <si>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</si>
  <si>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</si>
  <si>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</si>
  <si>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</si>
  <si>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</si>
  <si>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</si>
  <si>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</si>
  <si>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</si>
  <si>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</si>
  <si>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</si>
  <si>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</si>
  <si>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</si>
  <si>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</si>
  <si>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</si>
  <si>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</si>
  <si>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</si>
  <si>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</si>
  <si>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</si>
  <si>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</si>
  <si>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</si>
  <si>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</si>
  <si>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</si>
  <si>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</si>
  <si>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</si>
  <si>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</si>
  <si>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</si>
  <si>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</si>
  <si>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</si>
  <si>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</si>
  <si>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</si>
  <si>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</si>
  <si>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</si>
  <si>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</si>
  <si>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</si>
  <si>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</si>
  <si>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</si>
  <si>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</si>
  <si>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</si>
  <si>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</si>
  <si>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</si>
  <si>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</si>
  <si>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</si>
  <si>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</si>
  <si>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</si>
  <si>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</si>
  <si>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</si>
  <si>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</si>
  <si>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</si>
  <si>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</si>
  <si>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</si>
  <si>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</si>
  <si>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</si>
  <si>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</si>
  <si>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</si>
  <si>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</si>
  <si>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</si>
  <si>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</si>
  <si>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</si>
  <si>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</si>
  <si>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</si>
  <si>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</si>
  <si>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</si>
  <si>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</si>
  <si>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</si>
  <si>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</si>
  <si>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</si>
  <si>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</si>
  <si>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</si>
  <si>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</si>
  <si>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</si>
  <si>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</si>
  <si>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</si>
  <si>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</si>
  <si>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</si>
  <si>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</si>
  <si>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</si>
  <si>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</si>
  <si>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</si>
  <si>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</si>
  <si>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</si>
  <si>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</si>
  <si>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</si>
  <si>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</si>
  <si>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</si>
  <si>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</si>
  <si>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</si>
  <si>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</si>
  <si>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</si>
  <si>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</si>
  <si>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</si>
  <si>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</si>
  <si>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</si>
  <si>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</si>
  <si>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</si>
  <si>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</si>
  <si>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</si>
  <si>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</si>
  <si>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</si>
  <si>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</si>
  <si>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</si>
  <si>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</si>
  <si>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</si>
  <si>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</si>
  <si>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</si>
  <si>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</si>
  <si>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</si>
  <si>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</si>
  <si>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</si>
  <si>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</si>
  <si>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</si>
  <si>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</si>
  <si>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</si>
  <si>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</si>
  <si>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</si>
  <si>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</si>
  <si>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</si>
  <si>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</si>
  <si>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</si>
  <si>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</si>
  <si>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</si>
  <si>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</si>
  <si>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</si>
  <si>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</si>
  <si>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</si>
  <si>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</si>
  <si>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</si>
  <si>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</si>
  <si>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</si>
  <si>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</si>
  <si>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</si>
  <si>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</si>
  <si>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</si>
  <si>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</si>
  <si>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</si>
  <si>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</si>
  <si>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</si>
  <si>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</si>
  <si>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</si>
  <si>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</si>
  <si>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</si>
  <si>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</si>
  <si>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</si>
  <si>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</si>
  <si>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</si>
  <si>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</si>
  <si>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</si>
  <si>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</si>
  <si>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</si>
  <si>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</si>
  <si>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</si>
  <si>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</si>
  <si>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</si>
  <si>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</si>
  <si>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</si>
  <si>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</si>
  <si>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</si>
  <si>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</si>
  <si>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</si>
  <si>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</si>
  <si>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</si>
  <si>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</si>
  <si>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</si>
  <si>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</si>
  <si>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</si>
  <si>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</si>
  <si>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</si>
  <si>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</si>
  <si>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</si>
  <si>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</si>
  <si>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</si>
  <si>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</si>
  <si>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</si>
  <si>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</si>
  <si>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</si>
  <si>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</si>
  <si>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</si>
  <si>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</si>
  <si>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</si>
  <si>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</si>
  <si>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</si>
  <si>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</si>
  <si>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</si>
  <si>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</si>
  <si>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</si>
  <si>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</si>
  <si>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</si>
  <si>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</si>
  <si>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</si>
  <si>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</si>
  <si>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</si>
  <si>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</si>
  <si>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</si>
  <si>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</si>
  <si>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</si>
  <si>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</si>
  <si>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</si>
  <si>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</si>
  <si>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</si>
  <si>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</si>
  <si>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</si>
  <si>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</si>
  <si>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</si>
  <si>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</si>
  <si>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</si>
  <si>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</si>
  <si>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</si>
  <si>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</si>
  <si>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</si>
  <si>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</si>
  <si>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</si>
  <si>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</si>
  <si>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</si>
  <si>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</si>
  <si>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</si>
  <si>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</si>
  <si>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</si>
  <si>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</si>
  <si>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</si>
  <si>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</si>
  <si>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</si>
  <si>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</si>
  <si>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</si>
  <si>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</si>
  <si>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</si>
  <si>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</si>
  <si>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</si>
  <si>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</si>
  <si>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</si>
  <si>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</si>
  <si>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</si>
  <si>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</si>
  <si>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</si>
  <si>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</si>
  <si>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</si>
  <si>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</si>
  <si>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</si>
  <si>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</si>
  <si>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</si>
  <si>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</si>
  <si>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</si>
  <si>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</si>
  <si>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</si>
  <si>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</si>
  <si>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</si>
  <si>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</si>
  <si>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</si>
  <si>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</si>
  <si>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</si>
  <si>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</si>
  <si>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</si>
  <si>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</si>
  <si>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</si>
  <si>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</si>
  <si>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</si>
  <si>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</si>
  <si>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</si>
  <si>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</si>
  <si>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</si>
  <si>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</si>
  <si>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</si>
  <si>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</si>
  <si>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</si>
  <si>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</si>
  <si>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</si>
  <si>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</si>
  <si>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</si>
  <si>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</si>
  <si>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</si>
  <si>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</si>
  <si>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</si>
  <si>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</si>
  <si>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</si>
  <si>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</si>
  <si>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</si>
  <si>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</si>
  <si>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</si>
  <si>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</si>
  <si>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</si>
  <si>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</si>
  <si>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</si>
  <si>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</si>
  <si>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</si>
  <si>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</si>
  <si>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</si>
  <si>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</si>
  <si>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</si>
  <si>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</si>
  <si>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</si>
  <si>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</si>
  <si>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</si>
  <si>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</si>
  <si>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</si>
  <si>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</si>
  <si>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</si>
  <si>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</si>
  <si>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</si>
  <si>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</si>
  <si>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</si>
  <si>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</si>
  <si>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</si>
  <si>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</si>
  <si>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</si>
  <si>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</si>
  <si>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</si>
  <si>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</si>
  <si>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</si>
  <si>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</si>
  <si>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</si>
  <si>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</si>
  <si>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</si>
  <si>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</si>
  <si>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</si>
  <si>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</si>
  <si>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</si>
  <si>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</si>
  <si>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</si>
  <si>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</si>
  <si>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</si>
  <si>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</si>
  <si>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</si>
  <si>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</si>
  <si>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</si>
  <si>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</si>
  <si>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</si>
  <si>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</si>
  <si>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</si>
  <si>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</si>
  <si>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</si>
  <si>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</si>
  <si>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</si>
  <si>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</si>
  <si>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</si>
  <si>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</si>
  <si>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</si>
  <si>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</si>
  <si>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</si>
  <si>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</si>
  <si>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</si>
  <si>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</si>
  <si>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</si>
  <si>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</si>
  <si>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</si>
  <si>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</si>
  <si>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</si>
  <si>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</si>
  <si>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</si>
  <si>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</si>
  <si>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</si>
  <si>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</si>
  <si>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</si>
  <si>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</si>
  <si>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</si>
  <si>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</si>
  <si>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</si>
  <si>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</si>
  <si>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</si>
  <si>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</si>
  <si>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</si>
  <si>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</si>
  <si>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</si>
  <si>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</si>
  <si>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</si>
  <si>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</si>
  <si>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</si>
  <si>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</si>
  <si>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</si>
  <si>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</si>
  <si>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</si>
  <si>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</si>
  <si>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</si>
  <si>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</si>
  <si>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</si>
  <si>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</si>
  <si>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</si>
  <si>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</si>
  <si>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</si>
  <si>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</si>
  <si>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</si>
  <si>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</si>
  <si>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</si>
  <si>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</si>
  <si>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</si>
  <si>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</si>
  <si>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</si>
  <si>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</si>
  <si>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</si>
  <si>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</si>
  <si>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</si>
  <si>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</si>
  <si>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</si>
  <si>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</si>
  <si>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</si>
  <si>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</si>
  <si>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</si>
  <si>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</si>
  <si>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</si>
  <si>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</si>
  <si>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</si>
  <si>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</si>
  <si>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</si>
  <si>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</si>
  <si>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</si>
  <si>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</si>
  <si>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</si>
  <si>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</si>
  <si>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</si>
  <si>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</si>
  <si>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</si>
  <si>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</si>
  <si>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</si>
  <si>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</si>
  <si>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</si>
  <si>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</si>
  <si>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</si>
  <si>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</si>
  <si>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</si>
  <si>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</si>
  <si>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</si>
  <si>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</si>
  <si>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</si>
  <si>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</si>
  <si>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</si>
  <si>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</si>
  <si>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</si>
  <si>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</si>
  <si>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</si>
  <si>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</si>
  <si>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</si>
  <si>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</si>
  <si>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</si>
  <si>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</si>
  <si>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</si>
  <si>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</si>
  <si>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</si>
  <si>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</si>
  <si>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</si>
  <si>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</si>
  <si>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</si>
  <si>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</si>
  <si>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</si>
  <si>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</si>
  <si>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</si>
  <si>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</si>
  <si>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</si>
  <si>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</si>
  <si>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</si>
  <si>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</si>
  <si>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</si>
  <si>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</si>
  <si>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</si>
  <si>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</si>
  <si>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</si>
  <si>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</si>
  <si>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</si>
  <si>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</si>
  <si>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</si>
  <si>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</si>
  <si>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</si>
  <si>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</si>
  <si>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</si>
  <si>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</si>
  <si>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</si>
  <si>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</si>
  <si>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</si>
  <si>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</si>
  <si>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</si>
  <si>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</si>
  <si>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</si>
  <si>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</si>
  <si>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</si>
  <si>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</si>
  <si>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</si>
  <si>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</si>
  <si>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</si>
  <si>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</si>
  <si>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</si>
  <si>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</si>
  <si>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</si>
  <si>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</si>
  <si>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</si>
  <si>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</si>
  <si>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</si>
  <si>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</si>
  <si>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</si>
  <si>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</si>
  <si>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</si>
  <si>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</si>
  <si>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</si>
  <si>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</si>
  <si>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</si>
  <si>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</si>
  <si>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</si>
  <si>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</si>
  <si>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</si>
  <si>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</si>
  <si>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</si>
  <si>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</si>
  <si>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</si>
  <si>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</si>
  <si>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</si>
  <si>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</si>
  <si>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</si>
  <si>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</si>
  <si>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</si>
  <si>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</si>
  <si>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</si>
  <si>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</si>
  <si>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</si>
  <si>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</si>
  <si>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</si>
  <si>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</si>
  <si>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</si>
  <si>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</si>
  <si>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</si>
  <si>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</si>
  <si>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</si>
  <si>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</si>
  <si>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</si>
  <si>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</si>
  <si>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</si>
  <si>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</si>
  <si>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</si>
  <si>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</si>
  <si>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</si>
  <si>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</si>
  <si>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</si>
  <si>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</si>
  <si>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</si>
  <si>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</si>
  <si>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</si>
  <si>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</si>
  <si>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</si>
  <si>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</si>
  <si>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</si>
  <si>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</si>
  <si>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</si>
  <si>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</si>
  <si>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</si>
  <si>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</si>
  <si>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</si>
  <si>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</si>
  <si>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</si>
  <si>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</si>
  <si>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</si>
  <si>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</si>
  <si>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</si>
  <si>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</si>
  <si>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</si>
  <si>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</si>
  <si>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</si>
  <si>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</si>
  <si>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</si>
  <si>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</si>
  <si>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</si>
  <si>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</si>
  <si>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</si>
  <si>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</si>
  <si>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</si>
  <si>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</si>
  <si>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</si>
  <si>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</si>
  <si>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</si>
  <si>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</si>
  <si>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</si>
  <si>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</si>
  <si>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</si>
  <si>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</si>
  <si>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</si>
  <si>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</si>
  <si>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</si>
  <si>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</si>
  <si>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</si>
  <si>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</si>
  <si>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</si>
  <si>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</si>
  <si>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</si>
  <si>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</si>
  <si>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</si>
  <si>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</si>
  <si>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</si>
  <si>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</si>
  <si>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</si>
  <si>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</si>
  <si>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</si>
  <si>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</si>
  <si>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</si>
  <si>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</si>
  <si>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</si>
  <si>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</si>
  <si>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</si>
  <si>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</si>
  <si>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</si>
  <si>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</si>
  <si>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</si>
  <si>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</si>
  <si>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</si>
  <si>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</si>
  <si>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</si>
  <si>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</si>
  <si>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</si>
  <si>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</si>
  <si>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</si>
  <si>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</si>
  <si>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</si>
  <si>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</si>
  <si>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</si>
  <si>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</si>
  <si>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</si>
  <si>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</si>
  <si>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</si>
  <si>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</si>
  <si>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</si>
  <si>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</si>
  <si>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</si>
  <si>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</si>
  <si>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</si>
  <si>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</si>
  <si>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</si>
  <si>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</si>
  <si>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</si>
  <si>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</si>
  <si>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</si>
  <si>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</si>
  <si>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</si>
  <si>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</si>
  <si>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</si>
  <si>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</si>
  <si>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</si>
  <si>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</si>
  <si>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</si>
  <si>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</si>
  <si>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</si>
  <si>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</si>
  <si>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</si>
  <si>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</si>
  <si>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</si>
  <si>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</si>
  <si>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</si>
  <si>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</si>
  <si>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</si>
  <si>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</si>
  <si>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</si>
  <si>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</si>
  <si>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</si>
  <si>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</si>
  <si>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</si>
  <si>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</si>
  <si>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</si>
  <si>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</si>
  <si>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</si>
  <si>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</si>
  <si>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</si>
  <si>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</si>
  <si>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</si>
  <si>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</si>
  <si>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</si>
  <si>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</si>
  <si>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</si>
  <si>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</si>
  <si>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</si>
  <si>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</si>
  <si>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</si>
  <si>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</si>
  <si>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</si>
  <si>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</si>
  <si>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</si>
  <si>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</si>
  <si>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</si>
  <si>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</si>
  <si>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</si>
  <si>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</si>
  <si>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</si>
  <si>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</si>
  <si>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</si>
  <si>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</si>
  <si>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</si>
  <si>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</si>
  <si>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</si>
  <si>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</si>
  <si>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</si>
  <si>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</si>
  <si>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</si>
  <si>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</si>
  <si>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</si>
  <si>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</si>
  <si>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</si>
  <si>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</si>
  <si>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</si>
  <si>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</si>
  <si>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</si>
  <si>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</si>
  <si>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</si>
  <si>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</si>
  <si>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</si>
  <si>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</si>
  <si>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</si>
  <si>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</si>
  <si>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</si>
  <si>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</si>
  <si>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</si>
  <si>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</si>
  <si>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</si>
  <si>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</si>
  <si>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</si>
  <si>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</si>
  <si>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</si>
  <si>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</si>
  <si>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</si>
  <si>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</si>
  <si>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</si>
  <si>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</si>
  <si>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</si>
  <si>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</si>
  <si>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</si>
  <si>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</si>
  <si>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</si>
  <si>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</si>
  <si>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</si>
  <si>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</si>
  <si>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</si>
  <si>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</si>
  <si>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</si>
  <si>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</si>
  <si>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</si>
  <si>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</si>
  <si>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</si>
  <si>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</si>
  <si>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</si>
  <si>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</si>
  <si>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</si>
  <si>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</si>
  <si>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</si>
  <si>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</si>
  <si>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</si>
  <si>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</si>
  <si>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</si>
  <si>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</si>
  <si>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</si>
  <si>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</si>
  <si>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</si>
  <si>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</si>
  <si>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</si>
  <si>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</si>
  <si>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</si>
  <si>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</si>
  <si>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</si>
  <si>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</si>
  <si>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</si>
  <si>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</si>
  <si>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</si>
  <si>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</si>
  <si>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</si>
  <si>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</si>
  <si>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</si>
  <si>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</si>
  <si>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</si>
  <si>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</si>
  <si>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</si>
  <si>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</si>
  <si>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</si>
  <si>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</si>
  <si>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</si>
  <si>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</si>
  <si>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</si>
  <si>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</si>
  <si>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</si>
  <si>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</si>
  <si>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</si>
  <si>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</si>
  <si>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</si>
  <si>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</si>
  <si>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</si>
  <si>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</si>
  <si>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</si>
  <si>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</si>
  <si>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</si>
  <si>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</si>
  <si>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</si>
  <si>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</si>
  <si>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</si>
  <si>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</si>
  <si>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</si>
  <si>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</si>
  <si>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</si>
  <si>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</si>
  <si>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</si>
  <si>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</si>
  <si>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</si>
  <si>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</si>
  <si>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</si>
  <si>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</si>
  <si>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</si>
  <si>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</si>
  <si>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</si>
  <si>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</si>
  <si>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</si>
  <si>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</si>
  <si>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</si>
  <si>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</si>
  <si>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</si>
  <si>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</si>
  <si>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</si>
  <si>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</si>
  <si>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</si>
  <si>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</si>
  <si>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</si>
  <si>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</si>
  <si>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</si>
  <si>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</si>
  <si>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</si>
  <si>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</si>
  <si>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</si>
  <si>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</si>
  <si>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</si>
  <si>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</si>
  <si>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</si>
  <si>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</si>
  <si>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</si>
  <si>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</si>
  <si>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</si>
  <si>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</si>
  <si>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</si>
  <si>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</si>
  <si>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</si>
  <si>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</si>
  <si>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</si>
  <si>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</si>
  <si>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</si>
  <si>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</si>
  <si>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</si>
  <si>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</si>
  <si>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</si>
  <si>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</si>
  <si>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</si>
  <si>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</si>
  <si>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</si>
  <si>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</si>
  <si>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</si>
  <si>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</si>
  <si>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</si>
  <si>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</si>
  <si>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</si>
  <si>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</si>
  <si>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</si>
  <si>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</si>
  <si>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</si>
  <si>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</si>
  <si>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</si>
  <si>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</si>
  <si>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</si>
  <si>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</si>
  <si>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</si>
  <si>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</si>
  <si>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</si>
  <si>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</si>
  <si>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</si>
  <si>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</si>
  <si>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</si>
  <si>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</si>
  <si>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</si>
  <si>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</si>
  <si>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</si>
  <si>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</si>
  <si>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</si>
  <si>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</si>
  <si>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</si>
  <si>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</si>
  <si>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</si>
  <si>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</si>
  <si>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</si>
  <si>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</si>
  <si>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</si>
  <si>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</si>
  <si>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</si>
  <si>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</si>
  <si>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</si>
  <si>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</si>
  <si>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</si>
  <si>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</si>
  <si>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</si>
  <si>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</si>
  <si>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</si>
  <si>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</si>
  <si>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</si>
  <si>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</si>
  <si>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</si>
  <si>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</si>
  <si>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</si>
  <si>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</si>
  <si>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</si>
  <si>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</si>
  <si>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</si>
  <si>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</si>
  <si>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</si>
  <si>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</si>
  <si>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</si>
  <si>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</si>
  <si>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</si>
  <si>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</si>
  <si>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</si>
  <si>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</si>
  <si>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</si>
  <si>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</si>
  <si>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</si>
  <si>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</si>
  <si>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</si>
  <si>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</si>
  <si>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</si>
  <si>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</si>
  <si>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</si>
  <si>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</si>
  <si>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</si>
  <si>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</si>
  <si>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</si>
  <si>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</si>
  <si>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</si>
  <si>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</si>
  <si>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</si>
  <si>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</si>
  <si>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</si>
  <si>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</si>
  <si>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</si>
  <si>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</si>
  <si>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</si>
  <si>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</si>
  <si>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</si>
  <si>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</si>
  <si>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</si>
  <si>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</si>
  <si>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</si>
  <si>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</si>
  <si>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</si>
  <si>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</si>
  <si>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</si>
  <si>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</si>
  <si>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</si>
  <si>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</si>
  <si>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</si>
  <si>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</si>
  <si>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</si>
  <si>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</si>
  <si>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</si>
  <si>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</si>
  <si>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</si>
  <si>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</si>
  <si>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</si>
  <si>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</si>
  <si>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</si>
  <si>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</si>
  <si>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</si>
  <si>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</si>
  <si>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</si>
  <si>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</si>
  <si>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</si>
  <si>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</si>
  <si>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</si>
  <si>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</si>
  <si>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</si>
  <si>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</si>
  <si>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</si>
  <si>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</si>
  <si>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</si>
  <si>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</si>
  <si>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</si>
  <si>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</si>
  <si>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</si>
  <si>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</si>
  <si>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</si>
  <si>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</si>
  <si>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</si>
  <si>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</si>
  <si>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</si>
  <si>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</si>
  <si>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</si>
  <si>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</si>
  <si>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</si>
  <si>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</si>
  <si>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</si>
  <si>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</si>
  <si>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</si>
  <si>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</si>
  <si>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</si>
  <si>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</si>
  <si>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</si>
  <si>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</si>
  <si>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</si>
  <si>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</si>
  <si>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</si>
  <si>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</si>
  <si>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</si>
  <si>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</si>
  <si>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</si>
  <si>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</si>
  <si>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</si>
  <si>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</si>
  <si>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</si>
  <si>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</si>
  <si>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</si>
  <si>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</si>
  <si>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</si>
  <si>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</si>
  <si>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</si>
  <si>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</si>
  <si>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</si>
  <si>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</si>
  <si>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</si>
  <si>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</si>
  <si>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</si>
  <si>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</si>
  <si>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</si>
  <si>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</si>
  <si>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</si>
  <si>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</si>
  <si>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</si>
  <si>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</si>
  <si>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</si>
  <si>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</si>
  <si>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</si>
  <si>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</si>
  <si>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</si>
  <si>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</si>
  <si>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</si>
  <si>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</si>
  <si>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</si>
  <si>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</si>
  <si>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</si>
  <si>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</si>
  <si>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</si>
  <si>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</si>
  <si>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</si>
  <si>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</si>
  <si>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</si>
  <si>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</si>
  <si>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</si>
  <si>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</si>
  <si>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</si>
  <si>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</si>
  <si>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</si>
  <si>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</si>
  <si>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</si>
  <si>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</si>
  <si>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</si>
  <si>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</si>
  <si>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</si>
  <si>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</si>
  <si>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</si>
  <si>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</si>
  <si>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</si>
  <si>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</si>
  <si>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</si>
  <si>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</si>
  <si>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</si>
  <si>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</si>
  <si>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</si>
  <si>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</si>
  <si>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</si>
  <si>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</si>
  <si>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</si>
  <si>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</si>
  <si>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</si>
  <si>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</si>
  <si>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</si>
  <si>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</si>
  <si>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</si>
  <si>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</si>
  <si>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</si>
  <si>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</si>
  <si>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</si>
  <si>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</si>
  <si>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</si>
  <si>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</si>
  <si>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</si>
  <si>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</si>
  <si>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</si>
  <si>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</si>
  <si>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</si>
  <si>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</si>
  <si>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</si>
  <si>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</si>
  <si>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</si>
  <si>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</si>
  <si>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</si>
  <si>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</si>
  <si>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</si>
  <si>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</si>
  <si>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</si>
  <si>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</si>
  <si>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</si>
  <si>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</si>
  <si>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</si>
  <si>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</si>
  <si>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</si>
  <si>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</si>
  <si>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</si>
  <si>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</si>
  <si>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</si>
  <si>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</si>
  <si>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</si>
  <si>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</si>
  <si>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</si>
  <si>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</si>
  <si>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</si>
  <si>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</si>
  <si>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</si>
  <si>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</si>
  <si>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</si>
  <si>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</si>
  <si>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</si>
  <si>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</si>
  <si>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</si>
  <si>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</si>
  <si>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</si>
  <si>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</si>
  <si>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</si>
  <si>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</si>
  <si>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</si>
  <si>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</si>
  <si>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</si>
  <si>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</si>
  <si>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</si>
  <si>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</si>
  <si>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</si>
  <si>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</si>
  <si>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</si>
  <si>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</si>
  <si>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</si>
  <si>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</si>
  <si>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</si>
  <si>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</si>
  <si>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</si>
  <si>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</si>
  <si>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</si>
  <si>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</si>
  <si>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</si>
  <si>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</si>
  <si>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</si>
  <si>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</si>
  <si>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</si>
  <si>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</si>
  <si>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</si>
  <si>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</si>
  <si>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</si>
  <si>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</si>
  <si>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</si>
  <si>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</si>
  <si>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</si>
  <si>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</si>
  <si>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</si>
  <si>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</si>
  <si>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</si>
  <si>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</si>
  <si>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</si>
  <si>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</si>
  <si>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</si>
  <si>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</si>
  <si>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</si>
  <si>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</si>
  <si>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</si>
  <si>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</si>
  <si>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</si>
  <si>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</si>
  <si>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</si>
  <si>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</si>
  <si>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</si>
  <si>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</si>
  <si>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</si>
  <si>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</si>
  <si>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</si>
  <si>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</si>
  <si>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</si>
  <si>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</si>
  <si>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</si>
  <si>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</si>
  <si>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</si>
  <si>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</si>
  <si>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</si>
  <si>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</si>
  <si>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</si>
  <si>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</si>
  <si>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</si>
  <si>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</si>
  <si>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</si>
  <si>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</si>
  <si>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</si>
  <si>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</si>
  <si>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</si>
  <si>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</si>
  <si>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</si>
  <si>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</si>
  <si>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</si>
  <si>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</si>
  <si>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</si>
  <si>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</si>
  <si>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</si>
  <si>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</si>
  <si>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</si>
  <si>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</si>
  <si>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</si>
  <si>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</si>
  <si>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</si>
  <si>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</si>
  <si>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</si>
  <si>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</si>
  <si>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</si>
  <si>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</si>
  <si>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</si>
  <si>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</si>
  <si>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</si>
  <si>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</si>
  <si>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</si>
  <si>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</si>
  <si>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</si>
  <si>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</si>
  <si>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</si>
  <si>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</si>
  <si>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</si>
  <si>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</si>
  <si>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</si>
  <si>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</si>
  <si>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</si>
  <si>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</si>
  <si>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</si>
  <si>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</si>
  <si>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</si>
  <si>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</si>
  <si>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</si>
  <si>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</si>
  <si>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</si>
  <si>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</si>
  <si>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</si>
  <si>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</si>
  <si>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</si>
  <si>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</si>
  <si>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</si>
  <si>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</si>
  <si>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</si>
  <si>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</si>
  <si>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</si>
  <si>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</si>
  <si>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</si>
  <si>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</si>
  <si>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</si>
  <si>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</si>
  <si>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</si>
  <si>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</si>
  <si>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</si>
  <si>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</si>
  <si>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</si>
  <si>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</si>
  <si>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</si>
  <si>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</si>
  <si>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</si>
  <si>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</si>
  <si>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</si>
  <si>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</si>
  <si>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</si>
  <si>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</si>
  <si>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</si>
  <si>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</si>
  <si>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</si>
  <si>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</si>
  <si>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</si>
  <si>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</si>
  <si>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</si>
  <si>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</si>
  <si>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</si>
  <si>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</si>
  <si>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</si>
  <si>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</si>
  <si>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</si>
  <si>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</si>
  <si>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</si>
  <si>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</si>
  <si>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</si>
  <si>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</si>
  <si>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</si>
  <si>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</si>
  <si>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</si>
  <si>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</si>
  <si>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</si>
  <si>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</si>
  <si>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</si>
  <si>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</si>
  <si>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</si>
  <si>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</si>
  <si>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</si>
  <si>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</si>
  <si>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</si>
  <si>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</si>
  <si>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</si>
  <si>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</si>
  <si>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</si>
  <si>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</si>
  <si>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</si>
  <si>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</si>
  <si>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</si>
  <si>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</si>
  <si>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</si>
  <si>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</si>
  <si>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</si>
  <si>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</si>
  <si>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</si>
  <si>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</si>
  <si>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</si>
  <si>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</si>
  <si>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</si>
  <si>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</si>
  <si>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</si>
  <si>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</si>
  <si>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</si>
  <si>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</si>
  <si>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</si>
  <si>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</si>
  <si>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</si>
  <si>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</si>
  <si>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</si>
  <si>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</si>
  <si>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</si>
  <si>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</si>
  <si>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</si>
  <si>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</si>
  <si>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</si>
  <si>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</si>
  <si>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</si>
  <si>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</si>
  <si>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</si>
  <si>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</si>
  <si>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</si>
  <si>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</si>
  <si>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</si>
  <si>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</si>
  <si>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</si>
  <si>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</si>
  <si>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</si>
  <si>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</si>
  <si>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</si>
  <si>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</si>
  <si>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</si>
  <si>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</si>
  <si>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</si>
  <si>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</si>
  <si>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</si>
  <si>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</si>
  <si>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</si>
  <si>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</si>
  <si>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</si>
  <si>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</si>
  <si>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</si>
  <si>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</si>
  <si>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</si>
  <si>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</si>
  <si>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</si>
  <si>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</si>
  <si>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</si>
  <si>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</si>
  <si>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</si>
  <si>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</si>
  <si>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</si>
  <si>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</si>
  <si>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</si>
  <si>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</si>
  <si>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</si>
  <si>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</si>
  <si>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</si>
  <si>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</si>
  <si>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</si>
  <si>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</si>
  <si>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</si>
  <si>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</si>
  <si>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</si>
  <si>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</si>
  <si>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</si>
  <si>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</si>
  <si>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</si>
  <si>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</si>
  <si>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</si>
  <si>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</si>
  <si>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</si>
  <si>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</si>
  <si>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</si>
  <si>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</si>
  <si>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</si>
  <si>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</si>
  <si>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</si>
  <si>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</si>
  <si>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</si>
  <si>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</si>
  <si>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</si>
  <si>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</si>
  <si>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</si>
  <si>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</si>
  <si>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</si>
  <si>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</si>
  <si>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</si>
  <si>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</si>
  <si>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</si>
  <si>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</si>
  <si>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</si>
  <si>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</si>
  <si>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</si>
  <si>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</si>
  <si>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</si>
  <si>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</si>
  <si>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</si>
  <si>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</si>
  <si>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</si>
  <si>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</si>
  <si>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</si>
  <si>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</si>
  <si>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</si>
  <si>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</si>
  <si>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</si>
  <si>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</si>
  <si>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</si>
  <si>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</si>
  <si>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</si>
  <si>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</si>
  <si>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</si>
  <si>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</si>
  <si>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</si>
  <si>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</si>
  <si>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</si>
  <si>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</si>
  <si>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</si>
  <si>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</si>
  <si>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</si>
  <si>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</si>
  <si>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</si>
  <si>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</si>
  <si>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</si>
  <si>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</si>
  <si>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</si>
  <si>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</si>
  <si>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</si>
  <si>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</si>
  <si>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</si>
  <si>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</si>
  <si>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</si>
  <si>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</si>
  <si>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</si>
  <si>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</si>
  <si>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</si>
  <si>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</si>
  <si>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</si>
  <si>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</si>
  <si>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</si>
  <si>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</si>
  <si>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</si>
  <si>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</si>
  <si>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</si>
  <si>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</si>
  <si>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</si>
  <si>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</si>
  <si>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</si>
  <si>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</si>
  <si>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</si>
  <si>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</si>
  <si>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</si>
  <si>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</si>
  <si>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</si>
  <si>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</si>
  <si>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</si>
  <si>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</si>
  <si>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</si>
  <si>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</si>
  <si>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</si>
  <si>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</si>
  <si>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</si>
  <si>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</si>
  <si>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</si>
  <si>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</si>
  <si>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</si>
  <si>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</si>
  <si>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</si>
  <si>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</si>
  <si>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</si>
  <si>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</si>
  <si>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</si>
  <si>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</si>
  <si>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</si>
  <si>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</si>
  <si>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</si>
  <si>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</si>
  <si>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</si>
  <si>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</si>
  <si>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</si>
  <si>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</si>
  <si>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</si>
  <si>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</si>
  <si>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</si>
  <si>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</si>
  <si>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</si>
  <si>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</si>
  <si>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</si>
  <si>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</si>
  <si>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</si>
  <si>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</si>
  <si>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</si>
  <si>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</si>
  <si>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</si>
  <si>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</si>
  <si>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</si>
  <si>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</si>
  <si>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</si>
  <si>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</si>
  <si>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</si>
  <si>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</si>
  <si>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</si>
  <si>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</si>
  <si>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</si>
  <si>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</si>
  <si>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</si>
  <si>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</si>
  <si>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</si>
  <si>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</si>
  <si>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</si>
  <si>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</si>
  <si>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</si>
  <si>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</si>
  <si>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</si>
  <si>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</si>
  <si>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</si>
  <si>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</si>
  <si>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</si>
  <si>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</si>
  <si>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</si>
  <si>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</si>
  <si>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</si>
  <si>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</si>
  <si>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</si>
  <si>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</si>
  <si>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</si>
  <si>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</si>
  <si>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</si>
  <si>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</si>
  <si>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</si>
  <si>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</si>
  <si>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</si>
  <si>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</si>
  <si>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</si>
  <si>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</si>
  <si>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</si>
  <si>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</si>
  <si>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</si>
  <si>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</si>
  <si>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</si>
  <si>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</si>
  <si>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</si>
  <si>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</si>
  <si>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</si>
  <si>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</si>
  <si>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</si>
  <si>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</si>
  <si>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</si>
  <si>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</si>
  <si>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</si>
  <si>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</si>
  <si>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</si>
  <si>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</si>
  <si>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</si>
  <si>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</si>
  <si>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</si>
  <si>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</si>
  <si>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</si>
  <si>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</si>
  <si>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</si>
  <si>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</si>
  <si>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</si>
  <si>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</si>
  <si>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</si>
  <si>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</si>
  <si>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</si>
  <si>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</si>
  <si>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</si>
  <si>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</si>
  <si>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</si>
  <si>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</si>
  <si>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</si>
  <si>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</si>
  <si>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</si>
  <si>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</si>
  <si>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</si>
  <si>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</si>
  <si>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</si>
  <si>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</si>
  <si>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</si>
  <si>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</si>
  <si>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</si>
  <si>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</si>
  <si>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</si>
  <si>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</si>
  <si>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</si>
  <si>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</si>
  <si>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</si>
  <si>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</si>
  <si>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</si>
  <si>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</si>
  <si>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</si>
  <si>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</si>
  <si>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</si>
  <si>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</si>
  <si>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</si>
  <si>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</si>
  <si>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</si>
  <si>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</si>
  <si>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</si>
  <si>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</si>
  <si>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</si>
  <si>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</si>
  <si>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</si>
  <si>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</si>
  <si>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</si>
  <si>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</si>
  <si>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</si>
  <si>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</si>
  <si>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</si>
  <si>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</si>
  <si>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</si>
  <si>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</si>
  <si>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</si>
  <si>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</si>
  <si>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</si>
  <si>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</si>
  <si>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</si>
  <si>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</si>
  <si>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</si>
  <si>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</si>
  <si>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</si>
  <si>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</si>
  <si>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</si>
  <si>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</si>
  <si>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</si>
  <si>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</si>
  <si>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</si>
  <si>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</si>
  <si>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</si>
  <si>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</si>
  <si>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</si>
  <si>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</si>
  <si>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</si>
  <si>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</si>
  <si>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</si>
  <si>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</si>
  <si>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</si>
  <si>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</si>
  <si>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</si>
  <si>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</si>
  <si>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</si>
  <si>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</si>
  <si>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</si>
  <si>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</si>
  <si>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</si>
  <si>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</si>
  <si>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</si>
  <si>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</si>
  <si>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</si>
  <si>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</si>
  <si>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</si>
  <si>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</si>
  <si>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</si>
  <si>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</si>
  <si>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</si>
  <si>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</si>
  <si>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</si>
  <si>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</si>
  <si>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</si>
  <si>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</si>
  <si>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</si>
  <si>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</si>
  <si>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</si>
  <si>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</si>
  <si>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</si>
  <si>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</si>
  <si>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</si>
  <si>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</si>
  <si>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</si>
  <si>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</si>
  <si>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</si>
  <si>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</si>
  <si>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</si>
  <si>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</si>
  <si>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</si>
  <si>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</si>
  <si>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</si>
  <si>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</si>
  <si>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</si>
  <si>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</si>
  <si>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</si>
  <si>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</si>
  <si>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</si>
  <si>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</si>
  <si>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</si>
  <si>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</si>
  <si>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</si>
  <si>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</si>
  <si>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</si>
  <si>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</si>
  <si>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</si>
  <si>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</si>
  <si>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</si>
  <si>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</si>
  <si>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</si>
  <si>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</si>
  <si>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</si>
  <si>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</si>
  <si>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</si>
  <si>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</si>
  <si>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</si>
  <si>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</si>
  <si>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</si>
  <si>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</si>
  <si>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</si>
  <si>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</si>
  <si>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</si>
  <si>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</si>
  <si>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</si>
  <si>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</si>
  <si>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</si>
  <si>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</si>
  <si>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</si>
  <si>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</si>
  <si>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</si>
  <si>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</si>
  <si>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</si>
  <si>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</si>
  <si>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</si>
  <si>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</si>
  <si>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</si>
  <si>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</si>
  <si>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</si>
  <si>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</si>
  <si>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</si>
  <si>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</si>
  <si>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</si>
  <si>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</si>
  <si>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</si>
  <si>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</si>
  <si>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</si>
  <si>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</si>
  <si>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</si>
  <si>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</si>
  <si>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</si>
  <si>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</si>
  <si>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</si>
  <si>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</si>
  <si>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</si>
  <si>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</si>
  <si>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</si>
  <si>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</si>
  <si>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</si>
  <si>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</si>
  <si>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</si>
  <si>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</si>
  <si>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</si>
  <si>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</si>
  <si>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</si>
  <si>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</si>
  <si>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</si>
  <si>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</si>
  <si>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</si>
  <si>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</si>
  <si>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</si>
  <si>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</si>
  <si>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</si>
  <si>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</si>
  <si>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</si>
  <si>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</si>
  <si>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</si>
  <si>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</si>
  <si>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</si>
  <si>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</si>
  <si>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</si>
  <si>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</si>
  <si>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</si>
  <si>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</si>
  <si>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</si>
  <si>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</si>
  <si>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</si>
  <si>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</si>
  <si>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</si>
  <si>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</si>
  <si>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</si>
  <si>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</si>
  <si>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</si>
  <si>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</si>
  <si>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</si>
  <si>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</si>
  <si>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</si>
  <si>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</si>
  <si>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</si>
  <si>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</si>
  <si>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</si>
  <si>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</si>
  <si>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</si>
  <si>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</si>
  <si>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</si>
  <si>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</si>
  <si>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</si>
  <si>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</si>
  <si>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</si>
  <si>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</si>
  <si>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</si>
  <si>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</si>
  <si>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</si>
  <si>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</si>
  <si>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</si>
  <si>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</si>
  <si>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</si>
  <si>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</si>
  <si>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</si>
  <si>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</si>
  <si>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</si>
  <si>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</si>
  <si>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</si>
  <si>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</si>
  <si>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</si>
  <si>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</si>
  <si>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</si>
  <si>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</si>
  <si>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</si>
  <si>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</si>
  <si>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</si>
  <si>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</si>
  <si>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</si>
  <si>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</si>
  <si>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</si>
  <si>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</si>
  <si>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</si>
  <si>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</si>
  <si>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</si>
  <si>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</si>
  <si>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</si>
  <si>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</si>
  <si>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</si>
  <si>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</si>
  <si>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</si>
  <si>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</si>
  <si>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</si>
  <si>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</si>
  <si>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</si>
  <si>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</si>
  <si>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</si>
  <si>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</si>
  <si>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</si>
  <si>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</si>
  <si>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</si>
  <si>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</si>
  <si>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</si>
  <si>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</si>
  <si>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</si>
  <si>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</si>
  <si>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</si>
  <si>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</si>
  <si>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</si>
  <si>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</si>
  <si>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</si>
  <si>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</si>
  <si>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</si>
  <si>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</si>
  <si>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</si>
  <si>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</si>
  <si>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</si>
  <si>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</si>
  <si>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</si>
  <si>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</si>
  <si>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</si>
  <si>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</si>
  <si>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</si>
  <si>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</si>
  <si>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</si>
  <si>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</si>
  <si>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</si>
  <si>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</si>
  <si>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</si>
  <si>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</si>
  <si>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</si>
  <si>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</si>
  <si>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</si>
  <si>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</si>
  <si>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</si>
  <si>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</si>
  <si>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</si>
  <si>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</si>
  <si>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</si>
  <si>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</si>
  <si>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</si>
  <si>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</si>
  <si>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</si>
  <si>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</si>
  <si>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</si>
  <si>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</si>
  <si>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</si>
  <si>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</si>
  <si>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</si>
  <si>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</si>
  <si>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</si>
  <si>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</si>
  <si>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</si>
  <si>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</si>
  <si>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</si>
  <si>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</si>
  <si>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</si>
  <si>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</si>
  <si>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</si>
  <si>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</si>
  <si>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</si>
  <si>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</si>
  <si>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</si>
  <si>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</si>
  <si>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</si>
  <si>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</si>
  <si>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</si>
  <si>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</si>
  <si>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</si>
  <si>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</si>
  <si>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</si>
  <si>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</si>
  <si>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</si>
  <si>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</si>
  <si>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</si>
  <si>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</si>
  <si>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</si>
  <si>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</si>
  <si>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</si>
  <si>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</si>
  <si>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</si>
  <si>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</si>
  <si>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</si>
  <si>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</si>
  <si>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</si>
  <si>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</si>
  <si>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</si>
  <si>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</si>
  <si>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</si>
  <si>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</si>
  <si>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</si>
  <si>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</si>
  <si>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</si>
  <si>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</si>
  <si>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</si>
  <si>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</si>
  <si>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</si>
  <si>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</si>
  <si>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</si>
  <si>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</si>
  <si>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</si>
  <si>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</si>
  <si>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</si>
  <si>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</si>
  <si>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</si>
  <si>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</si>
  <si>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</si>
  <si>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</si>
  <si>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</si>
  <si>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</si>
  <si>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</si>
  <si>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</si>
  <si>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</si>
  <si>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</si>
  <si>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</si>
  <si>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</si>
  <si>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</si>
  <si>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</si>
  <si>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</si>
  <si>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</si>
  <si>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</si>
  <si>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</si>
  <si>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</si>
  <si>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</si>
  <si>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</si>
  <si>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</si>
  <si>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</si>
  <si>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</si>
  <si>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</si>
  <si>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</si>
  <si>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</si>
  <si>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</si>
  <si>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</si>
  <si>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</si>
  <si>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</si>
  <si>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</si>
  <si>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</si>
  <si>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</si>
  <si>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</si>
  <si>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</si>
  <si>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</si>
  <si>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</si>
  <si>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</si>
  <si>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</si>
  <si>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</si>
  <si>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</si>
  <si>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</si>
  <si>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</si>
  <si>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</si>
  <si>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</si>
  <si>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</si>
  <si>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</si>
  <si>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</si>
  <si>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</si>
  <si>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</si>
  <si>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</si>
  <si>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</si>
  <si>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</si>
  <si>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</si>
  <si>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</si>
  <si>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</si>
  <si>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</si>
  <si>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</si>
  <si>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</si>
  <si>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</si>
  <si>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</si>
  <si>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</si>
  <si>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</si>
  <si>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</si>
  <si>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</si>
  <si>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</si>
  <si>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</si>
  <si>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</si>
  <si>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</si>
  <si>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</si>
  <si>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</si>
  <si>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</si>
  <si>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</si>
  <si>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</si>
  <si>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</si>
  <si>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</si>
  <si>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</si>
  <si>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</si>
  <si>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</si>
  <si>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</si>
  <si>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</si>
  <si>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</si>
  <si>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</si>
  <si>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</si>
  <si>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</si>
  <si>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</si>
  <si>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</si>
  <si>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</si>
  <si>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</si>
  <si>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</si>
  <si>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</si>
  <si>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</si>
  <si>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</si>
  <si>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</si>
  <si>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</si>
  <si>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</si>
  <si>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</si>
  <si>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</si>
  <si>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</si>
  <si>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</si>
  <si>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</si>
  <si>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</si>
  <si>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</si>
  <si>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</si>
  <si>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</si>
  <si>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</si>
  <si>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</si>
  <si>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</si>
  <si>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</si>
  <si>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</si>
  <si>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</si>
  <si>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</si>
  <si>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</si>
  <si>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</si>
  <si>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</si>
  <si>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</si>
  <si>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</si>
  <si>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</si>
  <si>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</si>
  <si>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</si>
  <si>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</si>
  <si>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</si>
  <si>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</si>
  <si>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</si>
  <si>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</si>
  <si>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</si>
  <si>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</si>
  <si>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</si>
  <si>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</si>
  <si>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</si>
  <si>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</si>
  <si>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</si>
  <si>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</si>
  <si>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</si>
  <si>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</si>
  <si>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</si>
  <si>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</si>
  <si>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</si>
  <si>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</si>
  <si>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</si>
  <si>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</si>
  <si>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</si>
  <si>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</si>
  <si>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</si>
  <si>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</si>
  <si>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</si>
  <si>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</si>
  <si>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</si>
  <si>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</si>
  <si>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</si>
  <si>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</si>
  <si>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</si>
  <si>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</si>
  <si>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</si>
  <si>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</si>
  <si>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</si>
  <si>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</si>
  <si>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</si>
  <si>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</si>
  <si>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</si>
  <si>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</si>
  <si>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</si>
  <si>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</si>
  <si>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</si>
  <si>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</si>
  <si>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</si>
  <si>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</si>
  <si>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</si>
  <si>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</si>
  <si>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</si>
  <si>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</si>
  <si>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</si>
  <si>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</si>
  <si>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</si>
  <si>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</si>
  <si>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</si>
  <si>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</si>
  <si>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</si>
  <si>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</si>
  <si>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</si>
  <si>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</si>
  <si>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</si>
  <si>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</si>
  <si>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</si>
  <si>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</si>
  <si>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</si>
  <si>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</si>
  <si>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</si>
  <si>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</si>
  <si>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</si>
  <si>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</si>
  <si>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</si>
  <si>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</si>
  <si>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</si>
  <si>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</si>
  <si>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</si>
  <si>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</si>
  <si>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</si>
  <si>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</si>
  <si>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</si>
  <si>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</si>
  <si>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</si>
  <si>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</si>
  <si>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</si>
  <si>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</si>
  <si>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</si>
  <si>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</si>
  <si>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</si>
  <si>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</si>
  <si>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</si>
  <si>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</si>
  <si>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</si>
  <si>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</si>
  <si>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</si>
  <si>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</si>
  <si>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</si>
  <si>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</si>
  <si>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</si>
  <si>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</si>
  <si>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</si>
  <si>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</si>
  <si>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</si>
  <si>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</si>
  <si>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</si>
  <si>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</si>
  <si>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</si>
  <si>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</si>
  <si>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</si>
  <si>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</si>
  <si>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</si>
  <si>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</si>
  <si>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</si>
  <si>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</si>
  <si>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</si>
  <si>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</si>
  <si>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</si>
  <si>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</si>
  <si>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</si>
  <si>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</si>
  <si>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</si>
  <si>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</si>
  <si>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</si>
  <si>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</si>
  <si>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</si>
  <si>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</si>
  <si>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</si>
  <si>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</si>
  <si>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</si>
  <si>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</si>
  <si>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</si>
  <si>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</si>
  <si>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</si>
  <si>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</si>
  <si>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</si>
  <si>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</si>
  <si>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</si>
  <si>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</si>
  <si>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</si>
  <si>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</si>
  <si>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</si>
  <si>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</si>
  <si>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</si>
  <si>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</si>
  <si>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</si>
  <si>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</si>
  <si>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</si>
  <si>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</si>
  <si>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</si>
  <si>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</si>
  <si>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</si>
  <si>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</si>
  <si>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</si>
  <si>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</si>
  <si>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</si>
  <si>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</si>
  <si>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</si>
  <si>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</si>
  <si>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</si>
  <si>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</si>
  <si>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</si>
  <si>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</si>
  <si>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</si>
  <si>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</si>
  <si>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</si>
  <si>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</si>
  <si>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</si>
  <si>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</si>
  <si>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</si>
  <si>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</si>
  <si>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</si>
  <si>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</si>
  <si>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</si>
  <si>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</si>
  <si>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</si>
  <si>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</si>
  <si>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</si>
  <si>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</si>
  <si>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</si>
  <si>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</si>
  <si>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</si>
  <si>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</si>
  <si>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</si>
  <si>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</si>
  <si>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</si>
  <si>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</si>
  <si>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</si>
  <si>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</si>
  <si>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</si>
  <si>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</si>
  <si>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</si>
  <si>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</si>
  <si>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</si>
  <si>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</si>
  <si>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</si>
  <si>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</si>
  <si>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</si>
  <si>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</si>
  <si>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</si>
  <si>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</si>
  <si>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</si>
  <si>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</si>
  <si>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</si>
  <si>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</si>
  <si>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</si>
  <si>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</si>
  <si>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</si>
  <si>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</si>
  <si>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</si>
  <si>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</si>
  <si>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</si>
  <si>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</si>
  <si>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</si>
  <si>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</si>
  <si>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</si>
  <si>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</si>
  <si>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</si>
  <si>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</si>
  <si>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</si>
  <si>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</si>
  <si>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</si>
  <si>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</si>
  <si>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</si>
  <si>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</si>
  <si>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</si>
  <si>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</si>
  <si>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</si>
  <si>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</si>
  <si>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</si>
  <si>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</si>
  <si>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</si>
  <si>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</si>
  <si>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</si>
  <si>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</si>
  <si>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</si>
  <si>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</si>
  <si>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</si>
  <si>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</si>
  <si>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</si>
  <si>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</si>
  <si>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</si>
  <si>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</si>
  <si>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</si>
  <si>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</si>
  <si>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</si>
  <si>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</si>
  <si>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</si>
  <si>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</si>
  <si>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</si>
  <si>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</si>
  <si>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</si>
  <si>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</si>
  <si>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</si>
  <si>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</si>
  <si>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</si>
  <si>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</si>
  <si>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</si>
  <si>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</si>
  <si>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</si>
  <si>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</si>
  <si>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</si>
  <si>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</si>
  <si>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</si>
  <si>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</si>
  <si>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</si>
  <si>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</si>
  <si>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</si>
  <si>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</si>
  <si>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</si>
  <si>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</si>
  <si>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</si>
  <si>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</si>
  <si>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</si>
  <si>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</si>
  <si>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</si>
  <si>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</si>
  <si>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</si>
  <si>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</si>
  <si>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</si>
  <si>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</si>
  <si>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</si>
  <si>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</si>
  <si>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</si>
  <si>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</si>
  <si>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</si>
  <si>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</si>
  <si>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</si>
  <si>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</si>
  <si>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</si>
  <si>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</si>
  <si>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</si>
  <si>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</si>
  <si>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</si>
  <si>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</si>
  <si>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</si>
  <si>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</si>
  <si>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</si>
  <si>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</si>
  <si>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</si>
  <si>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</si>
  <si>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</si>
  <si>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</si>
  <si>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</si>
  <si>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</si>
  <si>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</si>
  <si>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</si>
  <si>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</si>
  <si>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</si>
  <si>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</si>
  <si>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</si>
  <si>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</si>
  <si>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</si>
  <si>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</si>
  <si>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</si>
  <si>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</si>
  <si>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</si>
  <si>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</si>
  <si>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</si>
  <si>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</si>
  <si>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</si>
  <si>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</si>
  <si>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</si>
  <si>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</si>
  <si>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</si>
  <si>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</si>
  <si>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</si>
  <si>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</si>
  <si>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</si>
  <si>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</si>
  <si>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</si>
  <si>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</si>
  <si>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</si>
  <si>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</si>
  <si>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</si>
  <si>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</si>
  <si>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</si>
  <si>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</si>
  <si>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</si>
  <si>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</si>
  <si>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</si>
  <si>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</si>
  <si>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</si>
  <si>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</si>
  <si>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</si>
  <si>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</si>
  <si>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</si>
  <si>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</si>
  <si>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</si>
  <si>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</si>
  <si>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</si>
  <si>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</si>
  <si>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</si>
  <si>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</si>
  <si>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</si>
  <si>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</si>
  <si>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</si>
  <si>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</si>
  <si>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</si>
  <si>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</si>
  <si>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</si>
  <si>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</si>
  <si>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</si>
  <si>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</si>
  <si>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</si>
  <si>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</si>
  <si>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</si>
  <si>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</si>
  <si>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</si>
  <si>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</si>
  <si>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</si>
  <si>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</si>
  <si>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</si>
  <si>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</si>
  <si>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</si>
  <si>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</si>
  <si>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</si>
  <si>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</si>
  <si>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</si>
  <si>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</si>
  <si>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</si>
  <si>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</si>
  <si>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</si>
  <si>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</si>
  <si>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</si>
  <si>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</si>
  <si>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</si>
  <si>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</si>
  <si>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</si>
  <si>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</si>
  <si>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</si>
  <si>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</si>
  <si>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</si>
  <si>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</si>
  <si>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</si>
  <si>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</si>
  <si>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</si>
  <si>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</si>
  <si>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</si>
  <si>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</si>
  <si>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</si>
  <si>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</si>
  <si>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</si>
  <si>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</si>
  <si>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</si>
  <si>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</si>
  <si>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</si>
  <si>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</si>
  <si>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</si>
  <si>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</si>
  <si>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</si>
  <si>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</si>
  <si>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</si>
  <si>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</si>
  <si>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</si>
  <si>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</si>
  <si>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</si>
  <si>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</si>
  <si>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</si>
  <si>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</si>
  <si>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</si>
  <si>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</si>
  <si>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</si>
  <si>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</si>
  <si>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</si>
  <si>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</si>
  <si>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</si>
  <si>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</si>
  <si>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</si>
  <si>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</si>
  <si>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</si>
  <si>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</si>
  <si>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</si>
  <si>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</si>
  <si>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</si>
  <si>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</si>
  <si>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</si>
  <si>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</si>
  <si>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</si>
  <si>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</si>
  <si>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</si>
  <si>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</si>
  <si>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</si>
  <si>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</si>
  <si>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</si>
  <si>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</si>
  <si>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</si>
  <si>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</si>
  <si>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</si>
  <si>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</si>
  <si>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</si>
  <si>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</si>
  <si>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</si>
  <si>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</si>
  <si>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</si>
  <si>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</si>
  <si>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</si>
  <si>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</si>
  <si>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</si>
  <si>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</si>
  <si>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</si>
  <si>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</si>
  <si>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</si>
  <si>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</si>
  <si>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</si>
  <si>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</si>
  <si>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</si>
  <si>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</si>
  <si>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</si>
  <si>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</si>
  <si>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</si>
  <si>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</si>
  <si>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</si>
  <si>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</si>
  <si>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</si>
  <si>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</si>
  <si>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</si>
  <si>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</si>
  <si>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</si>
  <si>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</si>
  <si>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</si>
  <si>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</si>
  <si>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</si>
  <si>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</si>
  <si>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</si>
  <si>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</si>
  <si>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</si>
  <si>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</si>
  <si>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</si>
  <si>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</si>
  <si>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</si>
  <si>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</si>
  <si>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</si>
  <si>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</si>
  <si>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</si>
  <si>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</si>
  <si>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</si>
  <si>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</si>
  <si>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</si>
  <si>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</si>
  <si>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</si>
  <si>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</si>
  <si>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</si>
  <si>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</si>
  <si>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</si>
  <si>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</si>
  <si>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</si>
  <si>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</si>
  <si>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</si>
  <si>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</si>
  <si>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</si>
  <si>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</si>
  <si>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</si>
  <si>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</si>
  <si>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</si>
  <si>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</si>
  <si>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</si>
  <si>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</si>
  <si>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</si>
  <si>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</si>
  <si>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</si>
  <si>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</si>
  <si>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</si>
  <si>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</si>
  <si>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</si>
  <si>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</si>
  <si>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</si>
  <si>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</si>
  <si>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</si>
  <si>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</si>
  <si>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</si>
  <si>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</si>
  <si>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</si>
  <si>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</si>
  <si>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</si>
  <si>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</si>
  <si>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</si>
  <si>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</si>
  <si>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</si>
  <si>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</si>
  <si>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</si>
  <si>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</si>
  <si>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</si>
  <si>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</si>
  <si>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</si>
  <si>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</si>
  <si>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</si>
  <si>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</si>
  <si>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</si>
  <si>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</si>
  <si>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</si>
  <si>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</si>
  <si>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</si>
  <si>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</si>
  <si>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</si>
  <si>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</si>
  <si>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</si>
  <si>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</si>
  <si>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</si>
  <si>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</si>
  <si>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</si>
  <si>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</si>
  <si>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</si>
  <si>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</si>
  <si>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</si>
  <si>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</si>
  <si>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</si>
  <si>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</si>
  <si>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</si>
  <si>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</si>
  <si>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</si>
  <si>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</si>
  <si>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</si>
  <si>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</si>
  <si>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</si>
  <si>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</si>
  <si>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</si>
  <si>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</si>
  <si>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</si>
  <si>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</si>
  <si>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</si>
  <si>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</si>
  <si>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</si>
  <si>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</si>
  <si>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</si>
  <si>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</si>
  <si>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</si>
  <si>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</si>
  <si>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</si>
  <si>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</si>
  <si>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</si>
  <si>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</si>
  <si>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</si>
  <si>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</si>
  <si>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</si>
  <si>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</si>
  <si>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</si>
  <si>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</si>
  <si>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</si>
  <si>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</si>
  <si>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</si>
  <si>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</si>
  <si>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</si>
  <si>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</si>
  <si>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</si>
  <si>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</si>
  <si>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</si>
  <si>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</si>
  <si>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</si>
  <si>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</si>
  <si>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</si>
  <si>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</si>
  <si>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</si>
  <si>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</si>
  <si>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</si>
  <si>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</si>
  <si>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</si>
  <si>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</si>
  <si>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</si>
  <si>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</si>
  <si>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</si>
  <si>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</si>
  <si>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</si>
  <si>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</si>
  <si>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</si>
  <si>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</si>
  <si>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</si>
  <si>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</si>
  <si>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</si>
  <si>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</si>
  <si>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</si>
  <si>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</si>
  <si>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</si>
  <si>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</si>
  <si>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</si>
  <si>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</si>
  <si>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</si>
  <si>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</si>
  <si>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</si>
  <si>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</si>
  <si>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</si>
  <si>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</si>
  <si>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</si>
  <si>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</si>
  <si>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</si>
  <si>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</si>
  <si>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</si>
  <si>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</si>
  <si>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</si>
  <si>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</si>
  <si>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</si>
  <si>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</si>
  <si>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</si>
  <si>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</si>
  <si>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</si>
  <si>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</si>
  <si>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</si>
  <si>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</si>
  <si>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</si>
  <si>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</si>
  <si>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</si>
  <si>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</si>
  <si>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</si>
  <si>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</si>
  <si>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</si>
  <si>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</si>
  <si>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</si>
  <si>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</si>
  <si>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</si>
  <si>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</si>
  <si>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</si>
  <si>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</si>
  <si>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</si>
  <si>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</si>
  <si>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</si>
  <si>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</si>
  <si>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</si>
  <si>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</si>
  <si>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</si>
  <si>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</si>
  <si>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</si>
  <si>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</si>
  <si>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</si>
  <si>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</si>
  <si>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</si>
  <si>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</si>
  <si>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</si>
  <si>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</si>
  <si>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</si>
  <si>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</si>
  <si>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</si>
  <si>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</si>
  <si>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</si>
  <si>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</si>
  <si>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</si>
  <si>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</si>
  <si>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</si>
  <si>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</si>
  <si>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</si>
  <si>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</si>
  <si>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</si>
  <si>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</si>
  <si>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</si>
  <si>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</si>
  <si>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</si>
  <si>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</si>
  <si>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</si>
  <si>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</si>
  <si>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</si>
  <si>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</si>
  <si>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</si>
  <si>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</si>
  <si>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</si>
  <si>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</si>
  <si>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</si>
  <si>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</si>
  <si>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</si>
  <si>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</si>
  <si>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</si>
  <si>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</si>
  <si>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</si>
  <si>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</si>
  <si>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</si>
  <si>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</si>
  <si>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</si>
  <si>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</si>
  <si>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</si>
  <si>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</si>
  <si>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</si>
  <si>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</si>
  <si>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</si>
  <si>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</si>
  <si>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</si>
  <si>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</si>
  <si>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</si>
  <si>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</si>
  <si>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</si>
  <si>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</si>
  <si>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</si>
  <si>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</si>
  <si>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</si>
  <si>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</si>
  <si>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</si>
  <si>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</si>
  <si>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</si>
  <si>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</si>
  <si>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</si>
  <si>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</si>
  <si>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</si>
  <si>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</si>
  <si>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</si>
  <si>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</si>
  <si>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</si>
  <si>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</si>
  <si>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</si>
  <si>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</si>
  <si>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</si>
  <si>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</si>
  <si>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</si>
  <si>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</si>
  <si>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</si>
  <si>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</si>
  <si>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</si>
  <si>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</si>
  <si>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</si>
  <si>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</si>
  <si>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</si>
  <si>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</si>
  <si>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</si>
  <si>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</si>
  <si>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</si>
  <si>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</si>
  <si>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</si>
  <si>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</si>
  <si>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</si>
  <si>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</si>
  <si>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</si>
  <si>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</si>
  <si>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</si>
  <si>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</si>
  <si>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</si>
  <si>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</si>
  <si>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</si>
  <si>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</si>
  <si>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</si>
  <si>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</si>
  <si>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</si>
  <si>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</si>
  <si>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</si>
  <si>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</si>
  <si>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</si>
  <si>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</si>
  <si>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</si>
  <si>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</si>
  <si>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</si>
  <si>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</si>
  <si>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</si>
  <si>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</si>
  <si>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</si>
  <si>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</si>
  <si>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</si>
  <si>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</si>
  <si>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</si>
  <si>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</si>
  <si>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</si>
  <si>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</si>
  <si>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</si>
  <si>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</si>
  <si>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</si>
  <si>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</si>
  <si>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</si>
  <si>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</si>
  <si>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</si>
  <si>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</si>
  <si>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</si>
  <si>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</si>
  <si>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</si>
  <si>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</si>
  <si>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</si>
  <si>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</si>
  <si>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</si>
  <si>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</si>
  <si>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</si>
  <si>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</si>
  <si>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</si>
  <si>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</si>
  <si>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</si>
  <si>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</si>
  <si>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</si>
  <si>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</si>
  <si>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</si>
  <si>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</si>
  <si>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</si>
  <si>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</si>
  <si>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</si>
  <si>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</si>
  <si>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</si>
  <si>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</si>
  <si>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</si>
  <si>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</si>
  <si>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</si>
  <si>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</si>
  <si>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</si>
  <si>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</si>
  <si>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</si>
  <si>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</si>
  <si>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</si>
  <si>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</si>
  <si>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</si>
  <si>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</si>
  <si>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</si>
  <si>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</si>
  <si>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</si>
  <si>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</si>
  <si>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</si>
  <si>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</si>
  <si>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</si>
  <si>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</si>
  <si>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</si>
  <si>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</si>
  <si>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</si>
  <si>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</si>
  <si>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</si>
  <si>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</si>
  <si>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</si>
  <si>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</si>
  <si>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</si>
  <si>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</si>
  <si>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</si>
  <si>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</si>
  <si>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</si>
  <si>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</si>
  <si>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</si>
  <si>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</si>
  <si>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</si>
  <si>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</si>
  <si>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</si>
  <si>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</si>
  <si>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</si>
  <si>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</si>
  <si>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</si>
  <si>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</si>
  <si>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</si>
  <si>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</si>
  <si>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</si>
  <si>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</si>
  <si>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</si>
  <si>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</si>
  <si>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</si>
  <si>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</si>
  <si>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</si>
  <si>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</si>
  <si>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</si>
  <si>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</si>
  <si>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</si>
  <si>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</si>
  <si>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</si>
  <si>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</si>
  <si>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</si>
  <si>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</si>
  <si>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</si>
  <si>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</si>
  <si>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</si>
  <si>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</si>
  <si>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</si>
  <si>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</si>
  <si>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</si>
  <si>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</si>
  <si>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</si>
  <si>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</si>
  <si>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</si>
  <si>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</si>
  <si>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</si>
  <si>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</si>
  <si>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</si>
  <si>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</si>
  <si>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</si>
  <si>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</si>
  <si>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</si>
  <si>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</si>
  <si>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</si>
  <si>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</si>
  <si>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</si>
  <si>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</si>
  <si>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</si>
  <si>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</si>
  <si>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</si>
  <si>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</si>
  <si>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</si>
  <si>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</si>
  <si>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</si>
  <si>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</si>
  <si>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</si>
  <si>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</si>
  <si>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</si>
  <si>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</si>
  <si>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</si>
  <si>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</si>
  <si>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</si>
  <si>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</si>
  <si>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</si>
  <si>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</si>
  <si>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</si>
  <si>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</si>
  <si>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</si>
  <si>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</si>
  <si>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</si>
  <si>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</si>
  <si>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</si>
  <si>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</si>
  <si>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</si>
  <si>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</si>
  <si>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</si>
  <si>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</si>
  <si>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</si>
  <si>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</si>
  <si>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</si>
  <si>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</si>
  <si>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</si>
  <si>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</si>
  <si>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</si>
  <si>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</si>
  <si>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</si>
  <si>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</si>
  <si>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</si>
  <si>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</si>
  <si>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</si>
  <si>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</si>
  <si>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</si>
  <si>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</si>
  <si>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</si>
  <si>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</si>
  <si>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</si>
  <si>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</si>
  <si>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</si>
  <si>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</si>
  <si>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</si>
  <si>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</si>
  <si>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</si>
  <si>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</si>
  <si>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</si>
  <si>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</si>
  <si>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</si>
  <si>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</si>
  <si>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</si>
  <si>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</si>
  <si>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</si>
  <si>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</si>
  <si>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</si>
  <si>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</si>
  <si>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</si>
  <si>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</si>
  <si>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</si>
  <si>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</si>
  <si>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</si>
  <si>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</si>
  <si>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</si>
  <si>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</si>
  <si>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</si>
  <si>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</si>
  <si>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</si>
  <si>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</si>
  <si>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</si>
  <si>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</si>
  <si>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</si>
  <si>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</si>
  <si>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</si>
  <si>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</si>
  <si>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</si>
  <si>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</si>
  <si>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</si>
  <si>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</si>
  <si>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</si>
  <si>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</si>
  <si>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</si>
  <si>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</si>
  <si>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</si>
  <si>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</si>
  <si>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</si>
  <si>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</si>
  <si>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</si>
  <si>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</si>
  <si>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</si>
  <si>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</si>
  <si>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</si>
  <si>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</si>
  <si>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</si>
  <si>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</si>
  <si>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</si>
  <si>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</si>
  <si>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</si>
  <si>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</si>
  <si>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</si>
  <si>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</si>
  <si>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</si>
  <si>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</si>
  <si>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</si>
  <si>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</si>
  <si>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</si>
  <si>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</si>
  <si>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</si>
  <si>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</si>
  <si>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</si>
  <si>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</si>
  <si>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</si>
  <si>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</si>
  <si>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</si>
  <si>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</si>
  <si>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</si>
  <si>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</si>
  <si>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</si>
  <si>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</si>
  <si>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</si>
  <si>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</si>
  <si>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</si>
  <si>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</si>
  <si>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</si>
  <si>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</si>
  <si>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</si>
  <si>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</si>
  <si>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</si>
  <si>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</si>
  <si>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</si>
  <si>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</si>
  <si>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</si>
  <si>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</si>
  <si>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</si>
  <si>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</si>
  <si>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</si>
  <si>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</si>
  <si>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</si>
  <si>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</si>
  <si>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</si>
  <si>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</si>
  <si>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</si>
  <si>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</si>
  <si>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</si>
  <si>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</si>
  <si>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</si>
  <si>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</si>
  <si>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</si>
  <si>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</si>
  <si>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</si>
  <si>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</si>
  <si>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</si>
  <si>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</si>
  <si>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</si>
  <si>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</si>
  <si>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</si>
  <si>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</si>
  <si>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</si>
  <si>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</si>
  <si>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</si>
  <si>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</si>
  <si>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</si>
  <si>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</si>
  <si>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</si>
  <si>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</si>
  <si>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</si>
  <si>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</si>
  <si>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</si>
  <si>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</si>
  <si>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</si>
  <si>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</si>
  <si>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</si>
  <si>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</si>
  <si>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</si>
  <si>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</si>
  <si>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</si>
  <si>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</si>
  <si>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</si>
  <si>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</si>
  <si>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</si>
  <si>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</si>
  <si>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</si>
  <si>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</si>
  <si>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</si>
  <si>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</si>
  <si>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</si>
  <si>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</si>
  <si>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</si>
  <si>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</si>
  <si>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</si>
  <si>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</si>
  <si>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</si>
  <si>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</si>
  <si>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</si>
  <si>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</si>
  <si>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</si>
  <si>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</si>
  <si>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</si>
  <si>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</si>
  <si>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</si>
  <si>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</si>
  <si>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</si>
  <si>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</si>
  <si>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</si>
  <si>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</si>
  <si>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</si>
  <si>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</si>
  <si>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</si>
  <si>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</si>
  <si>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</si>
  <si>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</si>
  <si>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</si>
  <si>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</si>
  <si>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</si>
  <si>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</si>
  <si>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</si>
  <si>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</si>
  <si>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</si>
  <si>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</si>
  <si>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</si>
  <si>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</si>
  <si>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</si>
  <si>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</si>
  <si>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</si>
  <si>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</si>
  <si>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</si>
  <si>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</si>
  <si>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</si>
  <si>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</si>
  <si>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</si>
  <si>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</si>
  <si>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</si>
  <si>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</si>
  <si>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</si>
  <si>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</si>
  <si>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</si>
  <si>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</si>
  <si>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</si>
  <si>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</si>
  <si>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</si>
  <si>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</si>
  <si>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</si>
  <si>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</si>
  <si>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</si>
  <si>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</si>
  <si>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</si>
  <si>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</si>
  <si>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</si>
  <si>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</si>
  <si>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</si>
  <si>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</si>
  <si>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</si>
  <si>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</si>
  <si>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</si>
  <si>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</si>
  <si>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</si>
  <si>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</si>
  <si>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</si>
  <si>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</si>
  <si>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</si>
  <si>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</si>
  <si>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</si>
  <si>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</si>
  <si>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</si>
  <si>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</si>
  <si>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</si>
  <si>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</si>
  <si>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</si>
  <si>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</si>
  <si>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</si>
  <si>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</si>
  <si>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</si>
  <si>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</si>
  <si>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</si>
  <si>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</si>
  <si>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</si>
  <si>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</si>
  <si>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</si>
  <si>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</si>
  <si>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</si>
  <si>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</si>
  <si>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</si>
  <si>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</si>
  <si>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</si>
  <si>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</si>
  <si>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</si>
  <si>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</si>
  <si>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</si>
  <si>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</si>
  <si>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</si>
  <si>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</si>
  <si>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</si>
  <si>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</si>
  <si>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</si>
  <si>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</si>
  <si>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</si>
  <si>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</si>
  <si>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</si>
  <si>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</si>
  <si>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</si>
  <si>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</si>
  <si>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</si>
  <si>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</si>
  <si>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</si>
  <si>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</si>
  <si>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</si>
  <si>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</si>
  <si>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</si>
  <si>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</si>
  <si>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</si>
  <si>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</si>
  <si>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</si>
  <si>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</si>
  <si>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</si>
  <si>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</si>
  <si>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</si>
  <si>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</si>
  <si>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</si>
  <si>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</si>
  <si>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</si>
  <si>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</si>
  <si>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</si>
  <si>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</si>
  <si>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</si>
  <si>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</si>
  <si>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</si>
  <si>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</si>
  <si>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</si>
  <si>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</si>
  <si>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</si>
  <si>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</si>
  <si>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</si>
  <si>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</si>
  <si>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</si>
  <si>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</si>
  <si>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</si>
  <si>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</si>
  <si>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</si>
  <si>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</si>
  <si>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</si>
  <si>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</si>
  <si>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</si>
  <si>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</si>
  <si>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</si>
  <si>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</si>
  <si>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</si>
  <si>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</si>
  <si>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</si>
  <si>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</si>
  <si>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</si>
  <si>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</si>
  <si>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</si>
  <si>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</si>
  <si>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</si>
  <si>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</si>
  <si>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</si>
  <si>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</si>
  <si>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</si>
  <si>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</si>
  <si>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</si>
  <si>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</si>
  <si>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</si>
  <si>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</si>
  <si>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</si>
  <si>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</si>
  <si>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</si>
  <si>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</si>
  <si>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</si>
  <si>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</si>
  <si>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</si>
  <si>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</si>
  <si>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</si>
  <si>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</si>
  <si>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</si>
  <si>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</si>
  <si>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</si>
  <si>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</si>
  <si>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</si>
  <si>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</si>
  <si>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</si>
  <si>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</si>
  <si>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</si>
  <si>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</si>
  <si>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</si>
  <si>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</si>
  <si>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</si>
  <si>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</si>
  <si>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</si>
  <si>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</si>
  <si>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</si>
  <si>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</si>
  <si>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</si>
  <si>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</si>
  <si>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</si>
  <si>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</si>
  <si>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</si>
  <si>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</si>
  <si>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</si>
  <si>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</si>
  <si>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</si>
  <si>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</si>
  <si>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</si>
  <si>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</si>
  <si>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</si>
  <si>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</si>
  <si>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</si>
  <si>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</si>
  <si>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</si>
  <si>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</si>
  <si>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</si>
  <si>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</si>
  <si>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</si>
  <si>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</si>
  <si>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</si>
  <si>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</si>
  <si>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</si>
  <si>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</si>
  <si>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</si>
  <si>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</si>
  <si>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</si>
  <si>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</si>
  <si>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</si>
  <si>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</si>
  <si>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</si>
  <si>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</si>
  <si>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</si>
  <si>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</si>
  <si>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</si>
  <si>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</si>
  <si>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</si>
  <si>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</si>
  <si>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</si>
  <si>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</si>
  <si>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</si>
  <si>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</si>
  <si>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</si>
  <si>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</si>
  <si>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</si>
  <si>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</si>
  <si>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</si>
  <si>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</si>
  <si>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</si>
  <si>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</si>
  <si>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</si>
  <si>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</si>
  <si>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</si>
  <si>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</si>
  <si>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</si>
  <si>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</si>
  <si>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</si>
  <si>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</si>
  <si>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</si>
  <si>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</si>
  <si>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</si>
  <si>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</si>
  <si>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</si>
  <si>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</si>
  <si>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</si>
  <si>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</si>
  <si>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</si>
  <si>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</si>
  <si>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</si>
  <si>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</si>
  <si>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</si>
  <si>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</si>
  <si>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</si>
  <si>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</si>
  <si>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</si>
  <si>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</si>
  <si>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</si>
  <si>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</si>
  <si>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</si>
  <si>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</si>
  <si>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</si>
  <si>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</si>
  <si>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</si>
  <si>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</si>
  <si>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</si>
  <si>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</si>
  <si>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</si>
  <si>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</si>
  <si>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</si>
  <si>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</si>
  <si>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</si>
  <si>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</si>
  <si>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</si>
  <si>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</si>
  <si>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</si>
  <si>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</si>
  <si>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</si>
  <si>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</si>
  <si>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</si>
  <si>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</si>
  <si>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</si>
  <si>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</si>
  <si>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</si>
  <si>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</si>
  <si>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</si>
  <si>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</si>
  <si>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</si>
  <si>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</si>
  <si>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</si>
  <si>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</si>
  <si>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</si>
  <si>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</si>
  <si>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</si>
  <si>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</si>
  <si>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</si>
  <si>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</si>
  <si>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</si>
  <si>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</si>
  <si>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</si>
  <si>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</si>
  <si>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</si>
  <si>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</si>
  <si>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</si>
  <si>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</si>
  <si>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</si>
  <si>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</si>
  <si>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</si>
  <si>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</si>
  <si>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</si>
  <si>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</si>
  <si>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</si>
  <si>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</si>
  <si>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</si>
  <si>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</si>
  <si>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</si>
  <si>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</si>
  <si>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</si>
  <si>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</si>
  <si>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</si>
  <si>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</si>
  <si>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</si>
  <si>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</si>
  <si>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</si>
  <si>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</si>
  <si>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</si>
  <si>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</si>
  <si>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</si>
  <si>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</si>
  <si>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</si>
  <si>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</si>
  <si>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</si>
  <si>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</si>
  <si>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</si>
  <si>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</si>
  <si>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</si>
  <si>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</si>
  <si>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</si>
  <si>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</si>
  <si>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</si>
  <si>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</si>
  <si>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</si>
  <si>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</si>
  <si>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</si>
  <si>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</si>
  <si>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</si>
  <si>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</si>
  <si>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</si>
  <si>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</si>
  <si>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</si>
  <si>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</si>
  <si>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</si>
  <si>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</si>
  <si>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</si>
  <si>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</si>
  <si>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</si>
  <si>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</si>
  <si>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</si>
  <si>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</si>
  <si>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</si>
  <si>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</si>
  <si>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</si>
  <si>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</si>
  <si>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</si>
  <si>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</si>
  <si>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</si>
  <si>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</si>
  <si>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</si>
  <si>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</si>
  <si>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</si>
  <si>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</si>
  <si>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</si>
  <si>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</si>
  <si>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</si>
  <si>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</si>
  <si>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</si>
  <si>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</si>
  <si>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</si>
  <si>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</si>
  <si>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</si>
  <si>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</si>
  <si>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</si>
  <si>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</si>
  <si>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</si>
  <si>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</si>
  <si>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</si>
  <si>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</si>
  <si>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</si>
  <si>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</si>
  <si>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</si>
  <si>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</si>
  <si>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</si>
  <si>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</si>
  <si>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</si>
  <si>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</si>
  <si>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</si>
  <si>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</si>
  <si>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</si>
  <si>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</si>
  <si>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</si>
  <si>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</si>
  <si>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</si>
  <si>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</si>
  <si>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</si>
  <si>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</si>
  <si>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</si>
  <si>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</si>
  <si>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</si>
  <si>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</si>
  <si>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</si>
  <si>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</si>
  <si>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</si>
  <si>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</si>
  <si>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</si>
  <si>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</si>
  <si>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</si>
  <si>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</si>
  <si>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</si>
  <si>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</si>
  <si>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</si>
  <si>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</si>
  <si>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</si>
  <si>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</si>
  <si>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</si>
  <si>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</si>
  <si>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</si>
  <si>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</si>
  <si>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</si>
  <si>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</si>
  <si>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</si>
  <si>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</si>
  <si>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</si>
  <si>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</si>
  <si>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</si>
  <si>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</si>
  <si>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</si>
  <si>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</si>
  <si>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</si>
  <si>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</si>
  <si>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</si>
  <si>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</si>
  <si>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</si>
  <si>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</si>
  <si>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</si>
  <si>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</si>
  <si>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</si>
  <si>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</si>
  <si>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</si>
  <si>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</si>
  <si>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</si>
  <si>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</si>
  <si>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</si>
  <si>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</si>
  <si>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</si>
  <si>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</si>
  <si>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</si>
  <si>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</si>
  <si>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</si>
  <si>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</si>
  <si>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</si>
  <si>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</si>
  <si>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</si>
  <si>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</si>
  <si>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</si>
  <si>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</si>
  <si>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</si>
  <si>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</si>
  <si>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</si>
  <si>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</si>
  <si>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</si>
  <si>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</si>
  <si>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</si>
  <si>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</si>
  <si>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</si>
  <si>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</si>
  <si>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</si>
  <si>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</si>
  <si>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</si>
  <si>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</si>
  <si>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</si>
  <si>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</si>
  <si>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</si>
  <si>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</si>
  <si>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</si>
  <si>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</si>
  <si>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</si>
  <si>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</si>
  <si>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</si>
  <si>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</si>
  <si>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</si>
  <si>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</si>
  <si>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</si>
  <si>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</si>
  <si>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</si>
  <si>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</si>
  <si>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</si>
  <si>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</si>
  <si>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</si>
  <si>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</si>
  <si>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</si>
  <si>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</si>
  <si>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</si>
  <si>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</si>
  <si>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</si>
  <si>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</si>
  <si>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</si>
  <si>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</si>
  <si>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</si>
  <si>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</si>
  <si>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</si>
  <si>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</si>
  <si>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</si>
  <si>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</si>
  <si>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</si>
  <si>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</si>
  <si>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</si>
  <si>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</si>
  <si>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</si>
  <si>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</si>
  <si>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</si>
  <si>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</si>
  <si>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</si>
  <si>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</si>
  <si>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</si>
  <si>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</si>
  <si>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</si>
  <si>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</si>
  <si>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</si>
  <si>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</si>
  <si>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</si>
  <si>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</si>
  <si>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</si>
  <si>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</si>
  <si>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</si>
  <si>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</si>
  <si>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</si>
  <si>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</si>
  <si>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</si>
  <si>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</si>
  <si>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</si>
  <si>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</si>
  <si>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</si>
  <si>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</si>
  <si>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</si>
  <si>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</si>
  <si>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</si>
  <si>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</si>
  <si>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</si>
  <si>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</si>
  <si>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</si>
  <si>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</si>
  <si>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</si>
  <si>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</si>
  <si>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</si>
  <si>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</si>
  <si>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</si>
  <si>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</si>
  <si>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</si>
  <si>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</si>
  <si>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</si>
  <si>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</si>
  <si>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</si>
  <si>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</si>
  <si>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</si>
  <si>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</si>
  <si>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</si>
  <si>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</si>
  <si>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</si>
  <si>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</si>
  <si>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</si>
  <si>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</si>
  <si>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</si>
  <si>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</si>
  <si>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</si>
  <si>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</si>
  <si>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</si>
  <si>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</si>
  <si>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</si>
  <si>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</si>
  <si>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</si>
  <si>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</si>
  <si>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</si>
  <si>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</si>
  <si>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</si>
  <si>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</si>
  <si>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</si>
  <si>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</si>
  <si>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</si>
  <si>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</si>
  <si>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</si>
  <si>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</si>
  <si>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</si>
  <si>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</si>
  <si>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</si>
  <si>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</si>
  <si>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</si>
  <si>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</si>
  <si>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</si>
  <si>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</si>
  <si>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</si>
  <si>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</si>
  <si>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</si>
  <si>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</si>
  <si>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</si>
  <si>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</si>
  <si>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</si>
  <si>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</si>
  <si>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</si>
  <si>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</si>
  <si>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</si>
  <si>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</si>
  <si>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</si>
  <si>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</si>
  <si>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</si>
  <si>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</si>
  <si>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</si>
  <si>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</si>
  <si>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</si>
  <si>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</si>
  <si>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</si>
  <si>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</si>
  <si>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</si>
  <si>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</si>
  <si>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</si>
  <si>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</si>
  <si>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</si>
  <si>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</si>
  <si>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</si>
  <si>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</si>
  <si>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</si>
  <si>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</si>
  <si>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</si>
  <si>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</si>
  <si>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</si>
  <si>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</si>
  <si>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</si>
  <si>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</si>
  <si>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</si>
  <si>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</si>
  <si>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</si>
  <si>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</si>
  <si>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</si>
  <si>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</si>
  <si>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</si>
  <si>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</si>
  <si>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</si>
  <si>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</si>
  <si>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</si>
  <si>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</si>
  <si>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</si>
  <si>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</si>
  <si>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</si>
  <si>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</si>
  <si>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</si>
  <si>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</si>
  <si>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</si>
  <si>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</si>
  <si>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</si>
  <si>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</si>
  <si>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</si>
  <si>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</si>
  <si>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</si>
  <si>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</si>
  <si>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</si>
  <si>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</si>
  <si>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</si>
  <si>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</si>
  <si>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</si>
  <si>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</si>
  <si>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</si>
  <si>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</si>
  <si>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</si>
  <si>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</si>
  <si>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</si>
  <si>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</si>
  <si>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</si>
  <si>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</si>
  <si>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</si>
  <si>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</si>
  <si>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</si>
  <si>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</si>
  <si>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</si>
  <si>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</si>
  <si>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</si>
  <si>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</si>
  <si>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</si>
  <si>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</si>
  <si>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</si>
  <si>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</si>
  <si>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</si>
  <si>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</si>
  <si>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</si>
  <si>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</si>
  <si>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</si>
  <si>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</si>
  <si>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</si>
  <si>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</si>
  <si>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</si>
  <si>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</si>
  <si>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</si>
  <si>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</si>
  <si>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</si>
  <si>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</si>
  <si>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</si>
  <si>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</si>
  <si>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</si>
  <si>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</si>
  <si>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</si>
  <si>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</si>
  <si>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</si>
  <si>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</si>
  <si>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</si>
  <si>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</si>
  <si>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</si>
  <si>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</si>
  <si>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</si>
  <si>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</si>
  <si>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</si>
  <si>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</si>
  <si>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</si>
  <si>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</si>
  <si>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</si>
  <si>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</si>
  <si>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</si>
  <si>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</si>
  <si>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</si>
  <si>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</si>
  <si>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</si>
  <si>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</si>
  <si>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</si>
  <si>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</si>
  <si>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</si>
  <si>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</si>
  <si>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</si>
  <si>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</si>
  <si>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</si>
  <si>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</si>
  <si>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</si>
  <si>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</si>
  <si>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</si>
  <si>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</si>
  <si>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</si>
  <si>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</si>
  <si>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</si>
  <si>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</si>
  <si>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</si>
  <si>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</si>
  <si>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</si>
  <si>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</si>
  <si>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</si>
  <si>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</si>
  <si>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</si>
  <si>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</si>
  <si>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</si>
  <si>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</si>
  <si>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</si>
  <si>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</si>
  <si>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</si>
  <si>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</si>
  <si>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</si>
  <si>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</si>
  <si>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</si>
  <si>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</si>
  <si>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</si>
  <si>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</si>
  <si>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</si>
  <si>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</si>
  <si>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</si>
  <si>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</si>
  <si>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</si>
  <si>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</si>
  <si>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</si>
  <si>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</si>
  <si>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</si>
  <si>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</si>
  <si>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</si>
  <si>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</si>
  <si>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</si>
  <si>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</si>
  <si>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</si>
  <si>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</si>
  <si>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</si>
  <si>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</si>
  <si>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</si>
  <si>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</si>
  <si>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</si>
  <si>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</si>
  <si>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</si>
  <si>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</si>
  <si>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</si>
  <si>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</si>
  <si>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</si>
  <si>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</si>
  <si>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</si>
  <si>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</si>
  <si>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</si>
  <si>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</si>
  <si>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</si>
  <si>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</si>
  <si>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</si>
  <si>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</si>
  <si>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</si>
  <si>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</si>
  <si>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</si>
  <si>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</si>
  <si>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</si>
  <si>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</si>
  <si>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</si>
  <si>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</si>
  <si>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</si>
  <si>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</si>
  <si>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</si>
  <si>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</si>
  <si>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</si>
  <si>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</si>
  <si>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</si>
  <si>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</si>
  <si>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</si>
  <si>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</si>
  <si>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</si>
  <si>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</si>
  <si>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</si>
  <si>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</si>
  <si>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</si>
  <si>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</si>
  <si>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</si>
  <si>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</si>
  <si>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</si>
  <si>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</si>
  <si>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</si>
  <si>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</si>
  <si>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</si>
  <si>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</si>
  <si>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</si>
  <si>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</si>
  <si>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</si>
  <si>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</si>
  <si>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</si>
  <si>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</si>
  <si>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</si>
  <si>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</si>
  <si>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</si>
  <si>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</si>
  <si>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</si>
  <si>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</si>
  <si>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</si>
  <si>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</si>
  <si>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</si>
  <si>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</si>
  <si>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</si>
  <si>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</si>
  <si>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</si>
  <si>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</si>
  <si>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</si>
  <si>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</si>
  <si>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</si>
  <si>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</si>
  <si>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</si>
  <si>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</si>
  <si>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</si>
  <si>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</si>
  <si>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</si>
  <si>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</si>
  <si>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</si>
  <si>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</si>
  <si>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</si>
  <si>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</si>
  <si>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</si>
  <si>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</si>
  <si>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</si>
  <si>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</si>
  <si>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</si>
  <si>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</si>
  <si>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</si>
  <si>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</si>
  <si>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</si>
  <si>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</si>
  <si>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</si>
  <si>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</si>
  <si>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</si>
  <si>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</si>
  <si>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</si>
  <si>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</si>
  <si>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</si>
  <si>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</si>
  <si>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</si>
  <si>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</si>
  <si>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</si>
  <si>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</si>
  <si>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</si>
  <si>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</si>
  <si>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</si>
  <si>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</si>
  <si>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</si>
  <si>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</si>
  <si>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</si>
  <si>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</si>
  <si>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</si>
  <si>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</si>
  <si>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</si>
  <si>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</si>
  <si>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</si>
  <si>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</si>
  <si>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</si>
  <si>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</si>
  <si>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</si>
  <si>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</si>
  <si>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</si>
  <si>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</si>
  <si>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</si>
  <si>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</si>
  <si>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</si>
  <si>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</si>
  <si>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</si>
  <si>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</si>
  <si>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</si>
  <si>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</si>
  <si>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</si>
  <si>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</si>
  <si>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</si>
  <si>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</si>
  <si>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</si>
  <si>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</si>
  <si>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</si>
  <si>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</si>
  <si>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</si>
  <si>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</si>
  <si>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</si>
  <si>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</si>
  <si>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</si>
  <si>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</si>
  <si>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</si>
  <si>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</si>
  <si>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</si>
  <si>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</si>
  <si>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</si>
  <si>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</si>
  <si>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</si>
  <si>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</si>
  <si>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</si>
  <si>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</si>
  <si>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</si>
  <si>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</si>
  <si>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</si>
  <si>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</si>
  <si>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</si>
  <si>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</si>
  <si>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</si>
  <si>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</si>
  <si>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</si>
  <si>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</si>
  <si>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</si>
  <si>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</si>
  <si>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</si>
  <si>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</si>
  <si>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</si>
  <si>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</si>
  <si>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</si>
  <si>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</si>
  <si>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</si>
  <si>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</si>
  <si>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</si>
  <si>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</si>
  <si>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</si>
  <si>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</si>
  <si>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</si>
  <si>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</si>
  <si>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</si>
  <si>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</si>
  <si>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</si>
  <si>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</si>
  <si>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</si>
  <si>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</si>
  <si>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</si>
  <si>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</si>
  <si>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</si>
  <si>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</si>
  <si>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</si>
  <si>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</si>
  <si>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</si>
  <si>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</si>
  <si>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</si>
  <si>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</si>
  <si>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</si>
  <si>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</si>
  <si>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</si>
  <si>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</si>
  <si>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</si>
  <si>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</si>
  <si>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</si>
  <si>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</si>
  <si>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</si>
  <si>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</si>
  <si>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</si>
  <si>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</si>
  <si>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</si>
  <si>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</si>
  <si>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</si>
  <si>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</si>
  <si>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</si>
  <si>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</si>
  <si>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</si>
  <si>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</si>
  <si>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</si>
  <si>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</si>
  <si>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</si>
  <si>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</si>
  <si>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</si>
  <si>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</si>
  <si>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</si>
  <si>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</si>
  <si>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</si>
  <si>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</si>
  <si>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</si>
  <si>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</si>
  <si>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</si>
  <si>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</si>
  <si>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</si>
  <si>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</si>
  <si>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</si>
  <si>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</si>
  <si>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</si>
  <si>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</si>
  <si>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</si>
  <si>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</si>
  <si>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</si>
  <si>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</si>
  <si>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</si>
  <si>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</si>
  <si>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</si>
  <si>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</si>
  <si>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</si>
  <si>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</si>
  <si>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</si>
  <si>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</si>
  <si>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</si>
  <si>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</si>
  <si>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</si>
  <si>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</si>
  <si>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</si>
  <si>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</si>
  <si>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</si>
  <si>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</si>
  <si>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</si>
  <si>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</si>
  <si>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</si>
  <si>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</si>
  <si>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</si>
  <si>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</si>
  <si>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</si>
  <si>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</si>
  <si>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</si>
  <si>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</si>
  <si>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</si>
  <si>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</si>
  <si>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</si>
  <si>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</si>
  <si>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</si>
  <si>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</si>
  <si>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</si>
  <si>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</si>
  <si>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</si>
  <si>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</si>
  <si>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</si>
  <si>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</si>
  <si>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</si>
  <si>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</si>
  <si>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</si>
  <si>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</si>
  <si>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</si>
  <si>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</si>
  <si>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</si>
  <si>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</si>
  <si>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</si>
  <si>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</si>
  <si>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</si>
  <si>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</si>
  <si>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</si>
  <si>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</si>
  <si>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</si>
  <si>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</si>
  <si>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</si>
  <si>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</si>
  <si>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</si>
  <si>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</si>
  <si>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</si>
  <si>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</si>
  <si>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</si>
  <si>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</si>
  <si>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</si>
  <si>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</si>
  <si>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</si>
  <si>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</si>
  <si>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</si>
  <si>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</si>
  <si>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</si>
  <si>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</si>
  <si>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</si>
  <si>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</si>
  <si>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</si>
  <si>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</si>
  <si>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</si>
  <si>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</si>
  <si>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</si>
  <si>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</si>
  <si>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</si>
  <si>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</si>
  <si>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</si>
  <si>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</si>
  <si>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</si>
  <si>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</si>
  <si>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</si>
  <si>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</si>
  <si>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</si>
  <si>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</si>
  <si>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</si>
  <si>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</si>
  <si>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</si>
  <si>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</si>
  <si>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</si>
  <si>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</si>
  <si>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</si>
  <si>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</si>
  <si>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</si>
  <si>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</si>
  <si>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</si>
  <si>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</si>
  <si>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</si>
  <si>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</si>
  <si>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</si>
  <si>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</si>
  <si>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</si>
  <si>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</si>
  <si>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</si>
  <si>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</si>
  <si>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</si>
  <si>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</si>
  <si>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</si>
  <si>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</si>
  <si>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</si>
  <si>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</si>
  <si>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</si>
  <si>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</si>
  <si>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</si>
  <si>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</si>
  <si>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</si>
  <si>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</si>
  <si>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</si>
  <si>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</si>
  <si>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</si>
  <si>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</si>
  <si>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</si>
  <si>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</si>
  <si>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</si>
  <si>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</si>
  <si>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</si>
  <si>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</si>
  <si>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</si>
  <si>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</si>
  <si>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</si>
  <si>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</si>
  <si>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</si>
  <si>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</si>
  <si>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</si>
  <si>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</si>
  <si>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</si>
  <si>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</si>
  <si>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</si>
  <si>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</si>
  <si>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</si>
  <si>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</si>
  <si>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</si>
  <si>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</si>
  <si>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</si>
  <si>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</si>
  <si>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</si>
  <si>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</si>
  <si>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</si>
  <si>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</si>
  <si>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</si>
  <si>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</si>
  <si>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</si>
  <si>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</si>
  <si>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</si>
  <si>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</si>
  <si>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</si>
  <si>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</si>
  <si>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</si>
  <si>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</si>
  <si>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</si>
  <si>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</si>
  <si>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</si>
  <si>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</si>
  <si>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</si>
  <si>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</si>
  <si>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</si>
  <si>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</si>
  <si>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</si>
  <si>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</si>
  <si>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</si>
  <si>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</si>
  <si>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</si>
  <si>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</si>
  <si>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</si>
  <si>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</si>
  <si>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</si>
  <si>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</si>
  <si>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</si>
  <si>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</si>
  <si>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</si>
  <si>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</si>
  <si>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</si>
  <si>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</si>
  <si>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</si>
  <si>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</si>
  <si>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</si>
  <si>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</si>
  <si>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</si>
  <si>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</si>
  <si>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</si>
  <si>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</si>
  <si>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</si>
  <si>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</si>
  <si>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</si>
  <si>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</si>
  <si>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</si>
  <si>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</si>
  <si>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</si>
  <si>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</si>
  <si>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</si>
  <si>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</si>
  <si>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</si>
  <si>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</si>
  <si>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</si>
  <si>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</si>
  <si>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</si>
  <si>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</si>
  <si>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</si>
  <si>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</si>
  <si>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</si>
  <si>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</si>
  <si>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</si>
  <si>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</si>
  <si>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</si>
  <si>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</si>
  <si>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</si>
  <si>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</si>
  <si>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</si>
  <si>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</si>
  <si>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</si>
  <si>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</si>
  <si>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</si>
  <si>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</si>
  <si>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</si>
  <si>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</si>
  <si>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</si>
  <si>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</si>
  <si>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</si>
  <si>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</si>
  <si>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</si>
  <si>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</si>
  <si>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</si>
  <si>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</si>
  <si>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</si>
  <si>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</si>
  <si>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</si>
  <si>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</si>
  <si>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</si>
  <si>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</si>
  <si>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</si>
  <si>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</si>
  <si>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</si>
  <si>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</si>
  <si>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</si>
  <si>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</si>
  <si>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</si>
  <si>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</si>
  <si>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</si>
  <si>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</si>
  <si>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</si>
  <si>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</si>
  <si>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</si>
  <si>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</si>
  <si>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</si>
  <si>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</si>
  <si>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</si>
  <si>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</si>
  <si>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</si>
  <si>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</si>
  <si>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</si>
  <si>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</si>
  <si>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</si>
  <si>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</si>
  <si>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</si>
  <si>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</si>
  <si>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</si>
  <si>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</si>
  <si>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</si>
  <si>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</si>
  <si>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</si>
  <si>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</si>
  <si>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</si>
  <si>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</si>
  <si>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</si>
  <si>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</si>
  <si>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</si>
  <si>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</si>
  <si>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</si>
  <si>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</si>
  <si>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</si>
  <si>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</si>
  <si>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</si>
  <si>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</si>
  <si>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</si>
  <si>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</si>
  <si>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</si>
  <si>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</si>
  <si>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</si>
  <si>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</si>
  <si>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</si>
  <si>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</si>
  <si>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</si>
  <si>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</si>
  <si>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</si>
  <si>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</si>
  <si>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</si>
  <si>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</si>
  <si>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</si>
  <si>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</si>
  <si>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</si>
  <si>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</si>
  <si>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</si>
  <si>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</si>
  <si>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</si>
  <si>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</si>
  <si>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</si>
  <si>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</si>
  <si>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</si>
  <si>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</si>
  <si>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</si>
  <si>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</si>
  <si>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</si>
  <si>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</si>
  <si>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</si>
  <si>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</si>
  <si>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</si>
  <si>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</si>
  <si>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</si>
  <si>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</si>
  <si>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</si>
  <si>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</si>
  <si>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</si>
  <si>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</si>
  <si>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</si>
  <si>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</si>
  <si>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</si>
  <si>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</si>
  <si>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</si>
  <si>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</si>
  <si>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</si>
  <si>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</si>
  <si>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</si>
  <si>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</si>
  <si>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</si>
  <si>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</si>
  <si>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</si>
  <si>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</si>
  <si>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</si>
  <si>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</si>
  <si>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</si>
  <si>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</si>
  <si>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</si>
  <si>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</si>
  <si>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</si>
  <si>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</si>
  <si>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</si>
  <si>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</si>
  <si>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</si>
  <si>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</si>
  <si>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</si>
  <si>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</si>
  <si>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</si>
  <si>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</si>
  <si>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</si>
  <si>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</si>
  <si>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</si>
  <si>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</si>
  <si>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</si>
  <si>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</si>
  <si>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</si>
  <si>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</si>
  <si>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</si>
  <si>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</si>
  <si>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</si>
  <si>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</si>
  <si>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</si>
  <si>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</si>
  <si>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</si>
  <si>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</si>
  <si>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</si>
  <si>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</si>
  <si>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</si>
  <si>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</si>
  <si>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</si>
  <si>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</si>
  <si>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</si>
  <si>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</si>
  <si>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</si>
  <si>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</si>
  <si>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</si>
  <si>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</si>
  <si>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</si>
  <si>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</si>
  <si>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</si>
  <si>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</si>
  <si>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</si>
  <si>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</si>
  <si>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</si>
  <si>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</si>
  <si>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</si>
  <si>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</si>
  <si>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</si>
  <si>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</si>
  <si>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</si>
  <si>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</si>
  <si>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</si>
  <si>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</si>
  <si>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</si>
  <si>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</si>
  <si>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</si>
  <si>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</si>
  <si>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</si>
  <si>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</si>
  <si>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</si>
  <si>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</si>
  <si>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</si>
  <si>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</si>
  <si>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</si>
  <si>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</si>
  <si>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</si>
  <si>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</si>
  <si>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</si>
  <si>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</si>
  <si>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</si>
  <si>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</si>
  <si>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</si>
  <si>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</si>
  <si>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</si>
  <si>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</si>
  <si>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</si>
  <si>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</si>
  <si>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</si>
  <si>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</si>
  <si>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</si>
  <si>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</si>
  <si>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</si>
  <si>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</si>
  <si>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</si>
  <si>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</si>
  <si>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</si>
  <si>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</si>
  <si>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</si>
  <si>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</si>
  <si>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</si>
  <si>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</si>
  <si>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</si>
  <si>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</si>
  <si>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</si>
  <si>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</si>
  <si>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</si>
  <si>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</si>
  <si>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</si>
  <si>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</si>
  <si>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</si>
  <si>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</si>
  <si>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</si>
  <si>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</si>
  <si>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</si>
  <si>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</si>
  <si>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</si>
  <si>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</si>
  <si>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</si>
  <si>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</si>
  <si>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</si>
  <si>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</si>
  <si>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</si>
  <si>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</si>
  <si>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</si>
  <si>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</si>
  <si>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</si>
  <si>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</si>
  <si>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</si>
  <si>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</si>
  <si>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</si>
  <si>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</si>
  <si>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</si>
  <si>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</si>
  <si>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</si>
  <si>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</si>
  <si>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</si>
  <si>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</si>
  <si>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</si>
  <si>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</si>
  <si>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</si>
  <si>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</si>
  <si>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</si>
  <si>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</si>
  <si>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</si>
  <si>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</si>
  <si>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</si>
  <si>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</si>
  <si>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</si>
  <si>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</si>
  <si>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</si>
  <si>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</si>
  <si>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</si>
  <si>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</si>
  <si>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</si>
  <si>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</si>
  <si>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</si>
  <si>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</si>
  <si>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</si>
  <si>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</si>
  <si>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</si>
  <si>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</si>
  <si>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</si>
  <si>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</si>
  <si>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</si>
  <si>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</si>
  <si>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</si>
  <si>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</si>
  <si>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</si>
  <si>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</si>
  <si>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</si>
  <si>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</si>
  <si>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</si>
  <si>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</si>
  <si>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</si>
  <si>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</si>
  <si>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</si>
  <si>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</si>
  <si>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</si>
  <si>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</si>
  <si>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</si>
  <si>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</si>
  <si>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</si>
  <si>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</si>
  <si>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</si>
  <si>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</si>
  <si>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</si>
  <si>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</si>
  <si>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</si>
  <si>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</si>
  <si>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</si>
  <si>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</si>
  <si>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</si>
  <si>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</si>
  <si>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</si>
  <si>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</si>
  <si>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</si>
  <si>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</si>
  <si>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</si>
  <si>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</si>
  <si>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</si>
  <si>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</si>
  <si>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</si>
  <si>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</si>
  <si>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</si>
  <si>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</si>
  <si>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</si>
  <si>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</si>
  <si>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</si>
  <si>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</si>
  <si>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</si>
  <si>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</si>
  <si>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</si>
  <si>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</si>
  <si>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</si>
  <si>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</si>
  <si>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</si>
  <si>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</si>
  <si>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</si>
  <si>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</si>
  <si>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</si>
  <si>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</si>
  <si>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</si>
  <si>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</si>
  <si>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</si>
  <si>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</si>
  <si>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</si>
  <si>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</si>
  <si>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</si>
  <si>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</si>
  <si>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</si>
  <si>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</si>
  <si>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</si>
  <si>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</si>
  <si>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</si>
  <si>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</si>
  <si>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</si>
  <si>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</si>
  <si>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</si>
  <si>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</si>
  <si>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</si>
  <si>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</si>
  <si>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</si>
  <si>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</si>
  <si>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</si>
  <si>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</si>
  <si>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</si>
  <si>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</si>
  <si>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</si>
  <si>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</si>
  <si>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</si>
  <si>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</si>
  <si>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</si>
  <si>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</si>
  <si>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</si>
  <si>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</si>
  <si>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</si>
  <si>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</si>
  <si>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</si>
  <si>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</si>
  <si>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</si>
  <si>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</si>
  <si>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</si>
  <si>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</si>
  <si>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</si>
  <si>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</si>
  <si>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</si>
  <si>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</si>
  <si>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</si>
  <si>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</si>
  <si>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</si>
  <si>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</si>
  <si>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</si>
  <si>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</si>
  <si>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</si>
  <si>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</si>
  <si>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</si>
  <si>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</si>
  <si>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</si>
  <si>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</si>
  <si>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</si>
  <si>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</si>
  <si>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</si>
  <si>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</si>
  <si>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</si>
  <si>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</si>
  <si>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</si>
  <si>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</si>
  <si>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</si>
  <si>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</si>
  <si>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</si>
  <si>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</si>
  <si>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</si>
  <si>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</si>
  <si>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</si>
  <si>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</si>
  <si>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</si>
  <si>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</si>
  <si>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</si>
  <si>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</si>
  <si>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</si>
  <si>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</si>
  <si>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</si>
  <si>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</si>
  <si>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</si>
  <si>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</si>
  <si>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</si>
  <si>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</si>
  <si>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</si>
  <si>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</si>
  <si>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</si>
  <si>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</si>
  <si>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</si>
  <si>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</si>
  <si>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</si>
  <si>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</si>
  <si>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</si>
  <si>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</si>
  <si>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</si>
  <si>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</si>
  <si>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</si>
  <si>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</si>
  <si>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</si>
  <si>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</si>
  <si>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</si>
  <si>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</si>
  <si>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</si>
  <si>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</si>
  <si>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</si>
  <si>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</si>
  <si>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</si>
  <si>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</si>
  <si>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</si>
  <si>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</si>
  <si>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</si>
  <si>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</si>
  <si>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</si>
  <si>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</si>
  <si>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</si>
  <si>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</si>
  <si>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</si>
  <si>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</si>
  <si>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</si>
  <si>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</si>
  <si>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</si>
  <si>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</si>
  <si>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</si>
  <si>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</si>
  <si>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</si>
  <si>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</si>
  <si>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</si>
  <si>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</si>
  <si>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</si>
  <si>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</si>
  <si>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</si>
  <si>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</si>
  <si>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</si>
  <si>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</si>
  <si>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</si>
  <si>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</si>
  <si>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</si>
  <si>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</si>
  <si>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</si>
  <si>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</si>
  <si>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</si>
  <si>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</si>
  <si>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</si>
  <si>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</si>
  <si>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</si>
  <si>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</si>
  <si>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</si>
  <si>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</si>
  <si>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</si>
  <si>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</si>
  <si>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</si>
  <si>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</si>
  <si>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</si>
  <si>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</si>
  <si>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</si>
  <si>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</si>
  <si>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</si>
  <si>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</si>
  <si>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</si>
  <si>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</si>
  <si>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</si>
  <si>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</si>
  <si>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</si>
  <si>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</si>
  <si>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</si>
  <si>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</si>
  <si>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</si>
  <si>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</si>
  <si>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</si>
  <si>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</si>
  <si>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</si>
  <si>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</si>
  <si>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</si>
  <si>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</si>
  <si>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</si>
  <si>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</si>
  <si>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</si>
  <si>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</si>
  <si>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</si>
  <si>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</si>
  <si>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</si>
  <si>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</si>
  <si>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</si>
  <si>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</si>
  <si>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</si>
  <si>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</si>
  <si>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</si>
  <si>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</si>
  <si>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</si>
  <si>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</si>
  <si>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</si>
  <si>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</si>
  <si>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</si>
  <si>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</si>
  <si>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</si>
  <si>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</si>
  <si>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</si>
  <si>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</si>
  <si>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</si>
  <si>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</si>
  <si>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</si>
  <si>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</si>
  <si>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</si>
  <si>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</si>
  <si>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</si>
  <si>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</si>
  <si>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</si>
  <si>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</si>
  <si>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</si>
  <si>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</si>
  <si>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</si>
  <si>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</si>
  <si>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</si>
  <si>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</si>
  <si>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</si>
  <si>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</si>
  <si>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</si>
  <si>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</si>
  <si>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</si>
  <si>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</si>
  <si>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</si>
  <si>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</si>
  <si>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</si>
  <si>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</si>
  <si>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</si>
  <si>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</si>
  <si>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</si>
  <si>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</si>
  <si>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</si>
  <si>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</si>
  <si>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</si>
  <si>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</si>
  <si>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</si>
  <si>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</si>
  <si>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</si>
  <si>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</si>
  <si>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</si>
  <si>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</si>
  <si>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</si>
  <si>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</si>
  <si>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</si>
  <si>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</si>
  <si>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</si>
  <si>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</si>
  <si>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</si>
  <si>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</si>
  <si>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</si>
  <si>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</si>
  <si>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</si>
  <si>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</si>
  <si>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</si>
  <si>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</si>
  <si>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</si>
  <si>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</si>
  <si>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</si>
  <si>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</si>
  <si>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</si>
  <si>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</si>
  <si>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</si>
  <si>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</si>
  <si>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</si>
  <si>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</si>
  <si>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</si>
  <si>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</si>
  <si>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</si>
  <si>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</si>
  <si>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</si>
  <si>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</si>
  <si>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</si>
  <si>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</si>
  <si>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</si>
  <si>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</si>
  <si>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</si>
  <si>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</si>
  <si>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</si>
  <si>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</si>
  <si>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</si>
  <si>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</si>
  <si>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</si>
  <si>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</si>
  <si>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</si>
  <si>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</si>
  <si>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</si>
  <si>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</si>
  <si>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</si>
  <si>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</si>
  <si>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</si>
  <si>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</si>
  <si>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</si>
  <si>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</si>
  <si>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</si>
  <si>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</si>
  <si>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</si>
  <si>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</si>
  <si>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</si>
  <si>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</si>
  <si>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</si>
  <si>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</si>
  <si>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</si>
  <si>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</si>
  <si>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</si>
  <si>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</si>
  <si>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</si>
  <si>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</si>
  <si>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</si>
  <si>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</si>
  <si>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</si>
  <si>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</si>
  <si>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</si>
  <si>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</si>
  <si>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</si>
  <si>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</si>
  <si>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</si>
  <si>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</si>
  <si>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</si>
  <si>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</si>
  <si>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</si>
  <si>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</si>
  <si>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</si>
  <si>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</si>
  <si>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</si>
  <si>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</si>
  <si>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</si>
  <si>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</si>
  <si>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</si>
  <si>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</si>
  <si>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</si>
  <si>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</si>
  <si>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</si>
  <si>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</si>
  <si>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</si>
  <si>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</si>
  <si>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</si>
  <si>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</si>
  <si>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</si>
  <si>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</si>
  <si>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</si>
  <si>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</si>
  <si>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</si>
  <si>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</si>
  <si>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</si>
  <si>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</si>
  <si>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</si>
  <si>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</si>
  <si>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</si>
  <si>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</si>
  <si>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</si>
  <si>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</si>
  <si>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</si>
  <si>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</si>
  <si>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</si>
  <si>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</si>
  <si>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</si>
  <si>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</si>
  <si>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</si>
  <si>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</si>
  <si>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</si>
  <si>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</si>
  <si>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</si>
  <si>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</si>
  <si>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</si>
  <si>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</si>
  <si>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</si>
  <si>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</si>
  <si>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</si>
  <si>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</si>
  <si>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</si>
  <si>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</si>
  <si>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</si>
  <si>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</si>
  <si>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</si>
  <si>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</si>
  <si>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</si>
  <si>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</si>
  <si>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</si>
  <si>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</si>
  <si>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</si>
  <si>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</si>
  <si>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</si>
  <si>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</si>
  <si>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</si>
  <si>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</si>
  <si>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</si>
  <si>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</si>
  <si>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</si>
  <si>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</si>
  <si>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</si>
  <si>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</si>
  <si>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</si>
  <si>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</si>
  <si>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</si>
  <si>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</si>
  <si>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</si>
  <si>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</si>
  <si>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</si>
  <si>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</si>
  <si>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</si>
  <si>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</si>
  <si>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</si>
  <si>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</si>
  <si>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</si>
  <si>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</si>
  <si>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</si>
  <si>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</si>
  <si>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</si>
  <si>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</si>
  <si>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</si>
  <si>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</si>
  <si>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</si>
  <si>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</si>
  <si>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</si>
  <si>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</si>
  <si>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</si>
  <si>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</si>
  <si>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</si>
  <si>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</si>
  <si>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</si>
  <si>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</si>
  <si>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</si>
  <si>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</si>
  <si>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</si>
  <si>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</si>
  <si>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</si>
  <si>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</si>
  <si>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</si>
  <si>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</si>
  <si>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</si>
  <si>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</si>
  <si>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</si>
  <si>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</si>
  <si>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</si>
  <si>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</si>
  <si>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</si>
  <si>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</si>
  <si>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</si>
  <si>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</si>
  <si>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</si>
  <si>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</si>
  <si>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</si>
  <si>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</si>
  <si>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</si>
  <si>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</si>
  <si>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</si>
  <si>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</si>
  <si>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</si>
  <si>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</si>
  <si>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</si>
  <si>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</si>
  <si>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</si>
  <si>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</si>
  <si>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</si>
  <si>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</si>
  <si>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</si>
  <si>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</si>
  <si>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</si>
  <si>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</si>
  <si>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</si>
  <si>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</si>
  <si>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</si>
  <si>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</si>
  <si>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</si>
  <si>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</si>
  <si>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</si>
  <si>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</si>
  <si>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</si>
  <si>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</si>
  <si>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</si>
  <si>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</si>
  <si>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</si>
  <si>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</si>
  <si>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</si>
  <si>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</si>
  <si>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</si>
  <si>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</si>
  <si>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</si>
  <si>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</si>
  <si>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</si>
  <si>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</si>
  <si>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</si>
  <si>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</si>
  <si>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</si>
  <si>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</si>
  <si>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</si>
  <si>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</si>
  <si>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</si>
  <si>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</si>
  <si>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</si>
  <si>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</si>
  <si>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</si>
  <si>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</si>
  <si>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</si>
  <si>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</si>
  <si>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</si>
  <si>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</si>
  <si>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</si>
  <si>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</si>
  <si>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</si>
  <si>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</si>
  <si>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</si>
  <si>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</si>
  <si>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</si>
  <si>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</si>
  <si>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</si>
  <si>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</si>
  <si>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</si>
  <si>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</si>
  <si>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</si>
  <si>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</si>
  <si>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</si>
  <si>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</si>
  <si>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</si>
  <si>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</si>
  <si>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</si>
  <si>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</si>
  <si>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</si>
  <si>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</si>
  <si>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</si>
  <si>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</si>
  <si>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</si>
  <si>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</si>
  <si>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</si>
  <si>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</si>
  <si>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</si>
  <si>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</si>
  <si>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</si>
  <si>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</si>
  <si>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</si>
  <si>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</si>
  <si>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</si>
  <si>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</si>
  <si>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</si>
  <si>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</si>
  <si>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</si>
  <si>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</si>
  <si>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</si>
  <si>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</si>
  <si>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</si>
  <si>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</si>
  <si>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</si>
  <si>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</si>
  <si>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</si>
  <si>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</si>
  <si>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</si>
  <si>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</si>
  <si>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</si>
  <si>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</si>
  <si>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</si>
  <si>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</si>
  <si>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</si>
  <si>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</si>
  <si>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</si>
  <si>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</si>
  <si>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</si>
  <si>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</si>
  <si>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</si>
  <si>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</si>
  <si>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</si>
  <si>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</si>
  <si>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</si>
  <si>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</si>
  <si>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</si>
  <si>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</si>
  <si>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</si>
  <si>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</si>
  <si>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</si>
  <si>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</si>
  <si>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</si>
  <si>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</si>
  <si>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</si>
  <si>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</si>
  <si>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</si>
  <si>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</si>
  <si>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</si>
  <si>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</si>
  <si>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</si>
  <si>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</si>
  <si>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</si>
  <si>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</si>
  <si>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</si>
  <si>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</si>
  <si>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</si>
  <si>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</si>
  <si>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</si>
  <si>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</si>
  <si>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</si>
  <si>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</si>
  <si>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</si>
  <si>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</si>
  <si>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</si>
  <si>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</si>
  <si>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</si>
  <si>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</si>
  <si>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</si>
  <si>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</si>
  <si>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</si>
  <si>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</si>
  <si>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</si>
  <si>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</si>
  <si>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</si>
  <si>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</si>
  <si>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</si>
  <si>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</si>
  <si>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</si>
  <si>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</si>
  <si>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</si>
  <si>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</si>
  <si>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</si>
  <si>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</si>
  <si>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</si>
  <si>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</si>
  <si>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</si>
  <si>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</si>
  <si>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</si>
  <si>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</si>
  <si>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</si>
  <si>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</si>
  <si>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</si>
  <si>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</si>
  <si>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</si>
  <si>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</si>
  <si>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</si>
  <si>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</si>
  <si>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</si>
  <si>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</si>
  <si>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</si>
  <si>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</si>
  <si>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</si>
  <si>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</si>
  <si>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</si>
  <si>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</si>
  <si>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</si>
  <si>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</si>
  <si>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</si>
  <si>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</si>
  <si>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</si>
  <si>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</si>
  <si>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</si>
  <si>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</si>
  <si>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</si>
  <si>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</si>
  <si>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</si>
  <si>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</si>
  <si>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</si>
  <si>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</si>
  <si>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</si>
  <si>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</si>
  <si>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</si>
  <si>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</si>
  <si>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</si>
  <si>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</si>
  <si>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</si>
  <si>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</si>
  <si>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</si>
  <si>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</si>
  <si>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</si>
  <si>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</si>
  <si>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</si>
  <si>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</si>
  <si>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</si>
  <si>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</si>
  <si>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</si>
  <si>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</si>
  <si>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</si>
  <si>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</si>
  <si>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</si>
  <si>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</si>
  <si>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</si>
  <si>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</si>
  <si>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</si>
  <si>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</si>
  <si>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</si>
  <si>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</si>
  <si>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</si>
  <si>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</si>
  <si>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</si>
  <si>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</si>
  <si>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</si>
  <si>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</si>
  <si>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</si>
  <si>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</si>
  <si>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</si>
  <si>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</si>
  <si>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</si>
  <si>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</si>
  <si>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</si>
  <si>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</si>
  <si>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</si>
  <si>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</si>
  <si>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</si>
  <si>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</si>
  <si>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</si>
  <si>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</si>
  <si>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</si>
  <si>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</si>
  <si>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</si>
  <si>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</si>
  <si>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</si>
  <si>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</si>
  <si>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</si>
  <si>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</si>
  <si>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</si>
  <si>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</si>
  <si>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</si>
  <si>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</si>
  <si>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</si>
  <si>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</si>
  <si>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</si>
  <si>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</si>
  <si>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</si>
  <si>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</si>
  <si>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</si>
  <si>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</si>
  <si>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</si>
  <si>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</si>
  <si>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</si>
  <si>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</si>
  <si>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</si>
  <si>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</si>
  <si>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</si>
  <si>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</si>
  <si>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</si>
  <si>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</si>
  <si>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</si>
  <si>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</si>
  <si>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</si>
  <si>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</si>
  <si>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</si>
  <si>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</si>
  <si>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</si>
  <si>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</si>
  <si>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</si>
  <si>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</si>
  <si>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</si>
  <si>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</si>
  <si>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</si>
  <si>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</si>
  <si>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</si>
  <si>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</si>
  <si>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</si>
  <si>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</si>
  <si>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</si>
  <si>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</si>
  <si>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</si>
  <si>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</si>
  <si>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</si>
  <si>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</si>
  <si>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</si>
  <si>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</si>
  <si>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</si>
  <si>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</si>
  <si>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</si>
  <si>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</si>
  <si>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</si>
  <si>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</si>
  <si>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</si>
  <si>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</si>
  <si>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</si>
  <si>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</si>
  <si>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</si>
  <si>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</si>
  <si>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</si>
  <si>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</si>
  <si>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</si>
  <si>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</si>
  <si>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</si>
  <si>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</si>
  <si>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</si>
  <si>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</si>
  <si>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</si>
  <si>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</si>
  <si>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</si>
  <si>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</si>
  <si>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</si>
  <si>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</si>
  <si>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</si>
  <si>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</si>
  <si>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</si>
  <si>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</si>
  <si>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</si>
  <si>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</si>
  <si>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</si>
  <si>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</si>
  <si>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</si>
  <si>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</si>
  <si>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</si>
  <si>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</si>
  <si>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</si>
  <si>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</si>
  <si>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</si>
  <si>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</si>
  <si>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</si>
  <si>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</si>
  <si>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</si>
  <si>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</si>
  <si>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</si>
  <si>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</si>
  <si>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</si>
  <si>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</si>
  <si>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</si>
  <si>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</si>
  <si>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</si>
  <si>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</si>
  <si>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</si>
  <si>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</si>
  <si>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</si>
  <si>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</si>
  <si>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</si>
  <si>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</si>
  <si>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</si>
  <si>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</si>
  <si>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</si>
  <si>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</si>
  <si>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</si>
  <si>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</si>
  <si>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</si>
  <si>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</si>
  <si>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</si>
  <si>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</si>
  <si>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</si>
  <si>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</si>
  <si>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</si>
  <si>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</si>
  <si>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</si>
  <si>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</si>
  <si>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</si>
  <si>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</si>
  <si>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</si>
  <si>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</si>
  <si>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</si>
  <si>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</si>
  <si>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</si>
  <si>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</si>
  <si>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</si>
  <si>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</si>
  <si>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</si>
  <si>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</si>
  <si>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</si>
  <si>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</si>
  <si>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</si>
  <si>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</si>
  <si>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</si>
  <si>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</si>
  <si>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</si>
  <si>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</si>
  <si>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</si>
  <si>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</si>
  <si>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</si>
  <si>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</si>
  <si>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</si>
  <si>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</si>
  <si>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</si>
  <si>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</si>
  <si>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</si>
  <si>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</si>
  <si>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</si>
  <si>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</si>
  <si>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</si>
  <si>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</si>
  <si>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</si>
  <si>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</si>
  <si>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</si>
  <si>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</si>
  <si>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</si>
  <si>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</si>
  <si>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</si>
  <si>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</si>
  <si>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</si>
  <si>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</si>
  <si>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</si>
  <si>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</si>
  <si>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</si>
  <si>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</si>
  <si>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</si>
  <si>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</si>
  <si>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</si>
  <si>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</si>
  <si>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</si>
  <si>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</si>
  <si>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</si>
  <si>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</si>
  <si>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</si>
  <si>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</si>
  <si>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</si>
  <si>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</si>
  <si>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</si>
  <si>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</si>
  <si>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</si>
  <si>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</si>
  <si>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</si>
  <si>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</si>
  <si>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</si>
  <si>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</si>
  <si>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</si>
  <si>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</si>
  <si>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</si>
  <si>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</si>
  <si>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</si>
  <si>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</si>
  <si>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</si>
  <si>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</si>
  <si>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</si>
  <si>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</si>
  <si>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</si>
  <si>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</si>
  <si>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</si>
  <si>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</si>
  <si>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</si>
  <si>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</si>
  <si>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</si>
  <si>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</si>
  <si>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</si>
  <si>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</si>
  <si>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</si>
  <si>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</si>
  <si>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</si>
  <si>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</si>
  <si>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</si>
  <si>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</si>
  <si>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</si>
  <si>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</si>
  <si>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</si>
  <si>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</si>
  <si>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</si>
  <si>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</si>
  <si>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</si>
  <si>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</si>
  <si>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</si>
  <si>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</si>
  <si>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</si>
  <si>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</si>
  <si>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</si>
  <si>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</si>
  <si>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</si>
  <si>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</si>
  <si>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</si>
  <si>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</si>
  <si>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</si>
  <si>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</si>
  <si>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</si>
  <si>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</si>
  <si>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</si>
  <si>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</si>
  <si>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</si>
  <si>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</si>
  <si>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</si>
  <si>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</si>
  <si>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</si>
  <si>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</si>
  <si>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</si>
  <si>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</si>
  <si>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</si>
  <si>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</si>
  <si>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</si>
  <si>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</si>
  <si>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</si>
  <si>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</si>
  <si>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</si>
  <si>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</si>
  <si>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</si>
  <si>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</si>
  <si>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</si>
  <si>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</si>
  <si>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</si>
  <si>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</si>
  <si>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</si>
  <si>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</si>
  <si>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</si>
  <si>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</si>
  <si>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</si>
  <si>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</si>
  <si>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</si>
  <si>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</si>
  <si>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</si>
  <si>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</si>
  <si>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</si>
  <si>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</si>
  <si>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</si>
  <si>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</si>
  <si>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</si>
  <si>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</si>
  <si>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</si>
  <si>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</si>
  <si>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</si>
  <si>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</si>
  <si>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</si>
  <si>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</si>
  <si>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</si>
  <si>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</si>
  <si>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</si>
  <si>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</si>
  <si>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</si>
  <si>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</si>
  <si>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</si>
  <si>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</si>
  <si>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</si>
  <si>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</si>
  <si>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</si>
  <si>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</si>
  <si>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</si>
  <si>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</si>
  <si>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</si>
  <si>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</si>
  <si>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</si>
  <si>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</si>
  <si>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</si>
  <si>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</si>
  <si>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</si>
  <si>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</si>
  <si>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</si>
  <si>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</si>
  <si>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</si>
  <si>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</si>
  <si>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</si>
  <si>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</si>
  <si>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</si>
  <si>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</si>
  <si>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</si>
  <si>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</si>
  <si>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</si>
  <si>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</si>
  <si>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</si>
  <si>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</si>
  <si>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</si>
  <si>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</si>
  <si>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</si>
  <si>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</si>
  <si>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</si>
  <si>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</si>
  <si>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</si>
  <si>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</si>
  <si>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</si>
  <si>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</si>
  <si>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</si>
  <si>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</si>
  <si>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</si>
  <si>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</si>
  <si>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</si>
  <si>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</si>
  <si>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</si>
  <si>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</si>
  <si>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</si>
  <si>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</si>
  <si>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</si>
  <si>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</si>
  <si>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</si>
  <si>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</si>
  <si>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</si>
  <si>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</si>
  <si>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</si>
  <si>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</si>
  <si>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</si>
  <si>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</si>
  <si>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</si>
  <si>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</si>
  <si>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</si>
  <si>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</si>
  <si>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</si>
  <si>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</si>
  <si>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</si>
  <si>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</si>
  <si>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</si>
  <si>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</si>
  <si>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</si>
  <si>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</si>
  <si>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</si>
  <si>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</si>
  <si>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</si>
  <si>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</si>
  <si>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</si>
  <si>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</si>
  <si>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</si>
  <si>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</si>
  <si>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</si>
  <si>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</si>
  <si>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</si>
  <si>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</si>
  <si>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</si>
  <si>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</si>
  <si>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</si>
  <si>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</si>
  <si>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</si>
  <si>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</si>
  <si>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</si>
  <si>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</si>
  <si>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</si>
  <si>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</si>
  <si>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</si>
  <si>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</si>
  <si>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</si>
  <si>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</si>
  <si>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</si>
  <si>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</si>
  <si>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</si>
  <si>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</si>
  <si>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</si>
  <si>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</si>
  <si>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</si>
  <si>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</si>
  <si>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</si>
  <si>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</si>
  <si>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</si>
  <si>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</si>
  <si>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</si>
  <si>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</si>
  <si>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</si>
  <si>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</si>
  <si>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</si>
  <si>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</si>
  <si>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</si>
  <si>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</si>
  <si>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</si>
  <si>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</si>
  <si>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</si>
  <si>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</si>
  <si>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</si>
  <si>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</si>
  <si>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</si>
  <si>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</si>
  <si>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</si>
  <si>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</si>
  <si>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</si>
  <si>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</si>
  <si>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</si>
  <si>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</si>
  <si>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</si>
  <si>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</si>
  <si>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</si>
  <si>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</si>
  <si>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</si>
  <si>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</si>
  <si>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</si>
  <si>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</si>
  <si>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</si>
  <si>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</si>
  <si>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</si>
  <si>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</si>
  <si>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</si>
  <si>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</si>
  <si>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</si>
  <si>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</si>
  <si>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</si>
  <si>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</si>
  <si>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</si>
  <si>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</si>
  <si>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</si>
  <si>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</si>
  <si>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</si>
  <si>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</si>
  <si>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</si>
  <si>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</si>
  <si>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</si>
  <si>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</si>
  <si>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</si>
  <si>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</si>
  <si>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</si>
  <si>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</si>
  <si>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</si>
  <si>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</si>
  <si>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</si>
  <si>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</si>
  <si>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</si>
  <si>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</si>
  <si>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</si>
  <si>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</si>
  <si>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</si>
  <si>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</si>
  <si>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</si>
  <si>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</si>
  <si>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</si>
  <si>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</si>
  <si>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</si>
  <si>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</si>
  <si>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</si>
  <si>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</si>
  <si>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</si>
  <si>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</si>
  <si>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</si>
  <si>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</si>
  <si>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</si>
  <si>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</si>
  <si>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</si>
  <si>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</si>
  <si>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</si>
  <si>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</si>
  <si>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</si>
  <si>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</si>
  <si>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</si>
  <si>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</si>
  <si>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</si>
  <si>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</si>
  <si>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</si>
  <si>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</si>
  <si>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</si>
  <si>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</si>
  <si>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</si>
  <si>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</si>
  <si>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</si>
  <si>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</si>
  <si>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</si>
  <si>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</si>
  <si>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</si>
  <si>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</si>
  <si>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</si>
  <si>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</si>
  <si>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</si>
  <si>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</si>
  <si>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</si>
  <si>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</si>
  <si>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</si>
  <si>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</si>
  <si>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</si>
  <si>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</si>
  <si>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</si>
  <si>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</si>
  <si>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</si>
  <si>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</si>
  <si>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</si>
  <si>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</si>
  <si>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</si>
  <si>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</si>
  <si>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</si>
  <si>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</si>
  <si>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</si>
  <si>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</si>
  <si>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</si>
  <si>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</si>
  <si>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</si>
  <si>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</si>
  <si>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</si>
  <si>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</si>
  <si>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</si>
  <si>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</si>
  <si>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</si>
  <si>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</si>
  <si>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</si>
  <si>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</si>
  <si>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</si>
  <si>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</si>
  <si>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</si>
  <si>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</si>
  <si>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</si>
  <si>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</si>
  <si>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</si>
  <si>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</si>
  <si>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</si>
  <si>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</si>
  <si>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</si>
  <si>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</si>
  <si>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</si>
  <si>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</si>
  <si>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</si>
  <si>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</si>
  <si>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</si>
  <si>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</si>
  <si>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</si>
  <si>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</si>
  <si>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</si>
  <si>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</si>
  <si>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</si>
  <si>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</si>
  <si>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</si>
  <si>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</si>
  <si>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</si>
  <si>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</si>
  <si>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</si>
  <si>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</si>
  <si>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</si>
  <si>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</si>
  <si>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</si>
  <si>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</si>
  <si>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</si>
  <si>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</si>
  <si>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</si>
  <si>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</si>
  <si>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</si>
  <si>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</si>
  <si>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</si>
  <si>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</si>
  <si>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</si>
  <si>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</si>
  <si>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</si>
  <si>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</si>
  <si>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</si>
  <si>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</si>
  <si>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</si>
  <si>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</si>
  <si>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</si>
  <si>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</si>
  <si>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</si>
  <si>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</si>
  <si>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</si>
  <si>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</si>
  <si>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</si>
  <si>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</si>
  <si>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</si>
  <si>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</si>
  <si>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</si>
  <si>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</si>
  <si>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</si>
  <si>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</si>
  <si>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</si>
  <si>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</si>
  <si>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</si>
  <si>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</si>
  <si>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</si>
  <si>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</si>
  <si>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</si>
  <si>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</si>
  <si>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</si>
  <si>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</si>
  <si>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</si>
  <si>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</si>
  <si>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</si>
  <si>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</si>
  <si>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</si>
  <si>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</si>
  <si>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</si>
  <si>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</si>
  <si>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</si>
  <si>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</si>
  <si>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</si>
  <si>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</si>
  <si>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</si>
  <si>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</si>
  <si>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</si>
  <si>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</si>
  <si>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</si>
  <si>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</si>
  <si>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</si>
  <si>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</si>
  <si>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</si>
  <si>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</si>
  <si>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</si>
  <si>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</si>
  <si>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</si>
  <si>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</si>
  <si>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</si>
  <si>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</si>
  <si>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</si>
  <si>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</si>
  <si>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</si>
  <si>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</si>
  <si>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</si>
  <si>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</si>
  <si>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</si>
  <si>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</si>
  <si>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</si>
  <si>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</si>
  <si>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</si>
  <si>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</si>
  <si>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</si>
  <si>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</si>
  <si>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</si>
  <si>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</si>
  <si>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</si>
  <si>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</si>
  <si>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</si>
  <si>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</si>
  <si>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</si>
  <si>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</si>
  <si>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</si>
  <si>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</si>
  <si>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</si>
  <si>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</si>
  <si>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</si>
  <si>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</si>
  <si>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</si>
  <si>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</si>
  <si>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</si>
  <si>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</si>
  <si>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</si>
  <si>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</si>
  <si>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</si>
  <si>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</si>
  <si>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</si>
  <si>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</si>
  <si>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</si>
  <si>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</si>
  <si>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</si>
  <si>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</si>
  <si>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</si>
  <si>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</si>
  <si>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</si>
  <si>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</si>
  <si>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</si>
  <si>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</si>
  <si>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</si>
  <si>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</si>
  <si>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</si>
  <si>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</si>
  <si>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</si>
  <si>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</si>
  <si>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</si>
  <si>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</si>
  <si>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</si>
  <si>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</si>
  <si>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</si>
  <si>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</si>
  <si>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</si>
  <si>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</si>
  <si>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</si>
  <si>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</si>
  <si>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</si>
  <si>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</si>
  <si>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</si>
  <si>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</si>
  <si>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</si>
  <si>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</si>
  <si>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</si>
  <si>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</si>
  <si>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</si>
  <si>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</si>
  <si>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</si>
  <si>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</si>
  <si>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</si>
  <si>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</si>
  <si>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</si>
  <si>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</si>
  <si>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</si>
  <si>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</si>
  <si>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</si>
  <si>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</si>
  <si>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</si>
  <si>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</si>
  <si>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</si>
  <si>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</si>
  <si>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</si>
  <si>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</si>
  <si>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</si>
  <si>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</si>
  <si>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</si>
  <si>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</si>
  <si>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</si>
  <si>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</si>
  <si>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</si>
  <si>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</si>
  <si>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</si>
  <si>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</si>
  <si>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</si>
  <si>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</si>
  <si>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</si>
  <si>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</si>
  <si>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</si>
  <si>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</si>
  <si>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</si>
  <si>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</si>
  <si>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</si>
  <si>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</si>
  <si>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</si>
  <si>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</si>
  <si>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</si>
  <si>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</si>
  <si>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</si>
  <si>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</si>
  <si>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</si>
  <si>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</si>
  <si>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</si>
  <si>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</si>
  <si>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</si>
  <si>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</si>
  <si>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</si>
  <si>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</si>
  <si>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</si>
  <si>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</si>
  <si>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</si>
  <si>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</si>
  <si>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</si>
  <si>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</si>
  <si>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</si>
  <si>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</si>
  <si>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</si>
  <si>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</si>
  <si>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</si>
  <si>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</si>
  <si>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</si>
  <si>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</si>
  <si>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</si>
  <si>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</si>
  <si>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</si>
  <si>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</si>
  <si>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</si>
  <si>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</si>
  <si>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</si>
  <si>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</si>
  <si>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</si>
  <si>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</si>
  <si>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</si>
  <si>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</si>
  <si>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</si>
  <si>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</si>
  <si>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</si>
  <si>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</si>
  <si>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</si>
  <si>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</si>
  <si>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</si>
  <si>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</si>
  <si>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</si>
  <si>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</si>
  <si>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</si>
  <si>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</si>
  <si>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</si>
  <si>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</si>
  <si>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</si>
  <si>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</si>
  <si>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</si>
  <si>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</si>
  <si>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</si>
  <si>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</si>
  <si>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</si>
  <si>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</si>
  <si>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</si>
  <si>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</si>
  <si>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</si>
  <si>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</si>
  <si>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</si>
  <si>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</si>
  <si>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</si>
  <si>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</si>
  <si>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</si>
  <si>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</si>
  <si>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</si>
  <si>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</si>
  <si>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</si>
  <si>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</si>
  <si>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</si>
  <si>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</si>
  <si>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</si>
  <si>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</si>
  <si>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</si>
  <si>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</si>
  <si>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</si>
  <si>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</si>
  <si>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</si>
  <si>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</si>
  <si>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</si>
  <si>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</si>
  <si>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</si>
  <si>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</si>
  <si>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</si>
  <si>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</si>
  <si>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</si>
  <si>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</si>
  <si>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</si>
  <si>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</si>
  <si>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</si>
  <si>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</si>
  <si>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</si>
  <si>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</si>
  <si>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</si>
  <si>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</si>
  <si>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</si>
  <si>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</si>
  <si>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</si>
  <si>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</si>
  <si>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</si>
  <si>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</si>
  <si>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</si>
  <si>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</si>
  <si>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</si>
  <si>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</si>
  <si>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</si>
  <si>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</si>
  <si>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</si>
  <si>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</si>
  <si>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</si>
  <si>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</si>
  <si>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</si>
  <si>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</si>
  <si>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</si>
  <si>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</si>
  <si>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</si>
  <si>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</si>
  <si>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</si>
  <si>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</si>
  <si>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</si>
  <si>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</si>
  <si>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</si>
  <si>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</si>
  <si>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</si>
  <si>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</si>
  <si>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</si>
  <si>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</si>
  <si>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</si>
  <si>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</si>
  <si>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</si>
  <si>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</si>
  <si>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</si>
  <si>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</si>
  <si>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</si>
  <si>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</si>
  <si>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</si>
  <si>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</si>
  <si>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</si>
  <si>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</si>
  <si>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</si>
  <si>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</si>
  <si>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</si>
  <si>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</si>
  <si>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</si>
  <si>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</si>
  <si>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</si>
  <si>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</si>
  <si>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</si>
  <si>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</si>
  <si>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</si>
  <si>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</si>
  <si>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</si>
  <si>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</si>
  <si>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</si>
  <si>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</si>
  <si>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</si>
  <si>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</si>
  <si>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</si>
  <si>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</si>
  <si>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</si>
  <si>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</si>
  <si>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</si>
  <si>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</si>
  <si>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</si>
  <si>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</si>
  <si>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</si>
  <si>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</si>
  <si>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</si>
  <si>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</si>
  <si>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</si>
  <si>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</si>
  <si>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</si>
  <si>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</si>
  <si>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</si>
  <si>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</si>
  <si>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</si>
  <si>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</si>
  <si>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</si>
  <si>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</si>
  <si>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</si>
  <si>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</si>
  <si>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</si>
  <si>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</si>
  <si>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</si>
  <si>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</si>
  <si>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</si>
  <si>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</si>
  <si>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</si>
  <si>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</si>
  <si>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</si>
  <si>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</si>
  <si>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</si>
  <si>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</si>
  <si>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</si>
  <si>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</si>
  <si>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</si>
  <si>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</si>
  <si>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</si>
  <si>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</si>
  <si>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</si>
  <si>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</si>
  <si>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</si>
  <si>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</si>
  <si>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</si>
  <si>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</si>
  <si>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</si>
  <si>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</si>
  <si>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</si>
  <si>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</si>
  <si>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</si>
  <si>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</si>
  <si>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</si>
  <si>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</si>
  <si>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</si>
  <si>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</si>
  <si>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</si>
  <si>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</si>
  <si>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</si>
  <si>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</si>
  <si>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</si>
  <si>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</si>
  <si>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</si>
  <si>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</si>
  <si>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</si>
  <si>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</si>
  <si>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</si>
  <si>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</si>
  <si>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</si>
  <si>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</si>
  <si>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</si>
  <si>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</si>
  <si>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</si>
  <si>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</si>
  <si>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</si>
  <si>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</si>
  <si>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</si>
  <si>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</si>
  <si>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</si>
  <si>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</si>
  <si>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</si>
  <si>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</si>
  <si>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</si>
  <si>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</si>
  <si>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</si>
  <si>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</si>
  <si>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</si>
  <si>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</si>
  <si>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</si>
  <si>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</si>
  <si>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</si>
  <si>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</si>
  <si>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</si>
  <si>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</si>
  <si>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</si>
  <si>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</si>
  <si>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</si>
  <si>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</si>
  <si>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</si>
  <si>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</si>
  <si>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</si>
  <si>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</si>
  <si>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</si>
  <si>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</si>
  <si>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</si>
  <si>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</si>
  <si>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</si>
  <si>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</si>
  <si>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</si>
  <si>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</si>
  <si>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</si>
  <si>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</si>
  <si>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</si>
  <si>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</si>
  <si>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</si>
  <si>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</si>
  <si>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</si>
  <si>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</si>
  <si>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</si>
  <si>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</si>
  <si>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</si>
  <si>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</si>
  <si>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</si>
  <si>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</si>
  <si>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</si>
  <si>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</si>
  <si>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</si>
  <si>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</si>
  <si>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</si>
  <si>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</si>
  <si>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</si>
  <si>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</si>
  <si>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</si>
  <si>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</si>
  <si>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</si>
  <si>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</si>
  <si>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</si>
  <si>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</si>
  <si>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</si>
  <si>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</si>
  <si>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</si>
  <si>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</si>
  <si>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</si>
  <si>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</si>
  <si>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</si>
  <si>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</si>
  <si>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</si>
  <si>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</si>
  <si>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</si>
  <si>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</si>
  <si>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</si>
  <si>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</si>
  <si>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</si>
  <si>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</si>
  <si>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</si>
  <si>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</si>
  <si>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</si>
  <si>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</si>
  <si>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</si>
  <si>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</si>
  <si>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</si>
  <si>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</si>
  <si>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</si>
  <si>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</si>
  <si>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</si>
  <si>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</si>
  <si>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</si>
  <si>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</si>
  <si>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</si>
  <si>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</si>
  <si>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</si>
  <si>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</si>
  <si>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</si>
  <si>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</si>
  <si>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</si>
  <si>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</si>
  <si>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</si>
  <si>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</si>
  <si>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</si>
  <si>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</si>
  <si>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</si>
  <si>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</si>
  <si>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</si>
  <si>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</si>
  <si>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</si>
  <si>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</si>
  <si>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</si>
  <si>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</si>
  <si>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</si>
  <si>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</si>
  <si>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</si>
  <si>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</si>
  <si>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</si>
  <si>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</si>
  <si>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</si>
  <si>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</si>
  <si>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</si>
  <si>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</si>
  <si>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</si>
  <si>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</si>
  <si>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</si>
  <si>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</si>
  <si>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</si>
  <si>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</si>
  <si>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</si>
  <si>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</si>
  <si>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</si>
  <si>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</si>
  <si>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</si>
  <si>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</si>
  <si>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</si>
  <si>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</si>
  <si>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</si>
  <si>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</si>
  <si>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</si>
  <si>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</si>
  <si>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</si>
  <si>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</si>
  <si>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</si>
  <si>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</si>
  <si>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</si>
  <si>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</si>
  <si>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</si>
  <si>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</si>
  <si>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</si>
  <si>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</si>
  <si>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</si>
  <si>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</si>
  <si>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</si>
  <si>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</si>
  <si>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</si>
  <si>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</si>
  <si>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</si>
  <si>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</si>
  <si>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</si>
  <si>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</si>
  <si>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</si>
  <si>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</si>
  <si>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</si>
  <si>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</si>
  <si>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</si>
  <si>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</si>
  <si>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</si>
  <si>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</si>
  <si>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</si>
  <si>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</si>
  <si>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</si>
  <si>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</si>
  <si>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</si>
  <si>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</si>
  <si>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</si>
  <si>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</si>
  <si>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</si>
  <si>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</si>
  <si>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</si>
  <si>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</si>
  <si>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</si>
  <si>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</si>
  <si>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</si>
  <si>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</si>
  <si>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</si>
  <si>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</si>
  <si>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</si>
  <si>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</si>
  <si>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</si>
  <si>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</si>
  <si>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</si>
  <si>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</si>
  <si>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</si>
  <si>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</si>
  <si>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</si>
  <si>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</si>
  <si>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</si>
  <si>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</si>
  <si>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</si>
  <si>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</si>
  <si>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</si>
  <si>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</si>
  <si>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</si>
  <si>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</si>
  <si>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</si>
  <si>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</si>
  <si>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</si>
  <si>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</si>
  <si>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</si>
  <si>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</si>
  <si>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</si>
  <si>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</si>
  <si>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</si>
  <si>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</si>
  <si>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</si>
  <si>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</si>
  <si>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</si>
  <si>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</si>
  <si>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</si>
  <si>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</si>
  <si>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</si>
  <si>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</si>
  <si>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</si>
  <si>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</si>
  <si>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</si>
  <si>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</si>
  <si>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</si>
  <si>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</si>
  <si>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</si>
  <si>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</si>
  <si>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</si>
  <si>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</si>
  <si>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</si>
  <si>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</si>
  <si>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</si>
  <si>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</si>
  <si>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</si>
  <si>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</si>
  <si>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</si>
  <si>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</si>
  <si>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</si>
  <si>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</si>
  <si>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</si>
  <si>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</si>
  <si>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</si>
  <si>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</si>
  <si>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</si>
  <si>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</si>
  <si>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</si>
  <si>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</si>
  <si>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</si>
  <si>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</si>
  <si>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</si>
  <si>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</si>
  <si>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</si>
  <si>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</si>
  <si>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</si>
  <si>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</si>
  <si>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</si>
  <si>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</si>
  <si>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</si>
  <si>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</si>
  <si>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</si>
  <si>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</si>
  <si>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</si>
  <si>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</si>
  <si>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</si>
  <si>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</si>
  <si>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</si>
  <si>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</si>
  <si>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</si>
  <si>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</si>
  <si>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</si>
  <si>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</si>
  <si>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</si>
  <si>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</si>
  <si>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</si>
  <si>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</si>
  <si>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</si>
  <si>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</si>
  <si>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</si>
  <si>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</si>
  <si>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</si>
  <si>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</si>
  <si>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</si>
  <si>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</si>
  <si>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</si>
  <si>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</si>
  <si>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</si>
  <si>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</si>
  <si>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</si>
  <si>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</si>
  <si>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</si>
  <si>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</si>
  <si>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</si>
  <si>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</si>
  <si>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</si>
  <si>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</si>
  <si>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</si>
  <si>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</si>
  <si>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</si>
  <si>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</si>
  <si>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</si>
  <si>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</si>
  <si>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</si>
  <si>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</si>
  <si>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</si>
  <si>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</si>
  <si>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</si>
  <si>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</si>
  <si>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</si>
  <si>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</si>
  <si>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</si>
  <si>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</si>
  <si>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</si>
  <si>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</si>
  <si>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</si>
  <si>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</si>
  <si>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</si>
  <si>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</si>
  <si>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</si>
  <si>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</si>
  <si>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</si>
  <si>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</si>
  <si>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</si>
  <si>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</si>
  <si>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</si>
  <si>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</si>
  <si>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</si>
  <si>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</si>
  <si>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</si>
  <si>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</si>
  <si>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</si>
  <si>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</si>
  <si>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</si>
  <si>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</si>
  <si>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</si>
  <si>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</si>
  <si>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</si>
  <si>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</si>
  <si>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</si>
  <si>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</si>
  <si>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</si>
  <si>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</si>
  <si>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</si>
  <si>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</si>
  <si>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</si>
  <si>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</si>
  <si>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</si>
  <si>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</si>
  <si>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</si>
  <si>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</si>
  <si>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</si>
  <si>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</si>
  <si>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</si>
  <si>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</si>
  <si>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</si>
  <si>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</si>
  <si>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</si>
  <si>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</si>
  <si>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</si>
  <si>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</si>
  <si>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</si>
  <si>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</si>
  <si>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</si>
  <si>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</si>
  <si>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</si>
  <si>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</si>
  <si>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</si>
  <si>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</si>
  <si>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</si>
  <si>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</si>
  <si>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</si>
  <si>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</si>
  <si>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</si>
  <si>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</si>
  <si>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</si>
  <si>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</si>
  <si>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</si>
  <si>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</si>
  <si>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</si>
  <si>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</si>
  <si>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</si>
  <si>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</si>
  <si>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</si>
  <si>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</si>
  <si>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</si>
  <si>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</si>
  <si>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</si>
  <si>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</si>
  <si>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</si>
  <si>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</si>
  <si>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</si>
  <si>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</si>
  <si>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</si>
  <si>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</si>
  <si>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</si>
  <si>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</si>
  <si>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</si>
  <si>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</si>
  <si>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</si>
  <si>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</si>
  <si>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</si>
  <si>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</si>
  <si>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</si>
  <si>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</si>
  <si>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</si>
  <si>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</si>
  <si>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</si>
  <si>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</si>
  <si>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</si>
  <si>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</si>
  <si>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</si>
  <si>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</si>
  <si>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</si>
  <si>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</si>
  <si>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</si>
  <si>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</si>
  <si>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</si>
  <si>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</si>
  <si>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</si>
  <si>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</si>
  <si>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</si>
  <si>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</si>
  <si>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</si>
  <si>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</si>
  <si>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</si>
  <si>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</si>
  <si>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</si>
  <si>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</si>
  <si>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</si>
  <si>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</si>
  <si>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</si>
  <si>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</si>
  <si>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</si>
  <si>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</si>
  <si>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</si>
  <si>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</si>
  <si>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</si>
  <si>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</si>
  <si>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</si>
  <si>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</si>
  <si>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</si>
  <si>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</si>
  <si>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</si>
  <si>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</si>
  <si>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</si>
  <si>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</si>
  <si>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</si>
  <si>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</si>
  <si>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</si>
  <si>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</si>
  <si>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</si>
  <si>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</si>
  <si>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</si>
  <si>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</si>
  <si>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</si>
  <si>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</si>
  <si>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</si>
  <si>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</si>
  <si>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</si>
  <si>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</si>
  <si>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</si>
  <si>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</si>
  <si>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</si>
  <si>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</si>
  <si>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</si>
  <si>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</si>
  <si>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</si>
  <si>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</si>
  <si>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</si>
  <si>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</si>
  <si>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</si>
  <si>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</si>
  <si>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</si>
  <si>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</si>
  <si>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</si>
  <si>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</si>
  <si>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</si>
  <si>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</si>
  <si>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</si>
  <si>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</si>
  <si>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</si>
  <si>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</si>
  <si>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</si>
  <si>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</si>
  <si>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</si>
  <si>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</si>
  <si>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</si>
  <si>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</si>
  <si>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</si>
  <si>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</si>
  <si>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</si>
  <si>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</si>
  <si>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</si>
  <si>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</si>
  <si>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</si>
  <si>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</si>
  <si>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</si>
  <si>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</si>
  <si>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</si>
  <si>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</si>
  <si>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</si>
  <si>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</si>
  <si>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</si>
  <si>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</si>
  <si>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</si>
  <si>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</si>
  <si>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</si>
  <si>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</si>
  <si>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</si>
  <si>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</si>
  <si>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</si>
  <si>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</si>
  <si>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</si>
  <si>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</si>
  <si>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</si>
  <si>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</si>
  <si>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</si>
  <si>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</si>
  <si>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</si>
  <si>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</si>
  <si>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</si>
  <si>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</si>
  <si>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</si>
  <si>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</si>
  <si>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</si>
  <si>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</si>
  <si>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</si>
  <si>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</si>
  <si>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</si>
  <si>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</si>
  <si>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</si>
  <si>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</si>
  <si>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</si>
  <si>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</si>
  <si>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</si>
  <si>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</si>
  <si>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</si>
  <si>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</si>
  <si>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</si>
  <si>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</si>
  <si>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</si>
  <si>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</si>
  <si>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</si>
  <si>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</si>
  <si>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</si>
  <si>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</si>
  <si>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</si>
  <si>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</si>
  <si>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</si>
  <si>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</si>
  <si>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</si>
  <si>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</si>
  <si>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</si>
  <si>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</si>
  <si>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</si>
  <si>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</si>
  <si>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</si>
  <si>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</si>
  <si>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</si>
  <si>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</si>
  <si>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</si>
  <si>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</si>
  <si>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</si>
  <si>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</si>
  <si>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</si>
  <si>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</si>
  <si>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</si>
  <si>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</si>
  <si>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</si>
  <si>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</si>
  <si>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</si>
  <si>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</si>
  <si>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</si>
  <si>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</si>
  <si>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</si>
  <si>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</si>
  <si>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</si>
  <si>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</si>
  <si>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</si>
  <si>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</si>
  <si>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</si>
  <si>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</si>
  <si>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</si>
  <si>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</si>
  <si>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</si>
  <si>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</si>
  <si>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</si>
  <si>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</si>
  <si>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</si>
  <si>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</si>
  <si>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</si>
  <si>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</si>
  <si>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</si>
  <si>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</si>
  <si>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</si>
  <si>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</si>
  <si>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</si>
  <si>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</si>
  <si>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</si>
  <si>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</si>
  <si>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</si>
  <si>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</si>
  <si>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</si>
  <si>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</si>
  <si>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</si>
  <si>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</si>
  <si>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</si>
  <si>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</si>
  <si>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</si>
  <si>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</si>
  <si>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</si>
  <si>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</si>
  <si>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</si>
  <si>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</si>
  <si>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</si>
  <si>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</si>
  <si>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</si>
  <si>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</si>
  <si>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</si>
  <si>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</si>
  <si>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</si>
  <si>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</si>
  <si>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</si>
  <si>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</si>
  <si>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</si>
  <si>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</si>
  <si>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</si>
  <si>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</si>
  <si>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</si>
  <si>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</si>
  <si>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</si>
  <si>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</si>
  <si>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</si>
  <si>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</si>
  <si>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</si>
  <si>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</si>
  <si>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</si>
  <si>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</si>
  <si>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</si>
  <si>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</si>
  <si>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</si>
  <si>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</si>
  <si>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</si>
  <si>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</si>
  <si>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</si>
  <si>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</si>
  <si>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</si>
  <si>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</si>
  <si>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</si>
  <si>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</si>
  <si>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</si>
  <si>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</si>
  <si>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</si>
  <si>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</si>
  <si>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</si>
  <si>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</si>
  <si>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</si>
  <si>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</si>
  <si>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</si>
  <si>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</si>
  <si>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</si>
  <si>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</si>
  <si>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</si>
  <si>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</si>
  <si>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</si>
  <si>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</si>
  <si>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</si>
  <si>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</si>
  <si>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</si>
  <si>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</si>
  <si>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</si>
  <si>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</si>
  <si>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</si>
  <si>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</si>
  <si>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</si>
  <si>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</si>
  <si>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</si>
  <si>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</si>
  <si>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</si>
  <si>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</si>
  <si>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</si>
  <si>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</si>
  <si>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</si>
  <si>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</si>
  <si>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</si>
  <si>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</si>
  <si>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</si>
  <si>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</si>
  <si>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</si>
  <si>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</si>
  <si>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</si>
  <si>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</si>
  <si>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</si>
  <si>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</si>
  <si>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</si>
  <si>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</si>
  <si>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</si>
  <si>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</si>
  <si>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</si>
  <si>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</si>
  <si>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</si>
  <si>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</si>
  <si>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</si>
  <si>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</si>
  <si>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</si>
  <si>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</si>
  <si>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</si>
  <si>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</si>
  <si>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</si>
  <si>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</si>
  <si>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</si>
  <si>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</si>
  <si>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</si>
  <si>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</si>
  <si>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</si>
  <si>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</si>
  <si>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</si>
  <si>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</si>
  <si>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</si>
  <si>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</si>
  <si>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</si>
  <si>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</si>
  <si>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</si>
  <si>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</si>
  <si>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</si>
  <si>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</si>
  <si>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</si>
  <si>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</si>
  <si>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</si>
  <si>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</si>
  <si>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</si>
  <si>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</si>
  <si>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</si>
  <si>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</si>
  <si>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</si>
  <si>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</si>
  <si>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</si>
  <si>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</si>
  <si>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</si>
  <si>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</si>
  <si>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</si>
  <si>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</si>
  <si>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</si>
  <si>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</si>
  <si>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</si>
  <si>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</si>
  <si>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</si>
  <si>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</si>
  <si>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</si>
  <si>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</si>
  <si>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</si>
  <si>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</si>
  <si>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</si>
  <si>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</si>
  <si>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</si>
  <si>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</si>
  <si>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</si>
  <si>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</si>
  <si>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</si>
  <si>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</si>
  <si>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</si>
  <si>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</si>
  <si>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</si>
  <si>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</si>
  <si>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</si>
  <si>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</si>
  <si>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</si>
  <si>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</si>
  <si>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</si>
  <si>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</si>
  <si>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</si>
  <si>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</si>
  <si>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</si>
  <si>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</si>
  <si>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</si>
  <si>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</si>
  <si>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</si>
  <si>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</si>
  <si>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</si>
  <si>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</si>
  <si>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</si>
  <si>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</si>
  <si>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</si>
  <si>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</si>
  <si>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</si>
  <si>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</si>
  <si>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</si>
  <si>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</si>
  <si>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</si>
  <si>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</si>
  <si>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</si>
  <si>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</si>
  <si>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</si>
  <si>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</si>
  <si>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</si>
  <si>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</si>
  <si>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</si>
  <si>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</si>
  <si>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</si>
  <si>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</si>
  <si>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</si>
  <si>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</si>
  <si>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</si>
  <si>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</si>
  <si>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</si>
  <si>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</si>
  <si>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</si>
  <si>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</si>
  <si>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</si>
  <si>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</si>
  <si>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</si>
  <si>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</si>
  <si>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</si>
  <si>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</si>
  <si>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</si>
  <si>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</si>
  <si>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</si>
  <si>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</si>
  <si>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</si>
  <si>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</si>
  <si>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</si>
  <si>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</si>
  <si>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</si>
  <si>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</si>
  <si>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</si>
  <si>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</si>
  <si>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</si>
  <si>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</si>
  <si>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</si>
  <si>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</si>
  <si>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</si>
  <si>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</si>
  <si>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</si>
  <si>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</si>
  <si>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</si>
  <si>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</si>
  <si>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</si>
  <si>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</si>
  <si>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</si>
  <si>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</si>
  <si>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</si>
  <si>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</si>
  <si>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</si>
  <si>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</si>
  <si>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</si>
  <si>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</si>
  <si>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</si>
  <si>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</si>
  <si>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</si>
  <si>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</si>
  <si>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</si>
  <si>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</si>
  <si>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</si>
  <si>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</si>
  <si>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</si>
  <si>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</si>
  <si>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</si>
  <si>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</si>
  <si>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</si>
  <si>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</si>
  <si>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</si>
  <si>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</si>
  <si>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</si>
  <si>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</si>
  <si>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</si>
  <si>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</si>
  <si>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</si>
  <si>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</si>
  <si>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</si>
  <si>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</si>
  <si>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</si>
  <si>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</si>
  <si>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</si>
  <si>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</si>
  <si>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</si>
  <si>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</si>
  <si>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</si>
  <si>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</si>
  <si>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</si>
  <si>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</si>
  <si>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</si>
  <si>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</si>
  <si>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</si>
  <si>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</si>
  <si>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</si>
  <si>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</si>
  <si>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</si>
  <si>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</si>
  <si>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</si>
  <si>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</si>
  <si>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</si>
  <si>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</si>
  <si>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</si>
  <si>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</si>
  <si>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</si>
  <si>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</si>
  <si>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</si>
  <si>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</si>
  <si>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</si>
  <si>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</si>
  <si>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</si>
  <si>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</si>
  <si>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</si>
  <si>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</si>
  <si>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</si>
  <si>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</si>
  <si>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</si>
  <si>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</si>
  <si>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</si>
  <si>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</si>
  <si>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</si>
  <si>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</si>
  <si>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</si>
  <si>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</si>
  <si>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</si>
  <si>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</si>
  <si>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</si>
  <si>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</si>
  <si>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</si>
  <si>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</si>
  <si>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</si>
  <si>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</si>
  <si>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</si>
  <si>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</si>
  <si>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</si>
  <si>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</si>
  <si>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</si>
  <si>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</si>
  <si>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</si>
  <si>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</si>
  <si>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</si>
  <si>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</si>
  <si>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</si>
  <si>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</si>
  <si>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</si>
  <si>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</si>
  <si>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</si>
  <si>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</si>
  <si>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</si>
  <si>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</si>
  <si>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</si>
  <si>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</si>
  <si>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</si>
  <si>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</si>
  <si>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</si>
  <si>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</si>
  <si>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</si>
  <si>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</si>
  <si>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</si>
  <si>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</si>
  <si>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</si>
  <si>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</si>
  <si>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</si>
  <si>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</si>
  <si>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</si>
  <si>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</si>
  <si>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</si>
  <si>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</si>
  <si>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</si>
  <si>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</si>
  <si>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</si>
  <si>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</si>
  <si>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</si>
  <si>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</si>
  <si>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</si>
  <si>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</si>
  <si>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</si>
  <si>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</si>
  <si>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</si>
  <si>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</si>
  <si>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</si>
  <si>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</si>
  <si>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</si>
  <si>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</si>
  <si>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</si>
  <si>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</si>
  <si>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</si>
  <si>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</si>
  <si>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</si>
  <si>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</si>
  <si>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</si>
  <si>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</si>
  <si>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</si>
  <si>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</si>
  <si>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</si>
  <si>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</si>
  <si>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</si>
  <si>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</si>
  <si>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</si>
  <si>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</si>
  <si>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</si>
  <si>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</si>
  <si>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</si>
  <si>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</si>
  <si>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</si>
  <si>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</si>
  <si>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</si>
  <si>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</si>
  <si>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</si>
  <si>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</si>
  <si>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</si>
  <si>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</si>
  <si>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</si>
  <si>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</si>
  <si>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</si>
  <si>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</si>
  <si>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</si>
  <si>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</si>
  <si>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</si>
  <si>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</si>
  <si>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</si>
  <si>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</si>
  <si>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</si>
  <si>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</si>
  <si>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</si>
  <si>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</si>
  <si>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</si>
  <si>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</si>
  <si>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</si>
  <si>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</si>
  <si>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</si>
  <si>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</si>
  <si>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</si>
  <si>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</si>
  <si>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</si>
  <si>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</si>
  <si>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</si>
  <si>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</si>
  <si>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</si>
  <si>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</si>
  <si>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</si>
  <si>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</si>
  <si>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</si>
  <si>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</si>
  <si>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</si>
  <si>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</si>
  <si>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</si>
  <si>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</si>
  <si>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</si>
  <si>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</si>
  <si>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</si>
  <si>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</si>
  <si>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</si>
  <si>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</si>
  <si>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</si>
  <si>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</si>
  <si>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</si>
  <si>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</si>
  <si>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</si>
  <si>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</si>
  <si>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</si>
  <si>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</si>
  <si>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</si>
  <si>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</si>
  <si>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</si>
  <si>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</si>
  <si>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</si>
  <si>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</si>
  <si>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</si>
  <si>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</si>
  <si>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</si>
  <si>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</si>
  <si>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</si>
  <si>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</si>
  <si>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</si>
  <si>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</si>
  <si>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</si>
  <si>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</si>
  <si>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</si>
  <si>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</si>
  <si>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</si>
  <si>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</si>
  <si>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</si>
  <si>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</si>
  <si>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</si>
  <si>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</si>
  <si>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</si>
  <si>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</si>
  <si>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</si>
  <si>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</si>
  <si>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</si>
  <si>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</si>
  <si>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</si>
  <si>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</si>
  <si>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</si>
  <si>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</si>
  <si>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</si>
  <si>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</si>
  <si>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</si>
  <si>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</si>
  <si>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</si>
  <si>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</si>
  <si>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</si>
  <si>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</si>
  <si>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</si>
  <si>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</si>
  <si>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</si>
  <si>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</si>
  <si>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</si>
  <si>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</si>
  <si>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</si>
  <si>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</si>
  <si>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</si>
  <si>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</si>
  <si>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</si>
  <si>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</si>
  <si>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</si>
  <si>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</si>
  <si>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</si>
  <si>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</si>
  <si>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</si>
  <si>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</si>
  <si>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</si>
  <si>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</si>
  <si>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</si>
  <si>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</si>
  <si>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</si>
  <si>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</si>
  <si>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</si>
  <si>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</si>
  <si>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</si>
  <si>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</si>
  <si>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</si>
  <si>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</si>
  <si>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</si>
  <si>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</si>
  <si>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</si>
  <si>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</si>
  <si>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</si>
  <si>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</si>
  <si>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</si>
  <si>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</si>
  <si>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</si>
  <si>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</si>
  <si>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</si>
  <si>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</si>
  <si>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</si>
  <si>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</si>
  <si>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</si>
  <si>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</si>
  <si>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</si>
  <si>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</si>
  <si>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</si>
  <si>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</si>
  <si>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</si>
  <si>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</si>
  <si>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</si>
  <si>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</si>
  <si>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</si>
  <si>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</si>
  <si>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</si>
  <si>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</si>
  <si>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</si>
  <si>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</si>
  <si>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</si>
  <si>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</si>
  <si>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</si>
  <si>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</si>
  <si>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</si>
  <si>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</si>
  <si>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</si>
  <si>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</si>
  <si>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</si>
  <si>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</si>
  <si>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</si>
  <si>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</si>
  <si>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</si>
  <si>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</si>
  <si>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</si>
  <si>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</si>
  <si>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</si>
  <si>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</si>
  <si>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</si>
  <si>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</si>
  <si>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</si>
  <si>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</si>
  <si>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</si>
  <si>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</si>
  <si>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</si>
  <si>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</si>
  <si>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</si>
  <si>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</si>
  <si>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</si>
  <si>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</si>
  <si>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</si>
  <si>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</si>
  <si>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</si>
  <si>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</si>
  <si>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</si>
  <si>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</si>
  <si>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</si>
  <si>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</si>
  <si>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</si>
  <si>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</si>
  <si>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</si>
  <si>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</si>
  <si>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</si>
  <si>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</si>
  <si>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</si>
  <si>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</si>
  <si>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</si>
  <si>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</si>
  <si>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</si>
  <si>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</si>
  <si>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</si>
  <si>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</si>
  <si>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</si>
  <si>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</si>
  <si>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</si>
  <si>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</si>
  <si>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</si>
  <si>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</si>
  <si>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</si>
  <si>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</si>
  <si>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</si>
  <si>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</si>
  <si>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</si>
  <si>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</si>
  <si>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</si>
  <si>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</si>
  <si>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</si>
  <si>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</si>
  <si>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</si>
  <si>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</si>
  <si>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</si>
  <si>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</si>
  <si>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</si>
  <si>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</si>
  <si>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</si>
  <si>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</si>
  <si>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</si>
  <si>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</si>
  <si>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</si>
  <si>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</si>
  <si>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</si>
  <si>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</si>
  <si>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</si>
  <si>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</si>
  <si>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</si>
  <si>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</si>
  <si>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</si>
  <si>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</si>
  <si>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</si>
  <si>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</si>
  <si>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</si>
  <si>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</si>
  <si>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</si>
  <si>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</si>
  <si>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</si>
  <si>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</si>
  <si>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</si>
  <si>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</si>
  <si>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</si>
  <si>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</si>
  <si>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</si>
  <si>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</si>
  <si>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</si>
  <si>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</si>
  <si>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</si>
  <si>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</si>
  <si>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</si>
  <si>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</si>
  <si>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</si>
  <si>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</si>
  <si>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</si>
  <si>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</si>
  <si>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</si>
  <si>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</si>
  <si>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</si>
  <si>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</si>
  <si>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</si>
  <si>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</si>
  <si>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</si>
  <si>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</si>
  <si>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</si>
  <si>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</si>
  <si>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</si>
  <si>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</si>
  <si>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</si>
  <si>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</si>
  <si>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</si>
  <si>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</si>
  <si>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</si>
  <si>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</si>
  <si>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</si>
  <si>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</si>
  <si>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</si>
  <si>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</si>
  <si>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</si>
  <si>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</si>
  <si>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</si>
  <si>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</si>
  <si>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</si>
  <si>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</si>
  <si>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</si>
  <si>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</si>
  <si>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</si>
  <si>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</si>
  <si>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</si>
  <si>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</si>
  <si>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</si>
  <si>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</si>
  <si>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</si>
  <si>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</si>
  <si>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</si>
  <si>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</si>
  <si>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</si>
  <si>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</si>
  <si>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</si>
  <si>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</si>
  <si>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</si>
  <si>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</si>
  <si>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</si>
  <si>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</si>
  <si>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</si>
  <si>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</si>
  <si>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</si>
  <si>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</si>
  <si>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</si>
  <si>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</si>
  <si>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</si>
  <si>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</si>
  <si>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</si>
  <si>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</si>
  <si>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</si>
  <si>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</si>
  <si>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</si>
  <si>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</si>
  <si>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</si>
  <si>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</si>
  <si>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</si>
  <si>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</si>
  <si>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</si>
  <si>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</si>
  <si>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</si>
  <si>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</si>
  <si>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</si>
  <si>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</si>
  <si>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</si>
  <si>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</si>
  <si>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</si>
  <si>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</si>
  <si>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</si>
  <si>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</si>
  <si>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</si>
  <si>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</si>
  <si>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</si>
  <si>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</si>
  <si>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</si>
  <si>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</si>
  <si>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</si>
  <si>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</si>
  <si>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</si>
  <si>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</si>
  <si>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</si>
  <si>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</si>
  <si>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</si>
  <si>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</si>
  <si>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</si>
  <si>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</si>
  <si>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</si>
  <si>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</si>
  <si>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</si>
  <si>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</si>
  <si>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</si>
  <si>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</si>
  <si>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</si>
  <si>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</si>
  <si>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</si>
  <si>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</si>
  <si>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</si>
  <si>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</si>
  <si>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</si>
  <si>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</si>
  <si>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</si>
  <si>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</si>
  <si>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</si>
  <si>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</si>
  <si>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</si>
  <si>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</si>
  <si>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</si>
  <si>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</si>
  <si>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</si>
  <si>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</si>
  <si>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</si>
  <si>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</si>
  <si>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</si>
  <si>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</si>
  <si>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</si>
  <si>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</si>
  <si>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</si>
  <si>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</si>
  <si>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</si>
  <si>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</si>
  <si>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</si>
  <si>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</si>
  <si>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</si>
  <si>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</si>
  <si>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</si>
  <si>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</si>
  <si>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</si>
  <si>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</si>
  <si>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</si>
  <si>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</si>
  <si>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</si>
  <si>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</si>
  <si>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</si>
  <si>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</si>
  <si>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</si>
  <si>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</si>
  <si>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</si>
  <si>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</si>
  <si>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</si>
  <si>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</si>
  <si>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</si>
  <si>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</si>
  <si>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</si>
  <si>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</si>
  <si>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</si>
  <si>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</si>
  <si>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</si>
  <si>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</si>
  <si>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</si>
  <si>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</si>
  <si>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</si>
  <si>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</si>
  <si>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</si>
  <si>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</si>
  <si>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</si>
  <si>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</si>
  <si>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</si>
  <si>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</si>
  <si>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</si>
  <si>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</si>
  <si>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</si>
  <si>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</si>
  <si>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</si>
  <si>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</si>
  <si>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</si>
  <si>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</si>
  <si>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</si>
  <si>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</si>
  <si>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</si>
  <si>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</si>
  <si>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</si>
  <si>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</si>
  <si>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</si>
  <si>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</si>
  <si>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</si>
  <si>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</si>
  <si>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</si>
  <si>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</si>
  <si>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</si>
  <si>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</si>
  <si>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</si>
  <si>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</si>
  <si>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</si>
  <si>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</si>
  <si>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</si>
  <si>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</si>
  <si>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</si>
  <si>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</si>
  <si>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</si>
  <si>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</si>
  <si>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</si>
  <si>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</si>
  <si>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</si>
  <si>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</si>
  <si>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</si>
  <si>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</si>
  <si>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</si>
  <si>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</si>
  <si>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</si>
  <si>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</si>
  <si>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</si>
  <si>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</si>
  <si>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</si>
  <si>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</si>
  <si>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</si>
  <si>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</si>
  <si>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</si>
  <si>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</si>
  <si>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</si>
  <si>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</si>
  <si>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</si>
  <si>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</si>
  <si>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</si>
  <si>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</si>
  <si>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</si>
  <si>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</si>
  <si>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</si>
  <si>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</si>
  <si>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</si>
  <si>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</si>
  <si>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</si>
  <si>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</si>
  <si>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</si>
  <si>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</si>
  <si>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</si>
  <si>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</si>
  <si>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</si>
  <si>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</si>
  <si>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</si>
  <si>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</si>
  <si>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</si>
  <si>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</si>
  <si>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</si>
  <si>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</si>
  <si>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</si>
  <si>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</si>
  <si>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</si>
  <si>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</si>
  <si>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</si>
  <si>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</si>
  <si>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</si>
  <si>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</si>
  <si>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</si>
  <si>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</si>
  <si>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</si>
  <si>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</si>
  <si>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</si>
  <si>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</si>
  <si>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</si>
  <si>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</si>
  <si>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</si>
  <si>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</si>
  <si>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</si>
  <si>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</si>
  <si>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</si>
  <si>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</si>
  <si>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</si>
  <si>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</si>
  <si>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</si>
  <si>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</si>
  <si>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</si>
  <si>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</si>
  <si>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</si>
  <si>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</si>
  <si>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</si>
  <si>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</si>
  <si>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</si>
  <si>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</si>
  <si>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</si>
  <si>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</si>
  <si>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</si>
  <si>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</si>
  <si>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</si>
  <si>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</si>
  <si>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</si>
  <si>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</si>
  <si>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</si>
  <si>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</si>
  <si>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</si>
  <si>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</si>
  <si>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</si>
  <si>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</si>
  <si>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</si>
  <si>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</si>
  <si>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</si>
  <si>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</si>
  <si>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</si>
  <si>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</si>
  <si>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</si>
  <si>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</si>
  <si>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</si>
  <si>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</si>
  <si>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</si>
  <si>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</si>
  <si>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</si>
  <si>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</si>
  <si>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</si>
  <si>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</si>
  <si>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</si>
  <si>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</si>
  <si>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</si>
  <si>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</si>
  <si>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</si>
  <si>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</si>
  <si>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</si>
  <si>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</si>
  <si>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</si>
  <si>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</si>
  <si>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</si>
  <si>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</si>
  <si>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</si>
  <si>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</si>
  <si>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</si>
  <si>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</si>
  <si>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</si>
  <si>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</si>
  <si>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</si>
  <si>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</si>
  <si>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</si>
  <si>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</si>
  <si>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</si>
  <si>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</si>
  <si>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</si>
  <si>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</si>
  <si>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</si>
  <si>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</si>
  <si>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</si>
  <si>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</si>
  <si>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</si>
  <si>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</si>
  <si>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</si>
  <si>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</si>
  <si>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</si>
  <si>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</si>
  <si>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</si>
  <si>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</si>
  <si>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</si>
  <si>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</si>
  <si>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</si>
  <si>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</si>
  <si>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</si>
  <si>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</si>
  <si>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</si>
  <si>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</si>
  <si>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</si>
  <si>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</si>
  <si>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</si>
  <si>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</si>
  <si>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</si>
  <si>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</si>
  <si>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</si>
  <si>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</si>
  <si>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</si>
  <si>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</si>
  <si>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</si>
  <si>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</si>
  <si>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</si>
  <si>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</si>
  <si>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</si>
  <si>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</si>
  <si>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</si>
  <si>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</si>
  <si>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</si>
  <si>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</si>
  <si>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</si>
  <si>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</si>
  <si>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</si>
  <si>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</si>
  <si>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</si>
  <si>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</si>
  <si>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</si>
  <si>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</si>
  <si>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</si>
  <si>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</si>
  <si>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</si>
  <si>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</si>
  <si>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</si>
  <si>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</si>
  <si>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</si>
  <si>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</si>
  <si>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</si>
  <si>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</si>
  <si>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</si>
  <si>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</si>
  <si>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</si>
  <si>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</si>
  <si>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</si>
  <si>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</si>
  <si>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</si>
  <si>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</si>
  <si>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</si>
  <si>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</si>
  <si>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</si>
  <si>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</si>
  <si>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</si>
  <si>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</si>
  <si>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</si>
  <si>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</si>
  <si>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</si>
  <si>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</si>
  <si>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</si>
  <si>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</si>
  <si>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</si>
  <si>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</si>
  <si>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</si>
  <si>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</si>
  <si>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</si>
  <si>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</si>
  <si>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</si>
  <si>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</si>
  <si>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</si>
  <si>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</si>
  <si>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</si>
  <si>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</si>
  <si>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</si>
  <si>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</si>
  <si>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</si>
  <si>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</si>
  <si>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</si>
  <si>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</si>
  <si>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</si>
  <si>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</si>
  <si>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</si>
  <si>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</si>
  <si>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</si>
  <si>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</si>
  <si>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</si>
  <si>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</si>
  <si>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</si>
  <si>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</si>
  <si>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</si>
  <si>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</si>
  <si>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</si>
  <si>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</si>
  <si>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</si>
  <si>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</si>
  <si>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</si>
  <si>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</si>
  <si>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</si>
  <si>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</si>
  <si>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</si>
  <si>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</si>
  <si>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</si>
  <si>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</si>
  <si>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</si>
  <si>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</si>
  <si>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</si>
  <si>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</si>
  <si>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</si>
  <si>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</si>
  <si>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</si>
  <si>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</si>
  <si>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</si>
  <si>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</si>
  <si>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</si>
  <si>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</si>
  <si>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</si>
  <si>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</si>
  <si>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</si>
  <si>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</si>
  <si>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</si>
  <si>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</si>
  <si>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</si>
  <si>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</si>
  <si>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</si>
  <si>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</si>
  <si>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</si>
  <si>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</si>
  <si>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</si>
  <si>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</si>
  <si>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</si>
  <si>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</si>
  <si>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</si>
  <si>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</si>
  <si>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</si>
  <si>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</si>
  <si>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</si>
  <si>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</si>
  <si>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</si>
  <si>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</si>
  <si>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</si>
  <si>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</si>
  <si>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</si>
  <si>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</si>
  <si>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</si>
  <si>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</si>
  <si>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</si>
  <si>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</si>
  <si>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</si>
  <si>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</si>
  <si>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</si>
  <si>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</si>
  <si>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</si>
  <si>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</si>
  <si>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</si>
  <si>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</si>
  <si>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</si>
  <si>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</si>
  <si>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</si>
  <si>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</si>
  <si>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</si>
  <si>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</si>
  <si>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</si>
  <si>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</si>
  <si>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</si>
  <si>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</si>
  <si>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</si>
  <si>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</si>
  <si>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</si>
  <si>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</si>
  <si>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</si>
  <si>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</si>
  <si>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</si>
  <si>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</si>
  <si>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</si>
  <si>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</si>
  <si>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</si>
  <si>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</si>
  <si>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</si>
  <si>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</si>
  <si>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</si>
  <si>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</si>
  <si>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</si>
  <si>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</si>
  <si>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</si>
  <si>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</si>
  <si>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</si>
  <si>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</si>
  <si>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</si>
  <si>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</si>
  <si>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</si>
  <si>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</si>
  <si>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</si>
  <si>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</si>
  <si>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</si>
  <si>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</si>
  <si>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</si>
  <si>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</si>
  <si>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</si>
  <si>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</si>
  <si>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</si>
  <si>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</si>
  <si>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</si>
  <si>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</si>
  <si>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</si>
  <si>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</si>
  <si>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</si>
  <si>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</si>
  <si>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</si>
  <si>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</si>
  <si>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</si>
  <si>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</si>
  <si>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</si>
  <si>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</si>
  <si>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</si>
  <si>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</si>
  <si>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</si>
  <si>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</si>
  <si>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</si>
  <si>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</si>
  <si>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</si>
  <si>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</si>
  <si>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</si>
  <si>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</si>
  <si>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</si>
  <si>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</si>
  <si>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</si>
  <si>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</si>
  <si>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</si>
  <si>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</si>
  <si>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</si>
  <si>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</si>
  <si>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</si>
  <si>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</si>
  <si>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</si>
  <si>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</si>
  <si>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</si>
  <si>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</si>
  <si>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</si>
  <si>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</si>
  <si>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</si>
  <si>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</si>
  <si>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</si>
  <si>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</si>
  <si>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</si>
  <si>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</si>
  <si>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</si>
  <si>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</si>
  <si>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</si>
  <si>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</si>
  <si>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</si>
  <si>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</si>
  <si>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</si>
  <si>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</si>
  <si>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</si>
  <si>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</si>
  <si>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</si>
  <si>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</si>
  <si>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</si>
  <si>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</si>
  <si>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</si>
  <si>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</si>
  <si>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</si>
  <si>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</si>
  <si>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</si>
  <si>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</si>
  <si>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</si>
  <si>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</si>
  <si>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</si>
  <si>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</si>
  <si>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</si>
  <si>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</si>
  <si>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</si>
  <si>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</si>
  <si>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</si>
  <si>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</si>
  <si>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</si>
  <si>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</si>
  <si>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</si>
  <si>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</si>
  <si>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</si>
  <si>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</si>
  <si>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</si>
  <si>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</si>
  <si>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</si>
  <si>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</si>
  <si>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</si>
  <si>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</si>
  <si>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</si>
  <si>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</si>
  <si>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</si>
  <si>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</si>
  <si>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</si>
  <si>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</si>
  <si>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</si>
  <si>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</si>
  <si>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</si>
  <si>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</si>
  <si>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</si>
  <si>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</si>
  <si>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</si>
  <si>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</si>
  <si>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</si>
  <si>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</si>
  <si>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</si>
  <si>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</si>
  <si>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</si>
  <si>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</si>
  <si>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</si>
  <si>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</si>
  <si>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</si>
  <si>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</si>
  <si>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</si>
  <si>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</si>
  <si>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</si>
  <si>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</si>
  <si>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</si>
  <si>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</si>
  <si>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</si>
  <si>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</si>
  <si>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</si>
  <si>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</si>
  <si>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</si>
  <si>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</si>
  <si>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</si>
  <si>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</si>
  <si>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</si>
  <si>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</si>
  <si>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</si>
  <si>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</si>
  <si>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</si>
  <si>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</si>
  <si>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</si>
  <si>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</si>
  <si>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</si>
  <si>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</si>
  <si>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</si>
  <si>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</si>
  <si>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</si>
  <si>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</si>
  <si>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</si>
  <si>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</si>
  <si>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</si>
  <si>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</si>
  <si>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</si>
  <si>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</si>
  <si>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</si>
  <si>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</si>
  <si>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</si>
  <si>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</si>
  <si>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</si>
  <si>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</si>
  <si>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</si>
  <si>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</si>
  <si>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</si>
  <si>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</si>
  <si>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</si>
  <si>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</si>
  <si>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</si>
  <si>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</si>
  <si>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</si>
  <si>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</si>
  <si>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</si>
  <si>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</si>
  <si>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</si>
  <si>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</si>
  <si>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</si>
  <si>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</si>
  <si>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</si>
  <si>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</si>
  <si>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</si>
  <si>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</si>
  <si>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</si>
  <si>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</si>
  <si>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</si>
  <si>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</si>
  <si>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</si>
  <si>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</si>
  <si>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</si>
  <si>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</si>
  <si>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</si>
  <si>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</si>
  <si>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</si>
  <si>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</si>
  <si>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</si>
  <si>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</si>
  <si>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</si>
  <si>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</si>
  <si>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</si>
  <si>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</si>
  <si>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</si>
  <si>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</si>
  <si>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</si>
  <si>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</si>
  <si>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</si>
  <si>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</si>
  <si>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</si>
  <si>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</si>
  <si>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</si>
  <si>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</si>
  <si>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</si>
  <si>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</si>
  <si>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</si>
  <si>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</si>
  <si>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</si>
  <si>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</si>
  <si>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</si>
  <si>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</si>
  <si>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</si>
  <si>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</si>
  <si>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</si>
  <si>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</si>
  <si>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</si>
  <si>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</si>
  <si>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</si>
  <si>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</si>
  <si>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</si>
  <si>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</si>
  <si>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</si>
  <si>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</si>
  <si>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</si>
  <si>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</si>
  <si>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</si>
  <si>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</si>
  <si>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</si>
  <si>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</si>
  <si>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</si>
  <si>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</si>
  <si>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</si>
  <si>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</si>
  <si>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</si>
  <si>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</si>
  <si>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</si>
  <si>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</si>
  <si>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</si>
  <si>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</si>
  <si>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</si>
  <si>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</si>
  <si>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</si>
  <si>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</si>
  <si>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</si>
  <si>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</si>
  <si>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</si>
  <si>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</si>
  <si>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</si>
  <si>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</si>
  <si>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</si>
  <si>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</si>
  <si>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</si>
  <si>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</si>
  <si>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</si>
  <si>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</si>
  <si>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</si>
  <si>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</si>
  <si>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</si>
  <si>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</si>
  <si>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</si>
  <si>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</si>
  <si>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</si>
  <si>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</si>
  <si>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</si>
  <si>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</si>
  <si>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</si>
  <si>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</si>
  <si>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</si>
  <si>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</si>
  <si>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</si>
  <si>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</si>
  <si>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</si>
  <si>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</si>
  <si>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</si>
  <si>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</si>
  <si>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</si>
  <si>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</si>
  <si>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</si>
  <si>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</si>
  <si>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</si>
  <si>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</si>
  <si>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</si>
  <si>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</si>
  <si>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</si>
  <si>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</si>
  <si>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</si>
  <si>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</si>
  <si>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</si>
  <si>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</si>
  <si>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</si>
  <si>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</si>
  <si>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</si>
  <si>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</si>
  <si>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</si>
  <si>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</si>
  <si>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</si>
  <si>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</si>
  <si>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</si>
  <si>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</si>
  <si>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</si>
  <si>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</si>
  <si>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</si>
  <si>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</si>
  <si>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</si>
  <si>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</si>
  <si>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</si>
  <si>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</si>
  <si>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</si>
  <si>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</si>
  <si>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</si>
  <si>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</si>
  <si>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</si>
  <si>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</si>
  <si>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</si>
  <si>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</si>
  <si>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</si>
  <si>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</si>
  <si>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</si>
  <si>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</si>
  <si>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</si>
  <si>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</si>
  <si>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</si>
  <si>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</si>
  <si>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</si>
  <si>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</si>
  <si>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</si>
  <si>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</si>
  <si>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</si>
  <si>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</si>
  <si>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</si>
  <si>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</si>
  <si>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</si>
  <si>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</si>
  <si>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</si>
  <si>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</si>
  <si>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</si>
  <si>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</si>
  <si>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</si>
  <si>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</si>
  <si>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</si>
  <si>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</si>
  <si>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</si>
  <si>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</si>
  <si>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</si>
  <si>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</si>
  <si>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</si>
  <si>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</si>
  <si>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</si>
  <si>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</si>
  <si>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</si>
  <si>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</si>
  <si>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</si>
  <si>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</si>
  <si>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</si>
  <si>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</si>
  <si>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</si>
  <si>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</si>
  <si>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</si>
  <si>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</si>
  <si>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</si>
  <si>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</si>
  <si>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</si>
  <si>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</si>
  <si>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</si>
  <si>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</si>
  <si>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</si>
  <si>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</si>
  <si>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</si>
  <si>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</si>
  <si>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</si>
  <si>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</si>
  <si>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</si>
  <si>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</si>
  <si>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</si>
  <si>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</si>
  <si>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</si>
  <si>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</si>
  <si>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</si>
  <si>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</si>
  <si>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</si>
  <si>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</si>
  <si>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</si>
  <si>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</si>
  <si>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</si>
  <si>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</si>
  <si>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</si>
  <si>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</si>
  <si>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</si>
  <si>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</si>
  <si>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</si>
  <si>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</si>
  <si>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</si>
  <si>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</si>
  <si>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</si>
  <si>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</si>
  <si>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</si>
  <si>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</si>
  <si>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</si>
  <si>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</si>
  <si>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</si>
  <si>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</si>
  <si>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</si>
  <si>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</si>
  <si>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</si>
  <si>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</si>
  <si>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</si>
  <si>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</si>
  <si>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</si>
  <si>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</si>
  <si>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</si>
  <si>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</si>
  <si>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</si>
  <si>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</si>
  <si>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</si>
  <si>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</si>
  <si>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</si>
  <si>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</si>
  <si>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</si>
  <si>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</si>
  <si>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</si>
  <si>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</si>
  <si>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</si>
  <si>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</si>
  <si>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</si>
  <si>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</si>
  <si>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</si>
  <si>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</si>
  <si>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</si>
  <si>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</si>
  <si>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</si>
  <si>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</si>
  <si>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</si>
  <si>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</si>
  <si>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</si>
  <si>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</si>
  <si>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</si>
  <si>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</si>
  <si>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</si>
  <si>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</si>
  <si>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</si>
  <si>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</si>
  <si>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</si>
  <si>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</si>
  <si>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</si>
  <si>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</si>
  <si>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</si>
  <si>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</si>
  <si>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</si>
  <si>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</si>
  <si>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</si>
  <si>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</si>
  <si>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</si>
  <si>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</si>
  <si>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</si>
  <si>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</si>
  <si>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</si>
  <si>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</si>
  <si>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</si>
  <si>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</si>
  <si>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</si>
  <si>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</si>
  <si>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</si>
  <si>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</si>
  <si>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</si>
  <si>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</si>
  <si>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</si>
  <si>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</si>
  <si>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</si>
  <si>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</si>
  <si>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</si>
  <si>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</si>
  <si>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</si>
  <si>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</si>
  <si>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</si>
  <si>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</si>
  <si>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</si>
  <si>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</si>
  <si>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</si>
  <si>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</si>
  <si>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</si>
  <si>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</si>
  <si>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</si>
  <si>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</si>
  <si>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</si>
  <si>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</si>
  <si>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</si>
  <si>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</si>
  <si>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</si>
  <si>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</si>
  <si>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</si>
  <si>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</si>
  <si>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</si>
  <si>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</si>
  <si>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</si>
  <si>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</si>
  <si>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</si>
  <si>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</si>
  <si>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</si>
  <si>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</si>
  <si>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</si>
  <si>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</si>
  <si>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</si>
  <si>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</si>
  <si>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</si>
  <si>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</si>
  <si>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</si>
  <si>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</si>
  <si>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</si>
  <si>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</si>
  <si>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</si>
  <si>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</si>
  <si>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</si>
  <si>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</si>
  <si>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</si>
  <si>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</si>
  <si>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</si>
  <si>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</si>
  <si>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</si>
  <si>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</si>
  <si>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</si>
  <si>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</si>
  <si>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</si>
  <si>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</si>
  <si>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</si>
  <si>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</si>
  <si>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</si>
  <si>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</si>
  <si>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</si>
  <si>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</si>
  <si>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</si>
  <si>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</si>
  <si>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</si>
  <si>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</si>
  <si>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</si>
  <si>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</si>
  <si>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</si>
  <si>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</si>
  <si>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</si>
  <si>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</si>
  <si>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</si>
  <si>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</si>
  <si>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</si>
  <si>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</si>
  <si>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</si>
  <si>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</si>
  <si>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</si>
  <si>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</si>
  <si>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</si>
  <si>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</si>
  <si>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</si>
  <si>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</si>
  <si>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</si>
  <si>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</si>
  <si>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</si>
  <si>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</si>
  <si>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</si>
  <si>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</si>
  <si>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</si>
  <si>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</si>
  <si>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</si>
  <si>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</si>
  <si>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</si>
  <si>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</si>
  <si>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</si>
  <si>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</si>
  <si>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</si>
  <si>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</si>
  <si>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</si>
  <si>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</si>
  <si>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</si>
  <si>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</si>
  <si>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</si>
  <si>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</si>
  <si>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</si>
  <si>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</si>
  <si>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</si>
  <si>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</si>
  <si>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</si>
  <si>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</si>
  <si>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</si>
  <si>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</si>
  <si>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</si>
  <si>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</si>
  <si>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</si>
  <si>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</si>
  <si>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</si>
  <si>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</si>
  <si>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</si>
  <si>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</si>
  <si>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</si>
  <si>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</si>
  <si>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</si>
  <si>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</si>
  <si>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</si>
  <si>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</si>
  <si>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</si>
  <si>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</si>
  <si>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</si>
  <si>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</si>
  <si>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</si>
  <si>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</si>
  <si>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</si>
  <si>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</si>
  <si>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</si>
  <si>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</si>
  <si>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</si>
  <si>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</si>
  <si>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</si>
  <si>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</si>
  <si>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</si>
  <si>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</si>
  <si>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</si>
  <si>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</si>
  <si>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</si>
  <si>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</si>
  <si>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</si>
  <si>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</si>
  <si>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</si>
  <si>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</si>
  <si>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</si>
  <si>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</si>
  <si>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</si>
  <si>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</si>
  <si>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</si>
  <si>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</si>
  <si>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</si>
  <si>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</si>
  <si>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</si>
  <si>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</si>
  <si>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</si>
  <si>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</si>
  <si>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</si>
  <si>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</si>
  <si>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</si>
  <si>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</si>
  <si>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</si>
  <si>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</si>
  <si>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</si>
  <si>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</si>
  <si>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</si>
  <si>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</si>
  <si>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</si>
  <si>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</si>
  <si>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</si>
  <si>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</si>
  <si>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</si>
  <si>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</si>
  <si>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</si>
  <si>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</si>
  <si>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</si>
  <si>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</si>
  <si>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</si>
  <si>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</si>
  <si>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</si>
  <si>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</si>
  <si>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</si>
  <si>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</si>
  <si>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</si>
  <si>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</si>
  <si>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</si>
  <si>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</si>
  <si>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</si>
  <si>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</si>
  <si>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</si>
  <si>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</si>
  <si>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</si>
  <si>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</si>
  <si>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</si>
  <si>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</si>
  <si>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</si>
  <si>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</si>
  <si>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</si>
  <si>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</si>
  <si>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</si>
  <si>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</si>
  <si>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</si>
  <si>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</si>
  <si>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</si>
  <si>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</si>
  <si>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</si>
  <si>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</si>
  <si>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</si>
  <si>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</si>
  <si>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</si>
  <si>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</si>
  <si>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</si>
  <si>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</si>
  <si>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</si>
  <si>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</si>
  <si>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</si>
  <si>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</si>
  <si>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</si>
  <si>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</si>
  <si>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</si>
  <si>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</si>
  <si>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</si>
  <si>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</si>
  <si>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</si>
  <si>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</si>
  <si>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</si>
  <si>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</si>
  <si>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</si>
  <si>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</si>
  <si>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</si>
  <si>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</si>
  <si>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</si>
  <si>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</si>
  <si>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</si>
  <si>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</si>
  <si>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</si>
  <si>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</si>
  <si>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</si>
  <si>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</si>
  <si>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</si>
  <si>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</si>
  <si>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</si>
  <si>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</si>
  <si>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</si>
  <si>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</si>
  <si>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</si>
  <si>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</si>
  <si>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</si>
  <si>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</si>
  <si>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</si>
  <si>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</si>
  <si>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</si>
  <si>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</si>
  <si>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</si>
  <si>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</si>
  <si>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</si>
  <si>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</si>
  <si>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</si>
  <si>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</si>
  <si>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</si>
  <si>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</si>
  <si>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</si>
  <si>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</si>
  <si>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</si>
  <si>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</si>
  <si>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</si>
  <si>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</si>
  <si>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</si>
  <si>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</si>
  <si>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</si>
  <si>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</si>
  <si>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</si>
  <si>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</si>
  <si>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</si>
  <si>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</si>
  <si>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</si>
  <si>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</si>
  <si>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</si>
  <si>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</si>
  <si>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</si>
  <si>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</si>
  <si>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</si>
  <si>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</si>
  <si>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</si>
  <si>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</si>
  <si>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</si>
  <si>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</si>
  <si>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</si>
  <si>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</si>
  <si>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</si>
  <si>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</si>
  <si>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</si>
  <si>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</si>
  <si>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</si>
  <si>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</si>
  <si>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</si>
  <si>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</si>
  <si>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</si>
  <si>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</si>
  <si>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</si>
  <si>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</si>
  <si>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</si>
  <si>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</si>
  <si>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</si>
  <si>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</si>
  <si>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</si>
  <si>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</si>
  <si>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</si>
  <si>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</si>
  <si>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</si>
  <si>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</si>
  <si>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</si>
  <si>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</si>
  <si>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</si>
  <si>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</si>
  <si>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</si>
  <si>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</si>
  <si>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</si>
  <si>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</si>
  <si>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</si>
  <si>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</si>
  <si>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</si>
  <si>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</si>
  <si>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</si>
  <si>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</si>
  <si>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</si>
  <si>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</si>
  <si>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</si>
  <si>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</si>
  <si>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</si>
  <si>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</si>
  <si>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</si>
  <si>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</si>
  <si>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</si>
  <si>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</si>
  <si>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</si>
  <si>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</si>
  <si>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</si>
  <si>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</si>
  <si>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</si>
  <si>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</si>
  <si>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</si>
  <si>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</si>
  <si>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</si>
  <si>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</si>
  <si>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</si>
  <si>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</si>
  <si>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</si>
  <si>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</si>
  <si>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</si>
  <si>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</si>
  <si>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</si>
  <si>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</si>
  <si>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</si>
  <si>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</si>
  <si>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</si>
  <si>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</si>
  <si>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</si>
  <si>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</si>
  <si>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</si>
  <si>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</si>
  <si>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</si>
  <si>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</si>
  <si>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</si>
  <si>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</si>
  <si>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</si>
  <si>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</si>
  <si>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</si>
  <si>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</si>
  <si>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</si>
  <si>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</si>
  <si>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</si>
  <si>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</si>
  <si>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</si>
  <si>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</si>
  <si>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</si>
  <si>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</si>
  <si>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</si>
  <si>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</si>
  <si>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</si>
  <si>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</si>
  <si>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</si>
  <si>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</si>
  <si>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</si>
  <si>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</si>
  <si>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</si>
  <si>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</si>
  <si>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</si>
  <si>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</si>
  <si>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</si>
  <si>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</si>
  <si>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</si>
  <si>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</si>
  <si>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</si>
  <si>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</si>
  <si>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</si>
  <si>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</si>
  <si>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</si>
  <si>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</si>
  <si>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</si>
  <si>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</si>
  <si>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</si>
  <si>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</si>
  <si>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</si>
  <si>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</si>
  <si>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</si>
  <si>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</si>
  <si>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</si>
  <si>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</si>
  <si>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</si>
  <si>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</si>
  <si>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</si>
  <si>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</si>
  <si>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</si>
  <si>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</si>
  <si>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</si>
  <si>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</si>
  <si>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</si>
  <si>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</si>
  <si>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</si>
  <si>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</si>
  <si>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</si>
  <si>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</si>
  <si>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</si>
  <si>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</si>
  <si>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</si>
  <si>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</si>
  <si>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</si>
  <si>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</si>
  <si>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</si>
  <si>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</si>
  <si>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</si>
  <si>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</si>
  <si>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</si>
  <si>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</si>
  <si>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</si>
  <si>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</si>
  <si>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</si>
  <si>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</si>
  <si>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</si>
  <si>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</si>
  <si>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</si>
  <si>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</si>
  <si>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</si>
  <si>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</si>
  <si>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</si>
  <si>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</si>
  <si>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</si>
  <si>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</si>
  <si>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</si>
  <si>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</si>
  <si>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</si>
  <si>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</si>
  <si>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</si>
  <si>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</si>
  <si>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</si>
  <si>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</si>
  <si>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</si>
  <si>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</si>
  <si>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</si>
  <si>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</si>
  <si>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</si>
  <si>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</si>
  <si>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</si>
  <si>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</si>
  <si>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</si>
  <si>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</si>
  <si>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</si>
  <si>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</si>
  <si>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</si>
  <si>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</si>
  <si>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</si>
  <si>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</si>
  <si>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</si>
  <si>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</si>
  <si>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</si>
  <si>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</si>
  <si>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</si>
  <si>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</si>
  <si>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</si>
  <si>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</si>
  <si>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</si>
  <si>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</si>
  <si>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</si>
  <si>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</si>
  <si>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</si>
  <si>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</si>
  <si>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</si>
  <si>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</si>
  <si>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</si>
  <si>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</si>
  <si>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</si>
  <si>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</si>
  <si>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</si>
  <si>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</si>
  <si>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</si>
  <si>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</si>
  <si>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</si>
  <si>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</si>
  <si>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</si>
  <si>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</si>
  <si>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</si>
  <si>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</si>
  <si>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</si>
  <si>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</si>
  <si>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</si>
  <si>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</si>
  <si>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</si>
  <si>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</si>
  <si>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</si>
  <si>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</si>
  <si>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</si>
  <si>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</si>
  <si>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</si>
  <si>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</si>
  <si>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</si>
  <si>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</si>
  <si>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</si>
  <si>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</si>
  <si>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</si>
  <si>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</si>
  <si>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</si>
  <si>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</si>
  <si>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</si>
  <si>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</si>
  <si>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</si>
  <si>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</si>
  <si>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</si>
  <si>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</si>
  <si>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</si>
  <si>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</si>
  <si>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</si>
  <si>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</si>
  <si>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</si>
  <si>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</si>
  <si>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</si>
  <si>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</si>
  <si>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</si>
  <si>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</si>
  <si>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</si>
  <si>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</si>
  <si>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</si>
  <si>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</si>
  <si>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</si>
  <si>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</si>
  <si>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</si>
  <si>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</si>
  <si>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</si>
  <si>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</si>
  <si>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</si>
  <si>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</si>
  <si>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</si>
  <si>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</si>
  <si>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</si>
  <si>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</si>
  <si>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</si>
  <si>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</si>
  <si>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</si>
  <si>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</si>
  <si>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</si>
  <si>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</si>
  <si>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</si>
  <si>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</si>
  <si>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</si>
  <si>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</si>
  <si>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</si>
  <si>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</si>
  <si>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</si>
  <si>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</si>
  <si>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</si>
  <si>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</si>
  <si>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</si>
  <si>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</si>
  <si>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</si>
  <si>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</si>
  <si>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</si>
  <si>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</si>
  <si>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</si>
  <si>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</si>
  <si>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</si>
  <si>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</si>
  <si>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</si>
  <si>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</si>
  <si>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</si>
  <si>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</si>
  <si>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</si>
  <si>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</si>
  <si>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</si>
  <si>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</si>
  <si>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</si>
  <si>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</si>
  <si>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</si>
  <si>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</si>
  <si>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</si>
  <si>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</si>
  <si>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</si>
  <si>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</si>
  <si>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</si>
  <si>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</si>
  <si>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</si>
  <si>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</si>
  <si>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</si>
  <si>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</si>
  <si>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</si>
  <si>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</si>
  <si>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</si>
  <si>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</si>
  <si>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</si>
  <si>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</si>
  <si>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</si>
  <si>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</si>
  <si>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</si>
  <si>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</si>
  <si>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</si>
  <si>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</si>
  <si>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</si>
  <si>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</si>
  <si>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</si>
  <si>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</si>
  <si>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</si>
  <si>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</si>
  <si>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</si>
  <si>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</si>
  <si>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</si>
  <si>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</si>
  <si>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</si>
  <si>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</si>
  <si>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</si>
  <si>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</si>
  <si>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</si>
  <si>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</si>
  <si>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</si>
  <si>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</si>
  <si>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</si>
  <si>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</si>
  <si>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</si>
  <si>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</si>
  <si>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</si>
  <si>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</si>
  <si>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</si>
  <si>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</si>
  <si>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</si>
  <si>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</si>
  <si>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</si>
  <si>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</si>
  <si>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</si>
  <si>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</si>
  <si>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</si>
  <si>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</si>
  <si>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</si>
  <si>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</si>
  <si>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</si>
  <si>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</si>
  <si>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</si>
  <si>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</si>
  <si>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</si>
  <si>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</si>
  <si>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</si>
  <si>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</si>
  <si>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</si>
  <si>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</si>
  <si>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</si>
  <si>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</si>
  <si>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</si>
  <si>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</si>
  <si>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</si>
  <si>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</si>
  <si>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</si>
  <si>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</si>
  <si>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</si>
  <si>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</si>
  <si>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</si>
  <si>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</si>
  <si>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</si>
  <si>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</si>
  <si>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</si>
  <si>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</si>
  <si>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</si>
  <si>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</si>
  <si>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</si>
  <si>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</si>
  <si>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</si>
  <si>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</si>
  <si>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</si>
  <si>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</si>
  <si>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</si>
  <si>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</si>
  <si>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</si>
  <si>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</si>
  <si>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</si>
  <si>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</si>
  <si>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</si>
  <si>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</si>
  <si>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</si>
  <si>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</si>
  <si>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</si>
  <si>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</si>
  <si>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</si>
  <si>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</si>
  <si>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</si>
  <si>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</si>
  <si>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</si>
  <si>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</si>
  <si>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</si>
  <si>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</si>
  <si>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</si>
  <si>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</si>
  <si>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</si>
  <si>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</si>
  <si>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</si>
  <si>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</si>
  <si>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</si>
  <si>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</si>
  <si>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</si>
  <si>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</si>
  <si>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</si>
  <si>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</si>
  <si>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</si>
  <si>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</si>
  <si>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</si>
  <si>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</si>
  <si>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</si>
  <si>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</si>
  <si>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</si>
  <si>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</si>
  <si>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</si>
  <si>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</si>
  <si>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</si>
  <si>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</si>
  <si>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</si>
  <si>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</si>
  <si>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</si>
  <si>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</si>
  <si>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</si>
  <si>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</si>
  <si>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</si>
  <si>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</si>
  <si>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</si>
  <si>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</si>
  <si>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</si>
  <si>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</si>
  <si>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</si>
  <si>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</si>
  <si>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</si>
  <si>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</si>
  <si>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</si>
  <si>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</si>
  <si>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</si>
  <si>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</si>
  <si>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</si>
  <si>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</si>
  <si>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</si>
  <si>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</si>
  <si>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</si>
  <si>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</si>
  <si>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</si>
  <si>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</si>
  <si>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</si>
  <si>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</si>
  <si>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</si>
  <si>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</si>
  <si>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</si>
  <si>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</si>
  <si>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</si>
  <si>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</si>
  <si>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</si>
  <si>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</si>
  <si>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</si>
  <si>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</si>
  <si>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</si>
  <si>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</si>
  <si>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</si>
  <si>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</si>
  <si>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</si>
  <si>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</si>
  <si>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</si>
  <si>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</si>
  <si>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</si>
  <si>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</si>
  <si>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</si>
  <si>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</si>
  <si>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</si>
  <si>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</si>
  <si>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</si>
  <si>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</si>
  <si>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</si>
  <si>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</si>
  <si>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</si>
  <si>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</si>
  <si>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</si>
  <si>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</si>
  <si>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</si>
  <si>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</si>
  <si>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</si>
  <si>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</si>
  <si>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</si>
  <si>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</si>
  <si>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</si>
  <si>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</si>
  <si>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</si>
  <si>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</si>
  <si>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</si>
  <si>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</si>
  <si>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</si>
  <si>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</si>
  <si>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</si>
  <si>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</si>
  <si>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</si>
  <si>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</si>
  <si>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</si>
  <si>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</si>
  <si>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</si>
  <si>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</si>
  <si>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</si>
  <si>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</si>
  <si>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</si>
  <si>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</si>
  <si>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</si>
  <si>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</si>
  <si>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</si>
  <si>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</si>
  <si>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</si>
  <si>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</si>
  <si>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</si>
  <si>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</si>
  <si>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</si>
  <si>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</si>
  <si>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</si>
  <si>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</si>
  <si>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</si>
  <si>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</si>
  <si>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</si>
  <si>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</si>
  <si>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</si>
  <si>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</si>
  <si>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</si>
  <si>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</si>
  <si>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</si>
  <si>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</si>
  <si>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</si>
  <si>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</si>
  <si>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</si>
  <si>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</si>
  <si>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</si>
  <si>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</si>
  <si>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</si>
  <si>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</si>
  <si>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</si>
  <si>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</si>
  <si>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</si>
  <si>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</si>
  <si>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</si>
  <si>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</si>
  <si>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</si>
  <si>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</si>
  <si>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</si>
  <si>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</si>
  <si>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</si>
  <si>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</si>
  <si>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</si>
  <si>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</si>
  <si>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</si>
  <si>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</si>
  <si>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</si>
  <si>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</si>
  <si>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</si>
  <si>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</si>
  <si>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</si>
  <si>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</si>
  <si>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</si>
  <si>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</si>
  <si>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</si>
  <si>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</si>
  <si>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</si>
  <si>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</si>
  <si>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</si>
  <si>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</si>
  <si>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</si>
  <si>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</si>
  <si>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</si>
  <si>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</si>
  <si>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</si>
  <si>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</si>
  <si>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</si>
  <si>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</si>
  <si>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</si>
  <si>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</si>
  <si>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</si>
  <si>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</si>
  <si>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</si>
  <si>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</si>
  <si>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</si>
  <si>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</si>
  <si>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</si>
  <si>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</si>
  <si>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</si>
  <si>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</si>
  <si>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</si>
  <si>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</si>
  <si>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</si>
  <si>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</si>
  <si>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</si>
  <si>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</si>
  <si>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</si>
  <si>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</si>
  <si>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</si>
  <si>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</si>
  <si>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</si>
  <si>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</si>
  <si>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</si>
  <si>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</si>
  <si>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</si>
  <si>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</si>
  <si>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</si>
  <si>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</si>
  <si>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</si>
  <si>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</si>
  <si>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</si>
  <si>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</si>
  <si>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</si>
  <si>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</si>
  <si>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</si>
  <si>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</si>
  <si>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</si>
  <si>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</si>
  <si>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</si>
  <si>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</si>
  <si>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</si>
  <si>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</si>
  <si>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</si>
  <si>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</si>
  <si>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</si>
  <si>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</si>
  <si>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</si>
  <si>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</si>
  <si>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</si>
  <si>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</si>
  <si>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</si>
  <si>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</si>
  <si>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</si>
  <si>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</si>
  <si>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</si>
  <si>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</si>
  <si>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</si>
  <si>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</si>
  <si>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</si>
  <si>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</si>
  <si>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</si>
  <si>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</si>
  <si>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</si>
  <si>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</si>
  <si>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</si>
  <si>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</si>
  <si>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</si>
  <si>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</si>
  <si>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</si>
  <si>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</si>
  <si>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</si>
  <si>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</si>
  <si>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</si>
  <si>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</si>
  <si>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</si>
  <si>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</si>
  <si>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</si>
  <si>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</si>
  <si>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</si>
  <si>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</si>
  <si>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</si>
  <si>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</si>
  <si>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</si>
  <si>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</si>
  <si>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</si>
  <si>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</si>
  <si>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</si>
  <si>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</si>
  <si>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</si>
  <si>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</si>
  <si>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</si>
  <si>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</si>
  <si>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</si>
  <si>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</si>
  <si>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</si>
  <si>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</si>
  <si>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</si>
  <si>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</si>
  <si>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</si>
  <si>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</si>
  <si>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</si>
  <si>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</si>
  <si>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</si>
  <si>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</si>
  <si>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</si>
  <si>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</si>
  <si>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</si>
  <si>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</si>
  <si>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</si>
  <si>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</si>
  <si>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</si>
  <si>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</si>
  <si>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</si>
  <si>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</si>
  <si>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</si>
  <si>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</si>
  <si>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</si>
  <si>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</si>
  <si>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</si>
  <si>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</si>
  <si>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</si>
  <si>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</si>
  <si>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</si>
  <si>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</si>
  <si>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</si>
  <si>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</si>
  <si>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</si>
  <si>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</si>
  <si>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</si>
  <si>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</si>
  <si>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</si>
  <si>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</si>
  <si>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</si>
  <si>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</si>
  <si>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</si>
  <si>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</si>
  <si>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</si>
  <si>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</si>
  <si>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</si>
  <si>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</si>
  <si>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</si>
  <si>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</si>
  <si>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</si>
  <si>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</si>
  <si>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</si>
  <si>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</si>
  <si>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</si>
  <si>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</si>
  <si>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</si>
  <si>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</si>
  <si>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</si>
  <si>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</si>
  <si>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</si>
  <si>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</si>
  <si>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</si>
  <si>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</si>
  <si>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</si>
  <si>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</si>
  <si>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</si>
  <si>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</si>
  <si>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</si>
  <si>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</si>
  <si>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</si>
  <si>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</si>
  <si>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</si>
  <si>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</si>
  <si>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</si>
  <si>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</si>
  <si>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</si>
  <si>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</si>
  <si>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</si>
  <si>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</si>
  <si>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</si>
  <si>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</si>
  <si>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</si>
  <si>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</si>
  <si>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</si>
  <si>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</si>
  <si>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</si>
  <si>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</si>
  <si>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</si>
  <si>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</si>
  <si>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</si>
  <si>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</si>
  <si>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</si>
  <si>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</si>
  <si>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</si>
  <si>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</si>
  <si>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</si>
  <si>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</si>
  <si>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</si>
  <si>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</si>
  <si>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</si>
  <si>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</si>
  <si>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</si>
  <si>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</si>
  <si>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</si>
  <si>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</si>
  <si>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</si>
  <si>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</si>
  <si>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</si>
  <si>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</si>
  <si>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</si>
  <si>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</si>
  <si>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</si>
  <si>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</si>
  <si>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</si>
  <si>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</si>
  <si>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</si>
  <si>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</si>
  <si>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</si>
  <si>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</si>
  <si>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</si>
  <si>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</si>
  <si>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</si>
  <si>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</si>
  <si>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RM-COST</t>
  </si>
  <si>
    <t>Restonic Hotel Motel Pocketed Memory Regular Border 75X60X10</t>
  </si>
  <si>
    <t>Hotel Motel Poc  8MM/16D Pre Foam Memory Border 29 CM Height</t>
  </si>
  <si>
    <t>Restonic Hotel Motel Memory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</si>
</sst>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1" t="s">
        <v>0</v>
      </c>
      <c r="B1" s="41" t="s">
        <v>1</v>
      </c>
      <c r="C1" s="41" t="s">
        <v>2</v>
      </c>
    </row>
    <row r="2" spans="1:50">
      <c r="A2" s="1">
        <v>1</v>
      </c>
      <c r="B2" s="1" t="s">
        <v>31535</v>
      </c>
      <c r="C2" s="1" t="s">
        <v>31536</v>
      </c>
      <c r="D2" s="42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2"/>
    </row>
    <row r="4" spans="1:50">
      <c r="A4" s="1">
        <v>3</v>
      </c>
      <c r="B4" s="1" t="s">
        <v>31573</v>
      </c>
      <c r="C4" s="1" t="s">
        <v>31574</v>
      </c>
      <c r="D4" s="42"/>
    </row>
    <row r="5" spans="1:50">
      <c r="A5" s="1">
        <v>4</v>
      </c>
      <c r="B5" s="1" t="s">
        <v>31575</v>
      </c>
      <c r="C5" s="1" t="s">
        <v>31576</v>
      </c>
      <c r="D5" s="42"/>
    </row>
    <row r="6" spans="1:50">
      <c r="A6" s="1">
        <v>5</v>
      </c>
      <c r="B6" s="1" t="s">
        <v>31577</v>
      </c>
      <c r="C6" s="1" t="s">
        <v>31578</v>
      </c>
      <c r="D6" s="42"/>
    </row>
    <row r="7" spans="1:50">
      <c r="A7" s="1">
        <v>6</v>
      </c>
      <c r="B7" s="1" t="s">
        <v>31579</v>
      </c>
      <c r="C7" s="1" t="s">
        <v>31580</v>
      </c>
      <c r="D7" s="42"/>
    </row>
    <row r="8" spans="1:50">
      <c r="A8" s="1">
        <v>7</v>
      </c>
      <c r="B8" s="1" t="s">
        <v>31581</v>
      </c>
      <c r="C8" s="1" t="s">
        <v>31582</v>
      </c>
      <c r="D8" s="42"/>
    </row>
    <row r="9" spans="1:50">
      <c r="A9" s="1">
        <v>8</v>
      </c>
      <c r="B9" s="1" t="s">
        <v>31583</v>
      </c>
      <c r="C9" s="1" t="s">
        <v>31584</v>
      </c>
      <c r="D9" s="42"/>
    </row>
    <row r="10" spans="1:50">
      <c r="A10" s="1">
        <v>9</v>
      </c>
      <c r="B10" s="1" t="s">
        <v>31585</v>
      </c>
      <c r="C10" s="1" t="s">
        <v>31586</v>
      </c>
      <c r="D10" s="42"/>
    </row>
    <row r="11" spans="1:50">
      <c r="A11" s="1">
        <v>10</v>
      </c>
      <c r="B11" s="1" t="s">
        <v>31587</v>
      </c>
      <c r="C11" s="1" t="s">
        <v>31588</v>
      </c>
      <c r="D11" s="42"/>
    </row>
    <row r="12" spans="1:50">
      <c r="A12" s="1">
        <v>11</v>
      </c>
      <c r="B12" s="1" t="s">
        <v>31589</v>
      </c>
      <c r="C12" s="1" t="s">
        <v>31590</v>
      </c>
      <c r="D12" s="42"/>
    </row>
    <row r="13" spans="1:50">
      <c r="A13" s="1">
        <v>12</v>
      </c>
      <c r="B13" s="1" t="s">
        <v>31591</v>
      </c>
      <c r="C13" s="1" t="s">
        <v>31592</v>
      </c>
      <c r="D13" s="42"/>
    </row>
    <row r="14" spans="1:50">
      <c r="A14" s="1">
        <v>13</v>
      </c>
      <c r="B14" s="1" t="s">
        <v>31593</v>
      </c>
      <c r="C14" s="1" t="s">
        <v>31594</v>
      </c>
      <c r="D14" s="42"/>
    </row>
    <row r="15" spans="1:50">
      <c r="A15" s="1">
        <v>14</v>
      </c>
      <c r="B15" s="1" t="s">
        <v>31595</v>
      </c>
      <c r="C15" s="1" t="s">
        <v>31596</v>
      </c>
      <c r="D15" s="42"/>
    </row>
    <row r="16" spans="1:50">
      <c r="A16" s="1">
        <v>15</v>
      </c>
      <c r="B16" s="1" t="s">
        <v>31597</v>
      </c>
      <c r="C16" s="1" t="s">
        <v>31598</v>
      </c>
      <c r="D16" s="42"/>
    </row>
    <row r="17" spans="1:4">
      <c r="A17" s="1">
        <v>16</v>
      </c>
      <c r="B17" s="1" t="s">
        <v>31599</v>
      </c>
      <c r="C17" s="1" t="s">
        <v>31600</v>
      </c>
      <c r="D17" s="42"/>
    </row>
    <row r="18" spans="1:4">
      <c r="A18" s="1">
        <v>17</v>
      </c>
      <c r="B18" s="1" t="s">
        <v>31601</v>
      </c>
      <c r="C18" s="1" t="s">
        <v>31602</v>
      </c>
      <c r="D18" s="42"/>
    </row>
    <row r="19" spans="1:4">
      <c r="A19" s="1">
        <v>18</v>
      </c>
      <c r="B19" s="1" t="s">
        <v>31603</v>
      </c>
      <c r="C19" s="1" t="s">
        <v>31604</v>
      </c>
      <c r="D19" s="42"/>
    </row>
    <row r="20" spans="1:4">
      <c r="A20" s="1">
        <v>19</v>
      </c>
      <c r="B20" s="1" t="s">
        <v>31605</v>
      </c>
      <c r="C20" s="1" t="s">
        <v>31606</v>
      </c>
      <c r="D20" s="42"/>
    </row>
    <row r="21" spans="1:4">
      <c r="A21" s="1">
        <v>20</v>
      </c>
      <c r="B21" s="1" t="s">
        <v>31607</v>
      </c>
      <c r="C21" s="1" t="s">
        <v>31608</v>
      </c>
      <c r="D21" s="42"/>
    </row>
    <row r="22" spans="1:4">
      <c r="A22" s="1">
        <v>21</v>
      </c>
      <c r="B22" s="1" t="s">
        <v>31609</v>
      </c>
      <c r="C22" s="1" t="s">
        <v>31610</v>
      </c>
      <c r="D22" s="42"/>
    </row>
    <row r="23" spans="1:4">
      <c r="A23" s="1">
        <v>22</v>
      </c>
      <c r="B23" s="1" t="s">
        <v>31611</v>
      </c>
      <c r="C23" s="1" t="s">
        <v>31612</v>
      </c>
      <c r="D23" s="42"/>
    </row>
    <row r="24" spans="1:4">
      <c r="A24" s="1">
        <v>23</v>
      </c>
      <c r="B24" s="1" t="s">
        <v>31613</v>
      </c>
      <c r="C24" s="1" t="s">
        <v>31614</v>
      </c>
      <c r="D24" s="42"/>
    </row>
    <row r="25" spans="1:4">
      <c r="A25" s="1">
        <v>24</v>
      </c>
      <c r="B25" s="1" t="s">
        <v>31615</v>
      </c>
      <c r="C25" s="1" t="s">
        <v>31616</v>
      </c>
      <c r="D25" s="42"/>
    </row>
    <row r="26" spans="1:4">
      <c r="A26" s="1">
        <v>25</v>
      </c>
      <c r="B26" s="1" t="s">
        <v>31617</v>
      </c>
      <c r="C26" s="1" t="s">
        <v>31618</v>
      </c>
      <c r="D26" s="42"/>
    </row>
    <row r="27" spans="1:4">
      <c r="A27" s="1">
        <v>26</v>
      </c>
      <c r="B27" s="1" t="s">
        <v>31619</v>
      </c>
      <c r="C27" s="1" t="s">
        <v>31620</v>
      </c>
      <c r="D27" s="42"/>
    </row>
    <row r="28" spans="1:4">
      <c r="A28" s="1">
        <v>27</v>
      </c>
      <c r="B28" s="1" t="s">
        <v>31621</v>
      </c>
      <c r="C28" s="1" t="s">
        <v>31622</v>
      </c>
      <c r="D28" s="42"/>
    </row>
    <row r="29" spans="1:4">
      <c r="A29" s="1">
        <v>28</v>
      </c>
      <c r="B29" s="1" t="s">
        <v>31623</v>
      </c>
      <c r="C29" s="1" t="s">
        <v>31624</v>
      </c>
      <c r="D29" s="42"/>
    </row>
    <row r="30" spans="1:4">
      <c r="A30" s="1">
        <v>29</v>
      </c>
      <c r="B30" s="1" t="s">
        <v>31625</v>
      </c>
      <c r="C30" s="1" t="s">
        <v>31626</v>
      </c>
      <c r="D30" s="42"/>
    </row>
    <row r="31" spans="1:4">
      <c r="A31" s="1">
        <v>30</v>
      </c>
      <c r="B31" s="1" t="s">
        <v>31627</v>
      </c>
      <c r="C31" s="1" t="s">
        <v>31628</v>
      </c>
      <c r="D31" s="42"/>
    </row>
    <row r="32" spans="1:4">
      <c r="A32" s="1">
        <v>31</v>
      </c>
      <c r="B32" s="1" t="s">
        <v>31629</v>
      </c>
      <c r="C32" s="1" t="s">
        <v>31630</v>
      </c>
      <c r="D32" s="42"/>
    </row>
    <row r="33" spans="1:4">
      <c r="A33" s="1">
        <v>32</v>
      </c>
      <c r="B33" s="1" t="s">
        <v>31631</v>
      </c>
      <c r="C33" s="1" t="s">
        <v>31632</v>
      </c>
      <c r="D33" s="42"/>
    </row>
    <row r="34" spans="1:4">
      <c r="A34" s="1">
        <v>33</v>
      </c>
      <c r="B34" s="1" t="s">
        <v>31633</v>
      </c>
      <c r="C34" s="1" t="s">
        <v>31634</v>
      </c>
      <c r="D34" s="42"/>
    </row>
    <row r="35" spans="1:4">
      <c r="A35" s="1">
        <v>34</v>
      </c>
      <c r="B35" s="1" t="s">
        <v>31635</v>
      </c>
      <c r="C35" s="1" t="s">
        <v>31636</v>
      </c>
      <c r="D35" s="42"/>
    </row>
    <row r="36" spans="1:4">
      <c r="A36" s="1">
        <v>35</v>
      </c>
      <c r="B36" s="1" t="s">
        <v>31637</v>
      </c>
      <c r="C36" s="1" t="s">
        <v>31638</v>
      </c>
      <c r="D36" s="42"/>
    </row>
    <row r="37" spans="1:4">
      <c r="A37" s="1">
        <v>36</v>
      </c>
      <c r="B37" s="1" t="s">
        <v>31639</v>
      </c>
      <c r="C37" s="1" t="s">
        <v>31640</v>
      </c>
      <c r="D37" s="42"/>
    </row>
    <row r="38" spans="1:4">
      <c r="A38" s="1">
        <v>37</v>
      </c>
      <c r="B38" s="1" t="s">
        <v>31641</v>
      </c>
      <c r="C38" s="1" t="s">
        <v>31642</v>
      </c>
      <c r="D38" s="42"/>
    </row>
    <row r="39" spans="1:4">
      <c r="A39" s="1">
        <v>38</v>
      </c>
      <c r="B39" s="1" t="s">
        <v>31643</v>
      </c>
      <c r="C39" s="1" t="s">
        <v>31644</v>
      </c>
      <c r="D39" s="42"/>
    </row>
    <row r="40" spans="1:4">
      <c r="A40" s="1">
        <v>39</v>
      </c>
      <c r="B40" s="1" t="s">
        <v>31645</v>
      </c>
      <c r="C40" s="1" t="s">
        <v>31646</v>
      </c>
      <c r="D40" s="42"/>
    </row>
    <row r="41" spans="1:4">
      <c r="A41" s="1">
        <v>40</v>
      </c>
      <c r="B41" s="1" t="s">
        <v>31647</v>
      </c>
      <c r="C41" s="1" t="s">
        <v>31648</v>
      </c>
      <c r="D41" s="42"/>
    </row>
    <row r="42" spans="1:4">
      <c r="A42" s="1">
        <v>41</v>
      </c>
      <c r="B42" s="1" t="s">
        <v>31649</v>
      </c>
      <c r="C42" s="1" t="s">
        <v>31650</v>
      </c>
      <c r="D42" s="42"/>
    </row>
    <row r="43" spans="1:4">
      <c r="A43" s="1">
        <v>42</v>
      </c>
      <c r="B43" s="1" t="s">
        <v>31651</v>
      </c>
      <c r="C43" s="1" t="s">
        <v>31652</v>
      </c>
      <c r="D43" s="42"/>
    </row>
    <row r="44" spans="1:4">
      <c r="A44" s="1">
        <v>43</v>
      </c>
      <c r="B44" s="1" t="s">
        <v>31653</v>
      </c>
      <c r="C44" s="1" t="s">
        <v>31654</v>
      </c>
      <c r="D44" s="42"/>
    </row>
    <row r="45" spans="1:4">
      <c r="A45" s="1">
        <v>44</v>
      </c>
      <c r="B45" s="1" t="s">
        <v>31655</v>
      </c>
      <c r="C45" s="1" t="s">
        <v>31656</v>
      </c>
      <c r="D45" s="42"/>
    </row>
    <row r="46" spans="1:4">
      <c r="A46" s="1">
        <v>45</v>
      </c>
      <c r="B46" s="1" t="s">
        <v>31657</v>
      </c>
      <c r="C46" s="1" t="s">
        <v>31658</v>
      </c>
      <c r="D46" s="42"/>
    </row>
    <row r="47" spans="1:4">
      <c r="A47" s="1">
        <v>46</v>
      </c>
      <c r="B47" s="1" t="s">
        <v>31659</v>
      </c>
      <c r="C47" s="1" t="s">
        <v>31660</v>
      </c>
      <c r="D47" s="42"/>
    </row>
    <row r="48" spans="1:4">
      <c r="A48" s="1">
        <v>47</v>
      </c>
      <c r="B48" s="1" t="s">
        <v>31661</v>
      </c>
      <c r="C48" s="1" t="s">
        <v>31662</v>
      </c>
      <c r="D48" s="42"/>
    </row>
    <row r="49" spans="1:4">
      <c r="A49" s="1">
        <v>48</v>
      </c>
      <c r="B49" s="1" t="s">
        <v>31663</v>
      </c>
      <c r="C49" s="1" t="s">
        <v>31664</v>
      </c>
      <c r="D49" s="42"/>
    </row>
    <row r="50" spans="1:4">
      <c r="A50" s="1">
        <v>49</v>
      </c>
      <c r="B50" s="1" t="s">
        <v>31665</v>
      </c>
      <c r="C50" s="1" t="s">
        <v>31666</v>
      </c>
      <c r="D50" s="42"/>
    </row>
    <row r="51" spans="1:4">
      <c r="A51" s="1">
        <v>50</v>
      </c>
      <c r="B51" s="1" t="s">
        <v>31667</v>
      </c>
      <c r="C51" s="1" t="s">
        <v>31668</v>
      </c>
      <c r="D51" s="42"/>
    </row>
    <row r="52" spans="1:4">
      <c r="A52" s="1">
        <v>51</v>
      </c>
      <c r="B52" s="1" t="s">
        <v>31669</v>
      </c>
      <c r="C52" s="1" t="s">
        <v>31670</v>
      </c>
      <c r="D52" s="42"/>
    </row>
    <row r="53" spans="1:4">
      <c r="A53" s="1">
        <v>52</v>
      </c>
      <c r="B53" s="1" t="s">
        <v>31671</v>
      </c>
      <c r="C53" s="1" t="s">
        <v>31672</v>
      </c>
      <c r="D53" s="42"/>
    </row>
    <row r="54" spans="1:4">
      <c r="A54" s="1">
        <v>53</v>
      </c>
      <c r="B54" s="1" t="s">
        <v>31673</v>
      </c>
      <c r="C54" s="1" t="s">
        <v>31674</v>
      </c>
      <c r="D54" s="42"/>
    </row>
    <row r="55" spans="1:4">
      <c r="A55" s="1">
        <v>54</v>
      </c>
      <c r="B55" s="1" t="s">
        <v>31675</v>
      </c>
      <c r="C55" s="1" t="s">
        <v>31676</v>
      </c>
      <c r="D55" s="42"/>
    </row>
    <row r="56" spans="1:4">
      <c r="A56" s="1">
        <v>55</v>
      </c>
      <c r="B56" s="1" t="s">
        <v>31677</v>
      </c>
      <c r="C56" s="1" t="s">
        <v>31678</v>
      </c>
      <c r="D56" s="42"/>
    </row>
    <row r="57" spans="1:4">
      <c r="A57" s="1">
        <v>56</v>
      </c>
      <c r="B57" s="1" t="s">
        <v>31679</v>
      </c>
      <c r="C57" s="1" t="s">
        <v>31680</v>
      </c>
      <c r="D57" s="42"/>
    </row>
    <row r="58" spans="1:4">
      <c r="A58" s="1">
        <v>57</v>
      </c>
      <c r="B58" s="1" t="s">
        <v>31681</v>
      </c>
      <c r="C58" s="1" t="s">
        <v>31682</v>
      </c>
      <c r="D58" s="42"/>
    </row>
    <row r="59" spans="1:4">
      <c r="A59" s="1">
        <v>58</v>
      </c>
      <c r="B59" s="1" t="s">
        <v>31683</v>
      </c>
      <c r="C59" s="1" t="s">
        <v>31684</v>
      </c>
      <c r="D59" s="42"/>
    </row>
    <row r="60" spans="1:4">
      <c r="A60" s="1">
        <v>59</v>
      </c>
      <c r="B60" s="1" t="s">
        <v>31685</v>
      </c>
      <c r="C60" s="1" t="s">
        <v>31686</v>
      </c>
      <c r="D60" s="42"/>
    </row>
    <row r="61" spans="1:4">
      <c r="A61" s="1">
        <v>60</v>
      </c>
      <c r="B61" s="1" t="s">
        <v>31687</v>
      </c>
      <c r="C61" s="1" t="s">
        <v>31688</v>
      </c>
      <c r="D61" s="42"/>
    </row>
    <row r="62" spans="1:4">
      <c r="A62" s="1">
        <v>61</v>
      </c>
      <c r="B62" s="1" t="s">
        <v>31689</v>
      </c>
      <c r="C62" s="1" t="s">
        <v>31690</v>
      </c>
      <c r="D62" s="42"/>
    </row>
    <row r="63" spans="1:4">
      <c r="A63" s="1">
        <v>62</v>
      </c>
      <c r="B63" s="1" t="s">
        <v>31691</v>
      </c>
      <c r="C63" s="1" t="s">
        <v>31692</v>
      </c>
      <c r="D63" s="42"/>
    </row>
    <row r="64" spans="1:4">
      <c r="A64" s="1">
        <v>63</v>
      </c>
      <c r="B64" s="1" t="s">
        <v>31693</v>
      </c>
      <c r="C64" s="1" t="s">
        <v>31694</v>
      </c>
      <c r="D64" s="42"/>
    </row>
    <row r="65" spans="1:4">
      <c r="A65" s="1">
        <v>64</v>
      </c>
      <c r="B65" s="1" t="s">
        <v>31695</v>
      </c>
      <c r="C65" s="1" t="s">
        <v>31696</v>
      </c>
      <c r="D65" s="42"/>
    </row>
    <row r="66" spans="1:4">
      <c r="A66" s="1">
        <v>65</v>
      </c>
      <c r="B66" s="1" t="s">
        <v>31697</v>
      </c>
      <c r="C66" s="1" t="s">
        <v>31698</v>
      </c>
      <c r="D66" s="42"/>
    </row>
    <row r="67" spans="1:4">
      <c r="A67" s="1">
        <v>66</v>
      </c>
      <c r="B67" s="1" t="s">
        <v>31699</v>
      </c>
      <c r="C67" s="1" t="s">
        <v>31700</v>
      </c>
      <c r="D67" s="42"/>
    </row>
    <row r="68" spans="1:4">
      <c r="A68" s="1">
        <v>67</v>
      </c>
      <c r="B68" s="1" t="s">
        <v>31701</v>
      </c>
      <c r="C68" s="1" t="s">
        <v>31702</v>
      </c>
      <c r="D68" s="42"/>
    </row>
    <row r="69" spans="1:4">
      <c r="A69" s="1">
        <v>68</v>
      </c>
      <c r="B69" s="1" t="s">
        <v>31703</v>
      </c>
      <c r="C69" s="1" t="s">
        <v>31704</v>
      </c>
      <c r="D69" s="42"/>
    </row>
    <row r="70" spans="1:4">
      <c r="A70" s="1">
        <v>69</v>
      </c>
      <c r="B70" s="1" t="s">
        <v>31705</v>
      </c>
      <c r="C70" s="1" t="s">
        <v>31706</v>
      </c>
      <c r="D70" s="42"/>
    </row>
    <row r="71" spans="1:4">
      <c r="A71" s="1">
        <v>70</v>
      </c>
      <c r="B71" s="1" t="s">
        <v>31707</v>
      </c>
      <c r="C71" s="1" t="s">
        <v>31708</v>
      </c>
      <c r="D71" s="42"/>
    </row>
    <row r="72" spans="1:4">
      <c r="A72" s="1">
        <v>71</v>
      </c>
      <c r="B72" s="1" t="s">
        <v>31709</v>
      </c>
      <c r="C72" s="1" t="s">
        <v>31710</v>
      </c>
      <c r="D72" s="42"/>
    </row>
    <row r="73" spans="1:4">
      <c r="A73" s="1">
        <v>72</v>
      </c>
      <c r="B73" s="1" t="s">
        <v>31711</v>
      </c>
      <c r="C73" s="1" t="s">
        <v>31712</v>
      </c>
      <c r="D73" s="42"/>
    </row>
    <row r="74" spans="1:4">
      <c r="A74" s="1">
        <v>73</v>
      </c>
      <c r="B74" s="1" t="s">
        <v>31713</v>
      </c>
      <c r="C74" s="1" t="s">
        <v>31714</v>
      </c>
      <c r="D74" s="42"/>
    </row>
    <row r="75" spans="1:4">
      <c r="A75" s="1">
        <v>74</v>
      </c>
      <c r="B75" s="1" t="s">
        <v>31715</v>
      </c>
      <c r="C75" s="1" t="s">
        <v>31716</v>
      </c>
      <c r="D75" s="42"/>
    </row>
    <row r="76" spans="1:4">
      <c r="A76" s="1">
        <v>75</v>
      </c>
      <c r="B76" s="1" t="s">
        <v>31717</v>
      </c>
      <c r="C76" s="1" t="s">
        <v>31718</v>
      </c>
      <c r="D76" s="42"/>
    </row>
    <row r="77" spans="1:4">
      <c r="A77" s="1">
        <v>76</v>
      </c>
      <c r="B77" s="1" t="s">
        <v>31719</v>
      </c>
      <c r="C77" s="1" t="s">
        <v>31720</v>
      </c>
      <c r="D77" s="42"/>
    </row>
    <row r="78" spans="1:4">
      <c r="A78" s="1">
        <v>77</v>
      </c>
      <c r="B78" s="1" t="s">
        <v>31721</v>
      </c>
      <c r="C78" s="1" t="s">
        <v>31722</v>
      </c>
      <c r="D78" s="42"/>
    </row>
    <row r="79" spans="1:4">
      <c r="A79" s="1">
        <v>78</v>
      </c>
      <c r="B79" s="1" t="s">
        <v>31723</v>
      </c>
      <c r="C79" s="1" t="s">
        <v>31724</v>
      </c>
      <c r="D79" s="42"/>
    </row>
    <row r="80" spans="1:4">
      <c r="A80" s="1">
        <v>79</v>
      </c>
      <c r="B80" s="1" t="s">
        <v>31725</v>
      </c>
      <c r="C80" s="1" t="s">
        <v>31726</v>
      </c>
      <c r="D80" s="42"/>
    </row>
    <row r="81" spans="1:4">
      <c r="A81" s="1">
        <v>80</v>
      </c>
      <c r="B81" s="1" t="s">
        <v>31727</v>
      </c>
      <c r="C81" s="1" t="s">
        <v>31728</v>
      </c>
      <c r="D81" s="42"/>
    </row>
    <row r="82" spans="1:4">
      <c r="A82" s="1">
        <v>81</v>
      </c>
      <c r="B82" s="1" t="s">
        <v>31729</v>
      </c>
      <c r="C82" s="1" t="s">
        <v>31730</v>
      </c>
      <c r="D82" s="42"/>
    </row>
    <row r="83" spans="1:4">
      <c r="A83" s="1">
        <v>82</v>
      </c>
      <c r="B83" s="1" t="s">
        <v>31731</v>
      </c>
      <c r="C83" s="1" t="s">
        <v>31732</v>
      </c>
      <c r="D83" s="42"/>
    </row>
    <row r="84" spans="1:4">
      <c r="A84" s="1">
        <v>83</v>
      </c>
      <c r="B84" s="1" t="s">
        <v>31733</v>
      </c>
      <c r="C84" s="1" t="s">
        <v>31734</v>
      </c>
      <c r="D84" s="42"/>
    </row>
    <row r="85" spans="1:4">
      <c r="A85" s="1">
        <v>84</v>
      </c>
      <c r="B85" s="1" t="s">
        <v>31735</v>
      </c>
      <c r="C85" s="1" t="s">
        <v>31736</v>
      </c>
      <c r="D85" s="42"/>
    </row>
    <row r="86" spans="1:4">
      <c r="A86" s="1">
        <v>85</v>
      </c>
      <c r="B86" s="1" t="s">
        <v>31737</v>
      </c>
      <c r="C86" s="1" t="s">
        <v>31738</v>
      </c>
      <c r="D86" s="42"/>
    </row>
    <row r="87" spans="1:4">
      <c r="A87" s="1">
        <v>86</v>
      </c>
      <c r="B87" s="1" t="s">
        <v>31739</v>
      </c>
      <c r="C87" s="1" t="s">
        <v>31740</v>
      </c>
      <c r="D87" s="42"/>
    </row>
    <row r="88" spans="1:4">
      <c r="A88" s="1">
        <v>87</v>
      </c>
      <c r="B88" s="1" t="s">
        <v>31741</v>
      </c>
      <c r="C88" s="1" t="s">
        <v>31742</v>
      </c>
      <c r="D88" s="42"/>
    </row>
    <row r="89" spans="1:4">
      <c r="A89" s="1">
        <v>88</v>
      </c>
      <c r="B89" s="1" t="s">
        <v>31743</v>
      </c>
      <c r="C89" s="1" t="s">
        <v>31744</v>
      </c>
      <c r="D89" s="42"/>
    </row>
    <row r="90" spans="1:4">
      <c r="A90" s="1">
        <v>89</v>
      </c>
      <c r="B90" s="1" t="s">
        <v>31745</v>
      </c>
      <c r="C90" s="1" t="s">
        <v>31746</v>
      </c>
      <c r="D90" s="42"/>
    </row>
    <row r="91" spans="1:4">
      <c r="A91" s="1">
        <v>90</v>
      </c>
      <c r="B91" s="1" t="s">
        <v>31747</v>
      </c>
      <c r="C91" s="1" t="s">
        <v>31748</v>
      </c>
      <c r="D91" s="42"/>
    </row>
    <row r="92" spans="1:4">
      <c r="A92" s="1">
        <v>91</v>
      </c>
      <c r="B92" s="1" t="s">
        <v>31749</v>
      </c>
      <c r="C92" s="1" t="s">
        <v>31750</v>
      </c>
      <c r="D92" s="42"/>
    </row>
    <row r="93" spans="1:4">
      <c r="A93" s="1">
        <v>92</v>
      </c>
      <c r="B93" s="1" t="s">
        <v>31751</v>
      </c>
      <c r="C93" s="1" t="s">
        <v>31752</v>
      </c>
      <c r="D93" s="42"/>
    </row>
    <row r="94" spans="1:4">
      <c r="A94" s="1">
        <v>93</v>
      </c>
      <c r="B94" s="1" t="s">
        <v>31753</v>
      </c>
      <c r="C94" s="1" t="s">
        <v>31754</v>
      </c>
      <c r="D94" s="42"/>
    </row>
    <row r="95" spans="1:4">
      <c r="A95" s="1">
        <v>94</v>
      </c>
      <c r="B95" s="1" t="s">
        <v>31755</v>
      </c>
      <c r="C95" s="1" t="s">
        <v>31756</v>
      </c>
      <c r="D95" s="42"/>
    </row>
    <row r="96" spans="1:4">
      <c r="A96" s="1">
        <v>95</v>
      </c>
      <c r="B96" s="1" t="s">
        <v>31757</v>
      </c>
      <c r="C96" s="1" t="s">
        <v>31758</v>
      </c>
      <c r="D96" s="42"/>
    </row>
    <row r="97" spans="1:4">
      <c r="A97" s="1">
        <v>96</v>
      </c>
      <c r="B97" s="1" t="s">
        <v>31759</v>
      </c>
      <c r="C97" s="1" t="s">
        <v>31760</v>
      </c>
      <c r="D97" s="42"/>
    </row>
    <row r="98" spans="1:4">
      <c r="A98" s="1">
        <v>97</v>
      </c>
      <c r="B98" s="1" t="s">
        <v>31761</v>
      </c>
      <c r="C98" s="1" t="s">
        <v>31762</v>
      </c>
      <c r="D98" s="42"/>
    </row>
    <row r="99" spans="1:4">
      <c r="A99" s="1">
        <v>98</v>
      </c>
      <c r="B99" s="1" t="s">
        <v>31763</v>
      </c>
      <c r="C99" s="1" t="s">
        <v>31764</v>
      </c>
      <c r="D99" s="42"/>
    </row>
    <row r="100" spans="1:4">
      <c r="A100" s="1">
        <v>99</v>
      </c>
      <c r="B100" s="1" t="s">
        <v>31765</v>
      </c>
      <c r="C100" s="1" t="s">
        <v>31766</v>
      </c>
      <c r="D100" s="42"/>
    </row>
    <row r="101" spans="1:4">
      <c r="A101" s="1">
        <v>100</v>
      </c>
      <c r="B101" s="1" t="s">
        <v>31767</v>
      </c>
      <c r="C101" s="1" t="s">
        <v>31768</v>
      </c>
      <c r="D101" s="42"/>
    </row>
    <row r="102" spans="1:4">
      <c r="A102" s="1">
        <v>101</v>
      </c>
      <c r="B102" s="1" t="s">
        <v>31769</v>
      </c>
      <c r="C102" s="1" t="s">
        <v>31770</v>
      </c>
      <c r="D102" s="42"/>
    </row>
    <row r="103" spans="1:4">
      <c r="A103" s="1">
        <v>102</v>
      </c>
      <c r="B103" s="1" t="s">
        <v>31771</v>
      </c>
      <c r="C103" s="1" t="s">
        <v>31772</v>
      </c>
      <c r="D103" s="42"/>
    </row>
    <row r="104" spans="1:4">
      <c r="A104" s="1">
        <v>103</v>
      </c>
      <c r="B104" s="1" t="s">
        <v>31773</v>
      </c>
      <c r="C104" s="1" t="s">
        <v>31774</v>
      </c>
      <c r="D104" s="42"/>
    </row>
    <row r="105" spans="1:4">
      <c r="A105" s="1">
        <v>104</v>
      </c>
      <c r="B105" s="1" t="s">
        <v>31775</v>
      </c>
      <c r="C105" s="1" t="s">
        <v>31776</v>
      </c>
      <c r="D105" s="42"/>
    </row>
    <row r="106" spans="1:4">
      <c r="A106" s="1">
        <v>105</v>
      </c>
      <c r="B106" s="1" t="s">
        <v>31777</v>
      </c>
      <c r="C106" s="1" t="s">
        <v>31778</v>
      </c>
      <c r="D106" s="42"/>
    </row>
    <row r="107" spans="1:4">
      <c r="A107" s="1">
        <v>106</v>
      </c>
      <c r="B107" s="1" t="s">
        <v>31779</v>
      </c>
      <c r="C107" s="1" t="s">
        <v>31780</v>
      </c>
      <c r="D107" s="42"/>
    </row>
    <row r="108" spans="1:4">
      <c r="A108" s="1">
        <v>107</v>
      </c>
      <c r="B108" s="1" t="s">
        <v>31781</v>
      </c>
      <c r="C108" s="1" t="s">
        <v>31782</v>
      </c>
      <c r="D108" s="42"/>
    </row>
    <row r="109" spans="1:4">
      <c r="A109" s="1">
        <v>108</v>
      </c>
      <c r="B109" s="1" t="s">
        <v>31783</v>
      </c>
      <c r="C109" s="1" t="s">
        <v>31784</v>
      </c>
      <c r="D109" s="42"/>
    </row>
    <row r="110" spans="1:4">
      <c r="A110" s="1">
        <v>109</v>
      </c>
      <c r="B110" s="1" t="s">
        <v>31785</v>
      </c>
      <c r="C110" s="1" t="s">
        <v>31786</v>
      </c>
      <c r="D110" s="42"/>
    </row>
    <row r="111" spans="1:4">
      <c r="A111" s="1">
        <v>110</v>
      </c>
      <c r="B111" s="1" t="s">
        <v>31787</v>
      </c>
      <c r="C111" s="1" t="s">
        <v>31788</v>
      </c>
      <c r="D111" s="42"/>
    </row>
    <row r="112" spans="1:4">
      <c r="A112" s="1">
        <v>111</v>
      </c>
      <c r="B112" s="1" t="s">
        <v>31789</v>
      </c>
      <c r="C112" s="1" t="s">
        <v>31790</v>
      </c>
      <c r="D112" s="42"/>
    </row>
    <row r="113" spans="1:4">
      <c r="A113" s="1">
        <v>112</v>
      </c>
      <c r="B113" s="1" t="s">
        <v>31791</v>
      </c>
      <c r="C113" s="1" t="s">
        <v>31792</v>
      </c>
      <c r="D113" s="42"/>
    </row>
    <row r="114" spans="1:4">
      <c r="A114" s="1">
        <v>113</v>
      </c>
      <c r="B114" s="1" t="s">
        <v>31793</v>
      </c>
      <c r="C114" s="1" t="s">
        <v>31794</v>
      </c>
      <c r="D114" s="42"/>
    </row>
    <row r="115" spans="1:4">
      <c r="A115" s="1">
        <v>114</v>
      </c>
      <c r="B115" s="1" t="s">
        <v>31795</v>
      </c>
      <c r="C115" s="1" t="s">
        <v>31796</v>
      </c>
      <c r="D115" s="42"/>
    </row>
    <row r="116" spans="1:4">
      <c r="A116" s="1">
        <v>115</v>
      </c>
      <c r="B116" s="1" t="s">
        <v>31797</v>
      </c>
      <c r="C116" s="1" t="s">
        <v>31798</v>
      </c>
      <c r="D116" s="42"/>
    </row>
    <row r="117" spans="1:4">
      <c r="A117" s="1">
        <v>116</v>
      </c>
      <c r="B117" s="1" t="s">
        <v>31799</v>
      </c>
      <c r="C117" s="1" t="s">
        <v>31800</v>
      </c>
      <c r="D117" s="42"/>
    </row>
    <row r="118" spans="1:4">
      <c r="A118" s="1">
        <v>117</v>
      </c>
      <c r="B118" s="1" t="s">
        <v>31801</v>
      </c>
      <c r="C118" s="1" t="s">
        <v>31802</v>
      </c>
      <c r="D118" s="42"/>
    </row>
    <row r="119" spans="1:4">
      <c r="A119" s="1">
        <v>118</v>
      </c>
      <c r="B119" s="1" t="s">
        <v>31803</v>
      </c>
      <c r="C119" s="1" t="s">
        <v>31804</v>
      </c>
      <c r="D119" s="42"/>
    </row>
    <row r="120" spans="1:4">
      <c r="A120" s="1">
        <v>119</v>
      </c>
      <c r="B120" s="1" t="s">
        <v>31805</v>
      </c>
      <c r="C120" s="1" t="s">
        <v>31806</v>
      </c>
      <c r="D120" s="42"/>
    </row>
    <row r="121" spans="1:4">
      <c r="A121" s="1">
        <v>120</v>
      </c>
      <c r="B121" s="1" t="s">
        <v>31807</v>
      </c>
      <c r="C121" s="1" t="s">
        <v>31808</v>
      </c>
      <c r="D121" s="42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workbookViewId="0">
      <selection activeCell="E17" sqref="E17"/>
    </sheetView>
  </sheetViews>
  <sheetFormatPr defaultRowHeight="15"/>
  <cols>
    <col min="1" max="1" width="4.85546875" customWidth="1"/>
    <col min="2" max="2" width="5" bestFit="1" customWidth="1"/>
    <col min="3" max="3" width="10.140625" bestFit="1" customWidth="1"/>
    <col min="4" max="4" width="31.140625" bestFit="1" customWidth="1"/>
    <col min="5" max="5" width="60.140625" bestFit="1" customWidth="1"/>
    <col min="6" max="6" width="31.140625" bestFit="1" customWidth="1"/>
    <col min="7" max="7" width="60.1406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61.28515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34290</v>
      </c>
      <c r="AT1" s="27" t="s">
        <v>31516</v>
      </c>
    </row>
    <row r="2" spans="1:46">
      <c r="A2" s="15">
        <v>1</v>
      </c>
      <c r="B2" s="16">
        <v>1</v>
      </c>
      <c r="C2" s="16" t="s">
        <v>34289</v>
      </c>
      <c r="D2" s="43" t="s">
        <v>16633</v>
      </c>
      <c r="E2" s="43" t="s">
        <v>34291</v>
      </c>
      <c r="F2" s="17" t="str">
        <f>D2</f>
        <v>SFG-FRPKRG-MEM-BOR-75X60X10</v>
      </c>
      <c r="G2" s="17" t="str">
        <f>E2</f>
        <v>Restonic Hotel Motel Pocketed Memory Regular Border 75X60X10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3" t="s">
        <v>1659</v>
      </c>
      <c r="R2" s="43" t="s">
        <v>1660</v>
      </c>
      <c r="S2" s="43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75X60X10</v>
      </c>
      <c r="Y2" s="31" t="str">
        <f>LEFT(X2,2)</f>
        <v>75</v>
      </c>
      <c r="Z2" s="31" t="str">
        <f>MID(X2,4,2)</f>
        <v>60</v>
      </c>
      <c r="AA2" s="31" t="str">
        <f>RIGHT(X2,2)</f>
        <v>10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5">
        <f>SUM(AH2:AH9)</f>
        <v>238.27386423615542</v>
      </c>
      <c r="AJ2" s="45">
        <f>ROUND(AI2,3)</f>
        <v>238.274</v>
      </c>
      <c r="AK2" s="45">
        <f>AJ2</f>
        <v>238.274</v>
      </c>
      <c r="AL2" s="45">
        <f>+AK2+AQ2</f>
        <v>267.76016922600002</v>
      </c>
      <c r="AM2" s="45">
        <f>+SUM(((AK2*3%*18%)))</f>
        <v>1.2866795999999998</v>
      </c>
      <c r="AN2" s="45">
        <f t="shared" ref="AN2" si="1">+SUM(((AK2*14.33%*53%)))</f>
        <v>18.096672026</v>
      </c>
      <c r="AO2" s="45">
        <f t="shared" ref="AO2" si="2">+SUM(((AK2*5.92%*53%)))</f>
        <v>7.4760850240000005</v>
      </c>
      <c r="AP2" s="45">
        <f t="shared" ref="AP2" si="3">+SUM(((AK2*2.08%*53%)))</f>
        <v>2.6267325759999998</v>
      </c>
      <c r="AQ2" s="45">
        <f>SUM(AM2:AP2)</f>
        <v>29.486169225999998</v>
      </c>
      <c r="AR2" s="46">
        <f>ROUNDUP(AL2,0)</f>
        <v>268</v>
      </c>
      <c r="AS2" s="40">
        <f>AK2</f>
        <v>238.274</v>
      </c>
      <c r="AT2" s="32">
        <f>AR2</f>
        <v>268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SFG-FRPKRG-MEM-BOR-75X60X10</v>
      </c>
      <c r="E3" s="17" t="str">
        <f t="shared" si="4"/>
        <v>Restonic Hotel Motel Pocketed Memory Regular Border 75X60X10</v>
      </c>
      <c r="F3" s="17" t="str">
        <f t="shared" si="4"/>
        <v>SFG-FRPKRG-MEM-BOR-75X60X10</v>
      </c>
      <c r="G3" s="17" t="str">
        <f t="shared" si="4"/>
        <v>Restonic Hotel Motel Pocketed Memory Regular Border 75X60X10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3" t="s">
        <v>698</v>
      </c>
      <c r="R3" s="43" t="s">
        <v>699</v>
      </c>
      <c r="S3" s="43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75X60X10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10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40">
        <f t="shared" ref="AS3:AS9" si="9">AS2</f>
        <v>238.274</v>
      </c>
      <c r="AT3" s="32">
        <f t="shared" ref="AT3:AT9" si="10">AT2</f>
        <v>268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SFG-FRPKRG-MEM-BOR-75X60X10</v>
      </c>
      <c r="E4" s="17" t="str">
        <f t="shared" si="4"/>
        <v>Restonic Hotel Motel Pocketed Memory Regular Border 75X60X10</v>
      </c>
      <c r="F4" s="17" t="str">
        <f t="shared" si="4"/>
        <v>SFG-FRPKRG-MEM-BOR-75X60X10</v>
      </c>
      <c r="G4" s="17" t="str">
        <f t="shared" si="4"/>
        <v>Restonic Hotel Motel Pocketed Memory Regular Border 75X60X10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3" t="s">
        <v>18735</v>
      </c>
      <c r="R4" s="43" t="s">
        <v>34292</v>
      </c>
      <c r="S4" s="43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75X60X10</v>
      </c>
      <c r="Y4" s="31" t="str">
        <f t="shared" si="6"/>
        <v>75</v>
      </c>
      <c r="Z4" s="31" t="str">
        <f t="shared" si="7"/>
        <v>60</v>
      </c>
      <c r="AA4" s="31" t="str">
        <f t="shared" si="8"/>
        <v>10</v>
      </c>
      <c r="AB4" s="20" t="str">
        <f t="shared" ref="AB4:AC9" si="11">AB3</f>
        <v>75</v>
      </c>
      <c r="AC4" s="20" t="str">
        <f t="shared" si="11"/>
        <v>60</v>
      </c>
      <c r="AD4" s="21">
        <f>ROUNDUP(((((AB4+AC4)*2)+3)*0.0254),3)</f>
        <v>6.9350000000000005</v>
      </c>
      <c r="AF4" s="22">
        <f t="shared" ref="AF4:AF9" si="12">T4</f>
        <v>6.9350000000000005</v>
      </c>
      <c r="AG4" s="26">
        <f>VLOOKUP(Q4,'SFG-RM'!A:B,2,0)</f>
        <v>28.799284270000001</v>
      </c>
      <c r="AH4" s="20">
        <f t="shared" si="0"/>
        <v>199.72303641245003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40">
        <f t="shared" si="9"/>
        <v>238.274</v>
      </c>
      <c r="AT4" s="32">
        <f t="shared" si="10"/>
        <v>268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SFG-FRPKRG-MEM-BOR-75X60X10</v>
      </c>
      <c r="E5" s="17" t="str">
        <f t="shared" si="4"/>
        <v>Restonic Hotel Motel Pocketed Memory Regular Border 75X60X10</v>
      </c>
      <c r="F5" s="17" t="str">
        <f t="shared" si="4"/>
        <v>SFG-FRPKRG-MEM-BOR-75X60X10</v>
      </c>
      <c r="G5" s="17" t="str">
        <f t="shared" si="4"/>
        <v>Restonic Hotel Motel Pocketed Memory Regular Border 75X60X10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3" t="s">
        <v>1984</v>
      </c>
      <c r="R5" s="43" t="s">
        <v>1985</v>
      </c>
      <c r="S5" s="43" t="s">
        <v>25</v>
      </c>
      <c r="T5" s="44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75X60X10</v>
      </c>
      <c r="Y5" s="31" t="str">
        <f t="shared" si="6"/>
        <v>75</v>
      </c>
      <c r="Z5" s="31" t="str">
        <f t="shared" si="7"/>
        <v>60</v>
      </c>
      <c r="AA5" s="31" t="str">
        <f t="shared" si="8"/>
        <v>10</v>
      </c>
      <c r="AB5" s="20" t="str">
        <f t="shared" si="11"/>
        <v>75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8.9990000000000006</v>
      </c>
      <c r="AH5" s="20">
        <f t="shared" si="0"/>
        <v>8.9990000000000006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40">
        <f t="shared" si="9"/>
        <v>238.274</v>
      </c>
      <c r="AT5" s="32">
        <f t="shared" si="10"/>
        <v>268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SFG-FRPKRG-MEM-BOR-75X60X10</v>
      </c>
      <c r="E6" s="17" t="str">
        <f t="shared" si="4"/>
        <v>Restonic Hotel Motel Pocketed Memory Regular Border 75X60X10</v>
      </c>
      <c r="F6" s="17" t="str">
        <f t="shared" si="4"/>
        <v>SFG-FRPKRG-MEM-BOR-75X60X10</v>
      </c>
      <c r="G6" s="17" t="str">
        <f t="shared" si="4"/>
        <v>Restonic Hotel Motel Pocketed Memory Regular Border 75X60X10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3" t="s">
        <v>459</v>
      </c>
      <c r="R6" s="43" t="s">
        <v>460</v>
      </c>
      <c r="S6" s="43" t="s">
        <v>25</v>
      </c>
      <c r="T6" s="44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75X60X10</v>
      </c>
      <c r="Y6" s="31" t="str">
        <f t="shared" si="6"/>
        <v>75</v>
      </c>
      <c r="Z6" s="31" t="str">
        <f t="shared" si="7"/>
        <v>60</v>
      </c>
      <c r="AA6" s="31" t="str">
        <f t="shared" si="8"/>
        <v>10</v>
      </c>
      <c r="AB6" s="20" t="str">
        <f t="shared" si="11"/>
        <v>75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40">
        <f t="shared" si="9"/>
        <v>238.274</v>
      </c>
      <c r="AT6" s="32">
        <f t="shared" si="10"/>
        <v>268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SFG-FRPKRG-MEM-BOR-75X60X10</v>
      </c>
      <c r="E7" s="17" t="str">
        <f t="shared" si="4"/>
        <v>Restonic Hotel Motel Pocketed Memory Regular Border 75X60X10</v>
      </c>
      <c r="F7" s="17" t="str">
        <f t="shared" si="4"/>
        <v>SFG-FRPKRG-MEM-BOR-75X60X10</v>
      </c>
      <c r="G7" s="17" t="str">
        <f t="shared" si="4"/>
        <v>Restonic Hotel Motel Pocketed Memory Regular Border 75X60X10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3" t="s">
        <v>2232</v>
      </c>
      <c r="R7" s="43" t="s">
        <v>2233</v>
      </c>
      <c r="S7" s="43" t="s">
        <v>25</v>
      </c>
      <c r="T7" s="44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75X60X10</v>
      </c>
      <c r="Y7" s="31" t="str">
        <f t="shared" si="6"/>
        <v>75</v>
      </c>
      <c r="Z7" s="31" t="str">
        <f t="shared" si="7"/>
        <v>60</v>
      </c>
      <c r="AA7" s="31" t="str">
        <f t="shared" si="8"/>
        <v>10</v>
      </c>
      <c r="AB7" s="20" t="str">
        <f t="shared" si="11"/>
        <v>75</v>
      </c>
      <c r="AC7" s="20" t="str">
        <f t="shared" si="11"/>
        <v>60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40">
        <f t="shared" si="9"/>
        <v>238.274</v>
      </c>
      <c r="AT7" s="32">
        <f t="shared" si="10"/>
        <v>268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SFG-FRPKRG-MEM-BOR-75X60X10</v>
      </c>
      <c r="E8" s="17" t="str">
        <f t="shared" si="4"/>
        <v>Restonic Hotel Motel Pocketed Memory Regular Border 75X60X10</v>
      </c>
      <c r="F8" s="17" t="str">
        <f t="shared" si="4"/>
        <v>SFG-FRPKRG-MEM-BOR-75X60X10</v>
      </c>
      <c r="G8" s="17" t="str">
        <f t="shared" si="4"/>
        <v>Restonic Hotel Motel Pocketed Memory Regular Border 75X60X10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3" t="s">
        <v>18744</v>
      </c>
      <c r="R8" s="43" t="s">
        <v>34293</v>
      </c>
      <c r="S8" s="43" t="s">
        <v>192</v>
      </c>
      <c r="T8" s="44">
        <v>1.1599999999999999</v>
      </c>
      <c r="U8" s="17" t="s">
        <v>2292</v>
      </c>
      <c r="V8" s="17" t="s">
        <v>2276</v>
      </c>
      <c r="W8" s="17" t="s">
        <v>2295</v>
      </c>
      <c r="X8" s="30" t="str">
        <f t="shared" si="5"/>
        <v>75X60X10</v>
      </c>
      <c r="Y8" s="31" t="str">
        <f t="shared" si="6"/>
        <v>75</v>
      </c>
      <c r="Z8" s="31" t="str">
        <f t="shared" si="7"/>
        <v>60</v>
      </c>
      <c r="AA8" s="31" t="str">
        <f t="shared" si="8"/>
        <v>10</v>
      </c>
      <c r="AB8" s="20" t="str">
        <f t="shared" si="11"/>
        <v>75</v>
      </c>
      <c r="AC8" s="20" t="str">
        <f t="shared" si="11"/>
        <v>60</v>
      </c>
      <c r="AF8" s="22">
        <f t="shared" si="12"/>
        <v>1.1599999999999999</v>
      </c>
      <c r="AG8" s="26">
        <f>VLOOKUP(Q8,'SFG-RM'!A:B,2,0)</f>
        <v>14.621455289401199</v>
      </c>
      <c r="AH8" s="20">
        <f t="shared" si="0"/>
        <v>16.960888135705389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40">
        <f t="shared" si="9"/>
        <v>238.274</v>
      </c>
      <c r="AT8" s="32">
        <f t="shared" si="10"/>
        <v>268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SFG-FRPKRG-MEM-BOR-75X60X10</v>
      </c>
      <c r="E9" s="17" t="str">
        <f t="shared" si="4"/>
        <v>Restonic Hotel Motel Pocketed Memory Regular Border 75X60X10</v>
      </c>
      <c r="F9" s="17" t="str">
        <f t="shared" si="4"/>
        <v>SFG-FRPKRG-MEM-BOR-75X60X10</v>
      </c>
      <c r="G9" s="17" t="str">
        <f t="shared" si="4"/>
        <v>Restonic Hotel Motel Pocketed Memory Regular Border 75X60X10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3" t="s">
        <v>1479</v>
      </c>
      <c r="R9" s="43" t="s">
        <v>1480</v>
      </c>
      <c r="S9" s="43" t="s">
        <v>165</v>
      </c>
      <c r="T9" s="44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75X60X10</v>
      </c>
      <c r="Y9" s="31" t="str">
        <f t="shared" si="6"/>
        <v>75</v>
      </c>
      <c r="Z9" s="31" t="str">
        <f t="shared" si="7"/>
        <v>60</v>
      </c>
      <c r="AA9" s="31" t="str">
        <f t="shared" si="8"/>
        <v>10</v>
      </c>
      <c r="AB9" s="20" t="str">
        <f t="shared" si="11"/>
        <v>75</v>
      </c>
      <c r="AC9" s="20" t="str">
        <f t="shared" si="11"/>
        <v>60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0">
        <f t="shared" si="9"/>
        <v>238.274</v>
      </c>
      <c r="AT9" s="32">
        <f t="shared" si="10"/>
        <v>268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2024-03-30T05:56:30Z</dcterms:modified>
</cp:coreProperties>
</file>